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Tes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<sst xmlns="http://schemas.openxmlformats.org/spreadsheetml/2006/main" count="572" uniqueCount="466">
  <si>
    <t xml:space="preserve">PAI Corpus Search — QA Test Plan</t>
  </si>
  <si>
    <t xml:space="preserve">Category</t>
  </si>
  <si>
    <t xml:space="preserve">Test ID</t>
  </si>
  <si>
    <t xml:space="preserve">Test Name</t>
  </si>
  <si>
    <t xml:space="preserve">Steps / Input</t>
  </si>
  <si>
    <t xml:space="preserve">Expected Result</t>
  </si>
  <si>
    <t xml:space="preserve">Actual Result</t>
  </si>
  <si>
    <t xml:space="preserve">Status</t>
  </si>
  <si>
    <t xml:space="preserve">Notes</t>
  </si>
  <si>
    <t xml:space="preserve">  🔍 Transcription Search</t>
  </si>
  <si>
    <t xml:space="preserve">🔍 Transcription Search</t>
  </si>
  <si>
    <t xml:space="preserve">TS-01</t>
  </si>
  <si>
    <t xml:space="preserve">Simple consonant cluster</t>
  </si>
  <si>
    <t xml:space="preserve">Type 'ktb' → Search</t>
  </si>
  <si>
    <t xml:space="preserve">Results show documents containing the sequence k-t-b; highlighted in green in text</t>
  </si>
  <si>
    <t xml:space="preserve">TS-02</t>
  </si>
  <si>
    <t xml:space="preserve">Consonant wildcard C</t>
  </si>
  <si>
    <t xml:space="preserve">Type 'CCC' → Search</t>
  </si>
  <si>
    <t xml:space="preserve">Returns words with any 3 consecutive consonants</t>
  </si>
  <si>
    <t xml:space="preserve">TS-03</t>
  </si>
  <si>
    <t xml:space="preserve">Vowel wildcard V</t>
  </si>
  <si>
    <t xml:space="preserve">Type 'CVС' → Search</t>
  </si>
  <si>
    <t xml:space="preserve">Returns consonant–vowel–consonant sequences</t>
  </si>
  <si>
    <t xml:space="preserve">TS-04</t>
  </si>
  <si>
    <t xml:space="preserve">Guttural wildcard G</t>
  </si>
  <si>
    <t xml:space="preserve">Type 'GVC' → Search</t>
  </si>
  <si>
    <t xml:space="preserve">Matches words starting with h/x/ḥ/ʿ/ġ/q followed by a vowel+consonant</t>
  </si>
  <si>
    <t xml:space="preserve">TS-05</t>
  </si>
  <si>
    <t xml:space="preserve">Emphatic wildcard E</t>
  </si>
  <si>
    <t xml:space="preserve">Type 'CVE' → Search</t>
  </si>
  <si>
    <t xml:space="preserve">Matches consonant–vowel–(ḍ/ḏ̣/ẓ/ṣ) sequences</t>
  </si>
  <si>
    <t xml:space="preserve">TS-06</t>
  </si>
  <si>
    <t xml:space="preserve">Diphthong wildcard D</t>
  </si>
  <si>
    <t xml:space="preserve">Type 'DC' → Search</t>
  </si>
  <si>
    <t xml:space="preserve">Matches aw/ay followed by any consonant</t>
  </si>
  <si>
    <t xml:space="preserve">TS-07</t>
  </si>
  <si>
    <t xml:space="preserve">Any-char wildcard $</t>
  </si>
  <si>
    <t xml:space="preserve">Type '$CC' → Search</t>
  </si>
  <si>
    <t xml:space="preserve">Matches any character followed by 2 consonants</t>
  </si>
  <si>
    <t xml:space="preserve">TS-08</t>
  </si>
  <si>
    <t xml:space="preserve">Start anchor ^</t>
  </si>
  <si>
    <t xml:space="preserve">Type '^bi' → Search</t>
  </si>
  <si>
    <t xml:space="preserve">Only matches words that begin with 'bi'; no mid-word matches</t>
  </si>
  <si>
    <t xml:space="preserve">TS-09</t>
  </si>
  <si>
    <t xml:space="preserve">End anchor #</t>
  </si>
  <si>
    <t xml:space="preserve">Type 'ūn#' → Search</t>
  </si>
  <si>
    <t xml:space="preserve">Only matches words ending exactly in 'ūn'</t>
  </si>
  <si>
    <t xml:space="preserve">TS-10</t>
  </si>
  <si>
    <t xml:space="preserve">Both anchors ^ and #</t>
  </si>
  <si>
    <t xml:space="preserve">Type '^kān#' → Search</t>
  </si>
  <si>
    <t xml:space="preserve">Only exact word 'kān' matches; longer words like 'kāna' excluded</t>
  </si>
  <si>
    <t xml:space="preserve">TS-11</t>
  </si>
  <si>
    <t xml:space="preserve">Real PAI word</t>
  </si>
  <si>
    <t xml:space="preserve">Type 'šāf' → Search</t>
  </si>
  <si>
    <t xml:space="preserve">Documents containing 'šāf' returned; word highlighted in each</t>
  </si>
  <si>
    <t xml:space="preserve">TS-12</t>
  </si>
  <si>
    <t xml:space="preserve">Special characters</t>
  </si>
  <si>
    <t xml:space="preserve">Use PAI keyboard to type 'ʿaC' → Search</t>
  </si>
  <si>
    <t xml:space="preserve">Matches words starting with ʿ+a+consonant</t>
  </si>
  <si>
    <t xml:space="preserve">TS-13</t>
  </si>
  <si>
    <t xml:space="preserve">Position: Start only</t>
  </si>
  <si>
    <t xml:space="preserve">Type 'CVC' → Advanced → Start of word → Search</t>
  </si>
  <si>
    <t xml:space="preserve">Only words where the CVC pattern begins at position 0</t>
  </si>
  <si>
    <t xml:space="preserve">TS-14</t>
  </si>
  <si>
    <t xml:space="preserve">Position: End only</t>
  </si>
  <si>
    <t xml:space="preserve">Type 'VC' → Advanced → End of word → Search</t>
  </si>
  <si>
    <t xml:space="preserve">Only words where VC ends at last character</t>
  </si>
  <si>
    <t xml:space="preserve">TS-15</t>
  </si>
  <si>
    <t xml:space="preserve">Position: Middle only</t>
  </si>
  <si>
    <t xml:space="preserve">Type 'VCV' → Advanced → Middle of word → Search</t>
  </si>
  <si>
    <t xml:space="preserve">Only words where pattern is in middle (not first or last char)</t>
  </si>
  <si>
    <t xml:space="preserve">TS-16</t>
  </si>
  <si>
    <t xml:space="preserve">Pattern matches nothing</t>
  </si>
  <si>
    <t xml:space="preserve">Type 'QQQQQ' → Search</t>
  </si>
  <si>
    <t xml:space="preserve">Warning: 'No results found for QQQQQ. Try a broader pattern or different filters.'</t>
  </si>
  <si>
    <t xml:space="preserve">TS-17</t>
  </si>
  <si>
    <t xml:space="preserve">Empty search bar + click Search</t>
  </si>
  <si>
    <t xml:space="preserve">Leave search bar empty → click Search</t>
  </si>
  <si>
    <t xml:space="preserve">Warning: 'Please enter a search pattern or select a filter.'</t>
  </si>
  <si>
    <t xml:space="preserve">TS-18</t>
  </si>
  <si>
    <t xml:space="preserve">Regex special chars treated literally</t>
  </si>
  <si>
    <t xml:space="preserve">Type '.' → Search</t>
  </si>
  <si>
    <t xml:space="preserve">Treats '.' as a literal dot character, not a regex wildcard; narrow results</t>
  </si>
  <si>
    <t xml:space="preserve">TS-19</t>
  </si>
  <si>
    <t xml:space="preserve">Rapid double-click Search</t>
  </si>
  <si>
    <t xml:space="preserve">Type 'kān' → double-click Search button quickly</t>
  </si>
  <si>
    <t xml:space="preserve">Search runs once; no crash, no duplicate results</t>
  </si>
  <si>
    <t xml:space="preserve">TS-20</t>
  </si>
  <si>
    <t xml:space="preserve">Second search replaces first</t>
  </si>
  <si>
    <t xml:space="preserve">Search 'ktb' → wait for results → search 'šāf'</t>
  </si>
  <si>
    <t xml:space="preserve">Results update to 'šāf'; search bar shows 'šāf'; no trace of 'ktb' results</t>
  </si>
  <si>
    <t xml:space="preserve">  📄 Document Search</t>
  </si>
  <si>
    <t xml:space="preserve">📄 Document Search</t>
  </si>
  <si>
    <t xml:space="preserve">DS-01</t>
  </si>
  <si>
    <t xml:space="preserve">Exact document name</t>
  </si>
  <si>
    <t xml:space="preserve">Switch to 'Find document' → paste exact name from sidebar → Search</t>
  </si>
  <si>
    <t xml:space="preserve">That document appears in results; iframe loads when expanded</t>
  </si>
  <si>
    <t xml:space="preserve">DS-02</t>
  </si>
  <si>
    <t xml:space="preserve">Partial document name</t>
  </si>
  <si>
    <t xml:space="preserve">Type first 4 chars of a document name → Search</t>
  </si>
  <si>
    <t xml:space="preserve">All documents whose name contains that substring appear</t>
  </si>
  <si>
    <t xml:space="preserve">DS-03</t>
  </si>
  <si>
    <t xml:space="preserve">Search by village</t>
  </si>
  <si>
    <t xml:space="preserve">Type a village name (Hebrew) → Search</t>
  </si>
  <si>
    <t xml:space="preserve">Documents from that village appear</t>
  </si>
  <si>
    <t xml:space="preserve">DS-04</t>
  </si>
  <si>
    <t xml:space="preserve">Search by community</t>
  </si>
  <si>
    <t xml:space="preserve">Type a community name → Search</t>
  </si>
  <si>
    <t xml:space="preserve">Documents from that community appear</t>
  </si>
  <si>
    <t xml:space="preserve">DS-05</t>
  </si>
  <si>
    <t xml:space="preserve">No matches</t>
  </si>
  <si>
    <t xml:space="preserve">Type gibberish → Search</t>
  </si>
  <si>
    <t xml:space="preserve">Warning: 'No documents found matching "..."'</t>
  </si>
  <si>
    <t xml:space="preserve">DS-06</t>
  </si>
  <si>
    <t xml:space="preserve">Result label has no match count</t>
  </si>
  <si>
    <t xml:space="preserve">Run document search → inspect result expander label</t>
  </si>
  <si>
    <t xml:space="preserve">Label shows document name + metadata, NO '1 match' badge</t>
  </si>
  <si>
    <t xml:space="preserve">DS-07</t>
  </si>
  <si>
    <t xml:space="preserve">Word count badge visible</t>
  </si>
  <si>
    <t xml:space="preserve">Open a document search result expander</t>
  </si>
  <si>
    <t xml:space="preserve">Shows 'N words' badge; no green '✦ N matches' badge</t>
  </si>
  <si>
    <t xml:space="preserve">  🗂️ Filters</t>
  </si>
  <si>
    <t xml:space="preserve">🗂️ Filters</t>
  </si>
  <si>
    <t xml:space="preserve">FL-01</t>
  </si>
  <si>
    <t xml:space="preserve">Select one village filter → Search</t>
  </si>
  <si>
    <t xml:space="preserve">Advanced → pick one שם יישוב → click Search (empty bar)</t>
  </si>
  <si>
    <t xml:space="preserve">Only documents from that village listed; stats bar says '🗂️ Filtered documents'</t>
  </si>
  <si>
    <t xml:space="preserve">FL-02</t>
  </si>
  <si>
    <t xml:space="preserve">Select two villages</t>
  </si>
  <si>
    <t xml:space="preserve">Advanced → pick two שם יישוב values → Search</t>
  </si>
  <si>
    <t xml:space="preserve">Documents from either village appear; others excluded</t>
  </si>
  <si>
    <t xml:space="preserve">FL-03</t>
  </si>
  <si>
    <t xml:space="preserve">Filter does NOT auto-trigger</t>
  </si>
  <si>
    <t xml:space="preserve">Advanced → select a village → do NOT click Search</t>
  </si>
  <si>
    <t xml:space="preserve">No results appear; nothing changes until Search is clicked</t>
  </si>
  <si>
    <t xml:space="preserve">FL-04</t>
  </si>
  <si>
    <t xml:space="preserve">Social Typology + Geo Typology combined</t>
  </si>
  <si>
    <t xml:space="preserve">Select Social Typology AND Geographical Typology values → Search</t>
  </si>
  <si>
    <t xml:space="preserve">Only documents matching BOTH filters appear</t>
  </si>
  <si>
    <t xml:space="preserve">FL-05</t>
  </si>
  <si>
    <t xml:space="preserve">All four filters simultaneously</t>
  </si>
  <si>
    <t xml:space="preserve">Set all four dropdowns → Search</t>
  </si>
  <si>
    <t xml:space="preserve">Results satisfy all four constraints</t>
  </si>
  <si>
    <t xml:space="preserve">FL-06</t>
  </si>
  <si>
    <t xml:space="preserve">Filter + text query</t>
  </si>
  <si>
    <t xml:space="preserve">Select village → type 'kān' → Search</t>
  </si>
  <si>
    <t xml:space="preserve">Transcription search runs only within the filtered village's documents</t>
  </si>
  <si>
    <t xml:space="preserve">FL-07</t>
  </si>
  <si>
    <t xml:space="preserve">Filter gives no results</t>
  </si>
  <si>
    <t xml:space="preserve">Pick a combination that should be empty → Search</t>
  </si>
  <si>
    <t xml:space="preserve">Warning: 'No documents match the selected filters.'</t>
  </si>
  <si>
    <t xml:space="preserve">FL-08</t>
  </si>
  <si>
    <t xml:space="preserve">Clear filter after search</t>
  </si>
  <si>
    <t xml:space="preserve">Search with filter → clear the dropdown → Search again</t>
  </si>
  <si>
    <t xml:space="preserve">Results update to full (unfiltered) search</t>
  </si>
  <si>
    <t xml:space="preserve">FL-09</t>
  </si>
  <si>
    <t xml:space="preserve">Filters in Feature Browse mode</t>
  </si>
  <si>
    <t xml:space="preserve">Switch to 🏷️ Browse → set village filter → choose feature → Find tagged documents</t>
  </si>
  <si>
    <t xml:space="preserve">Feature results are limited to the selected village</t>
  </si>
  <si>
    <t xml:space="preserve">  🏷️ Feature Browse</t>
  </si>
  <si>
    <t xml:space="preserve">🏷️ Feature Browse</t>
  </si>
  <si>
    <t xml:space="preserve">FB-01</t>
  </si>
  <si>
    <t xml:space="preserve">Single bool feature</t>
  </si>
  <si>
    <t xml:space="preserve">Browse mode → select 'diphthongs' → Find tagged documents</t>
  </si>
  <si>
    <t xml:space="preserve">All documents with diphthongs = TRUE listed</t>
  </si>
  <si>
    <t xml:space="preserve">FB-02</t>
  </si>
  <si>
    <t xml:space="preserve">Single select feature with value</t>
  </si>
  <si>
    <t xml:space="preserve">Select 'ق' feature → pick value 'q' → Find tagged documents</t>
  </si>
  <si>
    <t xml:space="preserve">Only documents with ق = q appear</t>
  </si>
  <si>
    <t xml:space="preserve">FB-03</t>
  </si>
  <si>
    <t xml:space="preserve">Two features AND logic</t>
  </si>
  <si>
    <t xml:space="preserve">Select two features → AND → Find tagged documents</t>
  </si>
  <si>
    <t xml:space="preserve">Only documents with BOTH features appear</t>
  </si>
  <si>
    <t xml:space="preserve">FB-04</t>
  </si>
  <si>
    <t xml:space="preserve">Two features OR logic</t>
  </si>
  <si>
    <t xml:space="preserve">Select two features → OR → Find tagged documents</t>
  </si>
  <si>
    <t xml:space="preserve">Documents with EITHER feature appear; more results than AND</t>
  </si>
  <si>
    <t xml:space="preserve">FB-05</t>
  </si>
  <si>
    <t xml:space="preserve">Feature with no matches</t>
  </si>
  <si>
    <t xml:space="preserve">Pick a feature+value combination that nothing has</t>
  </si>
  <si>
    <t xml:space="preserve">Info: 'No documents found matching...'</t>
  </si>
  <si>
    <t xml:space="preserve">FB-06</t>
  </si>
  <si>
    <t xml:space="preserve">Download feature CSV</t>
  </si>
  <si>
    <t xml:space="preserve">Run feature browse → download CSV</t>
  </si>
  <si>
    <t xml:space="preserve">CSV opens; columns: Document, Village, Community, Link, feature columns; values correct</t>
  </si>
  <si>
    <t xml:space="preserve">FB-07</t>
  </si>
  <si>
    <t xml:space="preserve">Filter + feature browse</t>
  </si>
  <si>
    <t xml:space="preserve">Set village filter → run feature browse</t>
  </si>
  <si>
    <t xml:space="preserve">Feature results limited to that village; fewer results than without filter</t>
  </si>
  <si>
    <t xml:space="preserve">  📖 Document Viewer</t>
  </si>
  <si>
    <t xml:space="preserve">📖 Document Viewer</t>
  </si>
  <si>
    <t xml:space="preserve">DV-01</t>
  </si>
  <si>
    <t xml:space="preserve">Document iframe loads</t>
  </si>
  <si>
    <t xml:space="preserve">Run search → expand a result</t>
  </si>
  <si>
    <t xml:space="preserve">Document renders in iframe within ~3 seconds; text visible</t>
  </si>
  <si>
    <t xml:space="preserve">DV-02</t>
  </si>
  <si>
    <t xml:space="preserve">Matched words highlighted</t>
  </si>
  <si>
    <t xml:space="preserve">Run search for 'kān' → open a result</t>
  </si>
  <si>
    <t xml:space="preserve">Occurrences of 'kān' highlighted in green inside the document</t>
  </si>
  <si>
    <t xml:space="preserve">DV-03</t>
  </si>
  <si>
    <t xml:space="preserve">Word chips appear</t>
  </si>
  <si>
    <t xml:space="preserve">Open a result with matches</t>
  </si>
  <si>
    <t xml:space="preserve">Sticky chip strip at top shows matched word buttons</t>
  </si>
  <si>
    <t xml:space="preserve">DV-04</t>
  </si>
  <si>
    <t xml:space="preserve">Chip navigation cycles</t>
  </si>
  <si>
    <t xml:space="preserve">Click same chip multiple times</t>
  </si>
  <si>
    <t xml:space="preserve">Scrolls to next occurrence each time; counter shows e.g. '2/5'; wraps around</t>
  </si>
  <si>
    <t xml:space="preserve">DV-05</t>
  </si>
  <si>
    <t xml:space="preserve">Scroll inside document</t>
  </si>
  <si>
    <t xml:space="preserve">Open a result → try scrolling inside the iframe</t>
  </si>
  <si>
    <t xml:space="preserve">Document scrolls independently; page does not scroll instead</t>
  </si>
  <si>
    <t xml:space="preserve">DV-06</t>
  </si>
  <si>
    <t xml:space="preserve">Right-click shows menu only with selection</t>
  </si>
  <si>
    <t xml:space="preserve">Open document → right-click WITHOUT selecting any text</t>
  </si>
  <si>
    <t xml:space="preserve">Context menu does NOT appear</t>
  </si>
  <si>
    <t xml:space="preserve">DV-07</t>
  </si>
  <si>
    <t xml:space="preserve">Right-click with selection shows menu</t>
  </si>
  <si>
    <t xml:space="preserve">Select a word → right-click</t>
  </si>
  <si>
    <t xml:space="preserve">Context menu appears with header 'TAG: "word"'</t>
  </si>
  <si>
    <t xml:space="preserve">DV-08</t>
  </si>
  <si>
    <t xml:space="preserve">Escape closes menu</t>
  </si>
  <si>
    <t xml:space="preserve">Open context menu → press Escape</t>
  </si>
  <si>
    <t xml:space="preserve">Menu closes immediately</t>
  </si>
  <si>
    <t xml:space="preserve">DV-09</t>
  </si>
  <si>
    <t xml:space="preserve">Click outside closes menu</t>
  </si>
  <si>
    <t xml:space="preserve">Open context menu → click elsewhere in doc</t>
  </si>
  <si>
    <t xml:space="preserve">Menu closes</t>
  </si>
  <si>
    <t xml:space="preserve">DV-10</t>
  </si>
  <si>
    <t xml:space="preserve">FEATURES section not highlighted</t>
  </si>
  <si>
    <t xml:space="preserve">Search → open doc that has FEATURES section</t>
  </si>
  <si>
    <t xml:space="preserve">FEATURES section text is NOT highlighted yellow/green; only transcript text is</t>
  </si>
  <si>
    <t xml:space="preserve">DV-11</t>
  </si>
  <si>
    <t xml:space="preserve">Two docs open simultaneously</t>
  </si>
  <si>
    <t xml:space="preserve">Expand two results at once</t>
  </si>
  <si>
    <t xml:space="preserve">Each has its own independent context menu and chip strip; no cross-contamination</t>
  </si>
  <si>
    <t xml:space="preserve">  ✏️ Replace Word</t>
  </si>
  <si>
    <t xml:space="preserve">✏️ Replace Word</t>
  </si>
  <si>
    <t xml:space="preserve">RW-01</t>
  </si>
  <si>
    <t xml:space="preserve">Basic replace via Enter</t>
  </si>
  <si>
    <t xml:space="preserve">Select word → right-click → type replacement → press Enter</t>
  </si>
  <si>
    <t xml:space="preserve">Success message: 'Replaced N occurrence(s) of X → Y'</t>
  </si>
  <si>
    <t xml:space="preserve">RW-02</t>
  </si>
  <si>
    <t xml:space="preserve">Basic replace via ↵ button</t>
  </si>
  <si>
    <t xml:space="preserve">Select word → right-click → type replacement → click ↵</t>
  </si>
  <si>
    <t xml:space="preserve">Same success message as RW-01</t>
  </si>
  <si>
    <t xml:space="preserve">RW-03</t>
  </si>
  <si>
    <t xml:space="preserve">Replace with same word</t>
  </si>
  <si>
    <t xml:space="preserve">Select 'kān' → right-click → type 'kān' → Enter</t>
  </si>
  <si>
    <t xml:space="preserve">Nothing happens (guard: repl === selText)</t>
  </si>
  <si>
    <t xml:space="preserve">RW-04</t>
  </si>
  <si>
    <t xml:space="preserve">Replace word appearing many times</t>
  </si>
  <si>
    <t xml:space="preserve">Choose a common word → replace with unique string</t>
  </si>
  <si>
    <t xml:space="preserve">Success message shows N &gt; 1; all occurrences changed in Google Doc</t>
  </si>
  <si>
    <t xml:space="preserve">RW-05</t>
  </si>
  <si>
    <t xml:space="preserve">Replace word not in doc</t>
  </si>
  <si>
    <t xml:space="preserve">Type a word that doesn't exist as replacement target</t>
  </si>
  <si>
    <t xml:space="preserve">'No occurrences of X found in this document.' info message</t>
  </si>
  <si>
    <t xml:space="preserve">RW-06</t>
  </si>
  <si>
    <t xml:space="preserve">Reopen doc after replace</t>
  </si>
  <si>
    <t xml:space="preserve">Replace a word → close expander → reopen expander</t>
  </si>
  <si>
    <t xml:space="preserve">New word appears in document; old word gone (cache invalidated for this doc only)</t>
  </si>
  <si>
    <t xml:space="preserve">RW-07</t>
  </si>
  <si>
    <t xml:space="preserve">Other docs not affected</t>
  </si>
  <si>
    <t xml:space="preserve">Replace word in doc A → open doc B</t>
  </si>
  <si>
    <t xml:space="preserve">Doc B loads normally from cache; no slowdown or reload spinner</t>
  </si>
  <si>
    <t xml:space="preserve">RW-08</t>
  </si>
  <si>
    <t xml:space="preserve">PAI keyboard in replace field</t>
  </si>
  <si>
    <t xml:space="preserve">Right-click → click '⌨ PAI chars' button in context menu → click a special char</t>
  </si>
  <si>
    <t xml:space="preserve">Character inserts into the replacement input field at cursor</t>
  </si>
  <si>
    <t xml:space="preserve">  🏷️ Feature Tagging</t>
  </si>
  <si>
    <t xml:space="preserve">🏷️ Feature Tagging</t>
  </si>
  <si>
    <t xml:space="preserve">FT-01</t>
  </si>
  <si>
    <t xml:space="preserve">Tag a bool feature</t>
  </si>
  <si>
    <t xml:space="preserve">Select word → right-click → click a bool feature</t>
  </si>
  <si>
    <t xml:space="preserve">Menu flashes green, closes; pending bar appears below doc</t>
  </si>
  <si>
    <t xml:space="preserve">FT-02</t>
  </si>
  <si>
    <t xml:space="preserve">Tag a select feature</t>
  </si>
  <si>
    <t xml:space="preserve">Select word → right-click → hover select feature → click an option</t>
  </si>
  <si>
    <t xml:space="preserve">Submenu appears on hover; option click stores tag; pending bar shows value</t>
  </si>
  <si>
    <t xml:space="preserve">FT-03</t>
  </si>
  <si>
    <t xml:space="preserve">Tag two features same doc</t>
  </si>
  <si>
    <t xml:space="preserve">Tag feature A then tag feature B in same document</t>
  </si>
  <si>
    <t xml:space="preserve">Pending bar shows '2 feature(s) staged: A = ... · B = ...'</t>
  </si>
  <si>
    <t xml:space="preserve">FT-04</t>
  </si>
  <si>
    <t xml:space="preserve">Clear staged tags</t>
  </si>
  <si>
    <t xml:space="preserve">Stage tags → click ✕ Clear</t>
  </si>
  <si>
    <t xml:space="preserve">Pending bar disappears; 'Right-click words...' caption returns</t>
  </si>
  <si>
    <t xml:space="preserve">FT-05</t>
  </si>
  <si>
    <t xml:space="preserve">Submit → confirmation appears</t>
  </si>
  <si>
    <t xml:space="preserve">Stage a tag → click '💾 Submit N feature(s)'</t>
  </si>
  <si>
    <t xml:space="preserve">Warning dialog appears with row count and doc name</t>
  </si>
  <si>
    <t xml:space="preserve">FT-06</t>
  </si>
  <si>
    <t xml:space="preserve">Submit → Yes → success</t>
  </si>
  <si>
    <t xml:space="preserve">Stage tag → Submit → ✅ Yes, submit</t>
  </si>
  <si>
    <t xml:space="preserve">Success: '✅ Features saved for [doc name]!'; pending bar gone</t>
  </si>
  <si>
    <t xml:space="preserve">FT-07</t>
  </si>
  <si>
    <t xml:space="preserve">Submit → Cancel</t>
  </si>
  <si>
    <t xml:space="preserve">Stage tag → Submit → ❌ Cancel</t>
  </si>
  <si>
    <t xml:space="preserve">Dialog closes; staged tags remain in pending bar</t>
  </si>
  <si>
    <t xml:space="preserve">FT-08</t>
  </si>
  <si>
    <t xml:space="preserve">Tagged word stays highlighted after submit</t>
  </si>
  <si>
    <t xml:space="preserve">Tag a word → submit → look at document viewer</t>
  </si>
  <si>
    <t xml:space="preserve">The tagged word is still highlighted yellow in the transcript</t>
  </si>
  <si>
    <t xml:space="preserve">FT-09</t>
  </si>
  <si>
    <t xml:space="preserve">Conflict detected</t>
  </si>
  <si>
    <t xml:space="preserve">Tag a feature that already has a DIFFERENT value in the spreadsheet</t>
  </si>
  <si>
    <t xml:space="preserve">Error: 'Existing values differ — not written'; shows what the conflict is</t>
  </si>
  <si>
    <t xml:space="preserve">FT-10</t>
  </si>
  <si>
    <t xml:space="preserve">Same value — no conflict</t>
  </si>
  <si>
    <t xml:space="preserve">Tag a feature with the SAME value already in the spreadsheet</t>
  </si>
  <si>
    <t xml:space="preserve">Submit succeeds (or skips write silently); no error</t>
  </si>
  <si>
    <t xml:space="preserve">FT-11</t>
  </si>
  <si>
    <t xml:space="preserve">Tags survive expander close/reopen</t>
  </si>
  <si>
    <t xml:space="preserve">Stage tags → close expander → reopen expander</t>
  </si>
  <si>
    <t xml:space="preserve">Pending bar still shows the staged tags</t>
  </si>
  <si>
    <t xml:space="preserve">FT-12</t>
  </si>
  <si>
    <t xml:space="preserve">Tags in multiple docs independent</t>
  </si>
  <si>
    <t xml:space="preserve">Tag in doc A → scroll to doc B → tag there → check doc A again</t>
  </si>
  <si>
    <t xml:space="preserve">Each doc's pending tags are separate; no cross-contamination</t>
  </si>
  <si>
    <t xml:space="preserve">  🗑️ Delete Tags</t>
  </si>
  <si>
    <t xml:space="preserve">🗑️ Delete Tags</t>
  </si>
  <si>
    <t xml:space="preserve">DT-01</t>
  </si>
  <si>
    <t xml:space="preserve">Delete expander visible with tags</t>
  </si>
  <si>
    <t xml:space="preserve">Open a doc that has existing feature tags</t>
  </si>
  <si>
    <t xml:space="preserve">'🗑️ Remove existing tags (N tagged)' expander visible</t>
  </si>
  <si>
    <t xml:space="preserve">DT-02</t>
  </si>
  <si>
    <t xml:space="preserve">Click 🗑️ shows confirmation</t>
  </si>
  <si>
    <t xml:space="preserve">Expand delete section → click 🗑️ next to a feature</t>
  </si>
  <si>
    <t xml:space="preserve">Warning with feature name and value; Yes/Cancel buttons appear</t>
  </si>
  <si>
    <t xml:space="preserve">DT-03</t>
  </si>
  <si>
    <t xml:space="preserve">Cancel delete</t>
  </si>
  <si>
    <t xml:space="preserve">Click 🗑️ → ❌ Cancel</t>
  </si>
  <si>
    <t xml:space="preserve">Warning disappears; tag still listed; spreadsheet unchanged</t>
  </si>
  <si>
    <t xml:space="preserve">DT-04</t>
  </si>
  <si>
    <t xml:space="preserve">Confirm delete — bool feature</t>
  </si>
  <si>
    <t xml:space="preserve">Click 🗑️ on bool feature → ✅ Yes, delete</t>
  </si>
  <si>
    <t xml:space="preserve">Success message; feature removed from expander count; spreadsheet cleared</t>
  </si>
  <si>
    <t xml:space="preserve">DT-05</t>
  </si>
  <si>
    <t xml:space="preserve">Confirm delete — select feature</t>
  </si>
  <si>
    <t xml:space="preserve">Click 🗑️ on select feature → ✅ Yes, delete</t>
  </si>
  <si>
    <t xml:space="preserve">Same as DT-04; works for select type features</t>
  </si>
  <si>
    <t xml:space="preserve">DT-06</t>
  </si>
  <si>
    <t xml:space="preserve">Delete updates Google Doc</t>
  </si>
  <si>
    <t xml:space="preserve">Delete a feature → open doc in Google Docs</t>
  </si>
  <si>
    <t xml:space="preserve">Feature line removed from FEATURES section in the actual Google Doc</t>
  </si>
  <si>
    <t xml:space="preserve">  🔄 State &amp; Navigation</t>
  </si>
  <si>
    <t xml:space="preserve">🔄 State &amp; Navigation</t>
  </si>
  <si>
    <t xml:space="preserve">SN-01</t>
  </si>
  <si>
    <t xml:space="preserve">Results persist after opening doc</t>
  </si>
  <si>
    <t xml:space="preserve">Search → open a result expander → close it → look at other results</t>
  </si>
  <si>
    <t xml:space="preserve">All results still displayed; no reload; no re-search</t>
  </si>
  <si>
    <t xml:space="preserve">SN-02</t>
  </si>
  <si>
    <t xml:space="preserve">Tags survive re-search</t>
  </si>
  <si>
    <t xml:space="preserve">Tag features in doc A → run a new search → reopen doc A</t>
  </si>
  <si>
    <t xml:space="preserve">Pending tags and highlighted words still present in doc A</t>
  </si>
  <si>
    <t xml:space="preserve">SN-03</t>
  </si>
  <si>
    <t xml:space="preserve">Submit survives re-search</t>
  </si>
  <si>
    <t xml:space="preserve">Submit tags for doc A → run new search → open doc A</t>
  </si>
  <si>
    <t xml:space="preserve">Submitted tags still show as existing in 'Remove existing tags'</t>
  </si>
  <si>
    <t xml:space="preserve">SN-04</t>
  </si>
  <si>
    <t xml:space="preserve">Mode switch clears nothing accidentally</t>
  </si>
  <si>
    <t xml:space="preserve">Run transcription search → switch to Document mode → switch back</t>
  </si>
  <si>
    <t xml:space="preserve">Search results from transcription mode are gone (mode changed); no crash</t>
  </si>
  <si>
    <t xml:space="preserve">SN-05</t>
  </si>
  <si>
    <t xml:space="preserve">Feature browse persists on rerun</t>
  </si>
  <si>
    <t xml:space="preserve">Run feature browse → right-click a word in a result → context menu appears</t>
  </si>
  <si>
    <t xml:space="preserve">Feature browse results still shown; bridge interaction works</t>
  </si>
  <si>
    <t xml:space="preserve">SN-06</t>
  </si>
  <si>
    <t xml:space="preserve">Replace → results still shown</t>
  </si>
  <si>
    <t xml:space="preserve">Search → replace a word in one result → other results still visible</t>
  </si>
  <si>
    <t xml:space="preserve">Only the replaced doc's cache is invalidated; other docs unchanged</t>
  </si>
  <si>
    <t xml:space="preserve">  ⚠️ Error Handling</t>
  </si>
  <si>
    <t xml:space="preserve">⚠️ Error Handling</t>
  </si>
  <si>
    <t xml:space="preserve">EH-01</t>
  </si>
  <si>
    <t xml:space="preserve">Debug scan in sidebar</t>
  </si>
  <si>
    <t xml:space="preserve">Sidebar → Debug → type a known doc name → Run debug scan</t>
  </si>
  <si>
    <t xml:space="preserve">Shows sheet row, corpus entry JSON, link info; no crash</t>
  </si>
  <si>
    <t xml:space="preserve">EH-02</t>
  </si>
  <si>
    <t xml:space="preserve">Debug scan unknown name</t>
  </si>
  <si>
    <t xml:space="preserve">Sidebar → Debug → type gibberish → Run debug scan</t>
  </si>
  <si>
    <t xml:space="preserve">Shows 0 corpus matches and 0 skipped; no crash</t>
  </si>
  <si>
    <t xml:space="preserve">EH-03</t>
  </si>
  <si>
    <t xml:space="preserve">Clear cache &amp; reload button</t>
  </si>
  <si>
    <t xml:space="preserve">Click '↺ Clear cache &amp; reload' in Advanced options</t>
  </si>
  <si>
    <t xml:space="preserve">Corpus reloads with spinner; search still works afterward</t>
  </si>
  <si>
    <t xml:space="preserve">EH-04</t>
  </si>
  <si>
    <t xml:space="preserve">Reload corpus cache in sidebar</t>
  </si>
  <si>
    <t xml:space="preserve">Sidebar → 🔄 Reload corpus cache</t>
  </si>
  <si>
    <t xml:space="preserve">Column indices and corpus both cleared; filters repopulate; no crash</t>
  </si>
  <si>
    <t xml:space="preserve">EH-05</t>
  </si>
  <si>
    <t xml:space="preserve">Doc with no FEATURES section</t>
  </si>
  <si>
    <t xml:space="preserve">Find a doc without FEATURES → tag a feature → submit</t>
  </si>
  <si>
    <t xml:space="preserve">New FEATURES section created at end of doc; no error</t>
  </si>
  <si>
    <t xml:space="preserve">EH-06</t>
  </si>
  <si>
    <t xml:space="preserve">Doc with existing full FEATURES section</t>
  </si>
  <si>
    <t xml:space="preserve">Find a doc with FEATURES → tag a new feature → submit</t>
  </si>
  <si>
    <t xml:space="preserve">Only the new feature line is added/updated; other lines preserved</t>
  </si>
  <si>
    <t xml:space="preserve">EH-07</t>
  </si>
  <si>
    <t xml:space="preserve">Submit for multi-row recording</t>
  </si>
  <si>
    <t xml:space="preserve">Find a doc that appears on multiple sheet rows → tag → submit</t>
  </si>
  <si>
    <t xml:space="preserve">Feature written to ALL matching rows; no partial write error</t>
  </si>
  <si>
    <t xml:space="preserve">  📥 CSV Downloads</t>
  </si>
  <si>
    <t xml:space="preserve">📥 CSV Downloads</t>
  </si>
  <si>
    <t xml:space="preserve">CD-01</t>
  </si>
  <si>
    <t xml:space="preserve">Download transcription search CSV</t>
  </si>
  <si>
    <t xml:space="preserve">Run transcription search → ⬇ Download results (CSV)</t>
  </si>
  <si>
    <t xml:space="preserve">CSV has columns: Document, Link, Matches, Matched words; data correct</t>
  </si>
  <si>
    <t xml:space="preserve">CD-02</t>
  </si>
  <si>
    <t xml:space="preserve">Download document search CSV</t>
  </si>
  <si>
    <t xml:space="preserve">Run document search → download CSV</t>
  </si>
  <si>
    <t xml:space="preserve">CSV has correct columns; Matches column is blank or 1; no errors</t>
  </si>
  <si>
    <t xml:space="preserve">CD-03</t>
  </si>
  <si>
    <t xml:space="preserve">Download filter-browse CSV</t>
  </si>
  <si>
    <t xml:space="preserve">Filter only (no query) → Search → download CSV</t>
  </si>
  <si>
    <t xml:space="preserve">CSV lists filtered documents; no crashes on empty matched_words</t>
  </si>
  <si>
    <t xml:space="preserve">CD-04</t>
  </si>
  <si>
    <t xml:space="preserve">Download feature browse CSV</t>
  </si>
  <si>
    <t xml:space="preserve">Feature browse → download CSV</t>
  </si>
  <si>
    <t xml:space="preserve">CSV has feature value columns; values match what's shown on screen</t>
  </si>
  <si>
    <t xml:space="preserve">CD-05</t>
  </si>
  <si>
    <t xml:space="preserve">No download button when no results</t>
  </si>
  <si>
    <t xml:space="preserve">Search that yields zero results</t>
  </si>
  <si>
    <t xml:space="preserve">No download button appears</t>
  </si>
  <si>
    <t xml:space="preserve">  🖥️ UI / Display</t>
  </si>
  <si>
    <t xml:space="preserve">🖥️ UI / Display</t>
  </si>
  <si>
    <t xml:space="preserve">UI-01</t>
  </si>
  <si>
    <t xml:space="preserve">PAI keyboard toggle in search bar</t>
  </si>
  <si>
    <t xml:space="preserve">Click '⌨ PAI' button</t>
  </si>
  <si>
    <t xml:space="preserve">Keyboard panel opens; height adjusts; click again to close</t>
  </si>
  <si>
    <t xml:space="preserve">UI-02</t>
  </si>
  <si>
    <t xml:space="preserve">PAI keyboard inserts at cursor</t>
  </si>
  <si>
    <t xml:space="preserve">Place cursor mid-text in search bar → open keyboard → click 'ḥ'</t>
  </si>
  <si>
    <t xml:space="preserve">Character inserted at cursor position, not appended</t>
  </si>
  <si>
    <t xml:space="preserve">UI-03</t>
  </si>
  <si>
    <t xml:space="preserve">Status emoji in result labels</t>
  </si>
  <si>
    <t xml:space="preserve">Run search → check result labels</t>
  </si>
  <si>
    <t xml:space="preserve">Status emoji (🟢/🟡/🔴 etc.) appears where status is set</t>
  </si>
  <si>
    <t xml:space="preserve">UI-04</t>
  </si>
  <si>
    <t xml:space="preserve">Stats bar shows correct counts</t>
  </si>
  <si>
    <t xml:space="preserve">Run transcription search → check stats bar</t>
  </si>
  <si>
    <t xml:space="preserve">Shows: query, N documents, total matches — all matching actual results</t>
  </si>
  <si>
    <t xml:space="preserve">UI-05</t>
  </si>
  <si>
    <t xml:space="preserve">Filter-browse stats bar label</t>
  </si>
  <si>
    <t xml:space="preserve">Filter-only search → check stats bar</t>
  </si>
  <si>
    <t xml:space="preserve">Shows '🗂️ Filtered documents' and document count; no query shown</t>
  </si>
  <si>
    <t xml:space="preserve">UI-06</t>
  </si>
  <si>
    <t xml:space="preserve">Hebrew text renders correctly</t>
  </si>
  <si>
    <t xml:space="preserve">Check document names and filter options with Hebrew text</t>
  </si>
  <si>
    <t xml:space="preserve">Hebrew text displays right-to-left in labels; no garbled characters</t>
  </si>
  <si>
    <t xml:space="preserve">UI-07</t>
  </si>
  <si>
    <t xml:space="preserve">Long document name doesn't break layout</t>
  </si>
  <si>
    <t xml:space="preserve">Find a result with a very long name</t>
  </si>
  <si>
    <t xml:space="preserve">Expander label wraps or truncates cleanly; no overflow outside container</t>
  </si>
  <si>
    <t xml:space="preserve">UI-08</t>
  </si>
  <si>
    <t xml:space="preserve">Duplicate doc_id shown once</t>
  </si>
  <si>
    <t xml:space="preserve">If a doc appears on multiple sheet rows, check results</t>
  </si>
  <si>
    <t xml:space="preserve">Document appears only once in results list; not duplicated</t>
  </si>
  <si>
    <t xml:space="preserve">QA Summary</t>
  </si>
  <si>
    <t xml:space="preserve">Total Tests</t>
  </si>
  <si>
    <t xml:space="preserve">Pass</t>
  </si>
  <si>
    <t xml:space="preserve">Fail</t>
  </si>
  <si>
    <t xml:space="preserve">Blocked</t>
  </si>
  <si>
    <t xml:space="preserve">Not Run</t>
  </si>
  <si>
    <t xml:space="preserve">Pass Rate</t>
  </si>
  <si>
    <t xml:space="preserve">By Category</t>
  </si>
  <si>
    <t xml:space="preserve">Tests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</si>
</sst>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9"/>
      <color rgb="FFAAAAAA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006064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3E2723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004D40"/>
      <name val="Arial"/>
      <family val="0"/>
      <charset val="1"/>
    </font>
    <font>
      <b val="true"/>
      <sz val="10"/>
      <color rgb="FF33691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0D47A1"/>
      <name val="Arial"/>
      <family val="0"/>
      <charset val="1"/>
    </font>
    <font>
      <sz val="9"/>
      <color rgb="FF1B5E20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4A148C"/>
      <name val="Arial"/>
      <family val="0"/>
      <charset val="1"/>
    </font>
    <font>
      <sz val="9"/>
      <color rgb="FF006064"/>
      <name val="Arial"/>
      <family val="0"/>
      <charset val="1"/>
    </font>
    <font>
      <sz val="9"/>
      <color rgb="FF880E4F"/>
      <name val="Arial"/>
      <family val="0"/>
      <charset val="1"/>
    </font>
    <font>
      <sz val="9"/>
      <color rgb="FFF57F17"/>
      <name val="Arial"/>
      <family val="0"/>
      <charset val="1"/>
    </font>
    <font>
      <sz val="9"/>
      <color rgb="FF3E2723"/>
      <name val="Arial"/>
      <family val="0"/>
      <charset val="1"/>
    </font>
    <font>
      <sz val="9"/>
      <color rgb="FF1A237E"/>
      <name val="Arial"/>
      <family val="0"/>
      <charset val="1"/>
    </font>
    <font>
      <sz val="9"/>
      <color rgb="FFB71C1C"/>
      <name val="Arial"/>
      <family val="0"/>
      <charset val="1"/>
    </font>
    <font>
      <sz val="9"/>
      <color rgb="FF004D40"/>
      <name val="Arial"/>
      <family val="0"/>
      <charset val="1"/>
    </font>
    <font>
      <sz val="9"/>
      <color rgb="FF33691E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A5C"/>
        <bgColor rgb="FF1A237E"/>
      </patternFill>
    </fill>
    <fill>
      <patternFill patternType="solid">
        <fgColor rgb="FF2075C7"/>
        <bgColor rgb="FF008080"/>
      </patternFill>
    </fill>
    <fill>
      <patternFill patternType="solid">
        <fgColor rgb="FFE3F2FD"/>
        <bgColor rgb="FFE0F7FA"/>
      </patternFill>
    </fill>
    <fill>
      <patternFill patternType="solid">
        <fgColor rgb="FFFFFFFF"/>
        <bgColor rgb="FFF9FBE7"/>
      </patternFill>
    </fill>
    <fill>
      <patternFill patternType="solid">
        <fgColor rgb="FFF5F5F5"/>
        <bgColor rgb="FFF9FBE7"/>
      </patternFill>
    </fill>
    <fill>
      <patternFill patternType="solid">
        <fgColor rgb="FFE8F5E9"/>
        <bgColor rgb="FFE0F2F1"/>
      </patternFill>
    </fill>
    <fill>
      <patternFill patternType="solid">
        <fgColor rgb="FFFFF3E0"/>
        <bgColor rgb="FFFFF8E0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CE4EC"/>
        <bgColor rgb="FFFFEBEE"/>
      </patternFill>
    </fill>
    <fill>
      <patternFill patternType="solid">
        <fgColor rgb="FFFFF8E1"/>
        <bgColor rgb="FFFFF8E0"/>
      </patternFill>
    </fill>
    <fill>
      <patternFill patternType="solid">
        <fgColor rgb="FFEFEBE9"/>
        <bgColor rgb="FFE8EAF6"/>
      </patternFill>
    </fill>
    <fill>
      <patternFill patternType="solid">
        <fgColor rgb="FFE8EAF6"/>
        <bgColor rgb="FFEFEBE9"/>
      </patternFill>
    </fill>
    <fill>
      <patternFill patternType="solid">
        <fgColor rgb="FFFFEBEE"/>
        <bgColor rgb="FFFCE4EC"/>
      </patternFill>
    </fill>
    <fill>
      <patternFill patternType="solid">
        <fgColor rgb="FFE0F2F1"/>
        <bgColor rgb="FFE3F2FD"/>
      </patternFill>
    </fill>
    <fill>
      <patternFill patternType="solid">
        <fgColor rgb="FFF9FBE7"/>
        <bgColor rgb="FFFFF8E1"/>
      </patternFill>
    </fill>
    <fill>
      <patternFill patternType="solid">
        <fgColor rgb="FFDAEEFF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D8E8"/>
      </left>
      <right style="thin">
        <color rgb="FFC8D8E8"/>
      </right>
      <top style="thin">
        <color rgb="FFC8D8E8"/>
      </top>
      <bottom style="medium">
        <color rgb="FFAABBD0"/>
      </bottom>
      <diagonal/>
    </border>
    <border diagonalUp="false" diagonalDown="false"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A6E38"/>
      </font>
      <fill>
        <patternFill>
          <bgColor rgb="FFD4F7E0"/>
        </patternFill>
      </fill>
    </dxf>
    <dxf>
      <font>
        <b val="1"/>
        <color rgb="FF8B0000"/>
      </font>
      <fill>
        <patternFill>
          <bgColor rgb="FFFFD7D7"/>
        </patternFill>
      </fill>
    </dxf>
    <dxf>
      <font>
        <b val="1"/>
        <color rgb="FF7A5F00"/>
      </font>
      <fill>
        <patternFill>
          <bgColor rgb="FFFFF8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1A6E38"/>
      <rgbColor rgb="FF000080"/>
      <rgbColor rgb="FF7A5F00"/>
      <rgbColor rgb="FF880E4F"/>
      <rgbColor rgb="FF006064"/>
      <rgbColor rgb="FFAABBD0"/>
      <rgbColor rgb="FFF5F5F5"/>
      <rgbColor rgb="FFE8EAF6"/>
      <rgbColor rgb="FF993366"/>
      <rgbColor rgb="FFFFF8E0"/>
      <rgbColor rgb="FFE0F7FA"/>
      <rgbColor rgb="FF4A148C"/>
      <rgbColor rgb="FFFFEBEE"/>
      <rgbColor rgb="FF2075C7"/>
      <rgbColor rgb="FFC8D8E8"/>
      <rgbColor rgb="FF000080"/>
      <rgbColor rgb="FFFF00FF"/>
      <rgbColor rgb="FFF9FBE7"/>
      <rgbColor rgb="FF00FFFF"/>
      <rgbColor rgb="FF800080"/>
      <rgbColor rgb="FF800000"/>
      <rgbColor rgb="FF008080"/>
      <rgbColor rgb="FF0000FF"/>
      <rgbColor rgb="FF00CCFF"/>
      <rgbColor rgb="FFDAEEFF"/>
      <rgbColor rgb="FFD4F7E0"/>
      <rgbColor rgb="FFFFF8E1"/>
      <rgbColor rgb="FFE0F2F1"/>
      <rgbColor rgb="FFFCE4EC"/>
      <rgbColor rgb="FFF3E5F5"/>
      <rgbColor rgb="FFFFD7D7"/>
      <rgbColor rgb="FF0D47A1"/>
      <rgbColor rgb="FFE3F2FD"/>
      <rgbColor rgb="FFE8F5E9"/>
      <rgbColor rgb="FFEFEBE9"/>
      <rgbColor rgb="FFF57F17"/>
      <rgbColor rgb="FFE65100"/>
      <rgbColor rgb="FF666699"/>
      <rgbColor rgb="FFAAAAAA"/>
      <rgbColor rgb="FF1A3A5C"/>
      <rgbColor rgb="FF33691E"/>
      <rgbColor rgb="FF004D40"/>
      <rgbColor rgb="FF1B5E20"/>
      <rgbColor rgb="FFB71C1C"/>
      <rgbColor rgb="FF993366"/>
      <rgbColor rgb="FF1A237E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5" min="4" style="0" width="48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51.75" hidden="false" customHeight="true" outlineLevel="0" collapsed="false">
      <c r="A4" s="4" t="s">
        <v>10</v>
      </c>
      <c r="B4" s="5" t="s">
        <v>11</v>
      </c>
      <c r="C4" s="5" t="s">
        <v>12</v>
      </c>
      <c r="D4" s="6" t="s">
        <v>13</v>
      </c>
      <c r="E4" s="6" t="s">
        <v>14</v>
      </c>
      <c r="F4" s="5"/>
      <c r="G4" s="7"/>
      <c r="H4" s="5"/>
    </row>
    <row r="5" customFormat="false" ht="51.75" hidden="false" customHeight="true" outlineLevel="0" collapsed="false">
      <c r="A5" s="8" t="s">
        <v>10</v>
      </c>
      <c r="B5" s="9" t="s">
        <v>15</v>
      </c>
      <c r="C5" s="9" t="s">
        <v>16</v>
      </c>
      <c r="D5" s="10" t="s">
        <v>17</v>
      </c>
      <c r="E5" s="10" t="s">
        <v>18</v>
      </c>
      <c r="F5" s="9"/>
      <c r="G5" s="11"/>
      <c r="H5" s="9"/>
    </row>
    <row r="6" customFormat="false" ht="51.75" hidden="false" customHeight="true" outlineLevel="0" collapsed="false">
      <c r="A6" s="4" t="s">
        <v>10</v>
      </c>
      <c r="B6" s="5" t="s">
        <v>19</v>
      </c>
      <c r="C6" s="5" t="s">
        <v>20</v>
      </c>
      <c r="D6" s="6" t="s">
        <v>21</v>
      </c>
      <c r="E6" s="6" t="s">
        <v>22</v>
      </c>
      <c r="F6" s="5"/>
      <c r="G6" s="7"/>
      <c r="H6" s="5"/>
    </row>
    <row r="7" customFormat="false" ht="51.75" hidden="false" customHeight="true" outlineLevel="0" collapsed="false">
      <c r="A7" s="8" t="s">
        <v>10</v>
      </c>
      <c r="B7" s="9" t="s">
        <v>23</v>
      </c>
      <c r="C7" s="9" t="s">
        <v>24</v>
      </c>
      <c r="D7" s="10" t="s">
        <v>25</v>
      </c>
      <c r="E7" s="10" t="s">
        <v>26</v>
      </c>
      <c r="F7" s="9"/>
      <c r="G7" s="11"/>
      <c r="H7" s="9"/>
    </row>
    <row r="8" customFormat="false" ht="51.75" hidden="false" customHeight="true" outlineLevel="0" collapsed="false">
      <c r="A8" s="4" t="s">
        <v>10</v>
      </c>
      <c r="B8" s="5" t="s">
        <v>27</v>
      </c>
      <c r="C8" s="5" t="s">
        <v>28</v>
      </c>
      <c r="D8" s="6" t="s">
        <v>29</v>
      </c>
      <c r="E8" s="6" t="s">
        <v>30</v>
      </c>
      <c r="F8" s="5"/>
      <c r="G8" s="7"/>
      <c r="H8" s="5"/>
    </row>
    <row r="9" customFormat="false" ht="51.75" hidden="false" customHeight="true" outlineLevel="0" collapsed="false">
      <c r="A9" s="8" t="s">
        <v>10</v>
      </c>
      <c r="B9" s="9" t="s">
        <v>31</v>
      </c>
      <c r="C9" s="9" t="s">
        <v>32</v>
      </c>
      <c r="D9" s="10" t="s">
        <v>33</v>
      </c>
      <c r="E9" s="10" t="s">
        <v>34</v>
      </c>
      <c r="F9" s="9"/>
      <c r="G9" s="11"/>
      <c r="H9" s="9"/>
    </row>
    <row r="10" customFormat="false" ht="51.75" hidden="false" customHeight="true" outlineLevel="0" collapsed="false">
      <c r="A10" s="4" t="s">
        <v>10</v>
      </c>
      <c r="B10" s="5" t="s">
        <v>35</v>
      </c>
      <c r="C10" s="5" t="s">
        <v>36</v>
      </c>
      <c r="D10" s="6" t="s">
        <v>37</v>
      </c>
      <c r="E10" s="6" t="s">
        <v>38</v>
      </c>
      <c r="F10" s="5"/>
      <c r="G10" s="7"/>
      <c r="H10" s="5"/>
    </row>
    <row r="11" customFormat="false" ht="51.75" hidden="false" customHeight="true" outlineLevel="0" collapsed="false">
      <c r="A11" s="8" t="s">
        <v>10</v>
      </c>
      <c r="B11" s="9" t="s">
        <v>39</v>
      </c>
      <c r="C11" s="9" t="s">
        <v>40</v>
      </c>
      <c r="D11" s="10" t="s">
        <v>41</v>
      </c>
      <c r="E11" s="10" t="s">
        <v>42</v>
      </c>
      <c r="F11" s="9"/>
      <c r="G11" s="11"/>
      <c r="H11" s="9"/>
    </row>
    <row r="12" customFormat="false" ht="51.75" hidden="false" customHeight="true" outlineLevel="0" collapsed="false">
      <c r="A12" s="4" t="s">
        <v>10</v>
      </c>
      <c r="B12" s="5" t="s">
        <v>43</v>
      </c>
      <c r="C12" s="5" t="s">
        <v>44</v>
      </c>
      <c r="D12" s="6" t="s">
        <v>45</v>
      </c>
      <c r="E12" s="6" t="s">
        <v>46</v>
      </c>
      <c r="F12" s="5"/>
      <c r="G12" s="7"/>
      <c r="H12" s="5"/>
    </row>
    <row r="13" customFormat="false" ht="51.75" hidden="false" customHeight="true" outlineLevel="0" collapsed="false">
      <c r="A13" s="8" t="s">
        <v>10</v>
      </c>
      <c r="B13" s="9" t="s">
        <v>47</v>
      </c>
      <c r="C13" s="9" t="s">
        <v>48</v>
      </c>
      <c r="D13" s="10" t="s">
        <v>49</v>
      </c>
      <c r="E13" s="10" t="s">
        <v>50</v>
      </c>
      <c r="F13" s="9"/>
      <c r="G13" s="11"/>
      <c r="H13" s="9"/>
    </row>
    <row r="14" customFormat="false" ht="51.75" hidden="false" customHeight="true" outlineLevel="0" collapsed="false">
      <c r="A14" s="4" t="s">
        <v>10</v>
      </c>
      <c r="B14" s="5" t="s">
        <v>51</v>
      </c>
      <c r="C14" s="5" t="s">
        <v>52</v>
      </c>
      <c r="D14" s="6" t="s">
        <v>53</v>
      </c>
      <c r="E14" s="6" t="s">
        <v>54</v>
      </c>
      <c r="F14" s="5"/>
      <c r="G14" s="7"/>
      <c r="H14" s="5"/>
    </row>
    <row r="15" customFormat="false" ht="51.75" hidden="false" customHeight="true" outlineLevel="0" collapsed="false">
      <c r="A15" s="8" t="s">
        <v>10</v>
      </c>
      <c r="B15" s="9" t="s">
        <v>55</v>
      </c>
      <c r="C15" s="9" t="s">
        <v>56</v>
      </c>
      <c r="D15" s="10" t="s">
        <v>57</v>
      </c>
      <c r="E15" s="10" t="s">
        <v>58</v>
      </c>
      <c r="F15" s="9"/>
      <c r="G15" s="11"/>
      <c r="H15" s="9"/>
    </row>
    <row r="16" customFormat="false" ht="51.75" hidden="false" customHeight="true" outlineLevel="0" collapsed="false">
      <c r="A16" s="4" t="s">
        <v>10</v>
      </c>
      <c r="B16" s="5" t="s">
        <v>59</v>
      </c>
      <c r="C16" s="5" t="s">
        <v>60</v>
      </c>
      <c r="D16" s="6" t="s">
        <v>61</v>
      </c>
      <c r="E16" s="6" t="s">
        <v>62</v>
      </c>
      <c r="F16" s="5"/>
      <c r="G16" s="7"/>
      <c r="H16" s="5"/>
    </row>
    <row r="17" customFormat="false" ht="51.75" hidden="false" customHeight="true" outlineLevel="0" collapsed="false">
      <c r="A17" s="8" t="s">
        <v>10</v>
      </c>
      <c r="B17" s="9" t="s">
        <v>63</v>
      </c>
      <c r="C17" s="9" t="s">
        <v>64</v>
      </c>
      <c r="D17" s="10" t="s">
        <v>65</v>
      </c>
      <c r="E17" s="10" t="s">
        <v>66</v>
      </c>
      <c r="F17" s="9"/>
      <c r="G17" s="11"/>
      <c r="H17" s="9"/>
    </row>
    <row r="18" customFormat="false" ht="51.75" hidden="false" customHeight="true" outlineLevel="0" collapsed="false">
      <c r="A18" s="4" t="s">
        <v>10</v>
      </c>
      <c r="B18" s="5" t="s">
        <v>67</v>
      </c>
      <c r="C18" s="5" t="s">
        <v>68</v>
      </c>
      <c r="D18" s="6" t="s">
        <v>69</v>
      </c>
      <c r="E18" s="6" t="s">
        <v>70</v>
      </c>
      <c r="F18" s="5"/>
      <c r="G18" s="7"/>
      <c r="H18" s="5"/>
    </row>
    <row r="19" customFormat="false" ht="51.75" hidden="false" customHeight="true" outlineLevel="0" collapsed="false">
      <c r="A19" s="8" t="s">
        <v>10</v>
      </c>
      <c r="B19" s="9" t="s">
        <v>71</v>
      </c>
      <c r="C19" s="9" t="s">
        <v>72</v>
      </c>
      <c r="D19" s="10" t="s">
        <v>73</v>
      </c>
      <c r="E19" s="10" t="s">
        <v>74</v>
      </c>
      <c r="F19" s="9"/>
      <c r="G19" s="11"/>
      <c r="H19" s="9"/>
    </row>
    <row r="20" customFormat="false" ht="51.75" hidden="false" customHeight="true" outlineLevel="0" collapsed="false">
      <c r="A20" s="4" t="s">
        <v>10</v>
      </c>
      <c r="B20" s="5" t="s">
        <v>75</v>
      </c>
      <c r="C20" s="5" t="s">
        <v>76</v>
      </c>
      <c r="D20" s="6" t="s">
        <v>77</v>
      </c>
      <c r="E20" s="6" t="s">
        <v>78</v>
      </c>
      <c r="F20" s="5"/>
      <c r="G20" s="7"/>
      <c r="H20" s="5"/>
    </row>
    <row r="21" customFormat="false" ht="51.75" hidden="false" customHeight="true" outlineLevel="0" collapsed="false">
      <c r="A21" s="8" t="s">
        <v>10</v>
      </c>
      <c r="B21" s="9" t="s">
        <v>79</v>
      </c>
      <c r="C21" s="9" t="s">
        <v>80</v>
      </c>
      <c r="D21" s="10" t="s">
        <v>81</v>
      </c>
      <c r="E21" s="10" t="s">
        <v>82</v>
      </c>
      <c r="F21" s="9"/>
      <c r="G21" s="11"/>
      <c r="H21" s="9"/>
    </row>
    <row r="22" customFormat="false" ht="51.75" hidden="false" customHeight="true" outlineLevel="0" collapsed="false">
      <c r="A22" s="4" t="s">
        <v>10</v>
      </c>
      <c r="B22" s="5" t="s">
        <v>83</v>
      </c>
      <c r="C22" s="5" t="s">
        <v>84</v>
      </c>
      <c r="D22" s="6" t="s">
        <v>85</v>
      </c>
      <c r="E22" s="6" t="s">
        <v>86</v>
      </c>
      <c r="F22" s="5"/>
      <c r="G22" s="7"/>
      <c r="H22" s="5"/>
    </row>
    <row r="23" customFormat="false" ht="51.75" hidden="false" customHeight="true" outlineLevel="0" collapsed="false">
      <c r="A23" s="8" t="s">
        <v>10</v>
      </c>
      <c r="B23" s="9" t="s">
        <v>87</v>
      </c>
      <c r="C23" s="9" t="s">
        <v>88</v>
      </c>
      <c r="D23" s="10" t="s">
        <v>89</v>
      </c>
      <c r="E23" s="10" t="s">
        <v>90</v>
      </c>
      <c r="F23" s="9"/>
      <c r="G23" s="11"/>
      <c r="H23" s="9"/>
    </row>
    <row r="25" customFormat="false" ht="18" hidden="false" customHeight="true" outlineLevel="0" collapsed="false">
      <c r="A25" s="12" t="s">
        <v>91</v>
      </c>
      <c r="B25" s="12"/>
      <c r="C25" s="12"/>
      <c r="D25" s="12"/>
      <c r="E25" s="12"/>
      <c r="F25" s="12"/>
      <c r="G25" s="12"/>
      <c r="H25" s="12"/>
    </row>
    <row r="26" customFormat="false" ht="51.75" hidden="false" customHeight="true" outlineLevel="0" collapsed="false">
      <c r="A26" s="4" t="s">
        <v>92</v>
      </c>
      <c r="B26" s="5" t="s">
        <v>93</v>
      </c>
      <c r="C26" s="5" t="s">
        <v>94</v>
      </c>
      <c r="D26" s="6" t="s">
        <v>95</v>
      </c>
      <c r="E26" s="6" t="s">
        <v>96</v>
      </c>
      <c r="F26" s="5"/>
      <c r="G26" s="7"/>
      <c r="H26" s="5"/>
    </row>
    <row r="27" customFormat="false" ht="51.75" hidden="false" customHeight="true" outlineLevel="0" collapsed="false">
      <c r="A27" s="8" t="s">
        <v>92</v>
      </c>
      <c r="B27" s="9" t="s">
        <v>97</v>
      </c>
      <c r="C27" s="9" t="s">
        <v>98</v>
      </c>
      <c r="D27" s="10" t="s">
        <v>99</v>
      </c>
      <c r="E27" s="10" t="s">
        <v>100</v>
      </c>
      <c r="F27" s="9"/>
      <c r="G27" s="11"/>
      <c r="H27" s="9"/>
    </row>
    <row r="28" customFormat="false" ht="51.75" hidden="false" customHeight="true" outlineLevel="0" collapsed="false">
      <c r="A28" s="4" t="s">
        <v>92</v>
      </c>
      <c r="B28" s="5" t="s">
        <v>101</v>
      </c>
      <c r="C28" s="5" t="s">
        <v>102</v>
      </c>
      <c r="D28" s="6" t="s">
        <v>103</v>
      </c>
      <c r="E28" s="6" t="s">
        <v>104</v>
      </c>
      <c r="F28" s="5"/>
      <c r="G28" s="7"/>
      <c r="H28" s="5"/>
    </row>
    <row r="29" customFormat="false" ht="51.75" hidden="false" customHeight="true" outlineLevel="0" collapsed="false">
      <c r="A29" s="8" t="s">
        <v>92</v>
      </c>
      <c r="B29" s="9" t="s">
        <v>105</v>
      </c>
      <c r="C29" s="9" t="s">
        <v>106</v>
      </c>
      <c r="D29" s="10" t="s">
        <v>107</v>
      </c>
      <c r="E29" s="10" t="s">
        <v>108</v>
      </c>
      <c r="F29" s="9"/>
      <c r="G29" s="11"/>
      <c r="H29" s="9"/>
    </row>
    <row r="30" customFormat="false" ht="51.75" hidden="false" customHeight="true" outlineLevel="0" collapsed="false">
      <c r="A30" s="4" t="s">
        <v>92</v>
      </c>
      <c r="B30" s="5" t="s">
        <v>109</v>
      </c>
      <c r="C30" s="5" t="s">
        <v>110</v>
      </c>
      <c r="D30" s="6" t="s">
        <v>111</v>
      </c>
      <c r="E30" s="6" t="s">
        <v>112</v>
      </c>
      <c r="F30" s="5"/>
      <c r="G30" s="7"/>
      <c r="H30" s="5"/>
    </row>
    <row r="31" customFormat="false" ht="51.75" hidden="false" customHeight="true" outlineLevel="0" collapsed="false">
      <c r="A31" s="8" t="s">
        <v>92</v>
      </c>
      <c r="B31" s="9" t="s">
        <v>113</v>
      </c>
      <c r="C31" s="9" t="s">
        <v>114</v>
      </c>
      <c r="D31" s="10" t="s">
        <v>115</v>
      </c>
      <c r="E31" s="10" t="s">
        <v>116</v>
      </c>
      <c r="F31" s="9"/>
      <c r="G31" s="11"/>
      <c r="H31" s="9"/>
    </row>
    <row r="32" customFormat="false" ht="51.75" hidden="false" customHeight="true" outlineLevel="0" collapsed="false">
      <c r="A32" s="4" t="s">
        <v>92</v>
      </c>
      <c r="B32" s="5" t="s">
        <v>117</v>
      </c>
      <c r="C32" s="5" t="s">
        <v>118</v>
      </c>
      <c r="D32" s="6" t="s">
        <v>119</v>
      </c>
      <c r="E32" s="6" t="s">
        <v>120</v>
      </c>
      <c r="F32" s="5"/>
      <c r="G32" s="7"/>
      <c r="H32" s="5"/>
    </row>
    <row r="34" customFormat="false" ht="18" hidden="false" customHeight="true" outlineLevel="0" collapsed="false">
      <c r="A34" s="13" t="s">
        <v>121</v>
      </c>
      <c r="B34" s="13"/>
      <c r="C34" s="13"/>
      <c r="D34" s="13"/>
      <c r="E34" s="13"/>
      <c r="F34" s="13"/>
      <c r="G34" s="13"/>
      <c r="H34" s="13"/>
    </row>
    <row r="35" customFormat="false" ht="51.75" hidden="false" customHeight="true" outlineLevel="0" collapsed="false">
      <c r="A35" s="8" t="s">
        <v>122</v>
      </c>
      <c r="B35" s="9" t="s">
        <v>123</v>
      </c>
      <c r="C35" s="9" t="s">
        <v>124</v>
      </c>
      <c r="D35" s="10" t="s">
        <v>125</v>
      </c>
      <c r="E35" s="10" t="s">
        <v>126</v>
      </c>
      <c r="F35" s="9"/>
      <c r="G35" s="11"/>
      <c r="H35" s="9"/>
    </row>
    <row r="36" customFormat="false" ht="51.75" hidden="false" customHeight="true" outlineLevel="0" collapsed="false">
      <c r="A36" s="4" t="s">
        <v>122</v>
      </c>
      <c r="B36" s="5" t="s">
        <v>127</v>
      </c>
      <c r="C36" s="5" t="s">
        <v>128</v>
      </c>
      <c r="D36" s="6" t="s">
        <v>129</v>
      </c>
      <c r="E36" s="6" t="s">
        <v>130</v>
      </c>
      <c r="F36" s="5"/>
      <c r="G36" s="7"/>
      <c r="H36" s="5"/>
    </row>
    <row r="37" customFormat="false" ht="51.75" hidden="false" customHeight="true" outlineLevel="0" collapsed="false">
      <c r="A37" s="8" t="s">
        <v>122</v>
      </c>
      <c r="B37" s="9" t="s">
        <v>131</v>
      </c>
      <c r="C37" s="9" t="s">
        <v>132</v>
      </c>
      <c r="D37" s="10" t="s">
        <v>133</v>
      </c>
      <c r="E37" s="10" t="s">
        <v>134</v>
      </c>
      <c r="F37" s="9"/>
      <c r="G37" s="11"/>
      <c r="H37" s="9"/>
    </row>
    <row r="38" customFormat="false" ht="51.75" hidden="false" customHeight="true" outlineLevel="0" collapsed="false">
      <c r="A38" s="4" t="s">
        <v>122</v>
      </c>
      <c r="B38" s="5" t="s">
        <v>135</v>
      </c>
      <c r="C38" s="5" t="s">
        <v>136</v>
      </c>
      <c r="D38" s="6" t="s">
        <v>137</v>
      </c>
      <c r="E38" s="6" t="s">
        <v>138</v>
      </c>
      <c r="F38" s="5"/>
      <c r="G38" s="7"/>
      <c r="H38" s="5"/>
    </row>
    <row r="39" customFormat="false" ht="51.75" hidden="false" customHeight="true" outlineLevel="0" collapsed="false">
      <c r="A39" s="8" t="s">
        <v>122</v>
      </c>
      <c r="B39" s="9" t="s">
        <v>139</v>
      </c>
      <c r="C39" s="9" t="s">
        <v>140</v>
      </c>
      <c r="D39" s="10" t="s">
        <v>141</v>
      </c>
      <c r="E39" s="10" t="s">
        <v>142</v>
      </c>
      <c r="F39" s="9"/>
      <c r="G39" s="11"/>
      <c r="H39" s="9"/>
    </row>
    <row r="40" customFormat="false" ht="51.75" hidden="false" customHeight="true" outlineLevel="0" collapsed="false">
      <c r="A40" s="4" t="s">
        <v>122</v>
      </c>
      <c r="B40" s="5" t="s">
        <v>143</v>
      </c>
      <c r="C40" s="5" t="s">
        <v>144</v>
      </c>
      <c r="D40" s="6" t="s">
        <v>145</v>
      </c>
      <c r="E40" s="6" t="s">
        <v>146</v>
      </c>
      <c r="F40" s="5"/>
      <c r="G40" s="7"/>
      <c r="H40" s="5"/>
    </row>
    <row r="41" customFormat="false" ht="51.75" hidden="false" customHeight="true" outlineLevel="0" collapsed="false">
      <c r="A41" s="8" t="s">
        <v>122</v>
      </c>
      <c r="B41" s="9" t="s">
        <v>147</v>
      </c>
      <c r="C41" s="9" t="s">
        <v>148</v>
      </c>
      <c r="D41" s="10" t="s">
        <v>149</v>
      </c>
      <c r="E41" s="10" t="s">
        <v>150</v>
      </c>
      <c r="F41" s="9"/>
      <c r="G41" s="11"/>
      <c r="H41" s="9"/>
    </row>
    <row r="42" customFormat="false" ht="51.75" hidden="false" customHeight="true" outlineLevel="0" collapsed="false">
      <c r="A42" s="4" t="s">
        <v>122</v>
      </c>
      <c r="B42" s="5" t="s">
        <v>151</v>
      </c>
      <c r="C42" s="5" t="s">
        <v>152</v>
      </c>
      <c r="D42" s="6" t="s">
        <v>153</v>
      </c>
      <c r="E42" s="6" t="s">
        <v>154</v>
      </c>
      <c r="F42" s="5"/>
      <c r="G42" s="7"/>
      <c r="H42" s="5"/>
    </row>
    <row r="43" customFormat="false" ht="51.75" hidden="false" customHeight="true" outlineLevel="0" collapsed="false">
      <c r="A43" s="8" t="s">
        <v>122</v>
      </c>
      <c r="B43" s="9" t="s">
        <v>155</v>
      </c>
      <c r="C43" s="9" t="s">
        <v>156</v>
      </c>
      <c r="D43" s="10" t="s">
        <v>157</v>
      </c>
      <c r="E43" s="10" t="s">
        <v>158</v>
      </c>
      <c r="F43" s="9"/>
      <c r="G43" s="11"/>
      <c r="H43" s="9"/>
    </row>
    <row r="45" customFormat="false" ht="18" hidden="false" customHeight="true" outlineLevel="0" collapsed="false">
      <c r="A45" s="14" t="s">
        <v>159</v>
      </c>
      <c r="B45" s="14"/>
      <c r="C45" s="14"/>
      <c r="D45" s="14"/>
      <c r="E45" s="14"/>
      <c r="F45" s="14"/>
      <c r="G45" s="14"/>
      <c r="H45" s="14"/>
    </row>
    <row r="46" customFormat="false" ht="51.75" hidden="false" customHeight="true" outlineLevel="0" collapsed="false">
      <c r="A46" s="4" t="s">
        <v>160</v>
      </c>
      <c r="B46" s="5" t="s">
        <v>161</v>
      </c>
      <c r="C46" s="5" t="s">
        <v>162</v>
      </c>
      <c r="D46" s="6" t="s">
        <v>163</v>
      </c>
      <c r="E46" s="6" t="s">
        <v>164</v>
      </c>
      <c r="F46" s="5"/>
      <c r="G46" s="7"/>
      <c r="H46" s="5"/>
    </row>
    <row r="47" customFormat="false" ht="51.75" hidden="false" customHeight="true" outlineLevel="0" collapsed="false">
      <c r="A47" s="8" t="s">
        <v>160</v>
      </c>
      <c r="B47" s="9" t="s">
        <v>165</v>
      </c>
      <c r="C47" s="9" t="s">
        <v>166</v>
      </c>
      <c r="D47" s="10" t="s">
        <v>167</v>
      </c>
      <c r="E47" s="10" t="s">
        <v>168</v>
      </c>
      <c r="F47" s="9"/>
      <c r="G47" s="11"/>
      <c r="H47" s="9"/>
    </row>
    <row r="48" customFormat="false" ht="51.75" hidden="false" customHeight="true" outlineLevel="0" collapsed="false">
      <c r="A48" s="4" t="s">
        <v>160</v>
      </c>
      <c r="B48" s="5" t="s">
        <v>169</v>
      </c>
      <c r="C48" s="5" t="s">
        <v>170</v>
      </c>
      <c r="D48" s="6" t="s">
        <v>171</v>
      </c>
      <c r="E48" s="6" t="s">
        <v>172</v>
      </c>
      <c r="F48" s="5"/>
      <c r="G48" s="7"/>
      <c r="H48" s="5"/>
    </row>
    <row r="49" customFormat="false" ht="51.75" hidden="false" customHeight="true" outlineLevel="0" collapsed="false">
      <c r="A49" s="8" t="s">
        <v>160</v>
      </c>
      <c r="B49" s="9" t="s">
        <v>173</v>
      </c>
      <c r="C49" s="9" t="s">
        <v>174</v>
      </c>
      <c r="D49" s="10" t="s">
        <v>175</v>
      </c>
      <c r="E49" s="10" t="s">
        <v>176</v>
      </c>
      <c r="F49" s="9"/>
      <c r="G49" s="11"/>
      <c r="H49" s="9"/>
    </row>
    <row r="50" customFormat="false" ht="51.75" hidden="false" customHeight="true" outlineLevel="0" collapsed="false">
      <c r="A50" s="4" t="s">
        <v>160</v>
      </c>
      <c r="B50" s="5" t="s">
        <v>177</v>
      </c>
      <c r="C50" s="5" t="s">
        <v>178</v>
      </c>
      <c r="D50" s="6" t="s">
        <v>179</v>
      </c>
      <c r="E50" s="6" t="s">
        <v>180</v>
      </c>
      <c r="F50" s="5"/>
      <c r="G50" s="7"/>
      <c r="H50" s="5"/>
    </row>
    <row r="51" customFormat="false" ht="51.75" hidden="false" customHeight="true" outlineLevel="0" collapsed="false">
      <c r="A51" s="8" t="s">
        <v>160</v>
      </c>
      <c r="B51" s="9" t="s">
        <v>181</v>
      </c>
      <c r="C51" s="9" t="s">
        <v>182</v>
      </c>
      <c r="D51" s="10" t="s">
        <v>183</v>
      </c>
      <c r="E51" s="10" t="s">
        <v>184</v>
      </c>
      <c r="F51" s="9"/>
      <c r="G51" s="11"/>
      <c r="H51" s="9"/>
    </row>
    <row r="52" customFormat="false" ht="51.75" hidden="false" customHeight="true" outlineLevel="0" collapsed="false">
      <c r="A52" s="4" t="s">
        <v>160</v>
      </c>
      <c r="B52" s="5" t="s">
        <v>185</v>
      </c>
      <c r="C52" s="5" t="s">
        <v>186</v>
      </c>
      <c r="D52" s="6" t="s">
        <v>187</v>
      </c>
      <c r="E52" s="6" t="s">
        <v>188</v>
      </c>
      <c r="F52" s="5"/>
      <c r="G52" s="7"/>
      <c r="H52" s="5"/>
    </row>
    <row r="54" customFormat="false" ht="18" hidden="false" customHeight="true" outlineLevel="0" collapsed="false">
      <c r="A54" s="15" t="s">
        <v>189</v>
      </c>
      <c r="B54" s="15"/>
      <c r="C54" s="15"/>
      <c r="D54" s="15"/>
      <c r="E54" s="15"/>
      <c r="F54" s="15"/>
      <c r="G54" s="15"/>
      <c r="H54" s="15"/>
    </row>
    <row r="55" customFormat="false" ht="51.75" hidden="false" customHeight="true" outlineLevel="0" collapsed="false">
      <c r="A55" s="8" t="s">
        <v>190</v>
      </c>
      <c r="B55" s="9" t="s">
        <v>191</v>
      </c>
      <c r="C55" s="9" t="s">
        <v>192</v>
      </c>
      <c r="D55" s="10" t="s">
        <v>193</v>
      </c>
      <c r="E55" s="10" t="s">
        <v>194</v>
      </c>
      <c r="F55" s="9"/>
      <c r="G55" s="11"/>
      <c r="H55" s="9"/>
    </row>
    <row r="56" customFormat="false" ht="51.75" hidden="false" customHeight="true" outlineLevel="0" collapsed="false">
      <c r="A56" s="4" t="s">
        <v>190</v>
      </c>
      <c r="B56" s="5" t="s">
        <v>195</v>
      </c>
      <c r="C56" s="5" t="s">
        <v>196</v>
      </c>
      <c r="D56" s="6" t="s">
        <v>197</v>
      </c>
      <c r="E56" s="6" t="s">
        <v>198</v>
      </c>
      <c r="F56" s="5"/>
      <c r="G56" s="7"/>
      <c r="H56" s="5"/>
    </row>
    <row r="57" customFormat="false" ht="51.75" hidden="false" customHeight="true" outlineLevel="0" collapsed="false">
      <c r="A57" s="8" t="s">
        <v>190</v>
      </c>
      <c r="B57" s="9" t="s">
        <v>199</v>
      </c>
      <c r="C57" s="9" t="s">
        <v>200</v>
      </c>
      <c r="D57" s="10" t="s">
        <v>201</v>
      </c>
      <c r="E57" s="10" t="s">
        <v>202</v>
      </c>
      <c r="F57" s="9"/>
      <c r="G57" s="11"/>
      <c r="H57" s="9"/>
    </row>
    <row r="58" customFormat="false" ht="51.75" hidden="false" customHeight="true" outlineLevel="0" collapsed="false">
      <c r="A58" s="4" t="s">
        <v>190</v>
      </c>
      <c r="B58" s="5" t="s">
        <v>203</v>
      </c>
      <c r="C58" s="5" t="s">
        <v>204</v>
      </c>
      <c r="D58" s="6" t="s">
        <v>205</v>
      </c>
      <c r="E58" s="6" t="s">
        <v>206</v>
      </c>
      <c r="F58" s="5"/>
      <c r="G58" s="7"/>
      <c r="H58" s="5"/>
    </row>
    <row r="59" customFormat="false" ht="51.75" hidden="false" customHeight="true" outlineLevel="0" collapsed="false">
      <c r="A59" s="8" t="s">
        <v>190</v>
      </c>
      <c r="B59" s="9" t="s">
        <v>207</v>
      </c>
      <c r="C59" s="9" t="s">
        <v>208</v>
      </c>
      <c r="D59" s="10" t="s">
        <v>209</v>
      </c>
      <c r="E59" s="10" t="s">
        <v>210</v>
      </c>
      <c r="F59" s="9"/>
      <c r="G59" s="11"/>
      <c r="H59" s="9"/>
    </row>
    <row r="60" customFormat="false" ht="51.75" hidden="false" customHeight="true" outlineLevel="0" collapsed="false">
      <c r="A60" s="4" t="s">
        <v>190</v>
      </c>
      <c r="B60" s="5" t="s">
        <v>211</v>
      </c>
      <c r="C60" s="5" t="s">
        <v>212</v>
      </c>
      <c r="D60" s="6" t="s">
        <v>213</v>
      </c>
      <c r="E60" s="6" t="s">
        <v>214</v>
      </c>
      <c r="F60" s="5"/>
      <c r="G60" s="7"/>
      <c r="H60" s="5"/>
    </row>
    <row r="61" customFormat="false" ht="51.75" hidden="false" customHeight="true" outlineLevel="0" collapsed="false">
      <c r="A61" s="8" t="s">
        <v>190</v>
      </c>
      <c r="B61" s="9" t="s">
        <v>215</v>
      </c>
      <c r="C61" s="9" t="s">
        <v>216</v>
      </c>
      <c r="D61" s="10" t="s">
        <v>217</v>
      </c>
      <c r="E61" s="10" t="s">
        <v>218</v>
      </c>
      <c r="F61" s="9"/>
      <c r="G61" s="11"/>
      <c r="H61" s="9"/>
    </row>
    <row r="62" customFormat="false" ht="51.75" hidden="false" customHeight="true" outlineLevel="0" collapsed="false">
      <c r="A62" s="4" t="s">
        <v>190</v>
      </c>
      <c r="B62" s="5" t="s">
        <v>219</v>
      </c>
      <c r="C62" s="5" t="s">
        <v>220</v>
      </c>
      <c r="D62" s="6" t="s">
        <v>221</v>
      </c>
      <c r="E62" s="6" t="s">
        <v>222</v>
      </c>
      <c r="F62" s="5"/>
      <c r="G62" s="7"/>
      <c r="H62" s="5"/>
    </row>
    <row r="63" customFormat="false" ht="51.75" hidden="false" customHeight="true" outlineLevel="0" collapsed="false">
      <c r="A63" s="8" t="s">
        <v>190</v>
      </c>
      <c r="B63" s="9" t="s">
        <v>223</v>
      </c>
      <c r="C63" s="9" t="s">
        <v>224</v>
      </c>
      <c r="D63" s="10" t="s">
        <v>225</v>
      </c>
      <c r="E63" s="10" t="s">
        <v>226</v>
      </c>
      <c r="F63" s="9"/>
      <c r="G63" s="11"/>
      <c r="H63" s="9"/>
    </row>
    <row r="64" customFormat="false" ht="51.75" hidden="false" customHeight="true" outlineLevel="0" collapsed="false">
      <c r="A64" s="4" t="s">
        <v>190</v>
      </c>
      <c r="B64" s="5" t="s">
        <v>227</v>
      </c>
      <c r="C64" s="5" t="s">
        <v>228</v>
      </c>
      <c r="D64" s="6" t="s">
        <v>229</v>
      </c>
      <c r="E64" s="6" t="s">
        <v>230</v>
      </c>
      <c r="F64" s="5"/>
      <c r="G64" s="7"/>
      <c r="H64" s="5"/>
    </row>
    <row r="65" customFormat="false" ht="51.75" hidden="false" customHeight="true" outlineLevel="0" collapsed="false">
      <c r="A65" s="8" t="s">
        <v>190</v>
      </c>
      <c r="B65" s="9" t="s">
        <v>231</v>
      </c>
      <c r="C65" s="9" t="s">
        <v>232</v>
      </c>
      <c r="D65" s="10" t="s">
        <v>233</v>
      </c>
      <c r="E65" s="10" t="s">
        <v>234</v>
      </c>
      <c r="F65" s="9"/>
      <c r="G65" s="11"/>
      <c r="H65" s="9"/>
    </row>
    <row r="67" customFormat="false" ht="18" hidden="false" customHeight="true" outlineLevel="0" collapsed="false">
      <c r="A67" s="16" t="s">
        <v>235</v>
      </c>
      <c r="B67" s="16"/>
      <c r="C67" s="16"/>
      <c r="D67" s="16"/>
      <c r="E67" s="16"/>
      <c r="F67" s="16"/>
      <c r="G67" s="16"/>
      <c r="H67" s="16"/>
    </row>
    <row r="68" customFormat="false" ht="51.75" hidden="false" customHeight="true" outlineLevel="0" collapsed="false">
      <c r="A68" s="4" t="s">
        <v>236</v>
      </c>
      <c r="B68" s="5" t="s">
        <v>237</v>
      </c>
      <c r="C68" s="5" t="s">
        <v>238</v>
      </c>
      <c r="D68" s="6" t="s">
        <v>239</v>
      </c>
      <c r="E68" s="6" t="s">
        <v>240</v>
      </c>
      <c r="F68" s="5"/>
      <c r="G68" s="7"/>
      <c r="H68" s="5"/>
    </row>
    <row r="69" customFormat="false" ht="51.75" hidden="false" customHeight="true" outlineLevel="0" collapsed="false">
      <c r="A69" s="8" t="s">
        <v>236</v>
      </c>
      <c r="B69" s="9" t="s">
        <v>241</v>
      </c>
      <c r="C69" s="9" t="s">
        <v>242</v>
      </c>
      <c r="D69" s="10" t="s">
        <v>243</v>
      </c>
      <c r="E69" s="10" t="s">
        <v>244</v>
      </c>
      <c r="F69" s="9"/>
      <c r="G69" s="11"/>
      <c r="H69" s="9"/>
    </row>
    <row r="70" customFormat="false" ht="51.75" hidden="false" customHeight="true" outlineLevel="0" collapsed="false">
      <c r="A70" s="4" t="s">
        <v>236</v>
      </c>
      <c r="B70" s="5" t="s">
        <v>245</v>
      </c>
      <c r="C70" s="5" t="s">
        <v>246</v>
      </c>
      <c r="D70" s="6" t="s">
        <v>247</v>
      </c>
      <c r="E70" s="6" t="s">
        <v>248</v>
      </c>
      <c r="F70" s="5"/>
      <c r="G70" s="7"/>
      <c r="H70" s="5"/>
    </row>
    <row r="71" customFormat="false" ht="51.75" hidden="false" customHeight="true" outlineLevel="0" collapsed="false">
      <c r="A71" s="8" t="s">
        <v>236</v>
      </c>
      <c r="B71" s="9" t="s">
        <v>249</v>
      </c>
      <c r="C71" s="9" t="s">
        <v>250</v>
      </c>
      <c r="D71" s="10" t="s">
        <v>251</v>
      </c>
      <c r="E71" s="10" t="s">
        <v>252</v>
      </c>
      <c r="F71" s="9"/>
      <c r="G71" s="11"/>
      <c r="H71" s="9"/>
    </row>
    <row r="72" customFormat="false" ht="51.75" hidden="false" customHeight="true" outlineLevel="0" collapsed="false">
      <c r="A72" s="4" t="s">
        <v>236</v>
      </c>
      <c r="B72" s="5" t="s">
        <v>253</v>
      </c>
      <c r="C72" s="5" t="s">
        <v>254</v>
      </c>
      <c r="D72" s="6" t="s">
        <v>255</v>
      </c>
      <c r="E72" s="6" t="s">
        <v>256</v>
      </c>
      <c r="F72" s="5"/>
      <c r="G72" s="7"/>
      <c r="H72" s="5"/>
    </row>
    <row r="73" customFormat="false" ht="51.75" hidden="false" customHeight="true" outlineLevel="0" collapsed="false">
      <c r="A73" s="8" t="s">
        <v>236</v>
      </c>
      <c r="B73" s="9" t="s">
        <v>257</v>
      </c>
      <c r="C73" s="9" t="s">
        <v>258</v>
      </c>
      <c r="D73" s="10" t="s">
        <v>259</v>
      </c>
      <c r="E73" s="10" t="s">
        <v>260</v>
      </c>
      <c r="F73" s="9"/>
      <c r="G73" s="11"/>
      <c r="H73" s="9"/>
    </row>
    <row r="74" customFormat="false" ht="51.75" hidden="false" customHeight="true" outlineLevel="0" collapsed="false">
      <c r="A74" s="4" t="s">
        <v>236</v>
      </c>
      <c r="B74" s="5" t="s">
        <v>261</v>
      </c>
      <c r="C74" s="5" t="s">
        <v>262</v>
      </c>
      <c r="D74" s="6" t="s">
        <v>263</v>
      </c>
      <c r="E74" s="6" t="s">
        <v>264</v>
      </c>
      <c r="F74" s="5"/>
      <c r="G74" s="7"/>
      <c r="H74" s="5"/>
    </row>
    <row r="75" customFormat="false" ht="51.75" hidden="false" customHeight="true" outlineLevel="0" collapsed="false">
      <c r="A75" s="8" t="s">
        <v>236</v>
      </c>
      <c r="B75" s="9" t="s">
        <v>265</v>
      </c>
      <c r="C75" s="9" t="s">
        <v>266</v>
      </c>
      <c r="D75" s="10" t="s">
        <v>267</v>
      </c>
      <c r="E75" s="10" t="s">
        <v>268</v>
      </c>
      <c r="F75" s="9"/>
      <c r="G75" s="11"/>
      <c r="H75" s="9"/>
    </row>
    <row r="77" customFormat="false" ht="18" hidden="false" customHeight="true" outlineLevel="0" collapsed="false">
      <c r="A77" s="17" t="s">
        <v>269</v>
      </c>
      <c r="B77" s="17"/>
      <c r="C77" s="17"/>
      <c r="D77" s="17"/>
      <c r="E77" s="17"/>
      <c r="F77" s="17"/>
      <c r="G77" s="17"/>
      <c r="H77" s="17"/>
    </row>
    <row r="78" customFormat="false" ht="51.75" hidden="false" customHeight="true" outlineLevel="0" collapsed="false">
      <c r="A78" s="4" t="s">
        <v>270</v>
      </c>
      <c r="B78" s="5" t="s">
        <v>271</v>
      </c>
      <c r="C78" s="5" t="s">
        <v>272</v>
      </c>
      <c r="D78" s="6" t="s">
        <v>273</v>
      </c>
      <c r="E78" s="6" t="s">
        <v>274</v>
      </c>
      <c r="F78" s="5"/>
      <c r="G78" s="7"/>
      <c r="H78" s="5"/>
    </row>
    <row r="79" customFormat="false" ht="51.75" hidden="false" customHeight="true" outlineLevel="0" collapsed="false">
      <c r="A79" s="8" t="s">
        <v>270</v>
      </c>
      <c r="B79" s="9" t="s">
        <v>275</v>
      </c>
      <c r="C79" s="9" t="s">
        <v>276</v>
      </c>
      <c r="D79" s="10" t="s">
        <v>277</v>
      </c>
      <c r="E79" s="10" t="s">
        <v>278</v>
      </c>
      <c r="F79" s="9"/>
      <c r="G79" s="11"/>
      <c r="H79" s="9"/>
    </row>
    <row r="80" customFormat="false" ht="51.75" hidden="false" customHeight="true" outlineLevel="0" collapsed="false">
      <c r="A80" s="4" t="s">
        <v>270</v>
      </c>
      <c r="B80" s="5" t="s">
        <v>279</v>
      </c>
      <c r="C80" s="5" t="s">
        <v>280</v>
      </c>
      <c r="D80" s="6" t="s">
        <v>281</v>
      </c>
      <c r="E80" s="6" t="s">
        <v>282</v>
      </c>
      <c r="F80" s="5"/>
      <c r="G80" s="7"/>
      <c r="H80" s="5"/>
    </row>
    <row r="81" customFormat="false" ht="51.75" hidden="false" customHeight="true" outlineLevel="0" collapsed="false">
      <c r="A81" s="8" t="s">
        <v>270</v>
      </c>
      <c r="B81" s="9" t="s">
        <v>283</v>
      </c>
      <c r="C81" s="9" t="s">
        <v>284</v>
      </c>
      <c r="D81" s="10" t="s">
        <v>285</v>
      </c>
      <c r="E81" s="10" t="s">
        <v>286</v>
      </c>
      <c r="F81" s="9"/>
      <c r="G81" s="11"/>
      <c r="H81" s="9"/>
    </row>
    <row r="82" customFormat="false" ht="51.75" hidden="false" customHeight="true" outlineLevel="0" collapsed="false">
      <c r="A82" s="4" t="s">
        <v>270</v>
      </c>
      <c r="B82" s="5" t="s">
        <v>287</v>
      </c>
      <c r="C82" s="5" t="s">
        <v>288</v>
      </c>
      <c r="D82" s="6" t="s">
        <v>289</v>
      </c>
      <c r="E82" s="6" t="s">
        <v>290</v>
      </c>
      <c r="F82" s="5"/>
      <c r="G82" s="7"/>
      <c r="H82" s="5"/>
    </row>
    <row r="83" customFormat="false" ht="51.75" hidden="false" customHeight="true" outlineLevel="0" collapsed="false">
      <c r="A83" s="8" t="s">
        <v>270</v>
      </c>
      <c r="B83" s="9" t="s">
        <v>291</v>
      </c>
      <c r="C83" s="9" t="s">
        <v>292</v>
      </c>
      <c r="D83" s="10" t="s">
        <v>293</v>
      </c>
      <c r="E83" s="10" t="s">
        <v>294</v>
      </c>
      <c r="F83" s="9"/>
      <c r="G83" s="11"/>
      <c r="H83" s="9"/>
    </row>
    <row r="84" customFormat="false" ht="51.75" hidden="false" customHeight="true" outlineLevel="0" collapsed="false">
      <c r="A84" s="4" t="s">
        <v>270</v>
      </c>
      <c r="B84" s="5" t="s">
        <v>295</v>
      </c>
      <c r="C84" s="5" t="s">
        <v>296</v>
      </c>
      <c r="D84" s="6" t="s">
        <v>297</v>
      </c>
      <c r="E84" s="6" t="s">
        <v>298</v>
      </c>
      <c r="F84" s="5"/>
      <c r="G84" s="7"/>
      <c r="H84" s="5"/>
    </row>
    <row r="85" customFormat="false" ht="51.75" hidden="false" customHeight="true" outlineLevel="0" collapsed="false">
      <c r="A85" s="8" t="s">
        <v>270</v>
      </c>
      <c r="B85" s="9" t="s">
        <v>299</v>
      </c>
      <c r="C85" s="9" t="s">
        <v>300</v>
      </c>
      <c r="D85" s="10" t="s">
        <v>301</v>
      </c>
      <c r="E85" s="10" t="s">
        <v>302</v>
      </c>
      <c r="F85" s="9"/>
      <c r="G85" s="11"/>
      <c r="H85" s="9"/>
    </row>
    <row r="86" customFormat="false" ht="51.75" hidden="false" customHeight="true" outlineLevel="0" collapsed="false">
      <c r="A86" s="4" t="s">
        <v>270</v>
      </c>
      <c r="B86" s="5" t="s">
        <v>303</v>
      </c>
      <c r="C86" s="5" t="s">
        <v>304</v>
      </c>
      <c r="D86" s="6" t="s">
        <v>305</v>
      </c>
      <c r="E86" s="6" t="s">
        <v>306</v>
      </c>
      <c r="F86" s="5"/>
      <c r="G86" s="7"/>
      <c r="H86" s="5"/>
    </row>
    <row r="87" customFormat="false" ht="51.75" hidden="false" customHeight="true" outlineLevel="0" collapsed="false">
      <c r="A87" s="8" t="s">
        <v>270</v>
      </c>
      <c r="B87" s="9" t="s">
        <v>307</v>
      </c>
      <c r="C87" s="9" t="s">
        <v>308</v>
      </c>
      <c r="D87" s="10" t="s">
        <v>309</v>
      </c>
      <c r="E87" s="10" t="s">
        <v>310</v>
      </c>
      <c r="F87" s="9"/>
      <c r="G87" s="11"/>
      <c r="H87" s="9"/>
    </row>
    <row r="88" customFormat="false" ht="51.75" hidden="false" customHeight="true" outlineLevel="0" collapsed="false">
      <c r="A88" s="4" t="s">
        <v>270</v>
      </c>
      <c r="B88" s="5" t="s">
        <v>311</v>
      </c>
      <c r="C88" s="5" t="s">
        <v>312</v>
      </c>
      <c r="D88" s="6" t="s">
        <v>313</v>
      </c>
      <c r="E88" s="6" t="s">
        <v>314</v>
      </c>
      <c r="F88" s="5"/>
      <c r="G88" s="7"/>
      <c r="H88" s="5"/>
    </row>
    <row r="89" customFormat="false" ht="51.75" hidden="false" customHeight="true" outlineLevel="0" collapsed="false">
      <c r="A89" s="8" t="s">
        <v>270</v>
      </c>
      <c r="B89" s="9" t="s">
        <v>315</v>
      </c>
      <c r="C89" s="9" t="s">
        <v>316</v>
      </c>
      <c r="D89" s="10" t="s">
        <v>317</v>
      </c>
      <c r="E89" s="10" t="s">
        <v>318</v>
      </c>
      <c r="F89" s="9"/>
      <c r="G89" s="11"/>
      <c r="H89" s="9"/>
    </row>
    <row r="91" customFormat="false" ht="18" hidden="false" customHeight="true" outlineLevel="0" collapsed="false">
      <c r="A91" s="18" t="s">
        <v>319</v>
      </c>
      <c r="B91" s="18"/>
      <c r="C91" s="18"/>
      <c r="D91" s="18"/>
      <c r="E91" s="18"/>
      <c r="F91" s="18"/>
      <c r="G91" s="18"/>
      <c r="H91" s="18"/>
    </row>
    <row r="92" customFormat="false" ht="51.75" hidden="false" customHeight="true" outlineLevel="0" collapsed="false">
      <c r="A92" s="4" t="s">
        <v>320</v>
      </c>
      <c r="B92" s="5" t="s">
        <v>321</v>
      </c>
      <c r="C92" s="5" t="s">
        <v>322</v>
      </c>
      <c r="D92" s="6" t="s">
        <v>323</v>
      </c>
      <c r="E92" s="6" t="s">
        <v>324</v>
      </c>
      <c r="F92" s="5"/>
      <c r="G92" s="7"/>
      <c r="H92" s="5"/>
    </row>
    <row r="93" customFormat="false" ht="51.75" hidden="false" customHeight="true" outlineLevel="0" collapsed="false">
      <c r="A93" s="8" t="s">
        <v>320</v>
      </c>
      <c r="B93" s="9" t="s">
        <v>325</v>
      </c>
      <c r="C93" s="9" t="s">
        <v>326</v>
      </c>
      <c r="D93" s="10" t="s">
        <v>327</v>
      </c>
      <c r="E93" s="10" t="s">
        <v>328</v>
      </c>
      <c r="F93" s="9"/>
      <c r="G93" s="11"/>
      <c r="H93" s="9"/>
    </row>
    <row r="94" customFormat="false" ht="51.75" hidden="false" customHeight="true" outlineLevel="0" collapsed="false">
      <c r="A94" s="4" t="s">
        <v>320</v>
      </c>
      <c r="B94" s="5" t="s">
        <v>329</v>
      </c>
      <c r="C94" s="5" t="s">
        <v>330</v>
      </c>
      <c r="D94" s="6" t="s">
        <v>331</v>
      </c>
      <c r="E94" s="6" t="s">
        <v>332</v>
      </c>
      <c r="F94" s="5"/>
      <c r="G94" s="7"/>
      <c r="H94" s="5"/>
    </row>
    <row r="95" customFormat="false" ht="51.75" hidden="false" customHeight="true" outlineLevel="0" collapsed="false">
      <c r="A95" s="8" t="s">
        <v>320</v>
      </c>
      <c r="B95" s="9" t="s">
        <v>333</v>
      </c>
      <c r="C95" s="9" t="s">
        <v>334</v>
      </c>
      <c r="D95" s="10" t="s">
        <v>335</v>
      </c>
      <c r="E95" s="10" t="s">
        <v>336</v>
      </c>
      <c r="F95" s="9"/>
      <c r="G95" s="11"/>
      <c r="H95" s="9"/>
    </row>
    <row r="96" customFormat="false" ht="51.75" hidden="false" customHeight="true" outlineLevel="0" collapsed="false">
      <c r="A96" s="4" t="s">
        <v>320</v>
      </c>
      <c r="B96" s="5" t="s">
        <v>337</v>
      </c>
      <c r="C96" s="5" t="s">
        <v>338</v>
      </c>
      <c r="D96" s="6" t="s">
        <v>339</v>
      </c>
      <c r="E96" s="6" t="s">
        <v>340</v>
      </c>
      <c r="F96" s="5"/>
      <c r="G96" s="7"/>
      <c r="H96" s="5"/>
    </row>
    <row r="97" customFormat="false" ht="51.75" hidden="false" customHeight="true" outlineLevel="0" collapsed="false">
      <c r="A97" s="8" t="s">
        <v>320</v>
      </c>
      <c r="B97" s="9" t="s">
        <v>341</v>
      </c>
      <c r="C97" s="9" t="s">
        <v>342</v>
      </c>
      <c r="D97" s="10" t="s">
        <v>343</v>
      </c>
      <c r="E97" s="10" t="s">
        <v>344</v>
      </c>
      <c r="F97" s="9"/>
      <c r="G97" s="11"/>
      <c r="H97" s="9"/>
    </row>
    <row r="99" customFormat="false" ht="18" hidden="false" customHeight="true" outlineLevel="0" collapsed="false">
      <c r="A99" s="19" t="s">
        <v>345</v>
      </c>
      <c r="B99" s="19"/>
      <c r="C99" s="19"/>
      <c r="D99" s="19"/>
      <c r="E99" s="19"/>
      <c r="F99" s="19"/>
      <c r="G99" s="19"/>
      <c r="H99" s="19"/>
    </row>
    <row r="100" customFormat="false" ht="51.75" hidden="false" customHeight="true" outlineLevel="0" collapsed="false">
      <c r="A100" s="4" t="s">
        <v>346</v>
      </c>
      <c r="B100" s="5" t="s">
        <v>347</v>
      </c>
      <c r="C100" s="5" t="s">
        <v>348</v>
      </c>
      <c r="D100" s="6" t="s">
        <v>349</v>
      </c>
      <c r="E100" s="6" t="s">
        <v>350</v>
      </c>
      <c r="F100" s="5"/>
      <c r="G100" s="7"/>
      <c r="H100" s="5"/>
    </row>
    <row r="101" customFormat="false" ht="51.75" hidden="false" customHeight="true" outlineLevel="0" collapsed="false">
      <c r="A101" s="8" t="s">
        <v>346</v>
      </c>
      <c r="B101" s="9" t="s">
        <v>351</v>
      </c>
      <c r="C101" s="9" t="s">
        <v>352</v>
      </c>
      <c r="D101" s="10" t="s">
        <v>353</v>
      </c>
      <c r="E101" s="10" t="s">
        <v>354</v>
      </c>
      <c r="F101" s="9"/>
      <c r="G101" s="11"/>
      <c r="H101" s="9"/>
    </row>
    <row r="102" customFormat="false" ht="51.75" hidden="false" customHeight="true" outlineLevel="0" collapsed="false">
      <c r="A102" s="4" t="s">
        <v>346</v>
      </c>
      <c r="B102" s="5" t="s">
        <v>355</v>
      </c>
      <c r="C102" s="5" t="s">
        <v>356</v>
      </c>
      <c r="D102" s="6" t="s">
        <v>357</v>
      </c>
      <c r="E102" s="6" t="s">
        <v>358</v>
      </c>
      <c r="F102" s="5"/>
      <c r="G102" s="7"/>
      <c r="H102" s="5"/>
    </row>
    <row r="103" customFormat="false" ht="51.75" hidden="false" customHeight="true" outlineLevel="0" collapsed="false">
      <c r="A103" s="8" t="s">
        <v>346</v>
      </c>
      <c r="B103" s="9" t="s">
        <v>359</v>
      </c>
      <c r="C103" s="9" t="s">
        <v>360</v>
      </c>
      <c r="D103" s="10" t="s">
        <v>361</v>
      </c>
      <c r="E103" s="10" t="s">
        <v>362</v>
      </c>
      <c r="F103" s="9"/>
      <c r="G103" s="11"/>
      <c r="H103" s="9"/>
    </row>
    <row r="104" customFormat="false" ht="51.75" hidden="false" customHeight="true" outlineLevel="0" collapsed="false">
      <c r="A104" s="4" t="s">
        <v>346</v>
      </c>
      <c r="B104" s="5" t="s">
        <v>363</v>
      </c>
      <c r="C104" s="5" t="s">
        <v>364</v>
      </c>
      <c r="D104" s="6" t="s">
        <v>365</v>
      </c>
      <c r="E104" s="6" t="s">
        <v>366</v>
      </c>
      <c r="F104" s="5"/>
      <c r="G104" s="7"/>
      <c r="H104" s="5"/>
    </row>
    <row r="105" customFormat="false" ht="51.75" hidden="false" customHeight="true" outlineLevel="0" collapsed="false">
      <c r="A105" s="8" t="s">
        <v>346</v>
      </c>
      <c r="B105" s="9" t="s">
        <v>367</v>
      </c>
      <c r="C105" s="9" t="s">
        <v>368</v>
      </c>
      <c r="D105" s="10" t="s">
        <v>369</v>
      </c>
      <c r="E105" s="10" t="s">
        <v>370</v>
      </c>
      <c r="F105" s="9"/>
      <c r="G105" s="11"/>
      <c r="H105" s="9"/>
    </row>
    <row r="107" customFormat="false" ht="18" hidden="false" customHeight="true" outlineLevel="0" collapsed="false">
      <c r="A107" s="20" t="s">
        <v>371</v>
      </c>
      <c r="B107" s="20"/>
      <c r="C107" s="20"/>
      <c r="D107" s="20"/>
      <c r="E107" s="20"/>
      <c r="F107" s="20"/>
      <c r="G107" s="20"/>
      <c r="H107" s="20"/>
    </row>
    <row r="108" customFormat="false" ht="51.75" hidden="false" customHeight="true" outlineLevel="0" collapsed="false">
      <c r="A108" s="4" t="s">
        <v>372</v>
      </c>
      <c r="B108" s="5" t="s">
        <v>373</v>
      </c>
      <c r="C108" s="5" t="s">
        <v>374</v>
      </c>
      <c r="D108" s="6" t="s">
        <v>375</v>
      </c>
      <c r="E108" s="6" t="s">
        <v>376</v>
      </c>
      <c r="F108" s="5"/>
      <c r="G108" s="7"/>
      <c r="H108" s="5"/>
    </row>
    <row r="109" customFormat="false" ht="51.75" hidden="false" customHeight="true" outlineLevel="0" collapsed="false">
      <c r="A109" s="8" t="s">
        <v>372</v>
      </c>
      <c r="B109" s="9" t="s">
        <v>377</v>
      </c>
      <c r="C109" s="9" t="s">
        <v>378</v>
      </c>
      <c r="D109" s="10" t="s">
        <v>379</v>
      </c>
      <c r="E109" s="10" t="s">
        <v>380</v>
      </c>
      <c r="F109" s="9"/>
      <c r="G109" s="11"/>
      <c r="H109" s="9"/>
    </row>
    <row r="110" customFormat="false" ht="51.75" hidden="false" customHeight="true" outlineLevel="0" collapsed="false">
      <c r="A110" s="4" t="s">
        <v>372</v>
      </c>
      <c r="B110" s="5" t="s">
        <v>381</v>
      </c>
      <c r="C110" s="5" t="s">
        <v>382</v>
      </c>
      <c r="D110" s="6" t="s">
        <v>383</v>
      </c>
      <c r="E110" s="6" t="s">
        <v>384</v>
      </c>
      <c r="F110" s="5"/>
      <c r="G110" s="7"/>
      <c r="H110" s="5"/>
    </row>
    <row r="111" customFormat="false" ht="51.75" hidden="false" customHeight="true" outlineLevel="0" collapsed="false">
      <c r="A111" s="8" t="s">
        <v>372</v>
      </c>
      <c r="B111" s="9" t="s">
        <v>385</v>
      </c>
      <c r="C111" s="9" t="s">
        <v>386</v>
      </c>
      <c r="D111" s="10" t="s">
        <v>387</v>
      </c>
      <c r="E111" s="10" t="s">
        <v>388</v>
      </c>
      <c r="F111" s="9"/>
      <c r="G111" s="11"/>
      <c r="H111" s="9"/>
    </row>
    <row r="112" customFormat="false" ht="51.75" hidden="false" customHeight="true" outlineLevel="0" collapsed="false">
      <c r="A112" s="4" t="s">
        <v>372</v>
      </c>
      <c r="B112" s="5" t="s">
        <v>389</v>
      </c>
      <c r="C112" s="5" t="s">
        <v>390</v>
      </c>
      <c r="D112" s="6" t="s">
        <v>391</v>
      </c>
      <c r="E112" s="6" t="s">
        <v>392</v>
      </c>
      <c r="F112" s="5"/>
      <c r="G112" s="7"/>
      <c r="H112" s="5"/>
    </row>
    <row r="113" customFormat="false" ht="51.75" hidden="false" customHeight="true" outlineLevel="0" collapsed="false">
      <c r="A113" s="8" t="s">
        <v>372</v>
      </c>
      <c r="B113" s="9" t="s">
        <v>393</v>
      </c>
      <c r="C113" s="9" t="s">
        <v>394</v>
      </c>
      <c r="D113" s="10" t="s">
        <v>395</v>
      </c>
      <c r="E113" s="10" t="s">
        <v>396</v>
      </c>
      <c r="F113" s="9"/>
      <c r="G113" s="11"/>
      <c r="H113" s="9"/>
    </row>
    <row r="114" customFormat="false" ht="51.75" hidden="false" customHeight="true" outlineLevel="0" collapsed="false">
      <c r="A114" s="4" t="s">
        <v>372</v>
      </c>
      <c r="B114" s="5" t="s">
        <v>397</v>
      </c>
      <c r="C114" s="5" t="s">
        <v>398</v>
      </c>
      <c r="D114" s="6" t="s">
        <v>399</v>
      </c>
      <c r="E114" s="6" t="s">
        <v>400</v>
      </c>
      <c r="F114" s="5"/>
      <c r="G114" s="7"/>
      <c r="H114" s="5"/>
    </row>
    <row r="116" customFormat="false" ht="18" hidden="false" customHeight="true" outlineLevel="0" collapsed="false">
      <c r="A116" s="21" t="s">
        <v>401</v>
      </c>
      <c r="B116" s="21"/>
      <c r="C116" s="21"/>
      <c r="D116" s="21"/>
      <c r="E116" s="21"/>
      <c r="F116" s="21"/>
      <c r="G116" s="21"/>
      <c r="H116" s="21"/>
    </row>
    <row r="117" customFormat="false" ht="51.75" hidden="false" customHeight="true" outlineLevel="0" collapsed="false">
      <c r="A117" s="8" t="s">
        <v>402</v>
      </c>
      <c r="B117" s="9" t="s">
        <v>403</v>
      </c>
      <c r="C117" s="9" t="s">
        <v>404</v>
      </c>
      <c r="D117" s="10" t="s">
        <v>405</v>
      </c>
      <c r="E117" s="10" t="s">
        <v>406</v>
      </c>
      <c r="F117" s="9"/>
      <c r="G117" s="11"/>
      <c r="H117" s="9"/>
    </row>
    <row r="118" customFormat="false" ht="51.75" hidden="false" customHeight="true" outlineLevel="0" collapsed="false">
      <c r="A118" s="4" t="s">
        <v>402</v>
      </c>
      <c r="B118" s="5" t="s">
        <v>407</v>
      </c>
      <c r="C118" s="5" t="s">
        <v>408</v>
      </c>
      <c r="D118" s="6" t="s">
        <v>409</v>
      </c>
      <c r="E118" s="6" t="s">
        <v>410</v>
      </c>
      <c r="F118" s="5"/>
      <c r="G118" s="7"/>
      <c r="H118" s="5"/>
    </row>
    <row r="119" customFormat="false" ht="51.75" hidden="false" customHeight="true" outlineLevel="0" collapsed="false">
      <c r="A119" s="8" t="s">
        <v>402</v>
      </c>
      <c r="B119" s="9" t="s">
        <v>411</v>
      </c>
      <c r="C119" s="9" t="s">
        <v>412</v>
      </c>
      <c r="D119" s="10" t="s">
        <v>413</v>
      </c>
      <c r="E119" s="10" t="s">
        <v>414</v>
      </c>
      <c r="F119" s="9"/>
      <c r="G119" s="11"/>
      <c r="H119" s="9"/>
    </row>
    <row r="120" customFormat="false" ht="51.75" hidden="false" customHeight="true" outlineLevel="0" collapsed="false">
      <c r="A120" s="4" t="s">
        <v>402</v>
      </c>
      <c r="B120" s="5" t="s">
        <v>415</v>
      </c>
      <c r="C120" s="5" t="s">
        <v>416</v>
      </c>
      <c r="D120" s="6" t="s">
        <v>417</v>
      </c>
      <c r="E120" s="6" t="s">
        <v>418</v>
      </c>
      <c r="F120" s="5"/>
      <c r="G120" s="7"/>
      <c r="H120" s="5"/>
    </row>
    <row r="121" customFormat="false" ht="51.75" hidden="false" customHeight="true" outlineLevel="0" collapsed="false">
      <c r="A121" s="8" t="s">
        <v>402</v>
      </c>
      <c r="B121" s="9" t="s">
        <v>419</v>
      </c>
      <c r="C121" s="9" t="s">
        <v>420</v>
      </c>
      <c r="D121" s="10" t="s">
        <v>421</v>
      </c>
      <c r="E121" s="10" t="s">
        <v>422</v>
      </c>
      <c r="F121" s="9"/>
      <c r="G121" s="11"/>
      <c r="H121" s="9"/>
    </row>
    <row r="123" customFormat="false" ht="18" hidden="false" customHeight="true" outlineLevel="0" collapsed="false">
      <c r="A123" s="22" t="s">
        <v>423</v>
      </c>
      <c r="B123" s="22"/>
      <c r="C123" s="22"/>
      <c r="D123" s="22"/>
      <c r="E123" s="22"/>
      <c r="F123" s="22"/>
      <c r="G123" s="22"/>
      <c r="H123" s="22"/>
    </row>
    <row r="124" customFormat="false" ht="51.75" hidden="false" customHeight="true" outlineLevel="0" collapsed="false">
      <c r="A124" s="4" t="s">
        <v>424</v>
      </c>
      <c r="B124" s="5" t="s">
        <v>425</v>
      </c>
      <c r="C124" s="5" t="s">
        <v>426</v>
      </c>
      <c r="D124" s="6" t="s">
        <v>427</v>
      </c>
      <c r="E124" s="6" t="s">
        <v>428</v>
      </c>
      <c r="F124" s="5"/>
      <c r="G124" s="7"/>
      <c r="H124" s="5"/>
    </row>
    <row r="125" customFormat="false" ht="51.75" hidden="false" customHeight="true" outlineLevel="0" collapsed="false">
      <c r="A125" s="8" t="s">
        <v>424</v>
      </c>
      <c r="B125" s="9" t="s">
        <v>429</v>
      </c>
      <c r="C125" s="9" t="s">
        <v>430</v>
      </c>
      <c r="D125" s="10" t="s">
        <v>431</v>
      </c>
      <c r="E125" s="10" t="s">
        <v>432</v>
      </c>
      <c r="F125" s="9"/>
      <c r="G125" s="11"/>
      <c r="H125" s="9"/>
    </row>
    <row r="126" customFormat="false" ht="51.75" hidden="false" customHeight="true" outlineLevel="0" collapsed="false">
      <c r="A126" s="4" t="s">
        <v>424</v>
      </c>
      <c r="B126" s="5" t="s">
        <v>433</v>
      </c>
      <c r="C126" s="5" t="s">
        <v>434</v>
      </c>
      <c r="D126" s="6" t="s">
        <v>435</v>
      </c>
      <c r="E126" s="6" t="s">
        <v>436</v>
      </c>
      <c r="F126" s="5"/>
      <c r="G126" s="7"/>
      <c r="H126" s="5"/>
    </row>
    <row r="127" customFormat="false" ht="51.75" hidden="false" customHeight="true" outlineLevel="0" collapsed="false">
      <c r="A127" s="8" t="s">
        <v>424</v>
      </c>
      <c r="B127" s="9" t="s">
        <v>437</v>
      </c>
      <c r="C127" s="9" t="s">
        <v>438</v>
      </c>
      <c r="D127" s="10" t="s">
        <v>439</v>
      </c>
      <c r="E127" s="10" t="s">
        <v>440</v>
      </c>
      <c r="F127" s="9"/>
      <c r="G127" s="11"/>
      <c r="H127" s="9"/>
    </row>
    <row r="128" customFormat="false" ht="51.75" hidden="false" customHeight="true" outlineLevel="0" collapsed="false">
      <c r="A128" s="4" t="s">
        <v>424</v>
      </c>
      <c r="B128" s="5" t="s">
        <v>441</v>
      </c>
      <c r="C128" s="5" t="s">
        <v>442</v>
      </c>
      <c r="D128" s="6" t="s">
        <v>443</v>
      </c>
      <c r="E128" s="6" t="s">
        <v>444</v>
      </c>
      <c r="F128" s="5"/>
      <c r="G128" s="7"/>
      <c r="H128" s="5"/>
    </row>
    <row r="129" customFormat="false" ht="51.75" hidden="false" customHeight="true" outlineLevel="0" collapsed="false">
      <c r="A129" s="8" t="s">
        <v>424</v>
      </c>
      <c r="B129" s="9" t="s">
        <v>445</v>
      </c>
      <c r="C129" s="9" t="s">
        <v>446</v>
      </c>
      <c r="D129" s="10" t="s">
        <v>447</v>
      </c>
      <c r="E129" s="10" t="s">
        <v>448</v>
      </c>
      <c r="F129" s="9"/>
      <c r="G129" s="11"/>
      <c r="H129" s="9"/>
    </row>
    <row r="130" customFormat="false" ht="51.75" hidden="false" customHeight="true" outlineLevel="0" collapsed="false">
      <c r="A130" s="4" t="s">
        <v>424</v>
      </c>
      <c r="B130" s="5" t="s">
        <v>449</v>
      </c>
      <c r="C130" s="5" t="s">
        <v>450</v>
      </c>
      <c r="D130" s="6" t="s">
        <v>451</v>
      </c>
      <c r="E130" s="6" t="s">
        <v>452</v>
      </c>
      <c r="F130" s="5"/>
      <c r="G130" s="7"/>
      <c r="H130" s="5"/>
    </row>
    <row r="131" customFormat="false" ht="51.75" hidden="false" customHeight="true" outlineLevel="0" collapsed="false">
      <c r="A131" s="8" t="s">
        <v>424</v>
      </c>
      <c r="B131" s="9" t="s">
        <v>453</v>
      </c>
      <c r="C131" s="9" t="s">
        <v>454</v>
      </c>
      <c r="D131" s="10" t="s">
        <v>455</v>
      </c>
      <c r="E131" s="10" t="s">
        <v>456</v>
      </c>
      <c r="F131" s="9"/>
      <c r="G131" s="11"/>
      <c r="H131" s="9"/>
    </row>
  </sheetData>
  <mergeCells count="13">
    <mergeCell ref="A1:H1"/>
    <mergeCell ref="A3:H3"/>
    <mergeCell ref="A25:H25"/>
    <mergeCell ref="A34:H34"/>
    <mergeCell ref="A45:H45"/>
    <mergeCell ref="A54:H54"/>
    <mergeCell ref="A67:H67"/>
    <mergeCell ref="A77:H77"/>
    <mergeCell ref="A91:H91"/>
    <mergeCell ref="A99:H99"/>
    <mergeCell ref="A107:H107"/>
    <mergeCell ref="A116:H116"/>
    <mergeCell ref="A123:H123"/>
  </mergeCells>
  <conditionalFormatting sqref="G3:G13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06">
    <dataValidation allowBlank="true" errorStyle="stop" operator="between" showDropDown="false" showErrorMessage="false" showInputMessage="false" sqref="G4" type="list">
      <formula1>"Pass,Fail,Blocked,Skip"</formula1>
      <formula2>0</formula2>
    </dataValidation>
    <dataValidation allowBlank="true" errorStyle="stop" operator="between" showDropDown="false" showErrorMessage="false" showInputMessage="false" sqref="G5" type="list">
      <formula1>"Pass,Fail,Blocked,Skip"</formula1>
      <formula2>0</formula2>
    </dataValidation>
    <dataValidation allowBlank="true" errorStyle="stop" operator="between" showDropDown="false" showErrorMessage="false" showInputMessage="false" sqref="G6" type="list">
      <formula1>"Pass,Fail,Blocked,Skip"</formula1>
      <formula2>0</formula2>
    </dataValidation>
    <dataValidation allowBlank="true" errorStyle="stop" operator="between" showDropDown="false" showErrorMessage="false" showInputMessage="false" sqref="G7" type="list">
      <formula1>"Pass,Fail,Blocked,Skip"</formula1>
      <formula2>0</formula2>
    </dataValidation>
    <dataValidation allowBlank="true" errorStyle="stop" operator="between" showDropDown="false" showErrorMessage="false" showInputMessage="false" sqref="G8" type="list">
      <formula1>"Pass,Fail,Blocked,Skip"</formula1>
      <formula2>0</formula2>
    </dataValidation>
    <dataValidation allowBlank="true" errorStyle="stop" operator="between" showDropDown="false" showErrorMessage="false" showInputMessage="false" sqref="G9" type="list">
      <formula1>"Pass,Fail,Blocked,Skip"</formula1>
      <formula2>0</formula2>
    </dataValidation>
    <dataValidation allowBlank="true" errorStyle="stop" operator="between" showDropDown="false" showErrorMessage="false" showInputMessage="false" sqref="G10" type="list">
      <formula1>"Pass,Fail,Blocked,Skip"</formula1>
      <formula2>0</formula2>
    </dataValidation>
    <dataValidation allowBlank="true" errorStyle="stop" operator="between" showDropDown="false" showErrorMessage="false" showInputMessage="false" sqref="G11" type="list">
      <formula1>"Pass,Fail,Blocked,Skip"</formula1>
      <formula2>0</formula2>
    </dataValidation>
    <dataValidation allowBlank="true" errorStyle="stop" operator="between" showDropDown="false" showErrorMessage="false" showInputMessage="false" sqref="G12" type="list">
      <formula1>"Pass,Fail,Blocked,Skip"</formula1>
      <formula2>0</formula2>
    </dataValidation>
    <dataValidation allowBlank="true" errorStyle="stop" operator="between" showDropDown="false" showErrorMessage="false" showInputMessage="false" sqref="G13" type="list">
      <formula1>"Pass,Fail,Blocked,Skip"</formula1>
      <formula2>0</formula2>
    </dataValidation>
    <dataValidation allowBlank="true" errorStyle="stop" operator="between" showDropDown="false" showErrorMessage="false" showInputMessage="false" sqref="G14" type="list">
      <formula1>"Pass,Fail,Blocked,Skip"</formula1>
      <formula2>0</formula2>
    </dataValidation>
    <dataValidation allowBlank="true" errorStyle="stop" operator="between" showDropDown="false" showErrorMessage="false" showInputMessage="false" sqref="G15" type="list">
      <formula1>"Pass,Fail,Blocked,Skip"</formula1>
      <formula2>0</formula2>
    </dataValidation>
    <dataValidation allowBlank="true" errorStyle="stop" operator="between" showDropDown="false" showErrorMessage="false" showInputMessage="false" sqref="G16" type="list">
      <formula1>"Pass,Fail,Blocked,Skip"</formula1>
      <formula2>0</formula2>
    </dataValidation>
    <dataValidation allowBlank="true" errorStyle="stop" operator="between" showDropDown="false" showErrorMessage="false" showInputMessage="false" sqref="G17" type="list">
      <formula1>"Pass,Fail,Blocked,Skip"</formula1>
      <formula2>0</formula2>
    </dataValidation>
    <dataValidation allowBlank="true" errorStyle="stop" operator="between" showDropDown="false" showErrorMessage="false" showInputMessage="false" sqref="G18" type="list">
      <formula1>"Pass,Fail,Blocked,Skip"</formula1>
      <formula2>0</formula2>
    </dataValidation>
    <dataValidation allowBlank="true" errorStyle="stop" operator="between" showDropDown="false" showErrorMessage="false" showInputMessage="false" sqref="G19" type="list">
      <formula1>"Pass,Fail,Blocked,Skip"</formula1>
      <formula2>0</formula2>
    </dataValidation>
    <dataValidation allowBlank="true" errorStyle="stop" operator="between" showDropDown="false" showErrorMessage="false" showInputMessage="false" sqref="G20" type="list">
      <formula1>"Pass,Fail,Blocked,Skip"</formula1>
      <formula2>0</formula2>
    </dataValidation>
    <dataValidation allowBlank="true" errorStyle="stop" operator="between" showDropDown="false" showErrorMessage="false" showInputMessage="false" sqref="G21" type="list">
      <formula1>"Pass,Fail,Blocked,Skip"</formula1>
      <formula2>0</formula2>
    </dataValidation>
    <dataValidation allowBlank="true" errorStyle="stop" operator="between" showDropDown="false" showErrorMessage="false" showInputMessage="false" sqref="G22" type="list">
      <formula1>"Pass,Fail,Blocked,Skip"</formula1>
      <formula2>0</formula2>
    </dataValidation>
    <dataValidation allowBlank="true" errorStyle="stop" operator="between" showDropDown="false" showErrorMessage="false" showInputMessage="false" sqref="G23" type="list">
      <formula1>"Pass,Fail,Blocked,Skip"</formula1>
      <formula2>0</formula2>
    </dataValidation>
    <dataValidation allowBlank="true" errorStyle="stop" operator="between" showDropDown="false" showErrorMessage="false" showInputMessage="false" sqref="G26" type="list">
      <formula1>"Pass,Fail,Blocked,Skip"</formula1>
      <formula2>0</formula2>
    </dataValidation>
    <dataValidation allowBlank="true" errorStyle="stop" operator="between" showDropDown="false" showErrorMessage="false" showInputMessage="false" sqref="G27" type="list">
      <formula1>"Pass,Fail,Blocked,Skip"</formula1>
      <formula2>0</formula2>
    </dataValidation>
    <dataValidation allowBlank="true" errorStyle="stop" operator="between" showDropDown="false" showErrorMessage="false" showInputMessage="false" sqref="G28" type="list">
      <formula1>"Pass,Fail,Blocked,Skip"</formula1>
      <formula2>0</formula2>
    </dataValidation>
    <dataValidation allowBlank="true" errorStyle="stop" operator="between" showDropDown="false" showErrorMessage="false" showInputMessage="false" sqref="G29" type="list">
      <formula1>"Pass,Fail,Blocked,Skip"</formula1>
      <formula2>0</formula2>
    </dataValidation>
    <dataValidation allowBlank="true" errorStyle="stop" operator="between" showDropDown="false" showErrorMessage="false" showInputMessage="false" sqref="G30" type="list">
      <formula1>"Pass,Fail,Blocked,Skip"</formula1>
      <formula2>0</formula2>
    </dataValidation>
    <dataValidation allowBlank="true" errorStyle="stop" operator="between" showDropDown="false" showErrorMessage="false" showInputMessage="false" sqref="G31" type="list">
      <formula1>"Pass,Fail,Blocked,Skip"</formula1>
      <formula2>0</formula2>
    </dataValidation>
    <dataValidation allowBlank="true" errorStyle="stop" operator="between" showDropDown="false" showErrorMessage="false" showInputMessage="false" sqref="G32" type="list">
      <formula1>"Pass,Fail,Blocked,Skip"</formula1>
      <formula2>0</formula2>
    </dataValidation>
    <dataValidation allowBlank="true" errorStyle="stop" operator="between" showDropDown="false" showErrorMessage="false" showInputMessage="false" sqref="G35" type="list">
      <formula1>"Pass,Fail,Blocked,Skip"</formula1>
      <formula2>0</formula2>
    </dataValidation>
    <dataValidation allowBlank="true" errorStyle="stop" operator="between" showDropDown="false" showErrorMessage="false" showInputMessage="false" sqref="G36" type="list">
      <formula1>"Pass,Fail,Blocked,Skip"</formula1>
      <formula2>0</formula2>
    </dataValidation>
    <dataValidation allowBlank="true" errorStyle="stop" operator="between" showDropDown="false" showErrorMessage="false" showInputMessage="false" sqref="G37" type="list">
      <formula1>"Pass,Fail,Blocked,Skip"</formula1>
      <formula2>0</formula2>
    </dataValidation>
    <dataValidation allowBlank="true" errorStyle="stop" operator="between" showDropDown="false" showErrorMessage="false" showInputMessage="false" sqref="G38" type="list">
      <formula1>"Pass,Fail,Blocked,Skip"</formula1>
      <formula2>0</formula2>
    </dataValidation>
    <dataValidation allowBlank="true" errorStyle="stop" operator="between" showDropDown="false" showErrorMessage="false" showInputMessage="false" sqref="G39" type="list">
      <formula1>"Pass,Fail,Blocked,Skip"</formula1>
      <formula2>0</formula2>
    </dataValidation>
    <dataValidation allowBlank="true" errorStyle="stop" operator="between" showDropDown="false" showErrorMessage="false" showInputMessage="false" sqref="G40" type="list">
      <formula1>"Pass,Fail,Blocked,Skip"</formula1>
      <formula2>0</formula2>
    </dataValidation>
    <dataValidation allowBlank="true" errorStyle="stop" operator="between" showDropDown="false" showErrorMessage="false" showInputMessage="false" sqref="G41" type="list">
      <formula1>"Pass,Fail,Blocked,Skip"</formula1>
      <formula2>0</formula2>
    </dataValidation>
    <dataValidation allowBlank="true" errorStyle="stop" operator="between" showDropDown="false" showErrorMessage="false" showInputMessage="false" sqref="G42" type="list">
      <formula1>"Pass,Fail,Blocked,Skip"</formula1>
      <formula2>0</formula2>
    </dataValidation>
    <dataValidation allowBlank="true" errorStyle="stop" operator="between" showDropDown="false" showErrorMessage="false" showInputMessage="false" sqref="G43" type="list">
      <formula1>"Pass,Fail,Blocked,Skip"</formula1>
      <formula2>0</formula2>
    </dataValidation>
    <dataValidation allowBlank="true" errorStyle="stop" operator="between" showDropDown="false" showErrorMessage="false" showInputMessage="false" sqref="G46" type="list">
      <formula1>"Pass,Fail,Blocked,Skip"</formula1>
      <formula2>0</formula2>
    </dataValidation>
    <dataValidation allowBlank="true" errorStyle="stop" operator="between" showDropDown="false" showErrorMessage="false" showInputMessage="false" sqref="G47" type="list">
      <formula1>"Pass,Fail,Blocked,Skip"</formula1>
      <formula2>0</formula2>
    </dataValidation>
    <dataValidation allowBlank="true" errorStyle="stop" operator="between" showDropDown="false" showErrorMessage="false" showInputMessage="false" sqref="G48" type="list">
      <formula1>"Pass,Fail,Blocked,Skip"</formula1>
      <formula2>0</formula2>
    </dataValidation>
    <dataValidation allowBlank="true" errorStyle="stop" operator="between" showDropDown="false" showErrorMessage="false" showInputMessage="false" sqref="G49" type="list">
      <formula1>"Pass,Fail,Blocked,Skip"</formula1>
      <formula2>0</formula2>
    </dataValidation>
    <dataValidation allowBlank="true" errorStyle="stop" operator="between" showDropDown="false" showErrorMessage="false" showInputMessage="false" sqref="G50" type="list">
      <formula1>"Pass,Fail,Blocked,Skip"</formula1>
      <formula2>0</formula2>
    </dataValidation>
    <dataValidation allowBlank="true" errorStyle="stop" operator="between" showDropDown="false" showErrorMessage="false" showInputMessage="false" sqref="G51" type="list">
      <formula1>"Pass,Fail,Blocked,Skip"</formula1>
      <formula2>0</formula2>
    </dataValidation>
    <dataValidation allowBlank="true" errorStyle="stop" operator="between" showDropDown="false" showErrorMessage="false" showInputMessage="false" sqref="G52" type="list">
      <formula1>"Pass,Fail,Blocked,Skip"</formula1>
      <formula2>0</formula2>
    </dataValidation>
    <dataValidation allowBlank="true" errorStyle="stop" operator="between" showDropDown="false" showErrorMessage="false" showInputMessage="false" sqref="G55" type="list">
      <formula1>"Pass,Fail,Blocked,Skip"</formula1>
      <formula2>0</formula2>
    </dataValidation>
    <dataValidation allowBlank="true" errorStyle="stop" operator="between" showDropDown="false" showErrorMessage="false" showInputMessage="false" sqref="G56" type="list">
      <formula1>"Pass,Fail,Blocked,Skip"</formula1>
      <formula2>0</formula2>
    </dataValidation>
    <dataValidation allowBlank="true" errorStyle="stop" operator="between" showDropDown="false" showErrorMessage="false" showInputMessage="false" sqref="G57" type="list">
      <formula1>"Pass,Fail,Blocked,Skip"</formula1>
      <formula2>0</formula2>
    </dataValidation>
    <dataValidation allowBlank="true" errorStyle="stop" operator="between" showDropDown="false" showErrorMessage="false" showInputMessage="false" sqref="G58" type="list">
      <formula1>"Pass,Fail,Blocked,Skip"</formula1>
      <formula2>0</formula2>
    </dataValidation>
    <dataValidation allowBlank="true" errorStyle="stop" operator="between" showDropDown="false" showErrorMessage="false" showInputMessage="false" sqref="G59" type="list">
      <formula1>"Pass,Fail,Blocked,Skip"</formula1>
      <formula2>0</formula2>
    </dataValidation>
    <dataValidation allowBlank="true" errorStyle="stop" operator="between" showDropDown="false" showErrorMessage="false" showInputMessage="false" sqref="G60" type="list">
      <formula1>"Pass,Fail,Blocked,Skip"</formula1>
      <formula2>0</formula2>
    </dataValidation>
    <dataValidation allowBlank="true" errorStyle="stop" operator="between" showDropDown="false" showErrorMessage="false" showInputMessage="false" sqref="G61" type="list">
      <formula1>"Pass,Fail,Blocked,Skip"</formula1>
      <formula2>0</formula2>
    </dataValidation>
    <dataValidation allowBlank="true" errorStyle="stop" operator="between" showDropDown="false" showErrorMessage="false" showInputMessage="false" sqref="G62" type="list">
      <formula1>"Pass,Fail,Blocked,Skip"</formula1>
      <formula2>0</formula2>
    </dataValidation>
    <dataValidation allowBlank="true" errorStyle="stop" operator="between" showDropDown="false" showErrorMessage="false" showInputMessage="false" sqref="G63" type="list">
      <formula1>"Pass,Fail,Blocked,Skip"</formula1>
      <formula2>0</formula2>
    </dataValidation>
    <dataValidation allowBlank="true" errorStyle="stop" operator="between" showDropDown="false" showErrorMessage="false" showInputMessage="false" sqref="G64" type="list">
      <formula1>"Pass,Fail,Blocked,Skip"</formula1>
      <formula2>0</formula2>
    </dataValidation>
    <dataValidation allowBlank="true" errorStyle="stop" operator="between" showDropDown="false" showErrorMessage="false" showInputMessage="false" sqref="G65" type="list">
      <formula1>"Pass,Fail,Blocked,Skip"</formula1>
      <formula2>0</formula2>
    </dataValidation>
    <dataValidation allowBlank="true" errorStyle="stop" operator="between" showDropDown="false" showErrorMessage="false" showInputMessage="false" sqref="G68" type="list">
      <formula1>"Pass,Fail,Blocked,Skip"</formula1>
      <formula2>0</formula2>
    </dataValidation>
    <dataValidation allowBlank="true" errorStyle="stop" operator="between" showDropDown="false" showErrorMessage="false" showInputMessage="false" sqref="G69" type="list">
      <formula1>"Pass,Fail,Blocked,Skip"</formula1>
      <formula2>0</formula2>
    </dataValidation>
    <dataValidation allowBlank="true" errorStyle="stop" operator="between" showDropDown="false" showErrorMessage="false" showInputMessage="false" sqref="G70" type="list">
      <formula1>"Pass,Fail,Blocked,Skip"</formula1>
      <formula2>0</formula2>
    </dataValidation>
    <dataValidation allowBlank="true" errorStyle="stop" operator="between" showDropDown="false" showErrorMessage="false" showInputMessage="false" sqref="G71" type="list">
      <formula1>"Pass,Fail,Blocked,Skip"</formula1>
      <formula2>0</formula2>
    </dataValidation>
    <dataValidation allowBlank="true" errorStyle="stop" operator="between" showDropDown="false" showErrorMessage="false" showInputMessage="false" sqref="G72" type="list">
      <formula1>"Pass,Fail,Blocked,Skip"</formula1>
      <formula2>0</formula2>
    </dataValidation>
    <dataValidation allowBlank="true" errorStyle="stop" operator="between" showDropDown="false" showErrorMessage="false" showInputMessage="false" sqref="G73" type="list">
      <formula1>"Pass,Fail,Blocked,Skip"</formula1>
      <formula2>0</formula2>
    </dataValidation>
    <dataValidation allowBlank="true" errorStyle="stop" operator="between" showDropDown="false" showErrorMessage="false" showInputMessage="false" sqref="G74" type="list">
      <formula1>"Pass,Fail,Blocked,Skip"</formula1>
      <formula2>0</formula2>
    </dataValidation>
    <dataValidation allowBlank="true" errorStyle="stop" operator="between" showDropDown="false" showErrorMessage="false" showInputMessage="false" sqref="G75" type="list">
      <formula1>"Pass,Fail,Blocked,Skip"</formula1>
      <formula2>0</formula2>
    </dataValidation>
    <dataValidation allowBlank="true" errorStyle="stop" operator="between" showDropDown="false" showErrorMessage="false" showInputMessage="false" sqref="G78" type="list">
      <formula1>"Pass,Fail,Blocked,Skip"</formula1>
      <formula2>0</formula2>
    </dataValidation>
    <dataValidation allowBlank="true" errorStyle="stop" operator="between" showDropDown="false" showErrorMessage="false" showInputMessage="false" sqref="G79" type="list">
      <formula1>"Pass,Fail,Blocked,Skip"</formula1>
      <formula2>0</formula2>
    </dataValidation>
    <dataValidation allowBlank="true" errorStyle="stop" operator="between" showDropDown="false" showErrorMessage="false" showInputMessage="false" sqref="G80" type="list">
      <formula1>"Pass,Fail,Blocked,Skip"</formula1>
      <formula2>0</formula2>
    </dataValidation>
    <dataValidation allowBlank="true" errorStyle="stop" operator="between" showDropDown="false" showErrorMessage="false" showInputMessage="false" sqref="G81" type="list">
      <formula1>"Pass,Fail,Blocked,Skip"</formula1>
      <formula2>0</formula2>
    </dataValidation>
    <dataValidation allowBlank="true" errorStyle="stop" operator="between" showDropDown="false" showErrorMessage="false" showInputMessage="false" sqref="G82" type="list">
      <formula1>"Pass,Fail,Blocked,Skip"</formula1>
      <formula2>0</formula2>
    </dataValidation>
    <dataValidation allowBlank="true" errorStyle="stop" operator="between" showDropDown="false" showErrorMessage="false" showInputMessage="false" sqref="G83" type="list">
      <formula1>"Pass,Fail,Blocked,Skip"</formula1>
      <formula2>0</formula2>
    </dataValidation>
    <dataValidation allowBlank="true" errorStyle="stop" operator="between" showDropDown="false" showErrorMessage="false" showInputMessage="false" sqref="G84" type="list">
      <formula1>"Pass,Fail,Blocked,Skip"</formula1>
      <formula2>0</formula2>
    </dataValidation>
    <dataValidation allowBlank="true" errorStyle="stop" operator="between" showDropDown="false" showErrorMessage="false" showInputMessage="false" sqref="G85" type="list">
      <formula1>"Pass,Fail,Blocked,Skip"</formula1>
      <formula2>0</formula2>
    </dataValidation>
    <dataValidation allowBlank="true" errorStyle="stop" operator="between" showDropDown="false" showErrorMessage="false" showInputMessage="false" sqref="G86" type="list">
      <formula1>"Pass,Fail,Blocked,Skip"</formula1>
      <formula2>0</formula2>
    </dataValidation>
    <dataValidation allowBlank="true" errorStyle="stop" operator="between" showDropDown="false" showErrorMessage="false" showInputMessage="false" sqref="G87" type="list">
      <formula1>"Pass,Fail,Blocked,Skip"</formula1>
      <formula2>0</formula2>
    </dataValidation>
    <dataValidation allowBlank="true" errorStyle="stop" operator="between" showDropDown="false" showErrorMessage="false" showInputMessage="false" sqref="G88" type="list">
      <formula1>"Pass,Fail,Blocked,Skip"</formula1>
      <formula2>0</formula2>
    </dataValidation>
    <dataValidation allowBlank="true" errorStyle="stop" operator="between" showDropDown="false" showErrorMessage="false" showInputMessage="false" sqref="G89" type="list">
      <formula1>"Pass,Fail,Blocked,Skip"</formula1>
      <formula2>0</formula2>
    </dataValidation>
    <dataValidation allowBlank="true" errorStyle="stop" operator="between" showDropDown="false" showErrorMessage="false" showInputMessage="false" sqref="G92" type="list">
      <formula1>"Pass,Fail,Blocked,Skip"</formula1>
      <formula2>0</formula2>
    </dataValidation>
    <dataValidation allowBlank="true" errorStyle="stop" operator="between" showDropDown="false" showErrorMessage="false" showInputMessage="false" sqref="G93" type="list">
      <formula1>"Pass,Fail,Blocked,Skip"</formula1>
      <formula2>0</formula2>
    </dataValidation>
    <dataValidation allowBlank="true" errorStyle="stop" operator="between" showDropDown="false" showErrorMessage="false" showInputMessage="false" sqref="G94" type="list">
      <formula1>"Pass,Fail,Blocked,Skip"</formula1>
      <formula2>0</formula2>
    </dataValidation>
    <dataValidation allowBlank="true" errorStyle="stop" operator="between" showDropDown="false" showErrorMessage="false" showInputMessage="false" sqref="G95" type="list">
      <formula1>"Pass,Fail,Blocked,Skip"</formula1>
      <formula2>0</formula2>
    </dataValidation>
    <dataValidation allowBlank="true" errorStyle="stop" operator="between" showDropDown="false" showErrorMessage="false" showInputMessage="false" sqref="G96" type="list">
      <formula1>"Pass,Fail,Blocked,Skip"</formula1>
      <formula2>0</formula2>
    </dataValidation>
    <dataValidation allowBlank="true" errorStyle="stop" operator="between" showDropDown="false" showErrorMessage="false" showInputMessage="false" sqref="G97" type="list">
      <formula1>"Pass,Fail,Blocked,Skip"</formula1>
      <formula2>0</formula2>
    </dataValidation>
    <dataValidation allowBlank="true" errorStyle="stop" operator="between" showDropDown="false" showErrorMessage="false" showInputMessage="false" sqref="G100" type="list">
      <formula1>"Pass,Fail,Blocked,Skip"</formula1>
      <formula2>0</formula2>
    </dataValidation>
    <dataValidation allowBlank="true" errorStyle="stop" operator="between" showDropDown="false" showErrorMessage="false" showInputMessage="false" sqref="G101" type="list">
      <formula1>"Pass,Fail,Blocked,Skip"</formula1>
      <formula2>0</formula2>
    </dataValidation>
    <dataValidation allowBlank="true" errorStyle="stop" operator="between" showDropDown="false" showErrorMessage="false" showInputMessage="false" sqref="G102" type="list">
      <formula1>"Pass,Fail,Blocked,Skip"</formula1>
      <formula2>0</formula2>
    </dataValidation>
    <dataValidation allowBlank="true" errorStyle="stop" operator="between" showDropDown="false" showErrorMessage="false" showInputMessage="false" sqref="G103" type="list">
      <formula1>"Pass,Fail,Blocked,Skip"</formula1>
      <formula2>0</formula2>
    </dataValidation>
    <dataValidation allowBlank="true" errorStyle="stop" operator="between" showDropDown="false" showErrorMessage="false" showInputMessage="false" sqref="G104" type="list">
      <formula1>"Pass,Fail,Blocked,Skip"</formula1>
      <formula2>0</formula2>
    </dataValidation>
    <dataValidation allowBlank="true" errorStyle="stop" operator="between" showDropDown="false" showErrorMessage="false" showInputMessage="false" sqref="G105" type="list">
      <formula1>"Pass,Fail,Blocked,Skip"</formula1>
      <formula2>0</formula2>
    </dataValidation>
    <dataValidation allowBlank="true" errorStyle="stop" operator="between" showDropDown="false" showErrorMessage="false" showInputMessage="false" sqref="G108" type="list">
      <formula1>"Pass,Fail,Blocked,Skip"</formula1>
      <formula2>0</formula2>
    </dataValidation>
    <dataValidation allowBlank="true" errorStyle="stop" operator="between" showDropDown="false" showErrorMessage="false" showInputMessage="false" sqref="G109" type="list">
      <formula1>"Pass,Fail,Blocked,Skip"</formula1>
      <formula2>0</formula2>
    </dataValidation>
    <dataValidation allowBlank="true" errorStyle="stop" operator="between" showDropDown="false" showErrorMessage="false" showInputMessage="false" sqref="G110" type="list">
      <formula1>"Pass,Fail,Blocked,Skip"</formula1>
      <formula2>0</formula2>
    </dataValidation>
    <dataValidation allowBlank="true" errorStyle="stop" operator="between" showDropDown="false" showErrorMessage="false" showInputMessage="false" sqref="G111" type="list">
      <formula1>"Pass,Fail,Blocked,Skip"</formula1>
      <formula2>0</formula2>
    </dataValidation>
    <dataValidation allowBlank="true" errorStyle="stop" operator="between" showDropDown="false" showErrorMessage="false" showInputMessage="false" sqref="G112" type="list">
      <formula1>"Pass,Fail,Blocked,Skip"</formula1>
      <formula2>0</formula2>
    </dataValidation>
    <dataValidation allowBlank="true" errorStyle="stop" operator="between" showDropDown="false" showErrorMessage="false" showInputMessage="false" sqref="G113" type="list">
      <formula1>"Pass,Fail,Blocked,Skip"</formula1>
      <formula2>0</formula2>
    </dataValidation>
    <dataValidation allowBlank="true" errorStyle="stop" operator="between" showDropDown="false" showErrorMessage="false" showInputMessage="false" sqref="G114" type="list">
      <formula1>"Pass,Fail,Blocked,Skip"</formula1>
      <formula2>0</formula2>
    </dataValidation>
    <dataValidation allowBlank="true" errorStyle="stop" operator="between" showDropDown="false" showErrorMessage="false" showInputMessage="false" sqref="G117" type="list">
      <formula1>"Pass,Fail,Blocked,Skip"</formula1>
      <formula2>0</formula2>
    </dataValidation>
    <dataValidation allowBlank="true" errorStyle="stop" operator="between" showDropDown="false" showErrorMessage="false" showInputMessage="false" sqref="G118" type="list">
      <formula1>"Pass,Fail,Blocked,Skip"</formula1>
      <formula2>0</formula2>
    </dataValidation>
    <dataValidation allowBlank="true" errorStyle="stop" operator="between" showDropDown="false" showErrorMessage="false" showInputMessage="false" sqref="G119" type="list">
      <formula1>"Pass,Fail,Blocked,Skip"</formula1>
      <formula2>0</formula2>
    </dataValidation>
    <dataValidation allowBlank="true" errorStyle="stop" operator="between" showDropDown="false" showErrorMessage="false" showInputMessage="false" sqref="G120" type="list">
      <formula1>"Pass,Fail,Blocked,Skip"</formula1>
      <formula2>0</formula2>
    </dataValidation>
    <dataValidation allowBlank="true" errorStyle="stop" operator="between" showDropDown="false" showErrorMessage="false" showInputMessage="false" sqref="G121" type="list">
      <formula1>"Pass,Fail,Blocked,Skip"</formula1>
      <formula2>0</formula2>
    </dataValidation>
    <dataValidation allowBlank="true" errorStyle="stop" operator="between" showDropDown="false" showErrorMessage="false" showInputMessage="false" sqref="G124" type="list">
      <formula1>"Pass,Fail,Blocked,Skip"</formula1>
      <formula2>0</formula2>
    </dataValidation>
    <dataValidation allowBlank="true" errorStyle="stop" operator="between" showDropDown="false" showErrorMessage="false" showInputMessage="false" sqref="G125" type="list">
      <formula1>"Pass,Fail,Blocked,Skip"</formula1>
      <formula2>0</formula2>
    </dataValidation>
    <dataValidation allowBlank="true" errorStyle="stop" operator="between" showDropDown="false" showErrorMessage="false" showInputMessage="false" sqref="G126" type="list">
      <formula1>"Pass,Fail,Blocked,Skip"</formula1>
      <formula2>0</formula2>
    </dataValidation>
    <dataValidation allowBlank="true" errorStyle="stop" operator="between" showDropDown="false" showErrorMessage="false" showInputMessage="false" sqref="G127" type="list">
      <formula1>"Pass,Fail,Blocked,Skip"</formula1>
      <formula2>0</formula2>
    </dataValidation>
    <dataValidation allowBlank="true" errorStyle="stop" operator="between" showDropDown="false" showErrorMessage="false" showInputMessage="false" sqref="G128" type="list">
      <formula1>"Pass,Fail,Blocked,Skip"</formula1>
      <formula2>0</formula2>
    </dataValidation>
    <dataValidation allowBlank="true" errorStyle="stop" operator="between" showDropDown="false" showErrorMessage="false" showInputMessage="false" sqref="G129" type="list">
      <formula1>"Pass,Fail,Blocked,Skip"</formula1>
      <formula2>0</formula2>
    </dataValidation>
    <dataValidation allowBlank="true" errorStyle="stop" operator="between" showDropDown="false" showErrorMessage="false" showInputMessage="false" sqref="G130" type="list">
      <formula1>"Pass,Fail,Blocked,Skip"</formula1>
      <formula2>0</formula2>
    </dataValidation>
    <dataValidation allowBlank="true" errorStyle="stop" operator="between" showDropDown="false" showErrorMessage="false" showInputMessage="false" sqref="G131" type="list">
      <formula1>"Pass,Fail,Blocked,Skip"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23" t="s">
        <v>457</v>
      </c>
      <c r="B1" s="23"/>
    </row>
    <row r="2" customFormat="false" ht="18" hidden="false" customHeight="true" outlineLevel="0" collapsed="false">
      <c r="A2" s="24" t="s">
        <v>458</v>
      </c>
      <c r="B2" s="24" t="n">
        <f aca="false">106</f>
        <v>106</v>
      </c>
    </row>
    <row r="3" customFormat="false" ht="18" hidden="false" customHeight="true" outlineLevel="0" collapsed="false">
      <c r="A3" s="25" t="s">
        <v>459</v>
      </c>
      <c r="B3" s="25" t="n">
        <f aca="false">COUNTIF('QA Tests'!G:G,"Pass")</f>
        <v>0</v>
      </c>
    </row>
    <row r="4" customFormat="false" ht="18" hidden="false" customHeight="true" outlineLevel="0" collapsed="false">
      <c r="A4" s="26" t="s">
        <v>460</v>
      </c>
      <c r="B4" s="26" t="n">
        <f aca="false">COUNTIF('QA Tests'!G:G,"Fail")</f>
        <v>0</v>
      </c>
    </row>
    <row r="5" customFormat="false" ht="18" hidden="false" customHeight="true" outlineLevel="0" collapsed="false">
      <c r="A5" s="25" t="s">
        <v>461</v>
      </c>
      <c r="B5" s="25" t="n">
        <f aca="false">COUNTIF('QA Tests'!G:G,"Blocked")</f>
        <v>0</v>
      </c>
    </row>
    <row r="6" customFormat="false" ht="18" hidden="false" customHeight="true" outlineLevel="0" collapsed="false">
      <c r="A6" s="26" t="s">
        <v>462</v>
      </c>
      <c r="B6" s="26" t="n">
        <f aca="false">COUNTIF('QA Tests'!G:G,"")</f>
        <v>1048575</v>
      </c>
    </row>
    <row r="7" customFormat="false" ht="18" hidden="false" customHeight="true" outlineLevel="0" collapsed="false">
      <c r="A7" s="25" t="s">
        <v>463</v>
      </c>
      <c r="B7" s="27" t="n">
        <f aca="false">IFERROR(COUNTIF('QA Tests'!G:G,"Pass")/(106-COUNTIF('QA Tests'!G:G,"")),0)</f>
        <v>-0</v>
      </c>
    </row>
    <row r="9" customFormat="false" ht="15" hidden="false" customHeight="false" outlineLevel="0" collapsed="false">
      <c r="A9" s="28" t="s">
        <v>464</v>
      </c>
      <c r="B9" s="28" t="s">
        <v>465</v>
      </c>
    </row>
    <row r="10" customFormat="false" ht="15.75" hidden="false" customHeight="true" outlineLevel="0" collapsed="false">
      <c r="A10" s="29" t="s">
        <v>10</v>
      </c>
      <c r="B10" s="30" t="n">
        <v>20</v>
      </c>
    </row>
    <row r="11" customFormat="false" ht="15.75" hidden="false" customHeight="true" outlineLevel="0" collapsed="false">
      <c r="A11" s="31" t="s">
        <v>92</v>
      </c>
      <c r="B11" s="32" t="n">
        <v>7</v>
      </c>
    </row>
    <row r="12" customFormat="false" ht="15.75" hidden="false" customHeight="true" outlineLevel="0" collapsed="false">
      <c r="A12" s="33" t="s">
        <v>122</v>
      </c>
      <c r="B12" s="34" t="n">
        <v>9</v>
      </c>
    </row>
    <row r="13" customFormat="false" ht="15.75" hidden="false" customHeight="true" outlineLevel="0" collapsed="false">
      <c r="A13" s="35" t="s">
        <v>160</v>
      </c>
      <c r="B13" s="36" t="n">
        <v>7</v>
      </c>
    </row>
    <row r="14" customFormat="false" ht="15.75" hidden="false" customHeight="true" outlineLevel="0" collapsed="false">
      <c r="A14" s="37" t="s">
        <v>190</v>
      </c>
      <c r="B14" s="38" t="n">
        <v>11</v>
      </c>
    </row>
    <row r="15" customFormat="false" ht="15.75" hidden="false" customHeight="true" outlineLevel="0" collapsed="false">
      <c r="A15" s="39" t="s">
        <v>236</v>
      </c>
      <c r="B15" s="40" t="n">
        <v>8</v>
      </c>
    </row>
    <row r="16" customFormat="false" ht="15.75" hidden="false" customHeight="true" outlineLevel="0" collapsed="false">
      <c r="A16" s="41" t="s">
        <v>270</v>
      </c>
      <c r="B16" s="42" t="n">
        <v>12</v>
      </c>
    </row>
    <row r="17" customFormat="false" ht="15.75" hidden="false" customHeight="true" outlineLevel="0" collapsed="false">
      <c r="A17" s="43" t="s">
        <v>320</v>
      </c>
      <c r="B17" s="44" t="n">
        <v>6</v>
      </c>
    </row>
    <row r="18" customFormat="false" ht="15.75" hidden="false" customHeight="true" outlineLevel="0" collapsed="false">
      <c r="A18" s="45" t="s">
        <v>346</v>
      </c>
      <c r="B18" s="46" t="n">
        <v>6</v>
      </c>
    </row>
    <row r="19" customFormat="false" ht="15.75" hidden="false" customHeight="true" outlineLevel="0" collapsed="false">
      <c r="A19" s="47" t="s">
        <v>372</v>
      </c>
      <c r="B19" s="48" t="n">
        <v>7</v>
      </c>
    </row>
    <row r="20" customFormat="false" ht="15.75" hidden="false" customHeight="true" outlineLevel="0" collapsed="false">
      <c r="A20" s="49" t="s">
        <v>402</v>
      </c>
      <c r="B20" s="50" t="n">
        <v>5</v>
      </c>
    </row>
    <row r="21" customFormat="false" ht="15.75" hidden="false" customHeight="true" outlineLevel="0" collapsed="false">
      <c r="A21" s="51" t="s">
        <v>424</v>
      </c>
      <c r="B21" s="52" t="n">
        <v>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2026-06-06T08:43:13Z</dcterms:created>
  <dc:creator>openpyxl</dc:creator>
  <dc:description/>
  <dc:language>en-US</dc:language>
  <cp:lastModifiedBy/>
  <dcterms:modified xsi:type="dcterms:W3CDTF">2026-06-06T08:43:13Z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