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breviations" sheetId="1" r:id="rId5"/>
    <sheet state="visible" name="Recordings" sheetId="2" r:id="rId6"/>
    <sheet state="visible" name="Texts" sheetId="3" r:id="rId7"/>
    <sheet state="visible" name="Villages according to موسوعة ال" sheetId="4" r:id="rId8"/>
    <sheet state="visible" name="Statistics" sheetId="5" r:id="rId9"/>
  </sheets>
  <definedNames>
    <definedName hidden="1" localSheetId="0" name="_xlnm._FilterDatabase">Abbreviations!$A$1:$C$195</definedName>
    <definedName hidden="1" localSheetId="1" name="_xlnm._FilterDatabase">Recordings!$A$1:$AS$1378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N676">
      <text>
        <t xml:space="preserve">יש תעתיק, אין הקלטה</t>
      </text>
    </comment>
  </commentList>
</comments>
</file>

<file path=xl/sharedStrings.xml><?xml version="1.0" encoding="utf-8"?>
<sst xmlns="http://schemas.openxmlformats.org/spreadsheetml/2006/main" count="10596" uniqueCount="4190">
  <si>
    <t>שם בערבית</t>
  </si>
  <si>
    <t>שם בתעתיק</t>
  </si>
  <si>
    <t>קיצור</t>
  </si>
  <si>
    <t>أبو سنان</t>
  </si>
  <si>
    <t>Abu Snān</t>
  </si>
  <si>
    <t>ASn</t>
  </si>
  <si>
    <t>أبو غوش</t>
  </si>
  <si>
    <t>Abu Ġoš</t>
  </si>
  <si>
    <t>AĠ</t>
  </si>
  <si>
    <t>إرطاس</t>
  </si>
  <si>
    <t>Irṭās</t>
  </si>
  <si>
    <t>Ir</t>
  </si>
  <si>
    <t>إعبلين</t>
  </si>
  <si>
    <t>ʿIbillīn</t>
  </si>
  <si>
    <t>Ib</t>
  </si>
  <si>
    <t>إكسال</t>
  </si>
  <si>
    <t>Iksāl</t>
  </si>
  <si>
    <t>Ik</t>
  </si>
  <si>
    <t>اريحا</t>
  </si>
  <si>
    <t>Arīḥa</t>
  </si>
  <si>
    <t>Arḥ</t>
  </si>
  <si>
    <t>البعنة</t>
  </si>
  <si>
    <t>liBʿēni</t>
  </si>
  <si>
    <t>Bni</t>
  </si>
  <si>
    <t>البقيعة</t>
  </si>
  <si>
    <t>ilBqēʿa</t>
  </si>
  <si>
    <t>Bq</t>
  </si>
  <si>
    <t>البياضة</t>
  </si>
  <si>
    <t>elBayāḏ̣a</t>
  </si>
  <si>
    <t>By</t>
  </si>
  <si>
    <t>التعامرة</t>
  </si>
  <si>
    <t>itTaʿāmra</t>
  </si>
  <si>
    <t>Tʿm</t>
  </si>
  <si>
    <t>الجديرة</t>
  </si>
  <si>
    <t>Ǧdēra</t>
  </si>
  <si>
    <t>Ǧd</t>
  </si>
  <si>
    <t>الجش</t>
  </si>
  <si>
    <t>ižŽišš</t>
  </si>
  <si>
    <t>Žš</t>
  </si>
  <si>
    <t>الجواريش</t>
  </si>
  <si>
    <t>Ǧawarīš</t>
  </si>
  <si>
    <t>Ǧw</t>
  </si>
  <si>
    <t>الجيب</t>
  </si>
  <si>
    <t>iǦǧīb</t>
  </si>
  <si>
    <t>Ǧb</t>
  </si>
  <si>
    <t>الحسينية</t>
  </si>
  <si>
    <t>alḤusēniyya</t>
  </si>
  <si>
    <t>Ḥs</t>
  </si>
  <si>
    <t>الخضر</t>
  </si>
  <si>
    <t>ilXaḏ̣ir</t>
  </si>
  <si>
    <t>Xḏ̣</t>
  </si>
  <si>
    <t>الخليل</t>
  </si>
  <si>
    <t>ilXalīl</t>
  </si>
  <si>
    <t>Xl</t>
  </si>
  <si>
    <t>الرامة</t>
  </si>
  <si>
    <t>irRāmi</t>
  </si>
  <si>
    <t>Rm</t>
  </si>
  <si>
    <t>الرمانة</t>
  </si>
  <si>
    <t>irRummāni</t>
  </si>
  <si>
    <t>Rmn</t>
  </si>
  <si>
    <t>الرملة</t>
  </si>
  <si>
    <t>iRramle</t>
  </si>
  <si>
    <t>Rml</t>
  </si>
  <si>
    <t>الريحانية</t>
  </si>
  <si>
    <t>arRīḥāniyya</t>
  </si>
  <si>
    <t>Rḥ</t>
  </si>
  <si>
    <t>الرينة</t>
  </si>
  <si>
    <t>irRīni</t>
  </si>
  <si>
    <t>Rn</t>
  </si>
  <si>
    <t>الزكريا</t>
  </si>
  <si>
    <t>iZZakariyya</t>
  </si>
  <si>
    <t>Zk</t>
  </si>
  <si>
    <t>الشيخ دنون</t>
  </si>
  <si>
    <t>išŠēx Dannūn</t>
  </si>
  <si>
    <t>ŠD</t>
  </si>
  <si>
    <t>الطور</t>
  </si>
  <si>
    <t>iṭṬūr</t>
  </si>
  <si>
    <t>Ṭṭr</t>
  </si>
  <si>
    <t>الطيبة الزعبية</t>
  </si>
  <si>
    <t>iṭṬayybe izZuʿbiyye</t>
  </si>
  <si>
    <t>ṬZ</t>
  </si>
  <si>
    <t>الطيرة</t>
  </si>
  <si>
    <t>iṭṬīra</t>
  </si>
  <si>
    <t>Ṭr</t>
  </si>
  <si>
    <t>العبيدية</t>
  </si>
  <si>
    <t>ilʿibadiyya</t>
  </si>
  <si>
    <t>ʿb</t>
  </si>
  <si>
    <t>العيزرية</t>
  </si>
  <si>
    <t>ʿizariyya</t>
  </si>
  <si>
    <t>ʿz</t>
  </si>
  <si>
    <t>الفريديس</t>
  </si>
  <si>
    <t>ilFrēdīs</t>
  </si>
  <si>
    <t>Fr</t>
  </si>
  <si>
    <t>القبيبة</t>
  </si>
  <si>
    <t>ilKbība</t>
  </si>
  <si>
    <t>Kb</t>
  </si>
  <si>
    <t>المالحة</t>
  </si>
  <si>
    <t>ilMālḥa</t>
  </si>
  <si>
    <t>Mlḥ</t>
  </si>
  <si>
    <t>المزرعة</t>
  </si>
  <si>
    <t>ilMazraʿa</t>
  </si>
  <si>
    <t>Mz</t>
  </si>
  <si>
    <t>المشهد</t>
  </si>
  <si>
    <t>ilMašhad</t>
  </si>
  <si>
    <t>Mšh</t>
  </si>
  <si>
    <t>الناصرة</t>
  </si>
  <si>
    <t>inNāṣri</t>
  </si>
  <si>
    <t>Nṣ</t>
  </si>
  <si>
    <t>الولجة</t>
  </si>
  <si>
    <t>ilWalaǧa</t>
  </si>
  <si>
    <t>Wl</t>
  </si>
  <si>
    <t>ام الفحم</t>
  </si>
  <si>
    <t>Umm ilFaḥm</t>
  </si>
  <si>
    <t>UF</t>
  </si>
  <si>
    <t>باقة الغربية</t>
  </si>
  <si>
    <t>Baqa lĠarbiyya</t>
  </si>
  <si>
    <t>BĠ</t>
  </si>
  <si>
    <t>بتير</t>
  </si>
  <si>
    <t>Battīr</t>
  </si>
  <si>
    <t>Bt</t>
  </si>
  <si>
    <t>بدّو</t>
  </si>
  <si>
    <t>Biddu</t>
  </si>
  <si>
    <t>Bd</t>
  </si>
  <si>
    <t>برعم</t>
  </si>
  <si>
    <t>Kufur Birʿim</t>
  </si>
  <si>
    <t>Br</t>
  </si>
  <si>
    <t>بعنة</t>
  </si>
  <si>
    <t>Biʿne</t>
  </si>
  <si>
    <t>Bne</t>
  </si>
  <si>
    <t>بقعاثا</t>
  </si>
  <si>
    <t>Buqʿāṯa</t>
  </si>
  <si>
    <t>Bqṯ</t>
  </si>
  <si>
    <t>بلعين</t>
  </si>
  <si>
    <t>Bilʿīn</t>
  </si>
  <si>
    <t>Bl</t>
  </si>
  <si>
    <t>بيت إجزا</t>
  </si>
  <si>
    <t>Bēt Iǧza</t>
  </si>
  <si>
    <t>BIǧ</t>
  </si>
  <si>
    <t>بيت امر</t>
  </si>
  <si>
    <t>Bēt Ummar</t>
  </si>
  <si>
    <t>BU</t>
  </si>
  <si>
    <t>بيت اولا</t>
  </si>
  <si>
    <t>Bēt ʾūla</t>
  </si>
  <si>
    <t>BŪ</t>
  </si>
  <si>
    <t>بيت جالا</t>
  </si>
  <si>
    <t>Bēt Ǧāla</t>
  </si>
  <si>
    <t>BǦl</t>
  </si>
  <si>
    <t>بيت جان</t>
  </si>
  <si>
    <t>Bēt Žān</t>
  </si>
  <si>
    <t>BŽ</t>
  </si>
  <si>
    <t>بيت جبرين</t>
  </si>
  <si>
    <t>Bēt Ǧubrīn</t>
  </si>
  <si>
    <t>BǦ</t>
  </si>
  <si>
    <t>بيت دقو</t>
  </si>
  <si>
    <t>Bēt Dukku</t>
  </si>
  <si>
    <t>BD</t>
  </si>
  <si>
    <t>بيت ساحور</t>
  </si>
  <si>
    <t>Bēt Saḥūr</t>
  </si>
  <si>
    <t>BSḥ</t>
  </si>
  <si>
    <t>بيت سوريك</t>
  </si>
  <si>
    <t>Bēt Surīk</t>
  </si>
  <si>
    <t>BS</t>
  </si>
  <si>
    <t>بيت صفافا</t>
  </si>
  <si>
    <t>Bēt Ṣafāfa</t>
  </si>
  <si>
    <t>BṢ</t>
  </si>
  <si>
    <t>بيت عنان</t>
  </si>
  <si>
    <t>Bēt ʿinān</t>
  </si>
  <si>
    <t>BI</t>
  </si>
  <si>
    <t>بيت عور</t>
  </si>
  <si>
    <t>Bēt ʿūr</t>
  </si>
  <si>
    <t>بيت فجّار</t>
  </si>
  <si>
    <t>Bēt Faǧǧār</t>
  </si>
  <si>
    <t>BF</t>
  </si>
  <si>
    <t>بيت نقوبا</t>
  </si>
  <si>
    <t>Bēt Nakūba</t>
  </si>
  <si>
    <t>BNk</t>
  </si>
  <si>
    <t>بير زيت</t>
  </si>
  <si>
    <t>Bīr Zēt</t>
  </si>
  <si>
    <t>BZ</t>
  </si>
  <si>
    <t>بير معين</t>
  </si>
  <si>
    <t>Bīr Maʿīn</t>
  </si>
  <si>
    <t>BM</t>
  </si>
  <si>
    <t>بير نبالا</t>
  </si>
  <si>
    <t>Bīr Nabāla</t>
  </si>
  <si>
    <t>BN</t>
  </si>
  <si>
    <t>ترشيحا</t>
  </si>
  <si>
    <t>Taršīḥa</t>
  </si>
  <si>
    <t>Tr</t>
  </si>
  <si>
    <t>تعنك</t>
  </si>
  <si>
    <t>Tiʿinek</t>
  </si>
  <si>
    <t>Tn</t>
  </si>
  <si>
    <t>تقوع</t>
  </si>
  <si>
    <t>Tgūʿ</t>
  </si>
  <si>
    <t>Tg</t>
  </si>
  <si>
    <t>جانية</t>
  </si>
  <si>
    <t>iǦǦānya</t>
  </si>
  <si>
    <t>Ǧn</t>
  </si>
  <si>
    <t>جبل المكبر</t>
  </si>
  <si>
    <t>Ǧabal Mukabbir</t>
  </si>
  <si>
    <t>ǦM</t>
  </si>
  <si>
    <t>جديدة-المكر</t>
  </si>
  <si>
    <t>Ždaydi-ilMaker</t>
  </si>
  <si>
    <t>ŽM</t>
  </si>
  <si>
    <t>جسر الزرقاء</t>
  </si>
  <si>
    <t>Ǧisr azZarga</t>
  </si>
  <si>
    <t>ǦZ</t>
  </si>
  <si>
    <t>جلمة</t>
  </si>
  <si>
    <t>Ǧalame</t>
  </si>
  <si>
    <t>Ǧl</t>
  </si>
  <si>
    <t>جولس</t>
  </si>
  <si>
    <t>Žūlis</t>
  </si>
  <si>
    <t>Žl</t>
  </si>
  <si>
    <t>حديثة</t>
  </si>
  <si>
    <t>Ḥadīṯa</t>
  </si>
  <si>
    <t>Ḥd</t>
  </si>
  <si>
    <t>حرفيش</t>
  </si>
  <si>
    <t>Ḥurfēš</t>
  </si>
  <si>
    <t>Ḥr</t>
  </si>
  <si>
    <t>حزما</t>
  </si>
  <si>
    <t>Ḥizme</t>
  </si>
  <si>
    <t>Ḥz</t>
  </si>
  <si>
    <t>حلف طباش</t>
  </si>
  <si>
    <t>Ḥilf Ṭabbāš</t>
  </si>
  <si>
    <t>ḤṬ</t>
  </si>
  <si>
    <t>حوسان</t>
  </si>
  <si>
    <t>Ḥusān</t>
  </si>
  <si>
    <t>Ḥsn</t>
  </si>
  <si>
    <t>حيفا</t>
  </si>
  <si>
    <t>Ḥēfa</t>
  </si>
  <si>
    <t>Ḥf</t>
  </si>
  <si>
    <t>خربة اللحم</t>
  </si>
  <si>
    <t>Xirbit iLlaḥim</t>
  </si>
  <si>
    <t>XL</t>
  </si>
  <si>
    <t>خربة بيت تعمر</t>
  </si>
  <si>
    <t>Xirbit Bēt Taʿmar</t>
  </si>
  <si>
    <t>XBT</t>
  </si>
  <si>
    <t>خربثا بني حارث</t>
  </si>
  <si>
    <t>Xarbaṯa Bani Ḥāriṯ</t>
  </si>
  <si>
    <t>XB</t>
  </si>
  <si>
    <t>دار صلاح</t>
  </si>
  <si>
    <t>Dār Ṣalāḥ</t>
  </si>
  <si>
    <t>DṢ</t>
  </si>
  <si>
    <t>دالية الكرمل</t>
  </si>
  <si>
    <t>Dālyit ilKarmil</t>
  </si>
  <si>
    <t>DK</t>
  </si>
  <si>
    <t>دبورية</t>
  </si>
  <si>
    <t>Dabūriyyi</t>
  </si>
  <si>
    <t>Db</t>
  </si>
  <si>
    <t>دير الأسد</t>
  </si>
  <si>
    <t>Dēr ilAsad</t>
  </si>
  <si>
    <t>DA</t>
  </si>
  <si>
    <t>دير حنا</t>
  </si>
  <si>
    <t>Dēr Ḥanna</t>
  </si>
  <si>
    <t>DḤ</t>
  </si>
  <si>
    <t>دير غزالة</t>
  </si>
  <si>
    <t>Dēr Ġazāle</t>
  </si>
  <si>
    <t>DĠ</t>
  </si>
  <si>
    <t>دير قديس</t>
  </si>
  <si>
    <t>Dēr Kadīs</t>
  </si>
  <si>
    <t>DQ</t>
  </si>
  <si>
    <t>راس العين</t>
  </si>
  <si>
    <t>Rās ilĒn</t>
  </si>
  <si>
    <t>RE</t>
  </si>
  <si>
    <t>رام الله</t>
  </si>
  <si>
    <t>Rām Aḷḷa</t>
  </si>
  <si>
    <t>Rmḷ</t>
  </si>
  <si>
    <t>رمانة المثلث</t>
  </si>
  <si>
    <t>Rummāne (M)</t>
  </si>
  <si>
    <t>زبوبا</t>
  </si>
  <si>
    <t>Zubūba</t>
  </si>
  <si>
    <t>Zb</t>
  </si>
  <si>
    <t>زلفة</t>
  </si>
  <si>
    <t>Zalafe</t>
  </si>
  <si>
    <t>Zl</t>
  </si>
  <si>
    <t>ساجور</t>
  </si>
  <si>
    <t>Sāžūr</t>
  </si>
  <si>
    <t>Sž</t>
  </si>
  <si>
    <t>سالم</t>
  </si>
  <si>
    <t>Sālim</t>
  </si>
  <si>
    <t>Sl</t>
  </si>
  <si>
    <t>سخنين</t>
  </si>
  <si>
    <t>Saxnīn</t>
  </si>
  <si>
    <t>Sx</t>
  </si>
  <si>
    <t>سلبيت</t>
  </si>
  <si>
    <t>Silbīt</t>
  </si>
  <si>
    <t>سنجل</t>
  </si>
  <si>
    <t>Sinǧil</t>
  </si>
  <si>
    <t>Sn</t>
  </si>
  <si>
    <t>سوسيا</t>
  </si>
  <si>
    <t>Sūsya</t>
  </si>
  <si>
    <t>Ss</t>
  </si>
  <si>
    <t>شرفات</t>
  </si>
  <si>
    <t>Šurafāt</t>
  </si>
  <si>
    <t>Šrf</t>
  </si>
  <si>
    <t>شعب</t>
  </si>
  <si>
    <t>Šaʿab</t>
  </si>
  <si>
    <t>Šb</t>
  </si>
  <si>
    <t>شعفاط</t>
  </si>
  <si>
    <t>Šuʿfāṭ</t>
  </si>
  <si>
    <t>Šʿf</t>
  </si>
  <si>
    <t>شفاعمرو</t>
  </si>
  <si>
    <t>ٍŠfāʿAmir</t>
  </si>
  <si>
    <t>Šf</t>
  </si>
  <si>
    <t>شقبا</t>
  </si>
  <si>
    <t>Šuqba</t>
  </si>
  <si>
    <t>Šq</t>
  </si>
  <si>
    <t>صفا</t>
  </si>
  <si>
    <t>Ṣaffa</t>
  </si>
  <si>
    <t>Ṣff</t>
  </si>
  <si>
    <t>صفد</t>
  </si>
  <si>
    <t>Ṣafad</t>
  </si>
  <si>
    <t>Ṣf</t>
  </si>
  <si>
    <t>صندلة</t>
  </si>
  <si>
    <t>Ṣandala</t>
  </si>
  <si>
    <t>Ṣn</t>
  </si>
  <si>
    <t>صور باهر</t>
  </si>
  <si>
    <t>Ṣūr Bāhir</t>
  </si>
  <si>
    <t>ṢB</t>
  </si>
  <si>
    <t>ضاحية البريد</t>
  </si>
  <si>
    <t>Ḍāḥyat ilBarīd</t>
  </si>
  <si>
    <t>ḌB</t>
  </si>
  <si>
    <t>طبرية</t>
  </si>
  <si>
    <t>Ṭabariyye</t>
  </si>
  <si>
    <t>Ṭb</t>
  </si>
  <si>
    <t>طرعان</t>
  </si>
  <si>
    <t>Ṭurʿān</t>
  </si>
  <si>
    <t>Ṭrn</t>
  </si>
  <si>
    <t>طمرة</t>
  </si>
  <si>
    <t>Ṭamra</t>
  </si>
  <si>
    <t>Ṭmr</t>
  </si>
  <si>
    <t>طمرة (المرج)</t>
  </si>
  <si>
    <t>Ṭamra (ilMarǧ)</t>
  </si>
  <si>
    <t>ṬM</t>
  </si>
  <si>
    <t>طوبا الزنغرية</t>
  </si>
  <si>
    <t>Ṭūba-azZanġariyya</t>
  </si>
  <si>
    <t>ṬZn</t>
  </si>
  <si>
    <t>طيبة المثلث</t>
  </si>
  <si>
    <t>Ṭaybe lMuṯallaṯ</t>
  </si>
  <si>
    <t>ṬMṯ</t>
  </si>
  <si>
    <t>عارورة</t>
  </si>
  <si>
    <t>ʿArūra</t>
  </si>
  <si>
    <t>Arr</t>
  </si>
  <si>
    <t>عبود</t>
  </si>
  <si>
    <t>ʿAbūd</t>
  </si>
  <si>
    <t>Ab</t>
  </si>
  <si>
    <t>عرابة</t>
  </si>
  <si>
    <t>ʿArrābi</t>
  </si>
  <si>
    <t>Arb</t>
  </si>
  <si>
    <t>عرانة</t>
  </si>
  <si>
    <t>ʿArrāne</t>
  </si>
  <si>
    <t>Arn</t>
  </si>
  <si>
    <t>عرب الجواميس</t>
  </si>
  <si>
    <t>ʿArab alǦawāmīs</t>
  </si>
  <si>
    <t>AǦ</t>
  </si>
  <si>
    <t>عرب الحجاجرة</t>
  </si>
  <si>
    <t>ʿArab alḤaǧāǧra</t>
  </si>
  <si>
    <t>AḤǧǧ</t>
  </si>
  <si>
    <t>عرب الحجيرات</t>
  </si>
  <si>
    <t>ʿArab alḤǧērāt</t>
  </si>
  <si>
    <t>AḤǧ</t>
  </si>
  <si>
    <t>عرب الحلف</t>
  </si>
  <si>
    <t>ʿArab alḤilf</t>
  </si>
  <si>
    <t>AḤl</t>
  </si>
  <si>
    <t>عرب الحمدون</t>
  </si>
  <si>
    <t>ʿArab alḤamdūn</t>
  </si>
  <si>
    <t>AḤ</t>
  </si>
  <si>
    <t>عرب الخوالد</t>
  </si>
  <si>
    <t>ʿArab alXawālid</t>
  </si>
  <si>
    <t>AX</t>
  </si>
  <si>
    <t>عرب الدلايكة</t>
  </si>
  <si>
    <t>ʿArab adDalāyka</t>
  </si>
  <si>
    <t>AD</t>
  </si>
  <si>
    <t>عرب الزبيجات</t>
  </si>
  <si>
    <t>ʿArab azZbēdāt</t>
  </si>
  <si>
    <t>AZ</t>
  </si>
  <si>
    <t>عرب السعايدة</t>
  </si>
  <si>
    <t>ʿArab asSaʿāyda</t>
  </si>
  <si>
    <t>ASy</t>
  </si>
  <si>
    <t>عرب السعدية</t>
  </si>
  <si>
    <t>ʿArab asSʿadiyya</t>
  </si>
  <si>
    <t>ASd</t>
  </si>
  <si>
    <t>عرب السمنية</t>
  </si>
  <si>
    <t>ʿArab asSamniyya</t>
  </si>
  <si>
    <t>ASm</t>
  </si>
  <si>
    <t>عرب السواعد</t>
  </si>
  <si>
    <t>ʿArab asSawāʿid</t>
  </si>
  <si>
    <t>AS</t>
  </si>
  <si>
    <t>عرب السويطات</t>
  </si>
  <si>
    <t>ʿArab asSwēṭāt</t>
  </si>
  <si>
    <t>AṢ</t>
  </si>
  <si>
    <t>عرب الشبلي</t>
  </si>
  <si>
    <t>ʿArab ašŠibli</t>
  </si>
  <si>
    <t>AŠ</t>
  </si>
  <si>
    <t>عرب العرامشة</t>
  </si>
  <si>
    <t>ʿArab alʿArāmša</t>
  </si>
  <si>
    <t>AA</t>
  </si>
  <si>
    <t>عرب العمرية</t>
  </si>
  <si>
    <t>ʿArab alʿAmariyya</t>
  </si>
  <si>
    <t>AAm</t>
  </si>
  <si>
    <t>عرب الغريفات</t>
  </si>
  <si>
    <t>ʿArab alĠrīfāt</t>
  </si>
  <si>
    <t>AĠr</t>
  </si>
  <si>
    <t>عرب الغزالين</t>
  </si>
  <si>
    <t>ʿArab alĠazzālīn</t>
  </si>
  <si>
    <t>AĠz</t>
  </si>
  <si>
    <t>عرب الغوارنة</t>
  </si>
  <si>
    <t>ʿArab alĠawārna</t>
  </si>
  <si>
    <t>AĠw</t>
  </si>
  <si>
    <t>عرب القميرات</t>
  </si>
  <si>
    <t>ʿArab alGmērāt</t>
  </si>
  <si>
    <t>AGm</t>
  </si>
  <si>
    <t>عرب القيطية</t>
  </si>
  <si>
    <t>Arab alGēṭiyya</t>
  </si>
  <si>
    <t>AG</t>
  </si>
  <si>
    <t>عرب الكعبية</t>
  </si>
  <si>
    <t>ʿArab ačČʿabiyya</t>
  </si>
  <si>
    <t>AČ</t>
  </si>
  <si>
    <t>عرب اللهيب</t>
  </si>
  <si>
    <t>ʿArab alLhēb</t>
  </si>
  <si>
    <t>AL</t>
  </si>
  <si>
    <t>عرب المريسات</t>
  </si>
  <si>
    <t>ʿArab alMrēsāt</t>
  </si>
  <si>
    <t>AM</t>
  </si>
  <si>
    <t>عرب المزاريب</t>
  </si>
  <si>
    <t>ʿArab alMazārīb</t>
  </si>
  <si>
    <t>AMz</t>
  </si>
  <si>
    <t>عرب النجيدات</t>
  </si>
  <si>
    <t>ʿArab anNǧēdāt</t>
  </si>
  <si>
    <t>ANǧ</t>
  </si>
  <si>
    <t>عرب النعيم</t>
  </si>
  <si>
    <t>ʿArab anNaʿīm</t>
  </si>
  <si>
    <t>AN</t>
  </si>
  <si>
    <t>عربونة</t>
  </si>
  <si>
    <t>ʿArabbūne</t>
  </si>
  <si>
    <t>Ar</t>
  </si>
  <si>
    <t>عسفيا</t>
  </si>
  <si>
    <t>ʿIsifiya</t>
  </si>
  <si>
    <t>Is</t>
  </si>
  <si>
    <t>عكا</t>
  </si>
  <si>
    <t>ʿAkka</t>
  </si>
  <si>
    <t>Ak</t>
  </si>
  <si>
    <t>عكبرة</t>
  </si>
  <si>
    <t>ʿAkbara</t>
  </si>
  <si>
    <t>Akb</t>
  </si>
  <si>
    <t>عمواس</t>
  </si>
  <si>
    <t>ʿimwās</t>
  </si>
  <si>
    <t>Im</t>
  </si>
  <si>
    <t>عناتا</t>
  </si>
  <si>
    <t>ʿanāta</t>
  </si>
  <si>
    <t>ʿnt</t>
  </si>
  <si>
    <t>عيلبون</t>
  </si>
  <si>
    <t>ʿĒlabūn</t>
  </si>
  <si>
    <t>El</t>
  </si>
  <si>
    <t>عيلوط</t>
  </si>
  <si>
    <t>ʿĪlūṭ</t>
  </si>
  <si>
    <t>Il</t>
  </si>
  <si>
    <t>عين إبراهيم</t>
  </si>
  <si>
    <t>ʿĒn Ibrāhīm</t>
  </si>
  <si>
    <t>EI</t>
  </si>
  <si>
    <t>عين الأسد</t>
  </si>
  <si>
    <t>ʿĒn ilAsad</t>
  </si>
  <si>
    <t>EA</t>
  </si>
  <si>
    <t>عين الحلوة</t>
  </si>
  <si>
    <t>ʿĒn alḤilwa</t>
  </si>
  <si>
    <t>EḤ</t>
  </si>
  <si>
    <t>عين حوض</t>
  </si>
  <si>
    <t>ʿĒn Ḥōḏ̣</t>
  </si>
  <si>
    <t>عين رافة</t>
  </si>
  <si>
    <t>ʿēn Rāfa</t>
  </si>
  <si>
    <t>ER</t>
  </si>
  <si>
    <t>عين قنية</t>
  </si>
  <si>
    <t>Ein Qiniyye</t>
  </si>
  <si>
    <t>EQ</t>
  </si>
  <si>
    <t>عين ماهل</t>
  </si>
  <si>
    <t>ʿĒn Māhil</t>
  </si>
  <si>
    <t>EM</t>
  </si>
  <si>
    <t>غجر</t>
  </si>
  <si>
    <t>Ġaǧar</t>
  </si>
  <si>
    <t>Ġǧ</t>
  </si>
  <si>
    <t>غزة</t>
  </si>
  <si>
    <t>Ġazza</t>
  </si>
  <si>
    <t>Ġz</t>
  </si>
  <si>
    <t>فسوطة</t>
  </si>
  <si>
    <t>Fassūṭa</t>
  </si>
  <si>
    <t>Fs</t>
  </si>
  <si>
    <t>قطنة</t>
  </si>
  <si>
    <t>Kaṭṭanna</t>
  </si>
  <si>
    <t>Kṭn</t>
  </si>
  <si>
    <t>كابول</t>
  </si>
  <si>
    <t>Kābūl</t>
  </si>
  <si>
    <t>KBL</t>
  </si>
  <si>
    <t>كسرى-سميع</t>
  </si>
  <si>
    <t>Kisra-Smēʿ</t>
  </si>
  <si>
    <t>KS</t>
  </si>
  <si>
    <t>كفر كما</t>
  </si>
  <si>
    <t>Kafir Kama</t>
  </si>
  <si>
    <t>KKm</t>
  </si>
  <si>
    <t>كفر كنا</t>
  </si>
  <si>
    <t>Kafir Kanna</t>
  </si>
  <si>
    <t>KK</t>
  </si>
  <si>
    <t>كفر مصر</t>
  </si>
  <si>
    <t>Kufr Miṣr</t>
  </si>
  <si>
    <t>KMṣ</t>
  </si>
  <si>
    <t>كفر مندا</t>
  </si>
  <si>
    <t>Kufur Manda</t>
  </si>
  <si>
    <t>KM</t>
  </si>
  <si>
    <t>كفر نعمة</t>
  </si>
  <si>
    <t>Kufr Niʿma</t>
  </si>
  <si>
    <t>KN</t>
  </si>
  <si>
    <t>كفر ياسيف</t>
  </si>
  <si>
    <t>Kufur Yāsīf</t>
  </si>
  <si>
    <t>KY</t>
  </si>
  <si>
    <t>كوكب أبو الهيجاء</t>
  </si>
  <si>
    <t>Kōkab Abu lHēža</t>
  </si>
  <si>
    <t>KAH</t>
  </si>
  <si>
    <t>لفتا</t>
  </si>
  <si>
    <t>Lifta</t>
  </si>
  <si>
    <t>Lf</t>
  </si>
  <si>
    <t>مجد الكروم</t>
  </si>
  <si>
    <t>Mažd ilKrūm</t>
  </si>
  <si>
    <t>MK</t>
  </si>
  <si>
    <t>مجدل شمس</t>
  </si>
  <si>
    <t>Maždal Šams</t>
  </si>
  <si>
    <t>MŠ</t>
  </si>
  <si>
    <t>مسعدة</t>
  </si>
  <si>
    <t>Masʿadi</t>
  </si>
  <si>
    <t>Ms</t>
  </si>
  <si>
    <t>مشيرفة</t>
  </si>
  <si>
    <t>Mšērfe</t>
  </si>
  <si>
    <t>Mš</t>
  </si>
  <si>
    <t>مصمص</t>
  </si>
  <si>
    <t>Muṣmuṣ</t>
  </si>
  <si>
    <t>Mṣ</t>
  </si>
  <si>
    <t>معاوية</t>
  </si>
  <si>
    <t>Muʿāwiya</t>
  </si>
  <si>
    <t>Mw</t>
  </si>
  <si>
    <t>معليا</t>
  </si>
  <si>
    <t>Miʿilya</t>
  </si>
  <si>
    <t>Ml</t>
  </si>
  <si>
    <t>مغار</t>
  </si>
  <si>
    <t>Mġār</t>
  </si>
  <si>
    <t>Mġ</t>
  </si>
  <si>
    <t>مقيبلة</t>
  </si>
  <si>
    <t>Mkēble</t>
  </si>
  <si>
    <t>Mk</t>
  </si>
  <si>
    <t>منشية الزبدة</t>
  </si>
  <si>
    <t>Manšiyyat izZibdi</t>
  </si>
  <si>
    <t>MZ</t>
  </si>
  <si>
    <t>نابلس</t>
  </si>
  <si>
    <t>Nābles</t>
  </si>
  <si>
    <t>Nb</t>
  </si>
  <si>
    <t>نحف</t>
  </si>
  <si>
    <t>Naḥf</t>
  </si>
  <si>
    <t>Nḥ</t>
  </si>
  <si>
    <t>وادي النيص</t>
  </si>
  <si>
    <t>Wādi nNīṣṣ</t>
  </si>
  <si>
    <t>WN</t>
  </si>
  <si>
    <t>يافة الناصرة</t>
  </si>
  <si>
    <t>Yāft in-Nāṣri</t>
  </si>
  <si>
    <t>YN</t>
  </si>
  <si>
    <t>يانوح-جت</t>
  </si>
  <si>
    <t>Yānūḥ-Ǧatt</t>
  </si>
  <si>
    <t>YǦ</t>
  </si>
  <si>
    <t>يركا</t>
  </si>
  <si>
    <t>Yirka</t>
  </si>
  <si>
    <t>Yr</t>
  </si>
  <si>
    <t>يطا</t>
  </si>
  <si>
    <t>Yaṭṭa</t>
  </si>
  <si>
    <t>Yṭ</t>
  </si>
  <si>
    <t>שם יישוב בתעתיק</t>
  </si>
  <si>
    <t>שם יישוב/שבט</t>
  </si>
  <si>
    <t>קוד ישוב/שבט</t>
  </si>
  <si>
    <t>קהילה</t>
  </si>
  <si>
    <t>קוד קהילה</t>
  </si>
  <si>
    <t>מיון גס לתתי-קבוצות</t>
  </si>
  <si>
    <t>שם דובר</t>
  </si>
  <si>
    <t>מגדר דובר</t>
  </si>
  <si>
    <t>מס' קטלוגי לדובר</t>
  </si>
  <si>
    <t>תוכן ההקלטה</t>
  </si>
  <si>
    <t>תופעות בהקלטה</t>
  </si>
  <si>
    <t>aCC&gt;iCC</t>
  </si>
  <si>
    <t>diphthongs</t>
  </si>
  <si>
    <t>fem. ending</t>
  </si>
  <si>
    <t>med. Imāla</t>
  </si>
  <si>
    <r>
      <rPr>
        <rFont val="David Libre"/>
        <i/>
        <color rgb="FF000000"/>
        <sz val="10.0"/>
        <u/>
      </rPr>
      <t>-a+n</t>
    </r>
    <r>
      <rPr>
        <rFont val="David Libre"/>
        <color rgb="FF000000"/>
        <sz val="10.0"/>
        <u/>
      </rPr>
      <t xml:space="preserve"> (Aram. sub.)</t>
    </r>
  </si>
  <si>
    <r>
      <rPr>
        <rFont val="David Libre"/>
        <color rgb="FF000000"/>
        <sz val="10.0"/>
        <u/>
      </rPr>
      <t xml:space="preserve">pausal </t>
    </r>
    <r>
      <rPr>
        <rFont val="David Libre"/>
        <i/>
        <color rgb="FF000000"/>
        <sz val="10.0"/>
        <u/>
      </rPr>
      <t>-u&gt;-o#, -i&gt;-e#</t>
    </r>
  </si>
  <si>
    <t>ج</t>
  </si>
  <si>
    <t>ق</t>
  </si>
  <si>
    <t>assimilation of gutturals to the left</t>
  </si>
  <si>
    <t>vowel epenthesis</t>
  </si>
  <si>
    <t>vocal harmonizing</t>
  </si>
  <si>
    <r>
      <rPr>
        <rFont val="David Libre"/>
        <color rgb="FF000000"/>
        <sz val="10.0"/>
        <u/>
      </rPr>
      <t xml:space="preserve">lowering of </t>
    </r>
    <r>
      <rPr>
        <rFont val="David Libre"/>
        <i/>
        <color rgb="FF000000"/>
        <sz val="10.0"/>
        <u/>
      </rPr>
      <t>-uC&gt;-oC/-iC&gt;-eC</t>
    </r>
  </si>
  <si>
    <t>independent pronoun 1.pl نحن</t>
  </si>
  <si>
    <t>independent pronoun 3.pl (هم)</t>
  </si>
  <si>
    <t>2.m.pl pron. كم-</t>
  </si>
  <si>
    <t>3.m.pl (poss. pro) هم-</t>
  </si>
  <si>
    <t>3.f.sg pron. ها-</t>
  </si>
  <si>
    <t>impf. prefix 3.m.sg</t>
  </si>
  <si>
    <t>"want"</t>
  </si>
  <si>
    <t>"now"</t>
  </si>
  <si>
    <t>"when?"</t>
  </si>
  <si>
    <t>"here"</t>
  </si>
  <si>
    <t>"was"</t>
  </si>
  <si>
    <t>הערות</t>
  </si>
  <si>
    <t>ייעוד</t>
  </si>
  <si>
    <t>סטטוס</t>
  </si>
  <si>
    <t>בטיפול של</t>
  </si>
  <si>
    <t>קישורים להקלטות</t>
  </si>
  <si>
    <t>משך ההקלטה</t>
  </si>
  <si>
    <t>שם מקליט</t>
  </si>
  <si>
    <t>זמן ההקלטה</t>
  </si>
  <si>
    <t>קישורים לתעתיקים</t>
  </si>
  <si>
    <t>האם קיים ברשימת היישובים?</t>
  </si>
  <si>
    <t>Druze (Golan)</t>
  </si>
  <si>
    <t>D</t>
  </si>
  <si>
    <t>ṯqīl</t>
  </si>
  <si>
    <t>F</t>
  </si>
  <si>
    <t>MŠ.1FD</t>
  </si>
  <si>
    <t>ריכולים וקשקושים. יש קצת סיפורים אחרי סביב 08:00. (יש רעשי רקע לאורך ההקלטה).</t>
  </si>
  <si>
    <r>
      <rPr>
        <rFont val="David Libre"/>
        <b/>
        <color theme="1"/>
        <sz val="10.0"/>
      </rPr>
      <t xml:space="preserve">dipthongs: </t>
    </r>
    <r>
      <rPr>
        <rFont val="David Libre"/>
        <color theme="1"/>
        <sz val="10.0"/>
      </rPr>
      <t xml:space="preserve">nawm 11:56, bayḏ̣āt 27;05; </t>
    </r>
    <r>
      <rPr>
        <rFont val="David Libre"/>
        <b/>
        <color theme="1"/>
        <sz val="10.0"/>
      </rPr>
      <t xml:space="preserve">interdentals: </t>
    </r>
    <r>
      <rPr>
        <rFont val="David Libre"/>
        <color theme="1"/>
        <sz val="10.0"/>
      </rPr>
      <t xml:space="preserve">xuḏ̣ra 00:55, ; </t>
    </r>
    <r>
      <rPr>
        <rFont val="David Libre"/>
        <b/>
        <color theme="1"/>
        <sz val="10.0"/>
      </rPr>
      <t>med. imāla:</t>
    </r>
    <r>
      <rPr>
        <rFont val="David Libre"/>
        <color theme="1"/>
        <sz val="10.0"/>
      </rPr>
      <t xml:space="preserve"> kibēb 01:00, kēn 01:14, banētu 02:38, mētat 04:21; </t>
    </r>
    <r>
      <rPr>
        <rFont val="David Libre"/>
        <b/>
        <color theme="1"/>
        <sz val="10.0"/>
      </rPr>
      <t>3.m.pl (poss. pro) هم-:</t>
    </r>
    <r>
      <rPr>
        <rFont val="David Libre"/>
        <color theme="1"/>
        <sz val="10.0"/>
      </rPr>
      <t xml:space="preserve"> ʿindun 01:01; </t>
    </r>
    <r>
      <rPr>
        <rFont val="David Libre"/>
        <b/>
        <color theme="1"/>
        <sz val="10.0"/>
      </rPr>
      <t>"was":</t>
    </r>
    <r>
      <rPr>
        <rFont val="David Libre"/>
        <color theme="1"/>
        <sz val="10.0"/>
      </rPr>
      <t xml:space="preserve"> kēn 01:14; </t>
    </r>
    <r>
      <rPr>
        <rFont val="David Libre"/>
        <b/>
        <color theme="1"/>
        <sz val="10.0"/>
      </rPr>
      <t>3.f.sg pron. ها-:</t>
    </r>
    <r>
      <rPr>
        <rFont val="David Libre"/>
        <color theme="1"/>
        <sz val="10.0"/>
      </rPr>
      <t xml:space="preserve"> kulla 15:01;</t>
    </r>
  </si>
  <si>
    <t>-i</t>
  </si>
  <si>
    <t>ž</t>
  </si>
  <si>
    <t>q</t>
  </si>
  <si>
    <t>niḥna</t>
  </si>
  <si>
    <t>-h- &gt; -∅- (e.g. -on)</t>
  </si>
  <si>
    <t>-a / -ya (after -i-)</t>
  </si>
  <si>
    <t>badd</t>
  </si>
  <si>
    <t>issa/hassāʿa</t>
  </si>
  <si>
    <t>ēmta</t>
  </si>
  <si>
    <t>kān</t>
  </si>
  <si>
    <t>תעתיק 25:52-28:50</t>
  </si>
  <si>
    <t>תעתיק</t>
  </si>
  <si>
    <t>MŠ.1FD.R1</t>
  </si>
  <si>
    <t>-</t>
  </si>
  <si>
    <t>המלחמה בסוריה</t>
  </si>
  <si>
    <r>
      <rPr>
        <rFont val="David Libre"/>
        <b/>
        <color theme="1"/>
      </rPr>
      <t>med. imāla:</t>
    </r>
    <r>
      <rPr>
        <rFont val="David Libre"/>
        <color theme="1"/>
      </rPr>
      <t xml:space="preserve"> mawēdd 01:00, bitnēm 00:39, nēymi 01:42; </t>
    </r>
    <r>
      <rPr>
        <rFont val="David Libre"/>
        <b/>
        <color theme="1"/>
      </rPr>
      <t>1st.personal pron.</t>
    </r>
    <r>
      <rPr>
        <rFont val="David Libre"/>
        <color theme="1"/>
      </rPr>
      <t xml:space="preserve">: ani 00:32; </t>
    </r>
    <r>
      <rPr>
        <rFont val="David Libre"/>
        <b/>
        <color theme="1"/>
      </rPr>
      <t>u&gt;i vowel shift:</t>
    </r>
    <r>
      <rPr>
        <rFont val="David Libre"/>
        <color theme="1"/>
      </rPr>
      <t xml:space="preserve"> alqids 00:32, kill 01:55, bikra 01:59;</t>
    </r>
  </si>
  <si>
    <t>דקדוק</t>
  </si>
  <si>
    <t>MŠ.1FD.R2</t>
  </si>
  <si>
    <t>M</t>
  </si>
  <si>
    <t>EQ.1MD</t>
  </si>
  <si>
    <t>סיפור עם על מלך</t>
  </si>
  <si>
    <r>
      <rPr>
        <rFont val="David Libre"/>
        <b/>
        <color theme="1"/>
        <sz val="10.0"/>
      </rPr>
      <t>phonotactictical syll. org.:</t>
    </r>
    <r>
      <rPr>
        <rFont val="David Libre"/>
        <color theme="1"/>
        <sz val="10.0"/>
      </rPr>
      <t xml:space="preserve"> silsilit mayy 00:55; </t>
    </r>
    <r>
      <rPr>
        <rFont val="David Libre"/>
        <b/>
        <color theme="1"/>
        <sz val="10.0"/>
      </rPr>
      <t>med. imāla:</t>
    </r>
    <r>
      <rPr>
        <rFont val="David Libre"/>
        <color theme="1"/>
        <sz val="10.0"/>
      </rPr>
      <t xml:space="preserve"> hēḏa lmalak 00:05. </t>
    </r>
    <r>
      <rPr>
        <rFont val="David Libre"/>
        <b/>
        <color theme="1"/>
        <sz val="10.0"/>
        <u/>
      </rPr>
      <t>no</t>
    </r>
    <r>
      <rPr>
        <rFont val="David Libre"/>
        <b/>
        <color theme="1"/>
        <sz val="10.0"/>
      </rPr>
      <t xml:space="preserve"> assimilation of gutturals to the left:</t>
    </r>
    <r>
      <rPr>
        <rFont val="David Libre"/>
        <color theme="1"/>
        <sz val="10.0"/>
      </rPr>
      <t xml:space="preserve"> yrūḥ ʿala 00:08; </t>
    </r>
    <r>
      <rPr>
        <rFont val="David Libre"/>
        <b/>
        <color theme="1"/>
        <sz val="10.0"/>
      </rPr>
      <t>diphthongs:</t>
    </r>
    <r>
      <rPr>
        <rFont val="David Libre"/>
        <color theme="1"/>
        <sz val="10.0"/>
      </rPr>
      <t xml:space="preserve"> ṣayd 00:08;</t>
    </r>
  </si>
  <si>
    <t>EQ.1MD.R1</t>
  </si>
  <si>
    <t>Maysūn Wēli</t>
  </si>
  <si>
    <t>Ms.1FD</t>
  </si>
  <si>
    <t>Ms.1FD.R1</t>
  </si>
  <si>
    <t>Tamāra lḤalabi</t>
  </si>
  <si>
    <t>Ms.2FD</t>
  </si>
  <si>
    <t>Ms.2FD.R1</t>
  </si>
  <si>
    <t>Nancy Yonatan Yakir</t>
  </si>
  <si>
    <t>לאחר שלא קיבלו חופשה מביה"ס היא וחבריה ברחו ממנו</t>
  </si>
  <si>
    <r>
      <rPr>
        <rFont val="David Libre"/>
        <b/>
        <color theme="1"/>
        <sz val="10.0"/>
      </rPr>
      <t xml:space="preserve">fe. ending: </t>
    </r>
    <r>
      <rPr>
        <rFont val="David Libre"/>
        <b val="0"/>
        <color theme="1"/>
        <sz val="10.0"/>
      </rPr>
      <t>munēsabi 00:08, miš mitḏakkri 00:09;</t>
    </r>
    <r>
      <rPr>
        <rFont val="David Libre"/>
        <b/>
        <color theme="1"/>
        <sz val="10.0"/>
      </rPr>
      <t xml:space="preserve">med. imāla: </t>
    </r>
    <r>
      <rPr>
        <rFont val="David Libre"/>
        <b val="0"/>
        <color theme="1"/>
        <sz val="10.0"/>
      </rPr>
      <t xml:space="preserve">ṯēmin 00:03, kēn 00:05, munēsabi 00:08; </t>
    </r>
    <r>
      <rPr>
        <rFont val="David Libre"/>
        <b/>
        <color theme="1"/>
        <sz val="10.0"/>
      </rPr>
      <t>pausal -u &gt; -o#, -i &gt; -e#:</t>
    </r>
    <r>
      <rPr>
        <rFont val="David Libre"/>
        <b val="0"/>
        <color theme="1"/>
        <sz val="10.0"/>
      </rPr>
      <t xml:space="preserve"> rāseː# 00:55;</t>
    </r>
  </si>
  <si>
    <t>hinne/hinne</t>
  </si>
  <si>
    <t>Ms.2FD.R2</t>
  </si>
  <si>
    <t>Ms.2FD.R3</t>
  </si>
  <si>
    <t>Ġǧ</t>
  </si>
  <si>
    <t>Alawite</t>
  </si>
  <si>
    <t>Al</t>
  </si>
  <si>
    <t>Ġǧ.1F</t>
  </si>
  <si>
    <t>יש הרבה רעשי רקע ולא מעט דיבור בעברית. שתי דוברות (?). אחת מספרת קצת על חייה, חתונות בכפר, בישול.</t>
  </si>
  <si>
    <r>
      <rPr>
        <rFont val="David Libre"/>
        <b/>
        <color theme="1"/>
        <sz val="10.0"/>
      </rPr>
      <t>aCC =&gt; iCC:</t>
    </r>
    <r>
      <rPr>
        <rFont val="David Libre"/>
        <color theme="1"/>
        <sz val="10.0"/>
      </rPr>
      <t xml:space="preserve"> ihli 01:09 [cf. maḥabbe 01:59], ; </t>
    </r>
    <r>
      <rPr>
        <rFont val="David Libre"/>
        <b/>
        <color theme="1"/>
        <sz val="10.0"/>
      </rPr>
      <t>negation:</t>
    </r>
    <r>
      <rPr>
        <rFont val="David Libre"/>
        <color theme="1"/>
        <sz val="10.0"/>
      </rPr>
      <t xml:space="preserve"> mu mnīḥ 01:24, </t>
    </r>
    <r>
      <rPr>
        <rFont val="David Libre"/>
        <b/>
        <color theme="1"/>
        <sz val="10.0"/>
      </rPr>
      <t>imp. prefix 1 sg. bi-:</t>
    </r>
    <r>
      <rPr>
        <rFont val="David Libre"/>
        <color theme="1"/>
        <sz val="10.0"/>
      </rPr>
      <t xml:space="preserve"> bištiġil 04:38, </t>
    </r>
    <r>
      <rPr>
        <rFont val="David Libre"/>
        <b/>
        <color theme="1"/>
        <sz val="10.0"/>
      </rPr>
      <t xml:space="preserve">vocal harmony: </t>
    </r>
    <r>
      <rPr>
        <rFont val="David Libre"/>
        <color theme="1"/>
        <sz val="10.0"/>
      </rPr>
      <t xml:space="preserve">xibiz 07:38, </t>
    </r>
    <r>
      <rPr>
        <rFont val="David Libre"/>
        <b/>
        <color theme="1"/>
        <sz val="10.0"/>
      </rPr>
      <t xml:space="preserve">3 f.sg. perf. ending -et: </t>
    </r>
    <r>
      <rPr>
        <rFont val="David Libre"/>
        <color theme="1"/>
        <sz val="10.0"/>
      </rPr>
      <t xml:space="preserve">ḥamlet 08:13, nāmet 08:16, fāʾet 08:17, žābet 08:35 [cf. rāḥat 08:13]; </t>
    </r>
    <r>
      <rPr>
        <rFont val="David Libre"/>
        <b/>
        <color theme="1"/>
        <sz val="10.0"/>
      </rPr>
      <t xml:space="preserve">medial imāla: </t>
    </r>
    <r>
      <rPr>
        <rFont val="David Libre"/>
        <color theme="1"/>
        <sz val="10.0"/>
      </rPr>
      <t xml:space="preserve">ʿēmla [cf. rāḥat 08:13], </t>
    </r>
    <r>
      <rPr>
        <rFont val="David Libre"/>
        <b/>
        <color theme="1"/>
        <sz val="10.0"/>
      </rPr>
      <t xml:space="preserve">sandhi syncope: </t>
    </r>
    <r>
      <rPr>
        <rFont val="David Libre"/>
        <color theme="1"/>
        <sz val="10.0"/>
      </rPr>
      <t>mart xayyi 08:36.</t>
    </r>
  </si>
  <si>
    <t>-e</t>
  </si>
  <si>
    <t>נטיית גוף נסתרת בעבר בין 08:05-08:35</t>
  </si>
  <si>
    <t>Gǧ.1F.R1</t>
  </si>
  <si>
    <t>אוכל ובישול.</t>
  </si>
  <si>
    <r>
      <rPr>
        <rFont val="David Libre"/>
        <color theme="1"/>
        <sz val="10.0"/>
      </rPr>
      <t xml:space="preserve">"זיתים" </t>
    </r>
    <r>
      <rPr>
        <rFont val="David Libre"/>
        <i/>
        <color theme="1"/>
        <sz val="10.0"/>
      </rPr>
      <t>zaytūn</t>
    </r>
    <r>
      <rPr>
        <rFont val="David Libre"/>
        <color theme="1"/>
        <sz val="10.0"/>
      </rPr>
      <t xml:space="preserve"> (דיפתונג).</t>
    </r>
  </si>
  <si>
    <t>זבל</t>
  </si>
  <si>
    <t>Gǧ.1F.R2</t>
  </si>
  <si>
    <t>הצאן והבקר בכפר יודעים לחזור לבד מהמרעה, כל ראש לביתו</t>
  </si>
  <si>
    <r>
      <rPr>
        <rFont val="David Libre"/>
        <b/>
        <color theme="1"/>
        <sz val="10.0"/>
      </rPr>
      <t>3 f.sg. perf. ending -et:</t>
    </r>
    <r>
      <rPr>
        <rFont val="David Libre"/>
        <color theme="1"/>
        <sz val="10.0"/>
      </rPr>
      <t xml:space="preserve"> ḍallet 02:12;</t>
    </r>
    <r>
      <rPr>
        <rFont val="David Libre"/>
        <b/>
        <color theme="1"/>
        <sz val="10.0"/>
      </rPr>
      <t xml:space="preserve"> medial imāla:</t>
    </r>
    <r>
      <rPr>
        <rFont val="David Libre"/>
        <color theme="1"/>
        <sz val="10.0"/>
      </rPr>
      <t xml:space="preserve"> tēni 03:10 [cf. muʾāmale 02:59, bil*ā*i ḥālo 04:20, sahrāt 04:46, ḥaflāt 04:46, mašākil 05:04]; </t>
    </r>
    <r>
      <rPr>
        <rFont val="David Libre"/>
        <b/>
        <color theme="1"/>
        <sz val="10.0"/>
      </rPr>
      <t>indep. pron. 1 pl.:</t>
    </r>
    <r>
      <rPr>
        <rFont val="David Libre"/>
        <color theme="1"/>
        <sz val="10.0"/>
      </rPr>
      <t xml:space="preserve"> niḥna 04:56; </t>
    </r>
    <r>
      <rPr>
        <rFont val="David Libre"/>
        <b/>
        <color theme="1"/>
        <sz val="10.0"/>
      </rPr>
      <t>dipthongs:</t>
    </r>
    <r>
      <rPr>
        <rFont val="David Libre"/>
        <color theme="1"/>
        <sz val="10.0"/>
      </rPr>
      <t xml:space="preserve"> zaytūn 11:25; </t>
    </r>
    <r>
      <rPr>
        <rFont val="David Libre"/>
        <b/>
        <color theme="1"/>
        <sz val="10.0"/>
      </rPr>
      <t>vocal harmony:</t>
    </r>
    <r>
      <rPr>
        <rFont val="David Libre"/>
        <color theme="1"/>
        <sz val="10.0"/>
      </rPr>
      <t xml:space="preserve"> xibiz 11:36; </t>
    </r>
    <r>
      <rPr>
        <rFont val="David Libre"/>
        <b/>
        <color theme="1"/>
        <sz val="10.0"/>
      </rPr>
      <t>aCC=&gt; iCC:</t>
    </r>
    <r>
      <rPr>
        <rFont val="David Libre"/>
        <color theme="1"/>
        <sz val="10.0"/>
      </rPr>
      <t xml:space="preserve"> miġrib 05:59.</t>
    </r>
  </si>
  <si>
    <t>ʾ</t>
  </si>
  <si>
    <t>iḥna</t>
  </si>
  <si>
    <t>-ha</t>
  </si>
  <si>
    <t>kān / čān</t>
  </si>
  <si>
    <t>תעתיק בין 05:45-07:37. לדלג על הערות מראיינים באמצע.</t>
  </si>
  <si>
    <t>אושר (אורי)</t>
  </si>
  <si>
    <t>בן</t>
  </si>
  <si>
    <t>Ġǧ.1F.R3</t>
  </si>
  <si>
    <t>Ġǧ.1F.R3(t)</t>
  </si>
  <si>
    <t>קשה לשמוע בגלל האיכות.</t>
  </si>
  <si>
    <r>
      <rPr>
        <rFont val="David Libre"/>
        <b/>
        <color theme="1"/>
      </rPr>
      <t>medial imāla:</t>
    </r>
    <r>
      <rPr>
        <rFont val="David Libre"/>
        <color theme="1"/>
      </rPr>
      <t xml:space="preserve"> [cf. māt 02:28, šabāb 03:35]; </t>
    </r>
    <r>
      <rPr>
        <rFont val="David Libre"/>
        <b/>
        <color theme="1"/>
      </rPr>
      <t>3 f.sg. perf. ending -et:</t>
    </r>
    <r>
      <rPr>
        <rFont val="David Libre"/>
        <color theme="1"/>
      </rPr>
      <t xml:space="preserve"> ištaġlet 02:48; </t>
    </r>
    <r>
      <rPr>
        <rFont val="David Libre"/>
        <b/>
        <color theme="1"/>
      </rPr>
      <t>indep. pron. 1 pl.:</t>
    </r>
    <r>
      <rPr>
        <rFont val="David Libre"/>
        <color theme="1"/>
      </rPr>
      <t xml:space="preserve"> niḥna 04:00</t>
    </r>
  </si>
  <si>
    <t>Gǧ.1F.R4</t>
  </si>
  <si>
    <t>Ġǧ.2F</t>
  </si>
  <si>
    <t>אירוסין וחתונה</t>
  </si>
  <si>
    <r>
      <rPr>
        <rFont val="David Libre"/>
        <b/>
        <color theme="1"/>
        <sz val="10.0"/>
      </rPr>
      <t>aCC=&gt; iCC:</t>
    </r>
    <r>
      <rPr>
        <rFont val="David Libre"/>
        <color theme="1"/>
        <sz val="10.0"/>
      </rPr>
      <t xml:space="preserve"> ʿihlo: 01:10, 01:14, 01:16, 03:04, 05:07, 05:16, 06:12 [cf. ḥēki la-ʾahlo 01:12, ḥatta 01:24], dibke/diḥke 05:33; </t>
    </r>
    <r>
      <rPr>
        <rFont val="David Libre"/>
        <b/>
        <color theme="1"/>
        <sz val="10.0"/>
      </rPr>
      <t>med. imāla:</t>
    </r>
    <r>
      <rPr>
        <rFont val="David Libre"/>
        <color theme="1"/>
        <sz val="10.0"/>
      </rPr>
      <t xml:space="preserve"> ḥēki 01:12, ē  01:45, ktēb 03:07, bišērku 03:23, tēni 03:28 [cf. bināsíbna 01:28]; </t>
    </r>
    <r>
      <rPr>
        <rFont val="David Libre"/>
        <b/>
        <color theme="1"/>
        <sz val="10.0"/>
      </rPr>
      <t>Clusters:</t>
    </r>
    <r>
      <rPr>
        <rFont val="David Libre"/>
        <color theme="1"/>
        <sz val="10.0"/>
      </rPr>
      <t xml:space="preserve"> sinisle 02:00, bikitbu 03:06; </t>
    </r>
    <r>
      <rPr>
        <rFont val="David Libre"/>
        <b/>
        <color theme="1"/>
        <sz val="10.0"/>
      </rPr>
      <t>dipthongs:</t>
    </r>
    <r>
      <rPr>
        <rFont val="David Libre"/>
        <color theme="1"/>
        <sz val="10.0"/>
      </rPr>
      <t xml:space="preserve"> ʿayle 00:58 01:19 [cf. bēt 02:18, yōm 06:10] </t>
    </r>
  </si>
  <si>
    <t>*CCC &gt; CvCC</t>
  </si>
  <si>
    <t>bi-</t>
  </si>
  <si>
    <t>hōn</t>
  </si>
  <si>
    <t>תעתיק בין 00:31 - 03:27</t>
  </si>
  <si>
    <t>Ġǧ.2F.R1</t>
  </si>
  <si>
    <t>Ġǧ.2F.R1(t)</t>
  </si>
  <si>
    <t>Christian (Catholic)</t>
  </si>
  <si>
    <t>C</t>
  </si>
  <si>
    <t>tʾīl</t>
  </si>
  <si>
    <t>אבו כמיל (AK)</t>
  </si>
  <si>
    <t>Žš.1MC</t>
  </si>
  <si>
    <t>מספר על חיפושיו אחר אישה לאחר שהתאלמן.</t>
  </si>
  <si>
    <r>
      <rPr>
        <rFont val="David Libre"/>
        <color theme="1"/>
        <sz val="10.0"/>
      </rPr>
      <t xml:space="preserve">אין בין-שיניות. מימוש ج&gt;ž. מימוש ق&gt;ʾ. צורת </t>
    </r>
    <r>
      <rPr>
        <rFont val="David Libre"/>
        <i/>
        <color theme="1"/>
        <sz val="10.0"/>
      </rPr>
      <t>baddi</t>
    </r>
    <r>
      <rPr>
        <rFont val="David Libre"/>
        <color theme="1"/>
        <sz val="10.0"/>
      </rPr>
      <t xml:space="preserve">., כינוי נסתרת ללא </t>
    </r>
    <r>
      <rPr>
        <rFont val="David Libre"/>
        <i/>
        <color theme="1"/>
        <sz val="10.0"/>
      </rPr>
      <t>h</t>
    </r>
    <r>
      <rPr>
        <rFont val="David Libre"/>
        <color theme="1"/>
        <sz val="10.0"/>
      </rPr>
      <t xml:space="preserve">. אין בין-שיניות. </t>
    </r>
  </si>
  <si>
    <t>הגהה</t>
  </si>
  <si>
    <t>עבר הגהה</t>
  </si>
  <si>
    <t>נור + עהוד</t>
  </si>
  <si>
    <t>Žš.1MC.R1</t>
  </si>
  <si>
    <t xml:space="preserve">Rajaa </t>
  </si>
  <si>
    <t>2017 (??)</t>
  </si>
  <si>
    <t>Žš.1MC.R1(t)</t>
  </si>
  <si>
    <t>كفر برعم</t>
  </si>
  <si>
    <t>Christian (Maronite)</t>
  </si>
  <si>
    <t>Suʿād Antanas</t>
  </si>
  <si>
    <t>Br.1FC</t>
  </si>
  <si>
    <t>על המשפחה. יש לה שלוש בנות ושני בנים, בת אחת למדה ומלמדת כימיה, אחת למדה חינוך מיוחד, אחת עניינים חברתיים. בן אחד עובד ברמב"ם והשני עובד במחשבים.</t>
  </si>
  <si>
    <t xml:space="preserve">ʿandi. אין בין-שיניות. סיומת נקבה i-. </t>
  </si>
  <si>
    <t>bidd</t>
  </si>
  <si>
    <t>Br.1FC.R1</t>
  </si>
  <si>
    <t>Br.1FC.R1(t)</t>
  </si>
  <si>
    <t>Žiryis Qayṣar Antanas</t>
  </si>
  <si>
    <t>Br.2MC</t>
  </si>
  <si>
    <t>למד בבית ספר יהודי ולא ידע עברית. ביום הראשון אבא שלו אמר שיחכה לו ובסוף הלימודים הוא לא מצא אותו.</t>
  </si>
  <si>
    <t>"הלכתי" נשמע כמו ruḥet&gt;raḥet*. כינוי חבור נסתרת ללא h, למשל: bi-waʾta. אין בין-שיניות. ق = q. ج = ž. תנועת a בעתיד ב-aʿraf אבל yiʿrif .</t>
  </si>
  <si>
    <t>בקרה</t>
  </si>
  <si>
    <t>Br.2MC.R1</t>
  </si>
  <si>
    <t xml:space="preserve">Elisheva </t>
  </si>
  <si>
    <t>Br.2MC.R1(t)</t>
  </si>
  <si>
    <t>Antanas Marūn</t>
  </si>
  <si>
    <t>Br.3MC</t>
  </si>
  <si>
    <t>מספר על בנו שנהרג בתאונה בגלל התקף לב. הותיר לו שלוש נכדות.</t>
  </si>
  <si>
    <t>סיומת נקבה i-. אמאלה תוכית עדינה. ʿandīhum</t>
  </si>
  <si>
    <t>Br.3MC.R1</t>
  </si>
  <si>
    <t>Saʿda Antanas Faraḥ Marūn</t>
  </si>
  <si>
    <t>Br.4FC</t>
  </si>
  <si>
    <t>התחתנה עם מישהו ממשפחת ח'ורי שהיה חבר של אביה. היא קטנה ממנו ב-10 שנים. הוריו גרו איתם ואחיו היה בלבנון.</t>
  </si>
  <si>
    <t>Br.4FC.R1</t>
  </si>
  <si>
    <t>Ṣubḥi Farḥāt</t>
  </si>
  <si>
    <t>Br.5MC</t>
  </si>
  <si>
    <t>התקפה על המנזר (או דיר חנא?).</t>
  </si>
  <si>
    <t>עבר תעתיק</t>
  </si>
  <si>
    <t>דאליה + אורי</t>
  </si>
  <si>
    <t>Br.5MC.R1</t>
  </si>
  <si>
    <t>Br.5MC.R1(t)</t>
  </si>
  <si>
    <t>עבלה אבו סים... (AAS)</t>
  </si>
  <si>
    <t>Fs.1FC</t>
  </si>
  <si>
    <t>הדוד היה סתת שעשה הכול. עבדה אצל הדוד בבניה ותוך כדי הביאה ילדים.</t>
  </si>
  <si>
    <t>אין בין-שיניות. מימוש ج&gt;ž. מימוש ق&gt;ʾ. שימוש בשורש بقي. סיומת נקבה = i.</t>
  </si>
  <si>
    <t>Fs.1FC.R1</t>
  </si>
  <si>
    <t>Fs.1FC.R1(t)</t>
  </si>
  <si>
    <t>מתכון לכובה.</t>
  </si>
  <si>
    <t>Fs.1FC.R2</t>
  </si>
  <si>
    <t>מרסיל אבו-איוב (MAA)</t>
  </si>
  <si>
    <t>Fs.2FC</t>
  </si>
  <si>
    <t>חוויות מביה"ח.</t>
  </si>
  <si>
    <r>
      <rPr>
        <rFont val="David Libre"/>
        <color theme="1"/>
        <sz val="10.0"/>
      </rPr>
      <t xml:space="preserve">אין בין-שיניות. מימוש ج&gt;ž. מימוש ق&gt;ʾ. סיומת נקבה = i. אין h בכינוי חבור. שימוש בגלייד בכינוי חבור: </t>
    </r>
    <r>
      <rPr>
        <rFont val="David Libre"/>
        <i/>
        <color theme="1"/>
        <sz val="10.0"/>
      </rPr>
      <t>fiyyu</t>
    </r>
    <r>
      <rPr>
        <rFont val="David Libre"/>
        <color theme="1"/>
        <sz val="10.0"/>
      </rPr>
      <t>.</t>
    </r>
  </si>
  <si>
    <t>Fs.2FC.R1</t>
  </si>
  <si>
    <t>Fs.2FC.R1(t)</t>
  </si>
  <si>
    <t>מריס ח'ליל נז'אר (MXN)</t>
  </si>
  <si>
    <t>Fs.3MC</t>
  </si>
  <si>
    <t>מספר שאמו הגיע לכפר מסוריה כמורה ואביו עזב את ארוסתו בשביל להתחתן איתה.</t>
  </si>
  <si>
    <r>
      <rPr>
        <rFont val="David Libre"/>
        <color theme="1"/>
        <sz val="10.0"/>
      </rPr>
      <t xml:space="preserve">כינוי חבור נקבה בלי </t>
    </r>
    <r>
      <rPr>
        <rFont val="David Libre"/>
        <i/>
        <color theme="1"/>
        <sz val="10.0"/>
      </rPr>
      <t>h</t>
    </r>
    <r>
      <rPr>
        <rFont val="David Libre"/>
        <color theme="1"/>
        <sz val="10.0"/>
      </rPr>
      <t>. לפעמים יש בין-שיניות ולפעמים לא.</t>
    </r>
  </si>
  <si>
    <t>-a</t>
  </si>
  <si>
    <t>Fs.3MC.R1</t>
  </si>
  <si>
    <t>Layal Bshara</t>
  </si>
  <si>
    <t>Fs.3MC.R1(t)</t>
  </si>
  <si>
    <t>מספר על אמו שהגיעה מיברוד, סוריה, ועל החיים שם.</t>
  </si>
  <si>
    <r>
      <rPr>
        <rFont val="David Libre"/>
        <color theme="1"/>
        <sz val="10.0"/>
      </rPr>
      <t xml:space="preserve">כינוי חבור "הם" </t>
    </r>
    <r>
      <rPr>
        <rFont val="David Libre"/>
        <i/>
        <color theme="1"/>
        <sz val="10.0"/>
      </rPr>
      <t>an-</t>
    </r>
    <r>
      <rPr>
        <rFont val="David Libre"/>
        <color theme="1"/>
        <sz val="10.0"/>
      </rPr>
      <t xml:space="preserve">, בצורה </t>
    </r>
    <r>
      <rPr>
        <rFont val="David Libre"/>
        <i/>
        <color theme="1"/>
        <sz val="10.0"/>
      </rPr>
      <t>benātan</t>
    </r>
    <r>
      <rPr>
        <rFont val="David Libre"/>
        <color theme="1"/>
        <sz val="10.0"/>
      </rPr>
      <t xml:space="preserve">. סיומת נקבה </t>
    </r>
    <r>
      <rPr>
        <rFont val="David Libre"/>
        <i/>
        <color theme="1"/>
        <sz val="10.0"/>
      </rPr>
      <t>i-</t>
    </r>
    <r>
      <rPr>
        <rFont val="David Libre"/>
        <color theme="1"/>
        <sz val="10.0"/>
      </rPr>
      <t>.</t>
    </r>
  </si>
  <si>
    <t>לחבר לטקסט הקודם של אותו הדובר</t>
  </si>
  <si>
    <t>Fs.3MC.R2</t>
  </si>
  <si>
    <t>Fs.3MC.R2(t)</t>
  </si>
  <si>
    <t>Tr.1F</t>
  </si>
  <si>
    <t>הדוברת מספרת על הילדות, משחקים, רקמה.</t>
  </si>
  <si>
    <r>
      <rPr>
        <rFont val="David Libre"/>
        <i/>
        <color theme="1"/>
        <sz val="10.0"/>
      </rPr>
      <t xml:space="preserve">šū usmo, כינוי חבור נקבה בלי h בצורה kullayāta. </t>
    </r>
    <r>
      <rPr>
        <rFont val="David Libre"/>
        <i val="0"/>
        <color theme="1"/>
        <sz val="10.0"/>
      </rPr>
      <t xml:space="preserve">حتّى = </t>
    </r>
    <r>
      <rPr>
        <rFont val="David Libre"/>
        <i/>
        <color theme="1"/>
        <sz val="10.0"/>
      </rPr>
      <t xml:space="preserve">ḥitta, </t>
    </r>
    <r>
      <rPr>
        <rFont val="David Libre"/>
        <i val="0"/>
        <color theme="1"/>
        <sz val="10.0"/>
      </rPr>
      <t xml:space="preserve">ج = לפעמים </t>
    </r>
    <r>
      <rPr>
        <rFont val="David Libre"/>
        <i/>
        <color theme="1"/>
        <sz val="10.0"/>
      </rPr>
      <t>ǧ</t>
    </r>
    <r>
      <rPr>
        <rFont val="David Libre"/>
        <i val="0"/>
        <color theme="1"/>
        <sz val="10.0"/>
      </rPr>
      <t xml:space="preserve"> (בצורות</t>
    </r>
    <r>
      <rPr>
        <rFont val="David Libre"/>
        <i/>
        <color theme="1"/>
        <sz val="10.0"/>
      </rPr>
      <t xml:space="preserve"> ǧīl, nǧīb</t>
    </r>
    <r>
      <rPr>
        <rFont val="David Libre"/>
        <i val="0"/>
        <color theme="1"/>
        <sz val="10.0"/>
      </rPr>
      <t>)</t>
    </r>
    <r>
      <rPr>
        <rFont val="David Libre"/>
        <i/>
        <color theme="1"/>
        <sz val="10.0"/>
      </rPr>
      <t xml:space="preserve"> </t>
    </r>
    <r>
      <rPr>
        <rFont val="David Libre"/>
        <i val="0"/>
        <color theme="1"/>
        <sz val="10.0"/>
      </rPr>
      <t>אך לפעמים</t>
    </r>
    <r>
      <rPr>
        <rFont val="David Libre"/>
        <i/>
        <color theme="1"/>
        <sz val="10.0"/>
      </rPr>
      <t xml:space="preserve"> ž</t>
    </r>
    <r>
      <rPr>
        <rFont val="David Libre"/>
        <i val="0"/>
        <color theme="1"/>
        <sz val="10.0"/>
      </rPr>
      <t xml:space="preserve"> (בצורות</t>
    </r>
    <r>
      <rPr>
        <rFont val="David Libre"/>
        <i/>
        <color theme="1"/>
        <sz val="10.0"/>
      </rPr>
      <t xml:space="preserve"> fanažīn, ḥižāra, žirān, žīl</t>
    </r>
    <r>
      <rPr>
        <rFont val="David Libre"/>
        <i val="0"/>
        <color theme="1"/>
        <sz val="10.0"/>
      </rPr>
      <t>).</t>
    </r>
    <r>
      <rPr>
        <rFont val="David Libre"/>
        <i/>
        <color theme="1"/>
        <sz val="10.0"/>
      </rPr>
      <t xml:space="preserve"> </t>
    </r>
    <r>
      <rPr>
        <rFont val="David Libre"/>
        <i val="0"/>
        <color theme="1"/>
        <sz val="10.0"/>
      </rPr>
      <t>ق =</t>
    </r>
    <r>
      <rPr>
        <rFont val="David Libre"/>
        <i/>
        <color theme="1"/>
        <sz val="10.0"/>
      </rPr>
      <t xml:space="preserve"> ʾ</t>
    </r>
    <r>
      <rPr>
        <rFont val="David Libre"/>
        <i val="0"/>
        <color theme="1"/>
        <sz val="10.0"/>
      </rPr>
      <t>.</t>
    </r>
  </si>
  <si>
    <t>ניצן + תסנים</t>
  </si>
  <si>
    <t>Tr.1F.R1</t>
  </si>
  <si>
    <t>Tr.1F.R1(t)</t>
  </si>
  <si>
    <t>Sitt Jarāysi</t>
  </si>
  <si>
    <t>Tr.2F</t>
  </si>
  <si>
    <t>סיפור על סוס שהיה למשפחתתה .</t>
  </si>
  <si>
    <r>
      <rPr>
        <rFont val="David Libre"/>
        <color theme="1"/>
        <sz val="10.0"/>
      </rPr>
      <t xml:space="preserve">אמאלה תוכית, baddi. ق = ʾ. ج&gt;ž. קיצור דיפתונג: </t>
    </r>
    <r>
      <rPr>
        <rFont val="David Libre"/>
        <i/>
        <color theme="1"/>
        <sz val="10.0"/>
      </rPr>
      <t>žaʿān</t>
    </r>
    <r>
      <rPr>
        <rFont val="David Libre"/>
        <color theme="1"/>
        <sz val="10.0"/>
      </rPr>
      <t xml:space="preserve">. אין בינן-שיניות. בכינוי החבור נקבה יש </t>
    </r>
    <r>
      <rPr>
        <rFont val="David Libre"/>
        <i/>
        <color theme="1"/>
        <sz val="10.0"/>
      </rPr>
      <t>h</t>
    </r>
    <r>
      <rPr>
        <rFont val="David Libre"/>
        <color theme="1"/>
        <sz val="10.0"/>
      </rPr>
      <t>.</t>
    </r>
  </si>
  <si>
    <t>-ku/-ko</t>
  </si>
  <si>
    <t>Tr.2F.R1</t>
  </si>
  <si>
    <t>Maram Jaraysi</t>
  </si>
  <si>
    <t>Tr.2F.R1(t)</t>
  </si>
  <si>
    <t>סובסרט ארמי: lamman. אין בין-שיניות. אמאלה סופית i-. מימוש ج&gt;ž. מימוש ق&gt;ʾ. איבוד נחציות tisfīr. אמאלה תוכית עדינה. ḍarabtu la-hāda lwalad</t>
  </si>
  <si>
    <t>Tr.2F.R2</t>
  </si>
  <si>
    <t>Tr.2F.R2(t)</t>
  </si>
  <si>
    <t>מספרת על משפחתה ועל חייה.</t>
  </si>
  <si>
    <r>
      <rPr>
        <rFont val="David Libre"/>
        <color theme="1"/>
        <sz val="10.0"/>
      </rPr>
      <t xml:space="preserve">סיומת נקבה i-. הנמכת ססב"מ, סיומת הפועל perf.1SG היא et-. "בנים" ṣibyān. אין בין-שיניות. צורת הפועל perf.3SGF היא kibrat. "כולן" kullayāton. "אצלן" ʿandon. "בריאות" </t>
    </r>
    <r>
      <rPr>
        <rFont val="David Libre"/>
        <i/>
        <color theme="1"/>
        <sz val="10.0"/>
      </rPr>
      <t>ṣuḥḥa</t>
    </r>
    <r>
      <rPr>
        <rFont val="David Libre"/>
        <color theme="1"/>
        <sz val="10.0"/>
      </rPr>
      <t>.</t>
    </r>
  </si>
  <si>
    <t>Tr.2F.R3</t>
  </si>
  <si>
    <t>סיפור על בתה של המספרת.</t>
  </si>
  <si>
    <r>
      <rPr>
        <rFont val="David Libre"/>
        <color theme="1"/>
        <sz val="10.0"/>
      </rPr>
      <t xml:space="preserve">"אמרתי לה" </t>
    </r>
    <r>
      <rPr>
        <rFont val="David Libre"/>
        <i/>
        <color theme="1"/>
        <sz val="10.0"/>
      </rPr>
      <t>ʾultilla</t>
    </r>
    <r>
      <rPr>
        <rFont val="David Libre"/>
        <color theme="1"/>
        <sz val="10.0"/>
      </rPr>
      <t xml:space="preserve">, בלי </t>
    </r>
    <r>
      <rPr>
        <rFont val="David Libre"/>
        <i/>
        <color theme="1"/>
        <sz val="10.0"/>
      </rPr>
      <t xml:space="preserve">h </t>
    </r>
    <r>
      <rPr>
        <rFont val="David Libre"/>
        <color theme="1"/>
        <sz val="10.0"/>
      </rPr>
      <t xml:space="preserve">בכינוי חבור 3SGF. "את" </t>
    </r>
    <r>
      <rPr>
        <rFont val="David Libre"/>
        <i/>
        <color theme="1"/>
        <sz val="10.0"/>
      </rPr>
      <t>anti</t>
    </r>
    <r>
      <rPr>
        <rFont val="David Libre"/>
        <color theme="1"/>
        <sz val="10.0"/>
      </rPr>
      <t xml:space="preserve">. "ארביץ לך" </t>
    </r>
    <r>
      <rPr>
        <rFont val="David Libre"/>
        <i/>
        <color theme="1"/>
        <sz val="10.0"/>
      </rPr>
      <t>aḍurbek</t>
    </r>
    <r>
      <rPr>
        <rFont val="David Libre"/>
        <color theme="1"/>
        <sz val="10.0"/>
      </rPr>
      <t xml:space="preserve">. "אחיה" </t>
    </r>
    <r>
      <rPr>
        <rFont val="David Libre"/>
        <i/>
        <color theme="1"/>
        <sz val="10.0"/>
      </rPr>
      <t xml:space="preserve">axūha </t>
    </r>
    <r>
      <rPr>
        <rFont val="David Libre"/>
        <color theme="1"/>
        <sz val="10.0"/>
      </rPr>
      <t xml:space="preserve">עם </t>
    </r>
    <r>
      <rPr>
        <rFont val="David Libre"/>
        <i/>
        <color theme="1"/>
        <sz val="10.0"/>
      </rPr>
      <t>h</t>
    </r>
    <r>
      <rPr>
        <rFont val="David Libre"/>
        <color theme="1"/>
        <sz val="10.0"/>
      </rPr>
      <t xml:space="preserve"> בכינוי חבור 3SGF.</t>
    </r>
  </si>
  <si>
    <r>
      <rPr>
        <rFont val="David Libre"/>
        <i/>
        <color rgb="FF000000"/>
        <sz val="10.0"/>
      </rPr>
      <t xml:space="preserve">-a; -ha </t>
    </r>
    <r>
      <rPr>
        <rFont val="David Libre"/>
        <i val="0"/>
        <color rgb="FF000000"/>
        <sz val="10.0"/>
      </rPr>
      <t>only after</t>
    </r>
    <r>
      <rPr>
        <rFont val="David Libre"/>
        <i/>
        <color rgb="FF000000"/>
        <sz val="10.0"/>
      </rPr>
      <t xml:space="preserve"> -ū-</t>
    </r>
  </si>
  <si>
    <t>Tr.2F.R4</t>
  </si>
  <si>
    <t>Tr.3F</t>
  </si>
  <si>
    <t>חווית הדוברת בלימודיה בבאר שבע, רחוק מהבית.</t>
  </si>
  <si>
    <r>
      <rPr>
        <rFont val="David Libre"/>
        <color theme="1"/>
        <sz val="10.0"/>
      </rPr>
      <t xml:space="preserve">ق = ʾ. ج = ž. אמאלה תוכית בולטת. אין בין-שיניות. סיומת נקבה i-. "מחוץ לבית" </t>
    </r>
    <r>
      <rPr>
        <rFont val="David Libre"/>
        <i/>
        <color theme="1"/>
        <sz val="10.0"/>
      </rPr>
      <t>barrīt ilbēt</t>
    </r>
    <r>
      <rPr>
        <rFont val="David Libre"/>
        <color theme="1"/>
        <sz val="10.0"/>
      </rPr>
      <t>.</t>
    </r>
  </si>
  <si>
    <t>Tr.3F.R1</t>
  </si>
  <si>
    <t>Jadon Yousif Jadon (?)</t>
  </si>
  <si>
    <t>Tr.4MC</t>
  </si>
  <si>
    <t>אחד התלמידים בכיתה שלו חלה והכיתה אספה כסף בשביל לפנק אותו. אחד המורים התרגז.</t>
  </si>
  <si>
    <r>
      <rPr>
        <rFont val="David Libre"/>
        <color theme="1"/>
        <sz val="10.0"/>
      </rPr>
      <t xml:space="preserve">aCC &gt; iCC, למשל midrasi. ق = ʾ. במילה "חולה" </t>
    </r>
    <r>
      <rPr>
        <rFont val="David Libre"/>
        <i/>
        <color theme="1"/>
        <sz val="10.0"/>
      </rPr>
      <t xml:space="preserve">marīḍ </t>
    </r>
    <r>
      <rPr>
        <rFont val="David Libre"/>
        <color theme="1"/>
        <sz val="10.0"/>
      </rPr>
      <t xml:space="preserve">אין בין-שיניות, אולם בצורה baʿḏ̣un יש בין-שיניות. "משתתפים" yištirku. "לבדם" </t>
    </r>
    <r>
      <rPr>
        <rFont val="David Libre"/>
        <i/>
        <color theme="1"/>
        <sz val="10.0"/>
      </rPr>
      <t>laḥālun</t>
    </r>
    <r>
      <rPr>
        <rFont val="David Libre"/>
        <color theme="1"/>
        <sz val="10.0"/>
      </rPr>
      <t xml:space="preserve">. "הם" </t>
    </r>
    <r>
      <rPr>
        <rFont val="David Libre"/>
        <i/>
        <color theme="1"/>
        <sz val="10.0"/>
      </rPr>
      <t>hunni</t>
    </r>
    <r>
      <rPr>
        <rFont val="David Libre"/>
        <color theme="1"/>
        <sz val="10.0"/>
      </rPr>
      <t>.</t>
    </r>
  </si>
  <si>
    <t>*CCC &gt; CCvC</t>
  </si>
  <si>
    <t>hunne</t>
  </si>
  <si>
    <t>Tr.4MC.R1</t>
  </si>
  <si>
    <t>Yara Bshara</t>
  </si>
  <si>
    <t>Tr.4MC.R1(t)</t>
  </si>
  <si>
    <t>Suʿād Asʿad Musa Bshara</t>
  </si>
  <si>
    <t>Tr.5FC</t>
  </si>
  <si>
    <t>מספרת על בנה (כנראה) בוטרוס ועל חושו המוסיקלי.</t>
  </si>
  <si>
    <r>
      <rPr>
        <rFont val="David Libre"/>
        <color theme="1"/>
        <sz val="10.0"/>
      </rPr>
      <t xml:space="preserve">"בשבילם" </t>
    </r>
    <r>
      <rPr>
        <rFont val="David Libre"/>
        <i/>
        <color theme="1"/>
        <sz val="10.0"/>
      </rPr>
      <t>la-ʾilhun</t>
    </r>
    <r>
      <rPr>
        <rFont val="David Libre"/>
        <color theme="1"/>
        <sz val="10.0"/>
      </rPr>
      <t xml:space="preserve">. ق = ʾ. ج = ž. "הוא" </t>
    </r>
    <r>
      <rPr>
        <rFont val="David Libre"/>
        <i/>
        <color theme="1"/>
        <sz val="10.0"/>
      </rPr>
      <t>huwwe</t>
    </r>
    <r>
      <rPr>
        <rFont val="David Libre"/>
        <color theme="1"/>
        <sz val="10.0"/>
      </rPr>
      <t xml:space="preserve">. "יעשה" </t>
    </r>
    <r>
      <rPr>
        <rFont val="David Libre"/>
        <i/>
        <color theme="1"/>
        <sz val="10.0"/>
      </rPr>
      <t>yaʿmal</t>
    </r>
    <r>
      <rPr>
        <rFont val="David Libre"/>
        <color theme="1"/>
        <sz val="10.0"/>
      </rPr>
      <t xml:space="preserve">. "רוצה" </t>
    </r>
    <r>
      <rPr>
        <rFont val="David Libre"/>
        <i/>
        <color theme="1"/>
        <sz val="10.0"/>
      </rPr>
      <t>baddu</t>
    </r>
    <r>
      <rPr>
        <rFont val="David Libre"/>
        <color theme="1"/>
        <sz val="10.0"/>
      </rPr>
      <t xml:space="preserve">. "יוצא" </t>
    </r>
    <r>
      <rPr>
        <rFont val="David Libre"/>
        <i/>
        <color theme="1"/>
        <sz val="10.0"/>
      </rPr>
      <t>byiṭlaʿ</t>
    </r>
    <r>
      <rPr>
        <rFont val="David Libre"/>
        <color theme="1"/>
        <sz val="10.0"/>
      </rPr>
      <t xml:space="preserve">. אין בין-שיניות. "אם" </t>
    </r>
    <r>
      <rPr>
        <rFont val="David Libre"/>
        <i/>
        <color theme="1"/>
        <sz val="10.0"/>
      </rPr>
      <t>iza</t>
    </r>
    <r>
      <rPr>
        <rFont val="David Libre"/>
        <color theme="1"/>
        <sz val="10.0"/>
      </rPr>
      <t xml:space="preserve">. "זה" </t>
    </r>
    <r>
      <rPr>
        <rFont val="David Libre"/>
        <i/>
        <color theme="1"/>
        <sz val="10.0"/>
      </rPr>
      <t>hāda</t>
    </r>
    <r>
      <rPr>
        <rFont val="David Libre"/>
        <color theme="1"/>
        <sz val="10.0"/>
      </rPr>
      <t xml:space="preserve">. "ברור/בולט" </t>
    </r>
    <r>
      <rPr>
        <rFont val="David Libre"/>
        <i/>
        <color theme="1"/>
        <sz val="10.0"/>
      </rPr>
      <t>ẓāhir</t>
    </r>
    <r>
      <rPr>
        <rFont val="David Libre"/>
        <color theme="1"/>
        <sz val="10.0"/>
      </rPr>
      <t>.</t>
    </r>
  </si>
  <si>
    <t>byi-</t>
  </si>
  <si>
    <t>Tr.5FC.R1</t>
  </si>
  <si>
    <t>Tr.5FC.R1(t)</t>
  </si>
  <si>
    <t>המשך הסיפור על בוטרוס.</t>
  </si>
  <si>
    <t>Tr.5FC.R2</t>
  </si>
  <si>
    <t>Tr.5FC.R2(t)</t>
  </si>
  <si>
    <t>Wadīʿa Jiryis Khoury</t>
  </si>
  <si>
    <t>Tr.6FC</t>
  </si>
  <si>
    <t>הקשיים אחרי פטירת אביה של האינפורמנטית והאחריות לגדל אותם המוטלת עליה אין עכשיו. הדוברת מספרת שנאלצה ללכת ללמוד סיעוד בכפר סבא ואז עבדה בכל מני כפרים.</t>
  </si>
  <si>
    <r>
      <rPr>
        <rFont val="David Libre"/>
        <color theme="1"/>
        <sz val="10.0"/>
      </rPr>
      <t xml:space="preserve">אין בין-שיניות. ق = ʾ. ج = </t>
    </r>
    <r>
      <rPr>
        <rFont val="David Libre"/>
        <i/>
        <color theme="1"/>
        <sz val="10.0"/>
      </rPr>
      <t>ž</t>
    </r>
    <r>
      <rPr>
        <rFont val="David Libre"/>
        <color theme="1"/>
        <sz val="10.0"/>
      </rPr>
      <t xml:space="preserve">. "היו נותנים לנו" </t>
    </r>
    <r>
      <rPr>
        <rFont val="David Libre"/>
        <i/>
        <color theme="1"/>
        <sz val="10.0"/>
      </rPr>
      <t>kānu yanṭūna</t>
    </r>
    <r>
      <rPr>
        <rFont val="David Libre"/>
        <color theme="1"/>
        <sz val="10.0"/>
      </rPr>
      <t>.</t>
    </r>
  </si>
  <si>
    <t>Tr.6FC.R1</t>
  </si>
  <si>
    <t>Tr.6FC.R1(t)</t>
  </si>
  <si>
    <t>ʿAyda Bshara Susan (?)</t>
  </si>
  <si>
    <t>Tr.7FC</t>
  </si>
  <si>
    <t>הבן שלה הלך לגור עם דוד שלו שאהב אותו באמריקה, נשאר שם ולא רצה לחזור.</t>
  </si>
  <si>
    <r>
      <rPr>
        <rFont val="David Libre"/>
        <color theme="1"/>
        <sz val="10.0"/>
      </rPr>
      <t xml:space="preserve">"רוצה" </t>
    </r>
    <r>
      <rPr>
        <rFont val="David Libre"/>
        <i/>
        <color theme="1"/>
        <sz val="10.0"/>
      </rPr>
      <t>baddo</t>
    </r>
    <r>
      <rPr>
        <rFont val="David Libre"/>
        <color theme="1"/>
        <sz val="10.0"/>
      </rPr>
      <t xml:space="preserve">. לא מובן לי אבל נראה חשוב: </t>
    </r>
    <r>
      <rPr>
        <rFont val="David Libre"/>
        <i/>
        <color theme="1"/>
        <sz val="10.0"/>
      </rPr>
      <t>w-ftēt ʾa ktīr haʾnaʿtu</t>
    </r>
    <r>
      <rPr>
        <rFont val="David Libre"/>
        <color theme="1"/>
        <sz val="10.0"/>
      </rPr>
      <t>.</t>
    </r>
  </si>
  <si>
    <t>-kum/-kom</t>
  </si>
  <si>
    <t>בטיפול</t>
  </si>
  <si>
    <t>Tr.7FC.R1</t>
  </si>
  <si>
    <t>Tr.7FC.R1(t)</t>
  </si>
  <si>
    <t>Muslim</t>
  </si>
  <si>
    <t>Nažwa ʿUmar</t>
  </si>
  <si>
    <t>Tr.8F</t>
  </si>
  <si>
    <t>הדוברת היא נז'וה עמר, ילידת לבנון. תמצית: המשפחה חוזרת מלבנון עם משפחת רשיד א-סח'ניני. ילדי המשפחה הופכים להיות אחים שלה להנקה והילדים שלהם מכנים אותה עמתי נז'וה.</t>
  </si>
  <si>
    <r>
      <rPr>
        <rFont val="David Libre"/>
        <color theme="1"/>
        <sz val="10.0"/>
      </rPr>
      <t>סיומת נקבה i-. ق = ʾ. פירוק צרור סופי למרות סונוריות יורדת: ḏ̣areb. ج = ž. כינוי חבור "שלהם" hun-. אין בין-שיניות, פוצצים חוץ מ-</t>
    </r>
    <r>
      <rPr>
        <rFont val="David Libre"/>
        <i/>
        <color theme="1"/>
        <sz val="10.0"/>
      </rPr>
      <t>ẓurūf</t>
    </r>
    <r>
      <rPr>
        <rFont val="David Libre"/>
        <color theme="1"/>
        <sz val="10.0"/>
      </rPr>
      <t>.</t>
    </r>
  </si>
  <si>
    <t>תומר</t>
  </si>
  <si>
    <t>Tr.8F.R1</t>
  </si>
  <si>
    <t>Layāl Bshara</t>
  </si>
  <si>
    <t>Tr.8F.R1(t)</t>
  </si>
  <si>
    <t>ṯʾīl</t>
  </si>
  <si>
    <t>Xālid Swiṭāt</t>
  </si>
  <si>
    <t>Tr.9M</t>
  </si>
  <si>
    <t>הדובר פקיד רפואי בקופ״ח, נרקומן דורש התחייבות שלא מגיעה לו ומאיים עליו.</t>
  </si>
  <si>
    <t>אין בין-שיניות. ق = ʾ. ج = ž. "היו נותנים לנו" kānu yanṭūna.</t>
  </si>
  <si>
    <t>Tr.9M.R1</t>
  </si>
  <si>
    <t>Tr.9M.R1(t)</t>
  </si>
  <si>
    <t>Zaki Abu Hāšim</t>
  </si>
  <si>
    <t>Tr.10M</t>
  </si>
  <si>
    <t>פעם הכול היה רגוע. החקלאים היו עובדים בקיץ ויושבים בחורף. אז היו חיים חברתיים ולא היו טלוויזיות.</t>
  </si>
  <si>
    <r>
      <rPr>
        <rFont val="David Libre"/>
        <color theme="1"/>
        <sz val="10.0"/>
      </rPr>
      <t xml:space="preserve">יש בין-שיניות. מימוש ق&gt;ʾ ולפעמים </t>
    </r>
    <r>
      <rPr>
        <rFont val="David Libre"/>
        <i/>
        <color theme="1"/>
        <sz val="10.0"/>
      </rPr>
      <t>q</t>
    </r>
    <r>
      <rPr>
        <rFont val="David Libre"/>
        <color theme="1"/>
        <sz val="10.0"/>
      </rPr>
      <t>.</t>
    </r>
  </si>
  <si>
    <t>Tr.10M.R1</t>
  </si>
  <si>
    <t>Rajaa</t>
  </si>
  <si>
    <t>(??)</t>
  </si>
  <si>
    <t>Tr.10M.R1(t)</t>
  </si>
  <si>
    <t>Christian (Orthodox)</t>
  </si>
  <si>
    <t>Adeebi Yousif Khoury</t>
  </si>
  <si>
    <t>Tr.11FC</t>
  </si>
  <si>
    <t>מספרת על ילדיה, היכן למדו. פתחו חנות.</t>
  </si>
  <si>
    <t>אין בין-דיניות. מימוש ق&gt;ʾ.</t>
  </si>
  <si>
    <t>Tr.11FC.R1</t>
  </si>
  <si>
    <t>Tr.11M.R1(t)</t>
  </si>
  <si>
    <t>Ghassān Gharzῡzi</t>
  </si>
  <si>
    <t>Tr.12MC</t>
  </si>
  <si>
    <t>דאוד השומר הנוצרי ירה איש מוסלמי בטעות והרג אותו, יצאו שמועות שמוסלמים בתרשיחא רצו לנקום ולהרוג איש נוצרי, אך המוסלמים שמרו על הנוצרים מכל פגיעה, במידה ומישהו מוסלמי ירצה לפגוע בהם, והם חיו בסובלנות ביחד כל הזמן.</t>
  </si>
  <si>
    <r>
      <rPr>
        <rFont val="David Libre"/>
        <color theme="1"/>
        <sz val="10.0"/>
      </rPr>
      <t xml:space="preserve">כינוי חבור  , substarte from aramiac: lammin (=lamman) , מימוש ق&gt;ʾ. סיומת נקבה </t>
    </r>
    <r>
      <rPr>
        <rFont val="David Libre"/>
        <i/>
        <color theme="1"/>
        <sz val="10.0"/>
      </rPr>
      <t>e-</t>
    </r>
    <r>
      <rPr>
        <rFont val="David Libre"/>
        <color theme="1"/>
        <sz val="10.0"/>
      </rPr>
      <t xml:space="preserve">. ج = ž.  </t>
    </r>
  </si>
  <si>
    <t>רבחי</t>
  </si>
  <si>
    <t>Tr.12MC.R1</t>
  </si>
  <si>
    <t>Tr.12MC.R1(t)</t>
  </si>
  <si>
    <t>Nabil Khoury</t>
  </si>
  <si>
    <t>Tr.13MC</t>
  </si>
  <si>
    <t xml:space="preserve">סיפור שלו כמורה בבי"ס. עבד כמורה והרביץ לתלמיד, אבל אח"כ עזר לו להישאר לסיים בית ספר. מאוחר יותר התלמיד חזר אליו להודות לו. </t>
  </si>
  <si>
    <r>
      <rPr>
        <rFont val="David Libre"/>
        <color theme="1"/>
        <sz val="10.0"/>
      </rPr>
      <t xml:space="preserve">בין-שיניים &gt; פוצצים. aġdar. baddna . מעתק aCC&gt;iCC.  ق = ʾ. ج = ž. סיומת נקבה </t>
    </r>
    <r>
      <rPr>
        <rFont val="David Libre"/>
        <i/>
        <color theme="1"/>
        <sz val="10.0"/>
      </rPr>
      <t>i-</t>
    </r>
    <r>
      <rPr>
        <rFont val="David Libre"/>
        <color theme="1"/>
        <sz val="10.0"/>
      </rPr>
      <t>.</t>
    </r>
  </si>
  <si>
    <t>ינאי</t>
  </si>
  <si>
    <t>Tr.13MC.R1</t>
  </si>
  <si>
    <t>Tr.13MC.R1(t)</t>
  </si>
  <si>
    <t>Mīra Wakīm</t>
  </si>
  <si>
    <t>Ml.1FC</t>
  </si>
  <si>
    <t>זכרונות משנות הנעורים, עבודה בשדה עם משפחתה.</t>
  </si>
  <si>
    <r>
      <rPr>
        <rFont val="David Libre"/>
        <color theme="1"/>
        <sz val="10.0"/>
      </rPr>
      <t xml:space="preserve">[בגוף התעתיק יש רשימה של תופעות]. ق = q. ج = ž. סיומת נקבה i-. מעתק CaCX &gt; CaCaX (wažaʿ). פ"ו: </t>
    </r>
    <r>
      <rPr>
        <rFont val="David Libre"/>
        <i/>
        <color theme="1"/>
        <sz val="10.0"/>
      </rPr>
      <t>awzin</t>
    </r>
    <r>
      <rPr>
        <rFont val="David Libre"/>
        <color theme="1"/>
        <sz val="10.0"/>
      </rPr>
      <t xml:space="preserve">. פ"א: </t>
    </r>
    <r>
      <rPr>
        <rFont val="David Libre"/>
        <i/>
        <color theme="1"/>
        <sz val="10.0"/>
      </rPr>
      <t>nōkul</t>
    </r>
    <r>
      <rPr>
        <rFont val="David Libre"/>
        <color theme="1"/>
        <sz val="10.0"/>
      </rPr>
      <t>.</t>
    </r>
  </si>
  <si>
    <t>Ml.1FC.R1</t>
  </si>
  <si>
    <t>Ml.1FC.R1(t)</t>
  </si>
  <si>
    <t>Žanēt Mʿallim</t>
  </si>
  <si>
    <t>Ml.2FC</t>
  </si>
  <si>
    <t>ז’אנית מעלם, בת 70 (1948), כאשר הייתה ילדה היא עזרה למשפחה בעבודת החקלאות במיוחד בעונת הזית. היא סיימה בית ספר ועבדה כמורה בבתי ספר. הזכרונות על מבצר בכפר שבו אספו את חיות הכפר מפחד הגנבים בלילה.</t>
  </si>
  <si>
    <r>
      <rPr>
        <rFont val="David Libre"/>
        <color theme="1"/>
        <sz val="10.0"/>
      </rPr>
      <t xml:space="preserve">ق = q. ج = ž. סיומת נקבה i-. כינוי חבור 3FSG בלי h לאחר הברה סגורה, אבל יש </t>
    </r>
    <r>
      <rPr>
        <rFont val="David Libre"/>
        <i/>
        <color theme="1"/>
        <sz val="10.0"/>
      </rPr>
      <t>fīha</t>
    </r>
    <r>
      <rPr>
        <rFont val="David Libre"/>
        <color theme="1"/>
        <sz val="10.0"/>
      </rPr>
      <t>.</t>
    </r>
  </si>
  <si>
    <t>Ml.2FC.R1</t>
  </si>
  <si>
    <t>Ml.2FC.R1(t)</t>
  </si>
  <si>
    <t>מתרפקת על הזכרונות מימיה כנערה בזמן המסיק עם בני משפחתה והתכונות החייוביות של עצי הזית.</t>
  </si>
  <si>
    <t>aCC&gt;iCC. ḥilaw. עוד תופעות.</t>
  </si>
  <si>
    <t>Ml.2FC.R2</t>
  </si>
  <si>
    <t>Ml.2FC.R2(t)</t>
  </si>
  <si>
    <t>Ml.3MC</t>
  </si>
  <si>
    <t>Ml.3MC.R1</t>
  </si>
  <si>
    <t>Neta Politzer</t>
  </si>
  <si>
    <t>Hishmi Hajj Makhoul</t>
  </si>
  <si>
    <t>Bq.1FC</t>
  </si>
  <si>
    <t>הילדות יצאו לגנים ונודע להן שהחל קרב אלצבאח בהר ג'מיג'מה. מטוסים הפציצו את ההר והילדות צפו בזמן שהצבא מוציא הרוג ממכונית.</t>
  </si>
  <si>
    <r>
      <rPr>
        <rFont val="David Libre"/>
        <color theme="1"/>
        <sz val="10.0"/>
      </rPr>
      <t>ق = ʾ (חוץ מ-</t>
    </r>
    <r>
      <rPr>
        <rFont val="David Libre"/>
        <i/>
        <color theme="1"/>
        <sz val="10.0"/>
      </rPr>
      <t>qāʾid</t>
    </r>
    <r>
      <rPr>
        <rFont val="David Libre"/>
        <color theme="1"/>
        <sz val="10.0"/>
      </rPr>
      <t xml:space="preserve">). סיומת נקבה i-. סופית עבר נסתרת it-, למשל </t>
    </r>
    <r>
      <rPr>
        <rFont val="David Libre"/>
        <i/>
        <color theme="1"/>
        <sz val="10.0"/>
      </rPr>
      <t>ʾižit, ṭilʿit</t>
    </r>
    <r>
      <rPr>
        <rFont val="David Libre"/>
        <color theme="1"/>
        <sz val="10.0"/>
      </rPr>
      <t>.</t>
    </r>
  </si>
  <si>
    <t xml:space="preserve"> </t>
  </si>
  <si>
    <t>Bq.1FC.R1</t>
  </si>
  <si>
    <t>Bq.1FC.R1(t)</t>
  </si>
  <si>
    <t>בנות יצאו לתקוף בתרשיחא בטנקים נלחמו בדרוזים שיצאו חמושים בכלים חקלאיים. שרפו אותן בטנקים. הגיעו מסחמאתא ולעגו להן. הגיעו מטוסים שהחלו להתקיף את העיר והנוצרים נשארו בבתיהם. אישה זקנה אמרה שהעיר תרשיחא צריכה להיכנע.</t>
  </si>
  <si>
    <r>
      <rPr>
        <rFont val="David Libre"/>
        <color theme="1"/>
        <sz val="10.0"/>
      </rPr>
      <t xml:space="preserve">אמאלה תוכית בהפסק (?) warēʾ. שימוש ב-fī בשביל אינטנסיביות yišaḥišṭu fīhun, ṣāru yišawwhu fīhun. שימוש ב-la המקדימה לשם (סובסטרט ארמי) </t>
    </r>
    <r>
      <rPr>
        <rFont val="David Libre"/>
        <i/>
        <color theme="1"/>
        <sz val="10.0"/>
      </rPr>
      <t>lāzim insallíma la-Taršīḥa</t>
    </r>
    <r>
      <rPr>
        <rFont val="David Libre"/>
        <color theme="1"/>
        <sz val="10.0"/>
      </rPr>
      <t>.</t>
    </r>
  </si>
  <si>
    <t>Bq.1FC.R2</t>
  </si>
  <si>
    <t>?</t>
  </si>
  <si>
    <t>Druze (Galilee)</t>
  </si>
  <si>
    <t>Fawwāz Swēd</t>
  </si>
  <si>
    <t>Bq.2MD</t>
  </si>
  <si>
    <t>זוכר איך ניסה לייצר פרובוקציה מול קבוצת צעירים מוסלמים ודרוזיים שניסו למנוע מהצעירים הנוצריים להסתובב במכנסיים קצרים.</t>
  </si>
  <si>
    <r>
      <rPr>
        <rFont val="David Libre"/>
        <color theme="1"/>
        <sz val="10.0"/>
      </rPr>
      <t xml:space="preserve">בין-שיניות. הידמות בין ʿ~ḥ, למשל: </t>
    </r>
    <r>
      <rPr>
        <rFont val="David Libre"/>
        <i/>
        <color theme="1"/>
        <sz val="10.0"/>
      </rPr>
      <t>arūʿ ʿal bēt</t>
    </r>
    <r>
      <rPr>
        <rFont val="David Libre"/>
        <color theme="1"/>
        <sz val="10.0"/>
      </rPr>
      <t xml:space="preserve">. ق = </t>
    </r>
    <r>
      <rPr>
        <rFont val="David Libre"/>
        <i/>
        <color theme="1"/>
        <sz val="10.0"/>
      </rPr>
      <t>q</t>
    </r>
    <r>
      <rPr>
        <rFont val="David Libre"/>
        <color theme="1"/>
        <sz val="10.0"/>
      </rPr>
      <t xml:space="preserve">. חילופי קוד עם MSA. </t>
    </r>
  </si>
  <si>
    <t>hunni</t>
  </si>
  <si>
    <t>רבחי + עמנואל</t>
  </si>
  <si>
    <t>Bq.2MD.R1</t>
  </si>
  <si>
    <t>Bq.2Md.R1(t)</t>
  </si>
  <si>
    <t>Samīr Ḥana Ṣabbāġ</t>
  </si>
  <si>
    <t>Bq.3MC</t>
  </si>
  <si>
    <t>הוא מספר על פצצת מילז ששיחק בה יחד עם קרובי משפחה כאשר היו ילדים קטנים ולא ידעו שזאת פצצה, היא התפוצצה להם, כולם נפגעו והתעוותו, חלק איבד עיניים,חלק ידיים, אצבעות...</t>
  </si>
  <si>
    <t>ق = ʾ. שימור בין-שיניות. גלש (גלייד) במקום h בכינוי חבור נסתרת לאחר תנועת i, למשל: fīya.</t>
  </si>
  <si>
    <t>לפי לוין 2005 אמור להיות tʾīl, בפועל ṯʾīl. ae. שקלוט עד 01:25</t>
  </si>
  <si>
    <t>Bq.3MC.R1</t>
  </si>
  <si>
    <t>Bq.3MC.R1(t)</t>
  </si>
  <si>
    <t>Ǧiddi Ǧamīli Xēr</t>
  </si>
  <si>
    <t>Bq.4FD</t>
  </si>
  <si>
    <t xml:space="preserve">לתעתיק 03:45-06:53. מספרת על העסק שלה, על ילדותה ועל יכולותיה של אימה בתור מרפאה טבעית. </t>
  </si>
  <si>
    <t>baddi, keeps interdentals, *q=q~ġ(ġdr), ʿṭy=nṭy, כינוי חבור נקבה ללא h, כינוי חבור רבים on, קידומת מדברים mn, סיומת נקבה i, קידומת לפועל  ʿamm, יש מעתק aCC=iCC (isbūʿ, miġrib), עכשיו=issa. שלילה fiyyāš ב-04:07. ž.</t>
  </si>
  <si>
    <t>Bq.4FD.R1</t>
  </si>
  <si>
    <t>كفر سميع</t>
  </si>
  <si>
    <t>Kufur Smēʿ</t>
  </si>
  <si>
    <t>Farīda Nāṣir</t>
  </si>
  <si>
    <t>KS.1FC</t>
  </si>
  <si>
    <t>כשהדוברת הכינה ארוחה לאורחים החתול גנב לה את הבשר לשיש-ברק, כך שנאלצה לאלתר ולהשתמש במילוי תפוחי אדמה במקום.</t>
  </si>
  <si>
    <t>אורי</t>
  </si>
  <si>
    <t>KS.1FC.R1</t>
  </si>
  <si>
    <t>Areen Makhoul</t>
  </si>
  <si>
    <t>KS.1FC.R1(t)</t>
  </si>
  <si>
    <t>Mother Fallāḥ (?)</t>
  </si>
  <si>
    <t>KS.2FD</t>
  </si>
  <si>
    <t>KS.2FD.R1</t>
  </si>
  <si>
    <t>Ġāleb Fallāḥ</t>
  </si>
  <si>
    <t>KS.3MD</t>
  </si>
  <si>
    <t>תעתיק מ-1:15</t>
  </si>
  <si>
    <t>מאושר לתעתיק</t>
  </si>
  <si>
    <t>KS.3MD.R1</t>
  </si>
  <si>
    <t>كسرى</t>
  </si>
  <si>
    <t>Kisra</t>
  </si>
  <si>
    <t>Ksr</t>
  </si>
  <si>
    <t>Ksr.1FD</t>
  </si>
  <si>
    <t>מימוש ق לרוב כהמזה</t>
  </si>
  <si>
    <t>תעתיק אבל לא טקסט וואו</t>
  </si>
  <si>
    <t>Ksr.1FD.R1</t>
  </si>
  <si>
    <t>אומרת שאמה מבקעאתה</t>
  </si>
  <si>
    <t>Ksr.1FD.R2</t>
  </si>
  <si>
    <t>Ksr.1FD.R3</t>
  </si>
  <si>
    <t>Ksr.2FD</t>
  </si>
  <si>
    <t>Ksr.2FD.R1</t>
  </si>
  <si>
    <t>Ksr.2FD.R2</t>
  </si>
  <si>
    <t>Saʿd Sabāḥ</t>
  </si>
  <si>
    <t>Ksr.3MD</t>
  </si>
  <si>
    <t>Ksr.3MD.R1</t>
  </si>
  <si>
    <t>Ksr.3MD.R2</t>
  </si>
  <si>
    <t>זאת ההקלטה המלאה (מכילה את R1 ו-R2)</t>
  </si>
  <si>
    <t>Ksr.3MD.R3</t>
  </si>
  <si>
    <t>Bedouin (Galilee)</t>
  </si>
  <si>
    <t>B</t>
  </si>
  <si>
    <t>ṯiǧīl</t>
  </si>
  <si>
    <t>Ḥāǧe</t>
  </si>
  <si>
    <t>ṬZn.1FB</t>
  </si>
  <si>
    <t>סיפור על סכסוך שנוצר בינה ובין משפחה אחרת, שנגמר בכך שכמעט הרגו אותה. היא מספרת אותו מצחיק.</t>
  </si>
  <si>
    <r>
      <rPr>
        <rFont val="David Libre"/>
        <b/>
        <color theme="1"/>
        <sz val="10.0"/>
      </rPr>
      <t>general fronting of u to i:</t>
    </r>
    <r>
      <rPr>
        <rFont val="David Libre"/>
        <color theme="1"/>
        <sz val="10.0"/>
      </rPr>
      <t xml:space="preserve"> killha (00:23), almihimm (00:48), git-lu (01:58); </t>
    </r>
    <r>
      <rPr>
        <rFont val="David Libre"/>
        <b/>
        <color theme="1"/>
        <sz val="10.0"/>
      </rPr>
      <t xml:space="preserve">aCC&gt;iCC: </t>
    </r>
    <r>
      <rPr>
        <rFont val="David Libre"/>
        <color theme="1"/>
        <sz val="10.0"/>
      </rPr>
      <t xml:space="preserve">alʾiyyām (00:52); </t>
    </r>
    <r>
      <rPr>
        <rFont val="David Libre"/>
        <b/>
        <color theme="1"/>
        <sz val="10.0"/>
      </rPr>
      <t>med. Imāla: (only slightly)</t>
    </r>
    <r>
      <rPr>
        <rFont val="David Libre"/>
        <color theme="1"/>
        <sz val="10.0"/>
      </rPr>
      <t xml:space="preserve"> ǧā̈# (01:15), ǧā̈t (02:23); </t>
    </r>
    <r>
      <rPr>
        <rFont val="David Libre"/>
        <b/>
        <color theme="1"/>
        <sz val="10.0"/>
      </rPr>
      <t>vowel epenthesis *CCC &gt; CvCC:</t>
    </r>
    <r>
      <rPr>
        <rFont val="David Libre"/>
        <color theme="1"/>
        <sz val="10.0"/>
      </rPr>
      <t xml:space="preserve"> ykutlūni (03:08)</t>
    </r>
  </si>
  <si>
    <t>pausal</t>
  </si>
  <si>
    <t>ǧ</t>
  </si>
  <si>
    <t>g/ǧ/k (conditioned)</t>
  </si>
  <si>
    <t>-hä#/-he#</t>
  </si>
  <si>
    <t>yi-</t>
  </si>
  <si>
    <t>widd</t>
  </si>
  <si>
    <t>hīn</t>
  </si>
  <si>
    <t>ṬZn.1FB.R1</t>
  </si>
  <si>
    <t>Elisheva Rubin, Meital Lokof</t>
  </si>
  <si>
    <t>12.4.2012</t>
  </si>
  <si>
    <t>ṬZn.1FB.R1(t)</t>
  </si>
  <si>
    <t>אביה מת, היא נשרפה בשריפה.</t>
  </si>
  <si>
    <t>ani, אין פ"א רגיל אלא מיושב: axaḏ.</t>
  </si>
  <si>
    <t>ṬZn.1FB.R2</t>
  </si>
  <si>
    <t>ṬZn.1FB.R1-R6(t)</t>
  </si>
  <si>
    <t>המשך הסיפור כיצד אמה התחתנה וכיצד זה השפיע על המשפחה.</t>
  </si>
  <si>
    <t>LVR ב: tiǧawwazat. סופית 2FSG imp ארוכה: tifhamīn. מימוש a &gt; ä בהפסק: abūyä.</t>
  </si>
  <si>
    <t>ṬZn.1FB.R3</t>
  </si>
  <si>
    <t>המשך הסיפור. חאג'ה מספרת כיצד נאלצה לגור אצל אחיה ועל חיה הקשים. היא נאלצה להתחתן בגיל 14.</t>
  </si>
  <si>
    <t>מילות יחס מוטות עם תנועה ארוכה: kullēna.</t>
  </si>
  <si>
    <t>ṬZn.1FB.R4</t>
  </si>
  <si>
    <t>חאג'ה מספרת כיצד התחתנה, נולדו לה ילדיה וכיצד חיתנה גם אותם ואת בנותיו של בעלה השני.</t>
  </si>
  <si>
    <t>ṬZn.1FB.R5</t>
  </si>
  <si>
    <t>חאג'ה מספרת על פציעתו של בנה בלבנון. כשבאו לספר לה היא חשבה שזה מס הכנסה.</t>
  </si>
  <si>
    <t>סוג של אמאלה תוכית (??): ā &gt; ē جا = ǧē. תופעת ghawa syndrome: אדום = ḥamar.</t>
  </si>
  <si>
    <t>ṬZn.1FB.R6</t>
  </si>
  <si>
    <t>Nadira Irshid</t>
  </si>
  <si>
    <t>Rm.4FC</t>
  </si>
  <si>
    <t>מחאה על התנהגות הדור הצעיר, אין חינוך, אין כבוד. הצעירות יוצאות, מתחתנות ומתגרשות.</t>
  </si>
  <si>
    <r>
      <rPr>
        <rFont val="David Libre"/>
        <b/>
        <color theme="1"/>
        <sz val="10.0"/>
      </rPr>
      <t>3.f.sg pron. ها-:</t>
    </r>
    <r>
      <rPr>
        <rFont val="David Libre"/>
        <color theme="1"/>
        <sz val="10.0"/>
      </rPr>
      <t xml:space="preserve"> for 3.f.pl pron.: wlādin (00:16), žizānhin (00:18), yrabbūhin (00:21), tlaʾīhin (01:23), ʾahlin (01:28); </t>
    </r>
    <r>
      <rPr>
        <rFont val="David Libre"/>
        <b/>
        <color theme="1"/>
        <sz val="10.0"/>
      </rPr>
      <t>pausal -i &gt; -e#:</t>
    </r>
    <r>
      <rPr>
        <rFont val="David Libre"/>
        <color theme="1"/>
        <sz val="10.0"/>
      </rPr>
      <t xml:space="preserve"> duġreː# (00:35); </t>
    </r>
    <r>
      <rPr>
        <rFont val="David Libre"/>
        <b/>
        <color theme="1"/>
        <sz val="10.0"/>
      </rPr>
      <t>lowering of -uC &gt; -oC / -iC &gt; -eC:</t>
    </r>
    <r>
      <rPr>
        <rFont val="David Libre"/>
        <color theme="1"/>
        <sz val="10.0"/>
      </rPr>
      <t xml:space="preserve"> (not salient) haʾūl-lek, ʾabel (00:00), mitel (00:13); </t>
    </r>
  </si>
  <si>
    <t>-a; -ha only after -ū- / -i-</t>
  </si>
  <si>
    <t>Rm.4FC.R1</t>
  </si>
  <si>
    <t>Merna Oudeh</t>
  </si>
  <si>
    <t>Rm.4FC.R1(t)</t>
  </si>
  <si>
    <t>Druze</t>
  </si>
  <si>
    <t>Bilāl Asʿad</t>
  </si>
  <si>
    <t>Rm.5MD</t>
  </si>
  <si>
    <t>תעתיק 02:54-04:10</t>
  </si>
  <si>
    <t>Rm.5MD.R1</t>
  </si>
  <si>
    <t>Gitit, Shirel</t>
  </si>
  <si>
    <t>תעתיק 04:20-05:35</t>
  </si>
  <si>
    <t>DA.1F</t>
  </si>
  <si>
    <t xml:space="preserve">לטקסט 16:30-19:20. על שני האוליאא של הכפר - אלח׳צ׳ר וג׳ידנא אלאסד והקשר שלהם לשם הכפר ולמנהגים היום. </t>
  </si>
  <si>
    <t>ž, 1pl. = mb, *q=ʾ, בין שיניות, סיומת נקבה גבוהה</t>
  </si>
  <si>
    <t>DA.1F.R1</t>
  </si>
  <si>
    <t>Kristīn Ṣāliḥ</t>
  </si>
  <si>
    <t>Yr.1FD</t>
  </si>
  <si>
    <t>מספרת על עסק הדגמים שברשותה</t>
  </si>
  <si>
    <t>בין שיניות, q=ʾ, דיפתונג ay בהפסק, כינוי חבור נסתרים on</t>
  </si>
  <si>
    <t>Yr.1FD.R1</t>
  </si>
  <si>
    <t>אפריל 2023</t>
  </si>
  <si>
    <t>Yr.1FD.R1(t)</t>
  </si>
  <si>
    <t>Anwar Mūla</t>
  </si>
  <si>
    <t>Yr.2MD</t>
  </si>
  <si>
    <t>Yr.2MD.R1</t>
  </si>
  <si>
    <t>Shelly, Naomi</t>
  </si>
  <si>
    <t>Yr.2MD.R1(t)</t>
  </si>
  <si>
    <t xml:space="preserve">Slimān </t>
  </si>
  <si>
    <t>Yr.3MD</t>
  </si>
  <si>
    <t>רשימת תופעות</t>
  </si>
  <si>
    <t>Yr.3MD.R1</t>
  </si>
  <si>
    <t>Yaki, Moshe</t>
  </si>
  <si>
    <r>
      <rPr>
        <rFont val="David Libre"/>
        <sz val="10.0"/>
      </rPr>
      <t xml:space="preserve">תעתיק 00:55-03:44. </t>
    </r>
    <r>
      <rPr>
        <rFont val="David Libre"/>
        <color rgb="FF1155CC"/>
        <sz val="10.0"/>
        <u/>
      </rPr>
      <t>תרגום של הקטע+מידע על הדובר</t>
    </r>
  </si>
  <si>
    <t>Yr.3MD.R2</t>
  </si>
  <si>
    <t>Ǧamīl Ṭannūs</t>
  </si>
  <si>
    <t>ASn.1MC</t>
  </si>
  <si>
    <t>סיפור על תקרית בעבודה, שבה נשרפו שתי ידיים של האינפורמנט.</t>
  </si>
  <si>
    <r>
      <rPr>
        <rFont val="David Libre"/>
        <color theme="1"/>
        <sz val="10.0"/>
      </rPr>
      <t>אין בין-שיניות, מימוש ق&gt;ʾ, סיומת נקבה i-, "היה לך" kuntak (סגנוני), רכיב מודאלי (?) ya "בשביל" (?), סיומת פועל un-, למשל ṭābun. הנמכת ססב"מ עדינה יחסית (</t>
    </r>
    <r>
      <rPr>
        <rFont val="David Libre"/>
        <i/>
        <color theme="1"/>
        <sz val="10.0"/>
      </rPr>
      <t>šuġol</t>
    </r>
    <r>
      <rPr>
        <rFont val="David Libre"/>
        <color theme="1"/>
        <sz val="10.0"/>
      </rPr>
      <t>).</t>
    </r>
  </si>
  <si>
    <t>ASn.1MC.R1</t>
  </si>
  <si>
    <t>ASn.1MC.R1(t)</t>
  </si>
  <si>
    <t>Salwa Ṭannūs</t>
  </si>
  <si>
    <t>ASn.2FC</t>
  </si>
  <si>
    <t>ילדותה של הדוברת. הם במקור מבירווה. העבודה של אביה, כאופה בחיפה ואז כצבעי ולבסוף כפעיל במפלגה הקומוניסטית. היה עורך פגישות בביתם. היו עניים.</t>
  </si>
  <si>
    <r>
      <rPr>
        <rFont val="David Libre"/>
        <color theme="1"/>
        <sz val="10.0"/>
      </rPr>
      <t xml:space="preserve">"חדר" ʾōḍa, "מאיתנו" minnēna, אין בין-שיניות, מימוש ق&gt;ʾ, סיומת נקבה i-, הנמכת ססב"מ עדינה יחסית (fuʾor), "נותן" </t>
    </r>
    <r>
      <rPr>
        <rFont val="David Libre"/>
        <i/>
        <color theme="1"/>
        <sz val="10.0"/>
      </rPr>
      <t xml:space="preserve">yinṭ </t>
    </r>
    <r>
      <rPr>
        <rFont val="David Libre"/>
        <color theme="1"/>
        <sz val="10.0"/>
      </rPr>
      <t>(?)</t>
    </r>
  </si>
  <si>
    <t>הדוברת מציינת שהמשפחה במקור מ-Birwi</t>
  </si>
  <si>
    <t>ASn.2FC.R1</t>
  </si>
  <si>
    <t>Haneen Tannous</t>
  </si>
  <si>
    <t>ASn.2FC.R1(t)</t>
  </si>
  <si>
    <t>Najib Saab</t>
  </si>
  <si>
    <t>ASn.3MD</t>
  </si>
  <si>
    <r>
      <rPr>
        <rFont val="David Libre"/>
        <color theme="1"/>
        <sz val="10.0"/>
      </rPr>
      <t xml:space="preserve">לאחר שעבד שנים בחינוך פתח מרכז אזורי לשפות. ق = </t>
    </r>
    <r>
      <rPr>
        <rFont val="David Libre"/>
        <i/>
        <color theme="1"/>
        <sz val="10.0"/>
      </rPr>
      <t>q</t>
    </r>
    <r>
      <rPr>
        <rFont val="David Libre"/>
        <color theme="1"/>
        <sz val="10.0"/>
      </rPr>
      <t>.</t>
    </r>
  </si>
  <si>
    <r>
      <rPr>
        <rFont val="David Libre"/>
        <color theme="1"/>
        <sz val="10.0"/>
      </rPr>
      <t xml:space="preserve">שימור בין-שיניות. </t>
    </r>
    <r>
      <rPr>
        <rFont val="David Libre"/>
        <i/>
        <color theme="1"/>
        <sz val="10.0"/>
      </rPr>
      <t>yiġdar</t>
    </r>
    <r>
      <rPr>
        <rFont val="David Libre"/>
        <color theme="1"/>
        <sz val="10.0"/>
      </rPr>
      <t xml:space="preserve">. סיומת נקבה </t>
    </r>
    <r>
      <rPr>
        <rFont val="David Libre"/>
        <i/>
        <color theme="1"/>
        <sz val="10.0"/>
      </rPr>
      <t>i-</t>
    </r>
    <r>
      <rPr>
        <rFont val="David Libre"/>
        <color theme="1"/>
        <sz val="10.0"/>
      </rPr>
      <t xml:space="preserve">. </t>
    </r>
  </si>
  <si>
    <t>ASn.3MD.R1</t>
  </si>
  <si>
    <t>Amira Briq</t>
  </si>
  <si>
    <t>ASn.4F</t>
  </si>
  <si>
    <t>הגירוש מכויכאת.</t>
  </si>
  <si>
    <t>אין בין-שיניות: axadu, batzakkar. צורת הפסק išey. ق = q. כינוי חבור 2FSG בלי h, למשל asāsa. "אצלנו" ʿinna. ج = ž.</t>
  </si>
  <si>
    <t>ASn.4F.R1</t>
  </si>
  <si>
    <t>Sāra Saʿid-Šḥādi</t>
  </si>
  <si>
    <t>KY.1FC</t>
  </si>
  <si>
    <t>כשלימדה בסכנין היה בכיתה תלמיד שעבר איזו תאונה והיה מלא בכוויות/היה חסר לו איבר גוף.</t>
  </si>
  <si>
    <t>aCC &gt;iCC, yiġdar, maʿā</t>
  </si>
  <si>
    <t>KY.1FC.R1</t>
  </si>
  <si>
    <t>KY.1FC.R1(t)</t>
  </si>
  <si>
    <t>המורה לקחה לתלמיד את הקלמר שלו עד סוף השיעור כי הוא הפריע, ואז אבא שלו הגיע וצעק עליה.</t>
  </si>
  <si>
    <t>אמאלה תוכית kēn. הפכפכות ב-aCC &gt;iCC יש צורות: ilmaʾlami, fatra. צורת הפסק #ṭawiltey.</t>
  </si>
  <si>
    <t>KY.1FC.R2</t>
  </si>
  <si>
    <t>KY.1FC.R2(t)</t>
  </si>
  <si>
    <t>ʾIhāb Maxῡli</t>
  </si>
  <si>
    <t>KY.2MC</t>
  </si>
  <si>
    <t>מקרה של סרטן שפגע באישה מהקהילה שנרפאה אחרי התפילה שבוצעה למענה.</t>
  </si>
  <si>
    <t>KY.2MC.R1</t>
  </si>
  <si>
    <t>KY.2MC.R1(t)</t>
  </si>
  <si>
    <t>KY.3F</t>
  </si>
  <si>
    <t>KY.3F.R1</t>
  </si>
  <si>
    <t>Rāzi Slimān</t>
  </si>
  <si>
    <t>Ak.1M</t>
  </si>
  <si>
    <t>מדבר קצת על ערב איידול, מעיד על עצמו שמדבר בוסטא ושהלהג שלו לא מייצג את עכו..</t>
  </si>
  <si>
    <t>קצת אמאלה פנימית. בין-שיניות, ʿamm+verb, yiġennu, *q=ʾ, buxulṭu</t>
  </si>
  <si>
    <t>Ak.1M.R1</t>
  </si>
  <si>
    <t>Mġār</t>
  </si>
  <si>
    <t>Mġ</t>
  </si>
  <si>
    <t>Bšāra Bšāra</t>
  </si>
  <si>
    <t>Mġ.1MC</t>
  </si>
  <si>
    <t>עבד בהתקנת אנטנות טלוויזיה. בהמשך פתחו חנות למכירת טלוויזיות ומוצרי חשמל. בהמשך סגרו את החנות והוא עבד במשחטה בנצרת. בסוף הוא פתח משחטה בעצמו בכפר.</t>
  </si>
  <si>
    <t>aCC &gt; iCC ב-ibyaḏ̣ w-iswad. תנועת תחילית עתיד a, למשל naštġil.</t>
  </si>
  <si>
    <t>Mġ.1MC.R1</t>
  </si>
  <si>
    <t>Šafīʾ Žahšān</t>
  </si>
  <si>
    <t>Mġ.2MC</t>
  </si>
  <si>
    <t>מספר על תקופת מלחמת 1948, על הקשיים והמחסור באוכל.</t>
  </si>
  <si>
    <t>(איכות ההקלטה לא טובה מאוד). #ʿammey, ق=ʾ אבל יש גם taqrīban, ج=ž, יש בין-שיניות.</t>
  </si>
  <si>
    <t>Mġ.2MC.R1</t>
  </si>
  <si>
    <t>Wažīha Daῡd</t>
  </si>
  <si>
    <t>Mġ.3FC</t>
  </si>
  <si>
    <t>זמנים עברו, איך היו החיים פעם פשוטים יותר.</t>
  </si>
  <si>
    <t>nōkol, ق=ʾ, תנועת עתיד ב-taxbiz.</t>
  </si>
  <si>
    <t>Mġ.3FC.R1</t>
  </si>
  <si>
    <t>Hdiyyi ʿAsāqli</t>
  </si>
  <si>
    <t>Mġ.4FD</t>
  </si>
  <si>
    <t>מנהגי החתונה.</t>
  </si>
  <si>
    <t>Mġ.4FD.R1</t>
  </si>
  <si>
    <t>Slimān Žābir</t>
  </si>
  <si>
    <t>Mġ.5MD</t>
  </si>
  <si>
    <t>מורים ותלמידים, ההבדל בין פעם מול היום.</t>
  </si>
  <si>
    <t>ق=q, ج=ž. אמאלה תוכית.</t>
  </si>
  <si>
    <t>Mġ.5MD.R1</t>
  </si>
  <si>
    <t>ʿAlya Abu Ğanab</t>
  </si>
  <si>
    <t>Mġ.6FD</t>
  </si>
  <si>
    <t>איך העולם השתנה. היום לנשים יש יותר חופש.</t>
  </si>
  <si>
    <t>aCC&gt;iCC. ق=q, ج=ž.</t>
  </si>
  <si>
    <t>Mġ.6FD.R1</t>
  </si>
  <si>
    <t>Nihāy Abu ʿlῡl</t>
  </si>
  <si>
    <t>Mġ.7F</t>
  </si>
  <si>
    <t>למדה בנצרת וזה פתח לה את הראש.</t>
  </si>
  <si>
    <t>tiġdari(/e). ج=ž. ق=ʾ. יש בין-שיניות.</t>
  </si>
  <si>
    <t>Mġ.7F.R1</t>
  </si>
  <si>
    <t>Ṣāliḥ Abu Nimir</t>
  </si>
  <si>
    <t>Mġ.8M</t>
  </si>
  <si>
    <t>למד בחו"ל עם מלגה מהמפלגה הקומוניסטית הישראלית. היה חוזר הביתה כל שנה בקיץ, לא כמו היום שסטודנטים חוזרים הרבה.</t>
  </si>
  <si>
    <r>
      <rPr>
        <rFont val="David Libre"/>
        <b/>
        <color theme="1"/>
        <sz val="10.0"/>
      </rPr>
      <t>aCC&gt;iCC:</t>
    </r>
    <r>
      <rPr>
        <rFont val="David Libre"/>
        <color theme="1"/>
        <sz val="10.0"/>
      </rPr>
      <t xml:space="preserve"> ḥitta (00:08) </t>
    </r>
    <r>
      <rPr>
        <rFont val="David Libre"/>
        <color theme="1"/>
        <sz val="10.0"/>
        <u/>
      </rPr>
      <t>but</t>
    </r>
    <r>
      <rPr>
        <rFont val="David Libre"/>
        <color theme="1"/>
        <sz val="10.0"/>
      </rPr>
      <t xml:space="preserve"> ḥatta (01:42); </t>
    </r>
    <r>
      <rPr>
        <rFont val="David Libre"/>
        <b/>
        <color theme="1"/>
        <sz val="10.0"/>
      </rPr>
      <t xml:space="preserve">(Aram. sub.): </t>
    </r>
    <r>
      <rPr>
        <rFont val="David Libre"/>
        <color theme="1"/>
        <sz val="10.0"/>
      </rPr>
      <t>lamman (00:00);</t>
    </r>
  </si>
  <si>
    <t>wēnta</t>
  </si>
  <si>
    <t>Mġ.8M.R1</t>
  </si>
  <si>
    <t>Mġ.8M.R1(t)</t>
  </si>
  <si>
    <t>ʿAli lḤusni</t>
  </si>
  <si>
    <t>Mġ.9M</t>
  </si>
  <si>
    <t>(להבנתי) הוא היה נפגש עם חברים במה שמכונה xamiri. הוא עבד בקטיף אצל מכרים יהודים וקנה לטובת זה טנדר. כשסיים לעבוד במקורות ישב בבית שנה ואז קנה טנדר ובנה את כל המושבים ברמה.</t>
  </si>
  <si>
    <t>סיומת נקבה i-. ق=q. פ"א āxuḏ. יש aCC&gt;iCC.</t>
  </si>
  <si>
    <t>Mġ.9M.R1</t>
  </si>
  <si>
    <t>Mġ.9M.R1(t)</t>
  </si>
  <si>
    <t>Ward Sayyid Aḥmad</t>
  </si>
  <si>
    <t>Mġ.10MD</t>
  </si>
  <si>
    <t>Mġ.10MD.R1</t>
  </si>
  <si>
    <t>Noam Yossi</t>
  </si>
  <si>
    <t>Mġ.10MD.R1(t)</t>
  </si>
  <si>
    <t>Mġ.10MD.R2</t>
  </si>
  <si>
    <t>Noam</t>
  </si>
  <si>
    <t>El.1MB</t>
  </si>
  <si>
    <t>הקלטה מאוד ארוכה באיכות לא מאוד טובה והמקליט מדבר הרבה. מספר על החיים פעם כבדואים. **לא מפורט מאיזה שבט הדובר - יש בעילבון שניים**. מדבר על גידול בקר, לגברים אסור לחלוב.</t>
  </si>
  <si>
    <t>תופעות: LVR, *q&gt;g. יש בין-שיניות. "ערבית לבנה" מאוד, יש הרבה מאוד מאפיינים מיושבים כמו היעדר אפריקציה (המקליט מאוד פעיל). צורות בדואיות: šiftu. הידמות מלאה של גרוניות : arūʿ ʿa-lbēt. שמעתי עד 22:30 וההקלטה לא שווה הרבה.</t>
  </si>
  <si>
    <t>El.1MB.R1</t>
  </si>
  <si>
    <t>Netanel</t>
  </si>
  <si>
    <t>קטע מתוך ההקלטה הקודמת.</t>
  </si>
  <si>
    <t>El.1MB.R3</t>
  </si>
  <si>
    <t>מתוך ההקלטה הקודמת. מלמד את המקליט איך להכין קפה.</t>
  </si>
  <si>
    <t>ghawa, zēn, xašūga, la-hīn, ani.</t>
  </si>
  <si>
    <t>שאלון</t>
  </si>
  <si>
    <t>פועל עתיד נוכחת: tḥibbīn (הסוג הארוך). aCC&gt;iCC ב-midrasa. אפריקציה של g&gt;ǧ ב: baǧ-ǧarya (بالقرية). "יש": bī, "אין": mā bū.</t>
  </si>
  <si>
    <t>El.1MB.R4</t>
  </si>
  <si>
    <t>Ṣālḥa Mawāsi</t>
  </si>
  <si>
    <t>El.2FB</t>
  </si>
  <si>
    <r>
      <rPr>
        <rFont val="David Libre"/>
        <b/>
        <color theme="1"/>
        <sz val="10.0"/>
      </rPr>
      <t>הדוברת משתייכת לשבט ʿArab alLhēb</t>
    </r>
    <r>
      <rPr>
        <rFont val="David Libre"/>
        <color theme="1"/>
        <sz val="10.0"/>
      </rPr>
      <t>. מספרת שחותנה בגיל 14. מספרת על סיפור חייה, לידות ילדיה. איך החיים היו פעמים: בישולים, השגת מים... אביה מת בשירות צבאי בלנון. היו לו שתי נשים ו-21 ילדים. בהקלטה נשמעים גם שתי ילדות (נראה לי) לא בדואיות ששואלות אותה שאלות חמודות. שמעתי עד סביב 00:39:30 ואין נרטיב טוב</t>
    </r>
  </si>
  <si>
    <t>הדוברת מדברת בדיאלקט בדואי יחסית מאוד "נקי" ממאפיינים מיושבים. סיומת עבר נסתרים am-, למשל čānam. פיצול צרור לאחר שפתיים: gabul. מעתק aCC&gt;iCC ב-mixtār. אפריקציה מותנית čint, čān, aḷḷa yiwaffiǧham. מספר 14 = arbaʿtaʿšar. סיומת a&gt;ä, למשל nǧībhä min Dēr Ḥannä. צורת zġayyir למשקל faʿīl. תופעת LVR ב-šiǧar, tiǧawwazt.</t>
  </si>
  <si>
    <t>El.2FB.R1</t>
  </si>
  <si>
    <t>Xaya Simkin</t>
  </si>
  <si>
    <t>החל מדקה 00׳41. לקסיקון: bintu mn-almara lʾawwaliyyä, šnū. תופעת ב: xālha l-ummi</t>
  </si>
  <si>
    <t>-hum/-hom</t>
  </si>
  <si>
    <t>Xaya Simkin, Uri Edelman</t>
  </si>
  <si>
    <t>El.3FB.R1(t)</t>
  </si>
  <si>
    <t>Christian</t>
  </si>
  <si>
    <t>Žōni ʿĪsa</t>
  </si>
  <si>
    <t>El.2MC</t>
  </si>
  <si>
    <t>הדובר נולד באמריקה וגדל בה, יש לו מבטא אמריקאי די משמעותי.</t>
  </si>
  <si>
    <t>לדובר מבטא אמריקאי כבד, יש לשקול את ערכך ההקלטה</t>
  </si>
  <si>
    <t>El.3MC.R1</t>
  </si>
  <si>
    <t>Or</t>
  </si>
  <si>
    <t>El.3MC.R2</t>
  </si>
  <si>
    <t>El.3MC.R3</t>
  </si>
  <si>
    <t>El.3MC.R4</t>
  </si>
  <si>
    <t>Arrābi</t>
  </si>
  <si>
    <t>Arb.1M</t>
  </si>
  <si>
    <t>Arb.1M.R1</t>
  </si>
  <si>
    <t>Arb.1M.R2</t>
  </si>
  <si>
    <t>Kāyed</t>
  </si>
  <si>
    <t>Arb.2M</t>
  </si>
  <si>
    <t xml:space="preserve">בן 89, מספר על מבנים ותשתיות שדאג להן בעראבה. </t>
  </si>
  <si>
    <t>Sini, female ending=i, *q=q, keeps interdentals, midrasi, anzal, *ǧ=ž</t>
  </si>
  <si>
    <t>Arb.2M.R1</t>
  </si>
  <si>
    <t>Samāḥ</t>
  </si>
  <si>
    <t>Arb.2M.R1 (t)</t>
  </si>
  <si>
    <t>Arb.1F</t>
  </si>
  <si>
    <t>*q=ʾ, inner Imala (swēʾ, basēwi), midrasi, keeps interdentals,</t>
  </si>
  <si>
    <t>Arb.3F.R1</t>
  </si>
  <si>
    <t>Sx.1F</t>
  </si>
  <si>
    <t>יש בהקלטה כמה סיפורים</t>
  </si>
  <si>
    <t>Sx.1F.R1</t>
  </si>
  <si>
    <t>Ḥāžž</t>
  </si>
  <si>
    <t>KAH.1M</t>
  </si>
  <si>
    <t>מספר על המנדט וכד'. סיפורים לא מאוד אישיים.</t>
  </si>
  <si>
    <t>הדובר מאוד מבוגר וזה משפיע קצת על המבטא. aCC&gt;iCC, ق=q</t>
  </si>
  <si>
    <t>KAH.1M.R1</t>
  </si>
  <si>
    <t>Mḥimmad Zuʿbi</t>
  </si>
  <si>
    <t>Ḥāžži</t>
  </si>
  <si>
    <t>KAH.2F</t>
  </si>
  <si>
    <t>סביב 14:00 יש מדקלמת כמה שירים מפעם.</t>
  </si>
  <si>
    <t>סיפור חביב ודיאלקטולוגי מ-12:50, סביב 24:00 סיפור על שריפת הכפר</t>
  </si>
  <si>
    <t>KAH.2F.R1</t>
  </si>
  <si>
    <t>Abu Zaki</t>
  </si>
  <si>
    <t>KM.1M</t>
  </si>
  <si>
    <t>-hin/-hen</t>
  </si>
  <si>
    <r>
      <rPr>
        <rFont val="David Libre"/>
        <color theme="1"/>
        <sz val="10.0"/>
      </rPr>
      <t>סיפור על המרד הערבי ב-6:50;</t>
    </r>
    <r>
      <rPr>
        <rFont val="David Libre"/>
        <b/>
        <color rgb="FF6AA84F"/>
        <sz val="10.0"/>
      </rPr>
      <t xml:space="preserve"> עוד סיפור מ-9:42.</t>
    </r>
  </si>
  <si>
    <t>KM.1M.R1</t>
  </si>
  <si>
    <r>
      <rPr>
        <rFont val="David Libre"/>
        <color rgb="FF1155CC"/>
        <sz val="10.0"/>
        <u/>
      </rPr>
      <t>KM.1M.R1(t)</t>
    </r>
    <r>
      <rPr>
        <rFont val="David Libre"/>
        <sz val="10.0"/>
      </rPr>
      <t xml:space="preserve"> </t>
    </r>
    <r>
      <rPr>
        <rFont val="David Libre"/>
        <color rgb="FF1155CC"/>
        <sz val="10.0"/>
        <u/>
      </rPr>
      <t>**Handwritten**</t>
    </r>
  </si>
  <si>
    <t>KM.1M.R2</t>
  </si>
  <si>
    <t>KM.1M.R2(t)</t>
  </si>
  <si>
    <t>KM.1F</t>
  </si>
  <si>
    <t>KM.2F.R1</t>
  </si>
  <si>
    <t>KM.2F.R2</t>
  </si>
  <si>
    <t>KM.2F.R3</t>
  </si>
  <si>
    <t>KM.2F.R4</t>
  </si>
  <si>
    <t>KM.2F.R5</t>
  </si>
  <si>
    <t>بير المكسور</t>
  </si>
  <si>
    <t>Bīr ilMaksūr</t>
  </si>
  <si>
    <t>BMk</t>
  </si>
  <si>
    <t>ʿAli Ḥǧērāt</t>
  </si>
  <si>
    <t>AḤǧ.1MB</t>
  </si>
  <si>
    <t>מספר על כך שפעם לא היו מפחדים. פעם חזר בשעת לילה מאוחרת מעבודת חריש וחשב שהוא רואה עמוד שחור שעולה לשמיים, רק כדי לגלות שזה ואדי.</t>
  </si>
  <si>
    <t>ق=g. אפריקציה מותנית: k&gt;č, g&gt;ǧ. תופעות LVR, resyllabification. איבוד קוליות g&gt;k.</t>
  </si>
  <si>
    <t>AḤǧ.1MB.R1</t>
  </si>
  <si>
    <t>Yannai</t>
  </si>
  <si>
    <t>Ġadīr Buqāʿi</t>
  </si>
  <si>
    <t>Ṭmr.1F</t>
  </si>
  <si>
    <t>Ṭmr.1F.R1</t>
  </si>
  <si>
    <t>Ṭmr.1F.R1(t)</t>
  </si>
  <si>
    <t>Farida Badran</t>
  </si>
  <si>
    <t>Ḥf.1FC</t>
  </si>
  <si>
    <t>חודש אחרי הנכבה חזרה ברגל הביתה לחיפה מבילוי קיץ בלבנון. חזרו הביתה ומצאו שהבית מלא ביהודים. אילצו אותם לעבור לשפרעם או נצרת ומצאו דירה בנצרת.</t>
  </si>
  <si>
    <t>מעתק aCC ?: יש ilfatra  אבל גם ittihižīr (פירוק צרור hž אולי?). אין בין-שיניות. "חדר" ʾōḍa. ق = ʾ. ج = ž. פ"א nōxed. "שם" usum. פ"ו ta nūṣal. لأنه = la ʾanno. סיומת נקבה i-. סיומת נקבה נסמך it-, למשל ʿōḍit . סיומת נסתרת עבר it- (כשאין נחציות) למשל ʿādit.</t>
  </si>
  <si>
    <t>Ḥf.1FC.R1</t>
  </si>
  <si>
    <t>Rawan Kharouba</t>
  </si>
  <si>
    <t>Ḥf.1FC.R1(t)</t>
  </si>
  <si>
    <t>Hnaine Abod (Nažžār)</t>
  </si>
  <si>
    <t>Ḥf.2FC</t>
  </si>
  <si>
    <t>ב-1948 אמה ירדה לקנות בגדים ונורתה ברגלה. היא אושפזה ברמב"ם והחלימה.</t>
  </si>
  <si>
    <t>פיצול צרור ḥareb. אין בין-שיניות. פועל ʿād "עדיין". "בשביל" -la. ق = ʾ. סיומת נקבה i-.</t>
  </si>
  <si>
    <t>Ḥf.2FC.R1</t>
  </si>
  <si>
    <t>George Jamal</t>
  </si>
  <si>
    <t>Ḥf.3MC</t>
  </si>
  <si>
    <t>אחיו נחטף ב-48 ע"י מיליציה יהודית, מספר על התקופה, הגירוש מחיפה. מדבר על הימים שבהם יהודים וערבים חיו בשלום וביטחון בארץ.</t>
  </si>
  <si>
    <t>בין-שיניים הופכים לשורקים ולפעמים לפוצצים. דוגמאות: ḥadsi, talāti, ḥafiz, yibʿatūni, iẓẓrūf, ḥadatat.  סביל פנימי (?) xuṭif.</t>
  </si>
  <si>
    <t>Ḥf.3MC.R1</t>
  </si>
  <si>
    <t>Ḥf.3MC.R1(t)</t>
  </si>
  <si>
    <t>Johny Xarʿūbe</t>
  </si>
  <si>
    <t>Ḥf.4MC</t>
  </si>
  <si>
    <t>סיפורים  על כלב זאב גזעי שהיה לו בילדותו: ניסיון לחטיפת הכלב, מלחמות עם הכלבים האחרים של השכונה.</t>
  </si>
  <si>
    <t>הרבה מאוד תופעות. יש פירוט מסודר בגוף התעתיק.</t>
  </si>
  <si>
    <t>Ḥf.4MC.R1</t>
  </si>
  <si>
    <t>Rawan Xarʿūbe</t>
  </si>
  <si>
    <t>Ḥf.4MC.R1(t)</t>
  </si>
  <si>
    <t>Mery Armenious (Totry)</t>
  </si>
  <si>
    <t>Ḥf.5FC</t>
  </si>
  <si>
    <t>הנשים לא מוזכרות בהיסטוריה, וזה לא נכון. בדור של סבתא היו מחתנים את הבנות בגיל צעיר לגברים מבוגרים יותר, הן היו מתאלמנות ונאלצות לעבוד.</t>
  </si>
  <si>
    <t>יש פירוט מסודר בגוף התעתיק.</t>
  </si>
  <si>
    <t>Ḥf.5FC.R1</t>
  </si>
  <si>
    <t>Ḥf.5FC.R1(t)</t>
  </si>
  <si>
    <t>Christian (Protestant)</t>
  </si>
  <si>
    <t>Amil Daher</t>
  </si>
  <si>
    <t>Ḥf.6MC</t>
  </si>
  <si>
    <t>נסע עם המשפחה לחתונה של הבן של חבר שלו בגרמניה. הייתה חתונה גרמנית-ערבית מעורבת. ופגש חבר מתקופת הלימודים שם.</t>
  </si>
  <si>
    <t xml:space="preserve">בין-שיניים הופכים לשורקים: tḥaddasna, illaḥẓāt אבל במילה muʾaṯṯire נשמרת הבין-שיניות. </t>
  </si>
  <si>
    <r>
      <rPr>
        <rFont val="David Libre"/>
        <sz val="10.0"/>
      </rPr>
      <t xml:space="preserve">כינוי חבור של </t>
    </r>
    <r>
      <rPr>
        <rFont val="David Libre"/>
        <color rgb="FF1155CC"/>
        <sz val="10.0"/>
        <u/>
      </rPr>
      <t>3.M.PL</t>
    </r>
    <r>
      <rPr>
        <rFont val="David Libre"/>
        <sz val="10.0"/>
      </rPr>
      <t xml:space="preserve"> לפעמים -in ~ hin</t>
    </r>
  </si>
  <si>
    <t>עהוד+רבחי</t>
  </si>
  <si>
    <t>Ḥf.6MC.R1</t>
  </si>
  <si>
    <t>Ḥf.6MC.R1(t)</t>
  </si>
  <si>
    <t>Hiyam Al-Abed</t>
  </si>
  <si>
    <t>Ḥf.7FC</t>
  </si>
  <si>
    <t>טיול משפחתי לאוסטריה ועוד טיולים עם בעלה. תיאור קרוז בים הבאלטי ושכירת בית גדול באוסטריה.</t>
  </si>
  <si>
    <t>maratu la-Mutsart (תופעת analytic epexegetic genitive?)</t>
  </si>
  <si>
    <t>Ḥf.7FC.R1</t>
  </si>
  <si>
    <t>Rajaa ?</t>
  </si>
  <si>
    <t>Ḥf.7FC.R1(t)</t>
  </si>
  <si>
    <t>Ḥf.8M</t>
  </si>
  <si>
    <t>Ḥf.8M.R1</t>
  </si>
  <si>
    <t>Ḥasan Abu Yūsuf</t>
  </si>
  <si>
    <t>Ḥf.9M</t>
  </si>
  <si>
    <t>סיפור על ג'וחא ב-35:14</t>
  </si>
  <si>
    <t>Ḥf.9M.R1</t>
  </si>
  <si>
    <t>Lidor, Noga</t>
  </si>
  <si>
    <t>Jewish</t>
  </si>
  <si>
    <t>J</t>
  </si>
  <si>
    <t>Pnina</t>
  </si>
  <si>
    <t>Ḥf.10FJ</t>
  </si>
  <si>
    <t>Ḥf.10FJ.R1</t>
  </si>
  <si>
    <t>Ohad Kayyam</t>
  </si>
  <si>
    <t>كبابير</t>
  </si>
  <si>
    <t>Kabābīr</t>
  </si>
  <si>
    <t>Žamīli</t>
  </si>
  <si>
    <t>Kb.1F</t>
  </si>
  <si>
    <t>יש בין-שיניות, לא תמיד ב-ض. ق=q. אבל yiġdar.</t>
  </si>
  <si>
    <t>סיפור מתחיל סביב 24:25 עד 29:20</t>
  </si>
  <si>
    <t>Kb.1F.R1</t>
  </si>
  <si>
    <t>Ido Freund</t>
  </si>
  <si>
    <t>Kb.1F.R1 (t)</t>
  </si>
  <si>
    <t>زرزير</t>
  </si>
  <si>
    <t>Bēt Zarzīr</t>
  </si>
  <si>
    <t>Zr</t>
  </si>
  <si>
    <t>Zr.1MB</t>
  </si>
  <si>
    <t>gitlak. באופן כללי, דיאלקט מאוד לא "נקי".</t>
  </si>
  <si>
    <t>הדובר משתייך ל-ʿArab alĠrīfāt. סיפור מ-26:50. חילופי קוד.</t>
  </si>
  <si>
    <t>Zr.1MB.R1</t>
  </si>
  <si>
    <t>Guy, Ohad</t>
  </si>
  <si>
    <t>Zr.2MB</t>
  </si>
  <si>
    <t>Zr.2MB.R1</t>
  </si>
  <si>
    <t>ב-02:17 מתחיל סיפור מעניין על גנב אבוקדו שנקטע. אין את ההקלטה הבאה (מס' 3) בדרייב.</t>
  </si>
  <si>
    <t>Zr.2MB.R2</t>
  </si>
  <si>
    <t>Zr.2MB.R3</t>
  </si>
  <si>
    <t>Zr.2MB.R4</t>
  </si>
  <si>
    <t>Zr.2MB.R5</t>
  </si>
  <si>
    <t>Zr.2MB.R6</t>
  </si>
  <si>
    <t>Zr.2MB.R7</t>
  </si>
  <si>
    <t>Xaḏ̣ra</t>
  </si>
  <si>
    <t>AČ.1FB</t>
  </si>
  <si>
    <t>הקלטה ארוכה מאוד. בתעתיק יש פירוט ואינדקס מפורט על הנושאים. הנושאים הרלוונטיים יצורפו כהקלטות נוספות של הדוברת.</t>
  </si>
  <si>
    <t>סופית 3mPL imp קצרה: yrūḥam, yǧībum. אין ממש "הקפדה" על ghawa syndrome תמיד: tiḥlib. יש/אין = bī/mā bī, אין bū. נתן = anṭa. סיומת 3FPL imp היא: yilʿaban.</t>
  </si>
  <si>
    <t>AČ.1FB.R1</t>
  </si>
  <si>
    <t>Rana, Or</t>
  </si>
  <si>
    <r>
      <rPr>
        <rFont val="David Libre"/>
        <color rgb="FF1155CC"/>
        <sz val="10.0"/>
        <u/>
      </rPr>
      <t>AČ.1FB.R1Xסקירה של ההקלטה)</t>
    </r>
    <r>
      <rPr>
        <rFont val="David Libre"/>
        <sz val="10.0"/>
      </rPr>
      <t>\</t>
    </r>
    <r>
      <rPr>
        <rFont val="David Libre"/>
        <color rgb="FF1155CC"/>
        <sz val="10.0"/>
        <u/>
      </rPr>
      <t>AČ.1FB.R2(t)</t>
    </r>
  </si>
  <si>
    <t>סיפור עממי- הנסיך והבת של השיח'</t>
  </si>
  <si>
    <t>בין 07:58-11:53.</t>
  </si>
  <si>
    <t>סיפור האמיר taʿāl isgi farasak - עבר הגהה חלקית</t>
  </si>
  <si>
    <t>AČ.1FB.R2</t>
  </si>
  <si>
    <t>טקס להבאת הגשם שהנשים היו עושות.</t>
  </si>
  <si>
    <t>46:05-48:39. יורד גשם = addinya tišti (ולא tištwi).</t>
  </si>
  <si>
    <t>AČ.1FB.R3</t>
  </si>
  <si>
    <t>Arwa</t>
  </si>
  <si>
    <t>AḤ.1FB</t>
  </si>
  <si>
    <t>סיפור הכבשה הנושכת 12:30</t>
  </si>
  <si>
    <t>דיאלקט בדואי מאוד מאוד נקי יחסית.</t>
  </si>
  <si>
    <t>AḤ.1FB.R1</t>
  </si>
  <si>
    <t>Alon Rot</t>
  </si>
  <si>
    <t>AḤ.1FB.R1(t)</t>
  </si>
  <si>
    <t>Elyās Ḥaddād</t>
  </si>
  <si>
    <t>Ṭrn.1MC</t>
  </si>
  <si>
    <t>ق=q. ج=ž. יש בין-שיניות. סיומת נקבה -i.</t>
  </si>
  <si>
    <t>Ṭrn.1MC.R1</t>
  </si>
  <si>
    <t>Ṭrn.1MC.R1(t)</t>
  </si>
  <si>
    <t>Ibtisām Salāmi</t>
  </si>
  <si>
    <t>Ṭrn.2FC</t>
  </si>
  <si>
    <t>זוכרת איך ערכו חתונות פעם, כשהכל הוכן בבית ובמקום מוסוקה מוקלטת היו מביאים נגן מזוג' וניגנו דרבוכה.</t>
  </si>
  <si>
    <t>סיומת i&gt;e בהפסק: ništre. בין בין-שיניות. ج=ž. ق=q. תופעה מעניינת: ʿišrīn kīlot ruzz. מעתק q&gt;x ב-w-yruqṣu.</t>
  </si>
  <si>
    <t>Ṭrn.2FC.R1</t>
  </si>
  <si>
    <t>Anġām Xūri</t>
  </si>
  <si>
    <t>Ṭrn.2FC.R1(t)</t>
  </si>
  <si>
    <t>Sihām Xūri</t>
  </si>
  <si>
    <t>Ṭrn.3FC</t>
  </si>
  <si>
    <t>מספרת על מה היו מגדלים פעם, חקלאות במשפחה.</t>
  </si>
  <si>
    <t>ق=q. ج=ž. יש בין-שיניות. i&gt;e בהפסק: .פ"א עתיד: nōkil. קיצור דיפתונג: zatūn.</t>
  </si>
  <si>
    <t>Ṭrn.3FC.R1</t>
  </si>
  <si>
    <t>Aḥmad Daḥle</t>
  </si>
  <si>
    <t>Ṭrn.4MM</t>
  </si>
  <si>
    <t>החיים פעם היו קשים, בלי חשמל, גז וכו'. מספר על הגידולים שלהם.</t>
  </si>
  <si>
    <t>ق=q. ج=ž. יש בין-שיניות. פ"א עתיד: nōkil. תופעה מעניינת: žāž (sg.), žižātna (pl.).</t>
  </si>
  <si>
    <t>Ṭrn.4MM.R1</t>
  </si>
  <si>
    <t>Nažwa Ġabin</t>
  </si>
  <si>
    <t>Ṭrn.5FM</t>
  </si>
  <si>
    <t>המספרת גידלה את כל אחיה הצעירים, הם עברו ממקום למקום ושכרו עד שמישהו דאג להם. בעלה היה דייג והם פתחו אטליז.</t>
  </si>
  <si>
    <t>i&gt;e בהפסק: wlāde. מעתק aCC&gt;iCC למשל milḥami. יש איזה ביטוי יפה (לא ברור בפעם השנייה בגלל איכות ההקלטה): عايشين بال بالقمر.</t>
  </si>
  <si>
    <t>Ṭrn.5FM.R1</t>
  </si>
  <si>
    <t>Ṯarwa Xāled Naṣṣār</t>
  </si>
  <si>
    <t>Ṭrn.6FM</t>
  </si>
  <si>
    <t>מספרת על ילדיה, עבודה. היא שברה את רגלה והייתה בביה"ח.</t>
  </si>
  <si>
    <t>אמאלה תוכית: banēt.i&gt;e בהפסק: wlāde. כינוי רומז "הם" hinni. عندي - ʿandi.</t>
  </si>
  <si>
    <t>Ṭrn.6FM.R1</t>
  </si>
  <si>
    <t>Žiryis Amīn Bšāra</t>
  </si>
  <si>
    <t>Ṭrn.7MC</t>
  </si>
  <si>
    <t>מספר איך פעם היו חוסכים בהוצאות ולומדים עם חוברת אחת כל שנות ביה"ס וכו'. מה ילדיו למדו ועובדים.</t>
  </si>
  <si>
    <t>Ṭrn.7MC.R1</t>
  </si>
  <si>
    <t>Ṭrn.8F</t>
  </si>
  <si>
    <t>הדוברת מספרת שהוריה במקור מסג'רה (כפר מגורש, אילניה)</t>
  </si>
  <si>
    <t>סיפור מ-42:00</t>
  </si>
  <si>
    <t>Ṭrn.8F.R1</t>
  </si>
  <si>
    <t>Netta, Amitai, Oren</t>
  </si>
  <si>
    <t>Rashida</t>
  </si>
  <si>
    <t>Ṭrn.9FC</t>
  </si>
  <si>
    <t>Ṭrn.9FC.R1</t>
  </si>
  <si>
    <t>Mažd Šīti</t>
  </si>
  <si>
    <t>Ṭrn.9FC.R1(t)</t>
  </si>
  <si>
    <t>ʿabdalla Asʿad Šibli</t>
  </si>
  <si>
    <t>AŠ.1MB</t>
  </si>
  <si>
    <t>דיאלקט "נקי" יחסית.</t>
  </si>
  <si>
    <t>AŠ.1MB.R1</t>
  </si>
  <si>
    <t>Judith Rosenhouse</t>
  </si>
  <si>
    <t>קישור לתעתיק בספר של רוזנהויז עם יואל פרץ.</t>
  </si>
  <si>
    <t>AŠ.1MB.R2</t>
  </si>
  <si>
    <r>
      <rPr>
        <rFont val="David Libre"/>
        <color rgb="FF1155CC"/>
        <sz val="10.0"/>
        <u/>
      </rPr>
      <t>AŠ.1MB.R2(t)</t>
    </r>
    <r>
      <rPr>
        <rFont val="David Libre"/>
        <sz val="10.0"/>
      </rPr>
      <t xml:space="preserve"> / </t>
    </r>
    <r>
      <rPr>
        <rFont val="David Libre"/>
        <color rgb="FF1155CC"/>
        <sz val="10.0"/>
        <u/>
      </rPr>
      <t>תעתיק של רוזנהויז</t>
    </r>
  </si>
  <si>
    <t>AŠ.2MB</t>
  </si>
  <si>
    <t>מדבר עם חבר שלו בטלפון, יוצא דיאלקט נקי יחסית.</t>
  </si>
  <si>
    <t>AŠ.2MB.R1</t>
  </si>
  <si>
    <t>Ido Nave</t>
  </si>
  <si>
    <t>AŠ.3MB</t>
  </si>
  <si>
    <t>AŠ.3MB.R1</t>
  </si>
  <si>
    <t>Ohad, Guy</t>
  </si>
  <si>
    <t>תעתיק מ-06:30. דיאלקט לא נקי אבל סביר.</t>
  </si>
  <si>
    <t>AŠ.3MB.R2</t>
  </si>
  <si>
    <t>Nāhida Marše Aṭraš</t>
  </si>
  <si>
    <t>Nṣ.1FC</t>
  </si>
  <si>
    <t>יש לה שישה נכדים אבל הכי חשובה לה הנכדה הראשונה אמל שנולדה כמוה ביום שני בשעה תשע. היא לא יודעת למה, אין סיבה.</t>
  </si>
  <si>
    <r>
      <rPr>
        <rFont val="David Libre"/>
        <b/>
        <color theme="1"/>
        <sz val="10.0"/>
      </rPr>
      <t xml:space="preserve">aCC&gt;iCC: </t>
    </r>
    <r>
      <rPr>
        <rFont val="David Libre"/>
        <color theme="1"/>
        <sz val="10.0"/>
      </rPr>
      <t xml:space="preserve">midrasi (01:13); </t>
    </r>
    <r>
      <rPr>
        <rFont val="David Libre"/>
        <b/>
        <color theme="1"/>
        <sz val="10.0"/>
      </rPr>
      <t xml:space="preserve">pausal -u &gt; -o#, -i &gt; -e#: </t>
    </r>
    <r>
      <rPr>
        <rFont val="David Libre"/>
        <color theme="1"/>
        <sz val="10.0"/>
      </rPr>
      <t>ḥilweː# (00:38), yiḥkeː (00:47), yiḥkoː# (00:50);</t>
    </r>
  </si>
  <si>
    <t>Nṣ.1FC.R1</t>
  </si>
  <si>
    <t>Nṣ.1FC.R1(t)</t>
  </si>
  <si>
    <t>_</t>
  </si>
  <si>
    <t>Nṣ.2M</t>
  </si>
  <si>
    <t>Nṣ.2M.R1</t>
  </si>
  <si>
    <t>Nṣ.2M.R2</t>
  </si>
  <si>
    <t>Dima</t>
  </si>
  <si>
    <t>Nṣ.3FC</t>
  </si>
  <si>
    <t>סיפור מ-06:13</t>
  </si>
  <si>
    <t>Nṣ.3FC.R1</t>
  </si>
  <si>
    <t>Noam Faust</t>
  </si>
  <si>
    <t>Nṣ.3FC.R2</t>
  </si>
  <si>
    <t>Nṣ.4M</t>
  </si>
  <si>
    <t>Nṣ.4M.R1</t>
  </si>
  <si>
    <t>Or Grife</t>
  </si>
  <si>
    <t>Nṣ.5M</t>
  </si>
  <si>
    <t>אוסף קצת מוזר של בדיחות קרש</t>
  </si>
  <si>
    <t>Nṣ.5M.R1</t>
  </si>
  <si>
    <t>Suha</t>
  </si>
  <si>
    <t>Nṣ.6F</t>
  </si>
  <si>
    <t>שאלון (תרגום משפטים והטיות)</t>
  </si>
  <si>
    <t>Nṣ.6C.R1</t>
  </si>
  <si>
    <t>عرب الزبيدات</t>
  </si>
  <si>
    <t>Muḥammad Zbēdāt</t>
  </si>
  <si>
    <t>AZ.1MB</t>
  </si>
  <si>
    <t>תעתיק מ-11:40 בערך.</t>
  </si>
  <si>
    <t>AZ.1MB.R1</t>
  </si>
  <si>
    <t>ǦZ.1M</t>
  </si>
  <si>
    <t>דיאלקט מעורב של בדואי גלילי עם תופעות מיושבות. סוג של ערבית לבנה. bagēt במקום čint.</t>
  </si>
  <si>
    <t>תעתיק מ-28:30. ייתכנו עוד אך ההקלטה ארוכה.</t>
  </si>
  <si>
    <t>ǦZ.1M.R1</t>
  </si>
  <si>
    <t>UF.1M</t>
  </si>
  <si>
    <t>דובר נשמע מבוגר, ללא פרטי דובר. נרטיבית.</t>
  </si>
  <si>
    <t>UF.1M.R1</t>
  </si>
  <si>
    <t>Ziyād</t>
  </si>
  <si>
    <t>UF.2F</t>
  </si>
  <si>
    <t xml:space="preserve"> נשמעת מבוגרת, ללא פרטיה. נרטיבית, לא סיפור קוהרנטי.</t>
  </si>
  <si>
    <t>issa, k, č, ǧ. בעייה עם š. כינוי חבור -hum, rabbanāhum</t>
  </si>
  <si>
    <t>UF.2F.R1</t>
  </si>
  <si>
    <t>Layla Kiwwān</t>
  </si>
  <si>
    <t>UF.3F</t>
  </si>
  <si>
    <t xml:space="preserve">בת כ-50, בנה נהרג במהלך שומר החומות. מספרת על איך שמעו את הבשורה ועל תרופות הרגעה שקיבלה ומצאה בדיעבד במקרר </t>
  </si>
  <si>
    <t>צורות הפסק (wasṭāne), k למעט aġdar, וגם aCC =&gt; iCC/uCC</t>
  </si>
  <si>
    <t>עבר בקרה חלקית</t>
  </si>
  <si>
    <t>UF.3F.R1</t>
  </si>
  <si>
    <t>מאי 2022</t>
  </si>
  <si>
    <t>UF.3F.R1(t)</t>
  </si>
  <si>
    <t>البيار</t>
  </si>
  <si>
    <t>liByār</t>
  </si>
  <si>
    <t>Byr</t>
  </si>
  <si>
    <t>Byr.1MB</t>
  </si>
  <si>
    <t>מדבר על הגעת השבט לאזור.</t>
  </si>
  <si>
    <t>שייכים ל-ʿArab aṣṢbēḥ (כמו שיבלי)</t>
  </si>
  <si>
    <t>Byr.1MB.R1</t>
  </si>
  <si>
    <t>Byr.2FB</t>
  </si>
  <si>
    <t>Byr.2FB.R1</t>
  </si>
  <si>
    <t>Byr.2FB.R2</t>
  </si>
  <si>
    <t>Byr.2FB.R3</t>
  </si>
  <si>
    <t>BĠr</t>
  </si>
  <si>
    <t>BĠr.1F</t>
  </si>
  <si>
    <t>ללא פרטי הדוברת. נרטיבית. 0305-0555</t>
  </si>
  <si>
    <t xml:space="preserve"> יא אלנסבה נמוכה יחסית, k, č, ǧ, kuttlu, bake. </t>
  </si>
  <si>
    <t>תיקוני הגהה, תעתיק הסיפור</t>
  </si>
  <si>
    <t>BĠr.1F.R1</t>
  </si>
  <si>
    <t>Moshe Simchi</t>
  </si>
  <si>
    <t>מאי 2014</t>
  </si>
  <si>
    <t>BĠr.1F.R1(t)</t>
  </si>
  <si>
    <t>Ḥaǧǧe Ḥusniyye</t>
  </si>
  <si>
    <t>ṬMṯ.1F</t>
  </si>
  <si>
    <t xml:space="preserve">מבוגרת מאוד, ללא נרטיב רצוף (אפשר לחלץ מכמה קטעים). </t>
  </si>
  <si>
    <t xml:space="preserve"> סיומת נקבה גבוהה, ṯ, čīf ḥālkum, maskaʿ</t>
  </si>
  <si>
    <t>ṬMṯ.1F.R1</t>
  </si>
  <si>
    <t>Fayrūz, Ražā</t>
  </si>
  <si>
    <t>ṬMṯ.1F.R1(t)</t>
  </si>
  <si>
    <t>Fāres ʿazmi Fāres</t>
  </si>
  <si>
    <t>Nb.1M</t>
  </si>
  <si>
    <t xml:space="preserve">בן כ-60, הקלטה של כ-11 דקות. ההתחלה קצת הרצאתית על שכם, קטע לטקסט בין 03:21-05:40 על איך התחיל עם אשתו. </t>
  </si>
  <si>
    <t xml:space="preserve"> סיומת חבורות מעניינות: šuhrithē, mawqeʿhē, ʿindhon</t>
  </si>
  <si>
    <t>Nb.1M.R1</t>
  </si>
  <si>
    <t>Renana</t>
  </si>
  <si>
    <t>Nb.1M.R1(t)</t>
  </si>
  <si>
    <t>Umm Ġassān</t>
  </si>
  <si>
    <t>Nb.2F</t>
  </si>
  <si>
    <t>לפי המקליטים: בת 66, ילידת שכם. הפנייתם להקלטה השנייה ב-0100-0111. אין תעתיק. שמע קשה. בהקלטה הראשונה 0640-0840 קטע על הבן שלה שחשב שהוא בדוי</t>
  </si>
  <si>
    <t xml:space="preserve">גם כאן סיומת חבורה נקבה hē, נקבות hin, </t>
  </si>
  <si>
    <t>Nb.2F.R1</t>
  </si>
  <si>
    <t>Nb.2F.R1(t)</t>
  </si>
  <si>
    <t>Nb.2F.R2</t>
  </si>
  <si>
    <t>Abu Naẓmi</t>
  </si>
  <si>
    <t>Nb.3M</t>
  </si>
  <si>
    <t>לפי המקליטים: בן 65, יליד שכם. מספר סיפור ששמע מאביו,</t>
  </si>
  <si>
    <t xml:space="preserve">שתי תנועות ארוכות? </t>
  </si>
  <si>
    <t xml:space="preserve">  01:00-03:35 לטקסט, טקסט לספר</t>
  </si>
  <si>
    <t>Nb.3M.R1</t>
  </si>
  <si>
    <t>Firyāl Qazzāz</t>
  </si>
  <si>
    <t>Nb.3M.R1(t)</t>
  </si>
  <si>
    <t>Samaritans</t>
  </si>
  <si>
    <t>Sm</t>
  </si>
  <si>
    <t>זבולון פיאצ׳ אלטיף (ZFT)</t>
  </si>
  <si>
    <t>Nb.4M.Sm</t>
  </si>
  <si>
    <t>מעיד על עצמו בן 84, ללא תעתיקים.  בעצם הקלטה אחת ארוכה מחולקת.</t>
  </si>
  <si>
    <t>(במיוחד הקטע שבין 04:00~-06:00 waqtīha, bʿadī סיומת נקבה e.</t>
  </si>
  <si>
    <t>Nb.4M.Sm.R1</t>
  </si>
  <si>
    <t>Gal Berger</t>
  </si>
  <si>
    <t>ʿaliyya - מופיע באזור 05:30, טקסט אפשרי ב-10:40-12:30</t>
  </si>
  <si>
    <t>Nb.4M.Sm.R2</t>
  </si>
  <si>
    <t xml:space="preserve">בין 17:30-20:55 </t>
  </si>
  <si>
    <t>Nb.4M.Sm.R3</t>
  </si>
  <si>
    <t>Nb.4M.Sm.R3(t)</t>
  </si>
  <si>
    <t>Nb.5M.Sm</t>
  </si>
  <si>
    <t>תושב הר גריזים. על העדה ומנהגי בראש השנה (פסח).</t>
  </si>
  <si>
    <t xml:space="preserve"> סיומת נקבה e, ṭqūs, ektar, yibʾa, biqbal, daʿawī, ʾidrūš, minina, baʿḏīha, yisāʿidūhon</t>
  </si>
  <si>
    <t>Nb.5M.Sm.R1</t>
  </si>
  <si>
    <t>רחל (R)</t>
  </si>
  <si>
    <t>Nb.6F.Sm</t>
  </si>
  <si>
    <t>מעידה על עצמה ששכמית, ללא פרטים נוספים, על מנהגי העדה בפסח.</t>
  </si>
  <si>
    <t xml:space="preserve"> aḥḥ, addam, isḥāq, fōʾ, xubuz, kayyafne, sāknīn</t>
  </si>
  <si>
    <t>Nb.6F.Sm.R1</t>
  </si>
  <si>
    <t>אם סעיד (ʾS)</t>
  </si>
  <si>
    <t>Nb.7F.Sm</t>
  </si>
  <si>
    <t xml:space="preserve">לדוברת בן ושמו סעיד נשמעת </t>
  </si>
  <si>
    <t xml:space="preserve"> fuʾdāno/fuʾdāte. mired, ʿindon, tʾassaru, halʾēte, סיומת נקבה e, iḥne</t>
  </si>
  <si>
    <t>Nb.7F.Sm.R1</t>
  </si>
  <si>
    <t>Sn.1F</t>
  </si>
  <si>
    <t>סבתא של מונא, 2 דקות ראשונות של ההקלטה השנייה נרטיב טוב, הקלטה ראשונה יותר שיחתית.</t>
  </si>
  <si>
    <t xml:space="preserve"> k=č, q=k,מעתק aCC=&gt;iCC לא עקבי (miṭraḥ; madrase), sinisle, baka=kān, כינוי שייכות נסתרות hin, כינוי חבור זכר a + pausal imala, סיומת נקבה e, שתי תנועות ארוכות</t>
  </si>
  <si>
    <t>Sn.1F.R1</t>
  </si>
  <si>
    <t>Muna Saʿad</t>
  </si>
  <si>
    <t>עד 02:15 מספרת על טקסי גשם עממיים. מ-02:20 עד 05:15 בערך מספרת על השיח׳ים ״אבו אלעוף״ ו״אלשיח׳ עמר״ -  bakaw, baḥḥir ועל הקדשים בכפר.</t>
  </si>
  <si>
    <t>k</t>
  </si>
  <si>
    <t>-čin</t>
  </si>
  <si>
    <t>baka~biki / yibki~yibka</t>
  </si>
  <si>
    <t>דרושה הגהה שנייה</t>
  </si>
  <si>
    <t>Sn.1F.R2</t>
  </si>
  <si>
    <r>
      <rPr>
        <rFont val="David Libre"/>
        <color rgb="FF1155CC"/>
        <sz val="10.0"/>
        <u/>
      </rPr>
      <t>Sn.1F.R2(t)</t>
    </r>
    <r>
      <rPr>
        <rFont val="David Libre"/>
        <sz val="10.0"/>
      </rPr>
      <t xml:space="preserve"> / </t>
    </r>
    <r>
      <rPr>
        <rFont val="David Libre"/>
        <color rgb="FF1155CC"/>
        <sz val="10.0"/>
        <u/>
      </rPr>
      <t>Handwritten</t>
    </r>
  </si>
  <si>
    <t>Šq.1F</t>
  </si>
  <si>
    <t xml:space="preserve">ההקלטה כולה סיפור, לא שקרה לדוברת אלא סיפור עממי שמסתובב. למרות שארוך - חושב ששווה. </t>
  </si>
  <si>
    <t>כינוי חבור זכר u, סיומת נקבה e (על פי רוב), ,aCC=&gt;iCC, k=č, q=k, baʿdanītha, 02:11 manīšסיומת חבורה לנסתרות hin.</t>
  </si>
  <si>
    <t>Šq.1F.R1</t>
  </si>
  <si>
    <t>בספר של זייגר</t>
  </si>
  <si>
    <t>Bilāl ʿali</t>
  </si>
  <si>
    <t>BN.1M</t>
  </si>
  <si>
    <t>סיפור קצר על סכסוך בנוגע לעמוד חשמל, איכות לא טובה</t>
  </si>
  <si>
    <t>BN.1M.R1</t>
  </si>
  <si>
    <t>Muʿīn ʿōde</t>
  </si>
  <si>
    <t>קטטה בין כמה חבר׳ה. האיכות לא מוצלחת במיוחד</t>
  </si>
  <si>
    <t>q=k, k=č, benīthem, כינוי חבור נסתרים hem</t>
  </si>
  <si>
    <t>BN.1M.R2</t>
  </si>
  <si>
    <t>אפריל 2003</t>
  </si>
  <si>
    <t>BN.1M.R2(t)</t>
  </si>
  <si>
    <t>סיפר על בחור שהיה מוכן שיגנבו ממנו בכפר ועשו עליו ג׳אחות</t>
  </si>
  <si>
    <t>q=k, ʿalayye</t>
  </si>
  <si>
    <t>BN.1M.R3</t>
  </si>
  <si>
    <t>ṯkīl</t>
  </si>
  <si>
    <t>אנקדוטה על המשוגעת השכונתית</t>
  </si>
  <si>
    <t>kān=baka, ʿh = ḥḥ, lelītha</t>
  </si>
  <si>
    <t>BN.1M.R4</t>
  </si>
  <si>
    <t>BN.1M.R4(t)</t>
  </si>
  <si>
    <t>המציאות המשפחתית במשפחה מרובת ילדים</t>
  </si>
  <si>
    <t>ṯ, hīta, kulītha, aṣal</t>
  </si>
  <si>
    <t>BN.1M.R5</t>
  </si>
  <si>
    <t>BN.1M.R5(t)</t>
  </si>
  <si>
    <t>Ḥasan Aḥmad</t>
  </si>
  <si>
    <t>BN.2M</t>
  </si>
  <si>
    <t>מספר על תאונת דרכים והטיפול שעבר אחיו, וניתוח השתלת לב</t>
  </si>
  <si>
    <t xml:space="preserve"> č~k?</t>
  </si>
  <si>
    <t>BN.2M.R1</t>
  </si>
  <si>
    <t>BN.2M.R1(t)</t>
  </si>
  <si>
    <t>על קטטות רמצ׳אן</t>
  </si>
  <si>
    <t>ʿaṭāwi,   č</t>
  </si>
  <si>
    <t>BN.2M.R2</t>
  </si>
  <si>
    <t>אשפוז של אימו</t>
  </si>
  <si>
    <t>hīta</t>
  </si>
  <si>
    <t>BN.2M.R3</t>
  </si>
  <si>
    <t>ʿarūra</t>
  </si>
  <si>
    <t>Umm ʿumar ʿarūri</t>
  </si>
  <si>
    <t>Arr.1F</t>
  </si>
  <si>
    <t>ללא נרטיב רצוף מוצלח</t>
  </si>
  <si>
    <t>כינוי חבור רבות hin, kuttlu, banīna, ʿimlat, ḥitta (11:15), ṣadīga (12:11),ב-17:30 kūli maʿāy 13:00~הרבה נטיות של נסתרות,</t>
  </si>
  <si>
    <t>Arr.1F.R1</t>
  </si>
  <si>
    <t>מספרת על ילד שנתלה מהחלון</t>
  </si>
  <si>
    <t>מ-00:20-06:30</t>
  </si>
  <si>
    <t xml:space="preserve"> 00:18 - 06:29</t>
  </si>
  <si>
    <t>Arr.1F.R2</t>
  </si>
  <si>
    <t>סג׳א כילאני</t>
  </si>
  <si>
    <t>מאי 2004</t>
  </si>
  <si>
    <t>Arr.1F(t)</t>
  </si>
  <si>
    <t>Rašīda Umm Mḥammad</t>
  </si>
  <si>
    <t>BS.1F</t>
  </si>
  <si>
    <t xml:space="preserve">בין שיניות, q=k, k=č, bakaw (01:00~), aa variant, hēḏ=hēk (02:40~), הבחנה בין רבים לרבות (03:15~), 04:10-05:10 - מדקלמת כמה שירי זריעה, כמה דוגמאות לגזרת לו״י (aǧaw, nsīt), xallaw (12:30~) , סיומת חבורה לנקבה hē (12:59), </t>
  </si>
  <si>
    <t>BS.1F.R1</t>
  </si>
  <si>
    <t>māšīn (01:24), minṣaf (02:50)</t>
  </si>
  <si>
    <t>BS.1F.R2</t>
  </si>
  <si>
    <t>חביבה אם עלי (ḤUA)</t>
  </si>
  <si>
    <t>BS.2F</t>
  </si>
  <si>
    <t xml:space="preserve">איך אפתה לחם כשנגמר לה הקמח יום אחד, כשגרה בבדו אחרי 48׳. </t>
  </si>
  <si>
    <t xml:space="preserve">  ts&gt;ss Bēs Surīk, Iw-naṣēlha (00:20), miġrib (00:35), tuxbiz (01:17), rāshē (01:33), לטקסט - 03:20-04:44</t>
  </si>
  <si>
    <t>BS.2F.R1</t>
  </si>
  <si>
    <t>אם אדיב (UA)</t>
  </si>
  <si>
    <t>BS.3F</t>
  </si>
  <si>
    <t>BS.3F.R1</t>
  </si>
  <si>
    <t>מרץ 2004</t>
  </si>
  <si>
    <t>BS.3F.R1(t)</t>
  </si>
  <si>
    <t>חתונה</t>
  </si>
  <si>
    <t>bāku~tikba</t>
  </si>
  <si>
    <t>BS.3F.R2</t>
  </si>
  <si>
    <t>BS.3F.R3</t>
  </si>
  <si>
    <t>אבו אדיב (AA)</t>
  </si>
  <si>
    <t>BS.4M</t>
  </si>
  <si>
    <t>סיפור טוב סה"כ אבל באורך כל ההקלטה</t>
  </si>
  <si>
    <t>BS.4M.R1</t>
  </si>
  <si>
    <t>ג׳אבר מחמוד ג׳אבר (ǦMǦ)</t>
  </si>
  <si>
    <t>BS.5M</t>
  </si>
  <si>
    <t>BS.5M.R1</t>
  </si>
  <si>
    <t>אפריל 2004</t>
  </si>
  <si>
    <t>BS.5M.R1(t)</t>
  </si>
  <si>
    <t>BS.6M</t>
  </si>
  <si>
    <t>BS.6M.R1</t>
  </si>
  <si>
    <t>ח׳צ׳רה עקיל (XA)</t>
  </si>
  <si>
    <t>Bl.1F</t>
  </si>
  <si>
    <t>חיי הפלאחים, לפני 48.</t>
  </si>
  <si>
    <t>q=k, k=č, ḏ̣, סיומת חבורה e, awwale, baka=kān., ǧ</t>
  </si>
  <si>
    <t>Bl.1F.R1</t>
  </si>
  <si>
    <t>פאטמה חסין (FḤ)</t>
  </si>
  <si>
    <t>Bl.2F</t>
  </si>
  <si>
    <t>עייפות הזקנה</t>
  </si>
  <si>
    <t>ǧ, q=k, ḏ̣, č, סיומת חבורה a</t>
  </si>
  <si>
    <t>Bl.2F.R1</t>
  </si>
  <si>
    <t>חמדה</t>
  </si>
  <si>
    <t>יוני 2005</t>
  </si>
  <si>
    <t>Bl.2F.R1(t)</t>
  </si>
  <si>
    <t>צאלחה ח׳ליל חסן (ṢXḤ)</t>
  </si>
  <si>
    <t>Bl.3F</t>
  </si>
  <si>
    <t>לא ממריאה.</t>
  </si>
  <si>
    <t>q=k, סיומת נקבה e</t>
  </si>
  <si>
    <t>Bl.3F.R1</t>
  </si>
  <si>
    <t>KN.1F</t>
  </si>
  <si>
    <t>KN.1F.R1</t>
  </si>
  <si>
    <t>עאישה אחמד משכיה (AAM)</t>
  </si>
  <si>
    <t>KN.2F</t>
  </si>
  <si>
    <t>KN.2F.R1</t>
  </si>
  <si>
    <t>KN.2F.R1(t)</t>
  </si>
  <si>
    <t>KN.2F.R2</t>
  </si>
  <si>
    <t>אבו עמר (AU)</t>
  </si>
  <si>
    <t>BD.1M</t>
  </si>
  <si>
    <t>BD.1M.R1</t>
  </si>
  <si>
    <t>נעמה  (N)</t>
  </si>
  <si>
    <t>BD.2F</t>
  </si>
  <si>
    <t>קטע מוזר קצת. היא מתחילה במשלב גבוה ומחליפה למשלב רגיל בהמשך. אין סיפור טוב אבל יש קצת צחוקים לקראת הסוף.</t>
  </si>
  <si>
    <t>BD.2F.R1</t>
  </si>
  <si>
    <t>יש קצת אמאלה תוכית</t>
  </si>
  <si>
    <t>BD.2F.R2</t>
  </si>
  <si>
    <t>BD.2F.R3</t>
  </si>
  <si>
    <t>אם ג׳מאל (UǦ)</t>
  </si>
  <si>
    <t>BD.3F</t>
  </si>
  <si>
    <t>BD.3F.R1</t>
  </si>
  <si>
    <t>BD.3F.R2</t>
  </si>
  <si>
    <t>פברואר 2004</t>
  </si>
  <si>
    <t>BD.3F.R2(t)</t>
  </si>
  <si>
    <t>מתחיל ב- 00:17</t>
  </si>
  <si>
    <t>BD.3F.R3</t>
  </si>
  <si>
    <t>BD.3F.R3(t)</t>
  </si>
  <si>
    <t>BD.3F.R4</t>
  </si>
  <si>
    <t>BD.3F.R4(t)</t>
  </si>
  <si>
    <t>BD.3F.R5</t>
  </si>
  <si>
    <t>אלהאם (I)</t>
  </si>
  <si>
    <t>BD.4F</t>
  </si>
  <si>
    <t>BD.4F.R1</t>
  </si>
  <si>
    <t>עבד אלחלים (AḤ)</t>
  </si>
  <si>
    <t>BD.5M</t>
  </si>
  <si>
    <t>BD.5M.R1</t>
  </si>
  <si>
    <t>BD.5M.R2</t>
  </si>
  <si>
    <t>BD.5M.R3</t>
  </si>
  <si>
    <t>BD.5M.R4</t>
  </si>
  <si>
    <t>אינאס מע׳רבי</t>
  </si>
  <si>
    <t>BD.5M.R4(t)</t>
  </si>
  <si>
    <t>BD.5M.R5</t>
  </si>
  <si>
    <t>מצטפא אלעביד (MU)</t>
  </si>
  <si>
    <t>BD.6M</t>
  </si>
  <si>
    <t>BD.6M.R1</t>
  </si>
  <si>
    <t>BD.6M.R2</t>
  </si>
  <si>
    <t>BD.6M.R3</t>
  </si>
  <si>
    <t>פברואר 2002</t>
  </si>
  <si>
    <t>BD.6M.R3(t)</t>
  </si>
  <si>
    <t>BD.6M.R4</t>
  </si>
  <si>
    <t>BD.6M.R4(t)</t>
  </si>
  <si>
    <t>BD.6M.R5</t>
  </si>
  <si>
    <t>BD.6M.R5(t)</t>
  </si>
  <si>
    <t>BD.6M.R6</t>
  </si>
  <si>
    <t>Dēr Qadīs</t>
  </si>
  <si>
    <t>עזיזה חסן (AḤ)</t>
  </si>
  <si>
    <t>DQ.1F</t>
  </si>
  <si>
    <t>نأكل=nawčil</t>
  </si>
  <si>
    <t>DQ.1F.R1</t>
  </si>
  <si>
    <t>מחמד עבד אלחלים (MAḤ)</t>
  </si>
  <si>
    <t>DQ.2M</t>
  </si>
  <si>
    <t>אין אפריקציה, לא בטוח להג אותנטי</t>
  </si>
  <si>
    <t>DQ.2M.R1</t>
  </si>
  <si>
    <t>יעקוב אבראהים (YI)</t>
  </si>
  <si>
    <t>Ṣff.1M</t>
  </si>
  <si>
    <t>Ṣff.1M.R1</t>
  </si>
  <si>
    <t>וציפה עמר פלנה (WUF)</t>
  </si>
  <si>
    <t>Ṣff.2F</t>
  </si>
  <si>
    <t>Ṣff.2F.R1</t>
  </si>
  <si>
    <t>Ṣf.2F.R1(t)</t>
  </si>
  <si>
    <t>פוזי סלאמה יוסף פלנה (FSYF)</t>
  </si>
  <si>
    <t>Ṣff.3M</t>
  </si>
  <si>
    <t>Ṣff.3M.R1</t>
  </si>
  <si>
    <t>BUr</t>
  </si>
  <si>
    <t>אחמד עבד (AA)</t>
  </si>
  <si>
    <t>BUr.1M</t>
  </si>
  <si>
    <t>חקלאות פעם, החיים של הפלאחים פעם</t>
  </si>
  <si>
    <t>אין aCC&gt;iCC</t>
  </si>
  <si>
    <t>BUr.1M.R1</t>
  </si>
  <si>
    <t>ג׳בר עביד אלעאני (ǦUA)</t>
  </si>
  <si>
    <t>BUr.2M</t>
  </si>
  <si>
    <t>תעתיק מ-00:45. *הקלטה לא ברורה</t>
  </si>
  <si>
    <t>BUr.2M.R1</t>
  </si>
  <si>
    <t>Ab.1M</t>
  </si>
  <si>
    <t>תעתיק ממהתחלה</t>
  </si>
  <si>
    <t>Ab.1M.R1</t>
  </si>
  <si>
    <t>BZ.1M</t>
  </si>
  <si>
    <t>נשמע שהדובר מקריא מדף אבל הדיאלקט נשמר</t>
  </si>
  <si>
    <t>BZ.1M.R1</t>
  </si>
  <si>
    <t>עלי סאלם (AS)</t>
  </si>
  <si>
    <t>BZ.2M</t>
  </si>
  <si>
    <t>BZ.2M.R1</t>
  </si>
  <si>
    <t>דצמבר 2003</t>
  </si>
  <si>
    <t>BZ.2M.R1(t)</t>
  </si>
  <si>
    <t>BZ.2M.R2</t>
  </si>
  <si>
    <t>BZ.2M.R2(t)</t>
  </si>
  <si>
    <t>BZ.3M</t>
  </si>
  <si>
    <t>BZ.3M.R1</t>
  </si>
  <si>
    <t>BZ.4M</t>
  </si>
  <si>
    <t>נשמע כמו BZ.1M. נשמע שהדובר מקריא מדף אבל הדיאלקט נשמר</t>
  </si>
  <si>
    <t>BZ.4M.R1</t>
  </si>
  <si>
    <t>BZ.4M.R2</t>
  </si>
  <si>
    <t>מוסא עלוש (MA)</t>
  </si>
  <si>
    <t>BZ.5M</t>
  </si>
  <si>
    <t>*הקלטה באיכות לא טובה</t>
  </si>
  <si>
    <t>BZ.5M.R1</t>
  </si>
  <si>
    <t>BZ.5M.R2</t>
  </si>
  <si>
    <t>Xarbaṯa Bāni Ḥāriṯ</t>
  </si>
  <si>
    <t>XB.1F</t>
  </si>
  <si>
    <t>XB.1F.R1</t>
  </si>
  <si>
    <t>Ori Shachmon</t>
  </si>
  <si>
    <t>XB.1F.R1(t)</t>
  </si>
  <si>
    <t>XB.1F.R2</t>
  </si>
  <si>
    <t>XB.1F.R2(t)</t>
  </si>
  <si>
    <t>תעתיק מההתחלה</t>
  </si>
  <si>
    <t>XB.1F.R3</t>
  </si>
  <si>
    <t>XB.1F.R3(t)</t>
  </si>
  <si>
    <t>חבור נוכחים čīm אופייני לרמאללה</t>
  </si>
  <si>
    <t>XB.1F.R4</t>
  </si>
  <si>
    <t>XB.1F.R4(t)</t>
  </si>
  <si>
    <t>אם עודה</t>
  </si>
  <si>
    <t>XB.2F</t>
  </si>
  <si>
    <t>החיים פעם, חקלאות וכד'.</t>
  </si>
  <si>
    <r>
      <rPr>
        <rFont val="David Libre"/>
        <i/>
        <color theme="1"/>
        <sz val="10.0"/>
      </rPr>
      <t>q&gt;k, k&gt;č</t>
    </r>
    <r>
      <rPr>
        <rFont val="David Libre"/>
        <color theme="1"/>
        <sz val="10.0"/>
      </rPr>
      <t xml:space="preserve">, אמאלה תוכית, שימוש בפועל </t>
    </r>
    <r>
      <rPr>
        <rFont val="David Libre"/>
        <i/>
        <color theme="1"/>
        <sz val="10.0"/>
      </rPr>
      <t>baka.</t>
    </r>
  </si>
  <si>
    <t>XB.2F.R1</t>
  </si>
  <si>
    <t>XB.I3F</t>
  </si>
  <si>
    <t>XB.I3F.R1</t>
  </si>
  <si>
    <t>XB.4M</t>
  </si>
  <si>
    <t>מדקלם שירה</t>
  </si>
  <si>
    <t>XB.4M.R1</t>
  </si>
  <si>
    <t>רקיה עטאללה חסן (RAḤ)</t>
  </si>
  <si>
    <t>XB.5F</t>
  </si>
  <si>
    <t>hallaʾ/halʾēt/halkēt/halgēt</t>
  </si>
  <si>
    <t>baka/biki</t>
  </si>
  <si>
    <t>XB.5F.R1</t>
  </si>
  <si>
    <t>אבו סכן (AS)</t>
  </si>
  <si>
    <t>Ǧn.1M</t>
  </si>
  <si>
    <t>aCC&gt;iCC: miṭraḥa (08:34); diphthong: *ḍayf&gt;ḏ̣īf;</t>
  </si>
  <si>
    <t>hān</t>
  </si>
  <si>
    <t>Ǧn.1M.R1</t>
  </si>
  <si>
    <t>Ǧn.1M.R2</t>
  </si>
  <si>
    <t>אם קדים (UK)</t>
  </si>
  <si>
    <t>BI.1F</t>
  </si>
  <si>
    <t>BI.1F.R1</t>
  </si>
  <si>
    <t>טיבה אלעזיז (ṬA)</t>
  </si>
  <si>
    <t>BI.2F</t>
  </si>
  <si>
    <t>BI.2F.R1</t>
  </si>
  <si>
    <t>מספרת על החג' שעשתה</t>
  </si>
  <si>
    <t>BI.2F.R2</t>
  </si>
  <si>
    <t>BI.2F.R3</t>
  </si>
  <si>
    <t>BI.2F.R3(t)</t>
  </si>
  <si>
    <t>BI.2F.R4</t>
  </si>
  <si>
    <t>BI.2F.R5</t>
  </si>
  <si>
    <t>BI.2F.R6</t>
  </si>
  <si>
    <t>BI.3F</t>
  </si>
  <si>
    <t>BI.3F.R1</t>
  </si>
  <si>
    <t>BI.4F</t>
  </si>
  <si>
    <t>ההקלטה הכי קרובה לטקסט מבית ענאן, עדיין לא איכותי</t>
  </si>
  <si>
    <t>BI.4F.R1</t>
  </si>
  <si>
    <t>אבו ג׳מיל חינאוי (AǦḤ)</t>
  </si>
  <si>
    <t>BI.5M</t>
  </si>
  <si>
    <t>humme/homme</t>
  </si>
  <si>
    <t>BI.5M.R1</t>
  </si>
  <si>
    <t>סג׳א כילאני (?)</t>
  </si>
  <si>
    <t>BI.5M.R1(t)</t>
  </si>
  <si>
    <t>מלחמת 1948</t>
  </si>
  <si>
    <t>BI.5M.R2</t>
  </si>
  <si>
    <t>כנ"ל</t>
  </si>
  <si>
    <t>BI.5M.R3</t>
  </si>
  <si>
    <t>BI.5M.R4</t>
  </si>
  <si>
    <t>BI.5M.R5</t>
  </si>
  <si>
    <t>BI.5M.R6</t>
  </si>
  <si>
    <t>BI.5M.R7</t>
  </si>
  <si>
    <t>BI.5M.R8</t>
  </si>
  <si>
    <t>BI.5M.R9</t>
  </si>
  <si>
    <t>BI.5M.R10</t>
  </si>
  <si>
    <t>BI.5M.R11</t>
  </si>
  <si>
    <t>BI.5M.R12</t>
  </si>
  <si>
    <t>BI.6M</t>
  </si>
  <si>
    <t>BI.6M.R1</t>
  </si>
  <si>
    <t>iṭṬīra</t>
  </si>
  <si>
    <t>iṬṬīra</t>
  </si>
  <si>
    <t>Christian (Latin)</t>
  </si>
  <si>
    <t>עבלה עלאם (AA)</t>
  </si>
  <si>
    <t>Ṭr.1FC</t>
  </si>
  <si>
    <t>Ṭr.1FC.R1</t>
  </si>
  <si>
    <t>החינוך היום הוא לא מה שהיה פעם, היום הרבה יותר קשה לשלוט בילדים.</t>
  </si>
  <si>
    <t>סיומת נקבה e-. אין בין-שיניות (גם פוצצים וגם שורקים): kaza, ktīr. ق=ʿ. ج=ž. פירוק צרורות: tuḍurbūhom.</t>
  </si>
  <si>
    <t>Ṭr.1FC.R2</t>
  </si>
  <si>
    <t>مغار (1948)</t>
  </si>
  <si>
    <t>Mġār (1948)</t>
  </si>
  <si>
    <t>Mġr</t>
  </si>
  <si>
    <t>חאמד עבד אלראוף (ḤAR)</t>
  </si>
  <si>
    <t>Mġr.1M</t>
  </si>
  <si>
    <t>גם אשתו נשמעת בהקלטות</t>
  </si>
  <si>
    <t>מראיינים קצת משתלטים</t>
  </si>
  <si>
    <t>Mġr.1M.R1</t>
  </si>
  <si>
    <t>00:28.57</t>
  </si>
  <si>
    <t>עדי, אבישי</t>
  </si>
  <si>
    <t xml:space="preserve">אצל הדובר הגבר: ق=g; </t>
  </si>
  <si>
    <t>Mġr.1M.R2</t>
  </si>
  <si>
    <t>Mġr.1M.R3</t>
  </si>
  <si>
    <t>awwala???, bakābīk tavʿira (00:00-01:00). pausal: bidfaʿu ʿan-ni bass aǧār ilbīt#. ġēr aǧār bēt mā biʿaṭu-nā-š (02:02)</t>
  </si>
  <si>
    <t>Mġr.1M.R4</t>
  </si>
  <si>
    <t>Mġ.1M.R4(t)</t>
  </si>
  <si>
    <t>Mġr.1M.R5</t>
  </si>
  <si>
    <t>עדי</t>
  </si>
  <si>
    <t>BM.1M</t>
  </si>
  <si>
    <r>
      <rPr>
        <rFont val="David Libre"/>
        <sz val="10.0"/>
      </rPr>
      <t xml:space="preserve">מתוך הקלטה זו בחרה הנאא את חמש הדקות הראשונות בנפרד, בקישור </t>
    </r>
    <r>
      <rPr>
        <rFont val="David Libre"/>
        <color rgb="FF1155CC"/>
        <sz val="10.0"/>
        <u/>
      </rPr>
      <t>הזה</t>
    </r>
  </si>
  <si>
    <t>BM.1M.R1</t>
  </si>
  <si>
    <t>הנאא מחאמיד</t>
  </si>
  <si>
    <t>BM.1M.R2</t>
  </si>
  <si>
    <t>BM.2F</t>
  </si>
  <si>
    <t>הקטע כולל שירה</t>
  </si>
  <si>
    <t>BM.2F.R1</t>
  </si>
  <si>
    <t>BM.2F.R2</t>
  </si>
  <si>
    <t>BM.3M</t>
  </si>
  <si>
    <t>BM.3M.R1</t>
  </si>
  <si>
    <t>BM.4F</t>
  </si>
  <si>
    <t>BM.4F.R1</t>
  </si>
  <si>
    <t>BM.5M</t>
  </si>
  <si>
    <t>BM.5M.R1</t>
  </si>
  <si>
    <t>עדי שלום</t>
  </si>
  <si>
    <t>BM.5M.R1(t)</t>
  </si>
  <si>
    <t>Sil</t>
  </si>
  <si>
    <t>פאטמה אם מחמד (FUM)</t>
  </si>
  <si>
    <t>Sil.1F</t>
  </si>
  <si>
    <t>Sil.1F.R1</t>
  </si>
  <si>
    <t>Sil.1F.R2</t>
  </si>
  <si>
    <t>Sil.1F.R3</t>
  </si>
  <si>
    <t>Sil.1F.R4</t>
  </si>
  <si>
    <t>Sil.1F.R5</t>
  </si>
  <si>
    <t>Sil.1F.R6</t>
  </si>
  <si>
    <t>קטע חזק ביותר מלא בתופעות, שווה זוג עיניים נוסף</t>
  </si>
  <si>
    <t>Sil.1F.R7</t>
  </si>
  <si>
    <t>Sl.1F.R7(t)</t>
  </si>
  <si>
    <t>Sil.1F.R8</t>
  </si>
  <si>
    <t>Sil.1F.R9</t>
  </si>
  <si>
    <t>الحديثة</t>
  </si>
  <si>
    <t>פאטמה עבד אלחמיד (FAḤ)</t>
  </si>
  <si>
    <t>Ḥd.1F</t>
  </si>
  <si>
    <t>Ḥd.1F.R1</t>
  </si>
  <si>
    <t>Ḥd.1F.R2</t>
  </si>
  <si>
    <t>Ḥd.1F.R3</t>
  </si>
  <si>
    <t>BǦb</t>
  </si>
  <si>
    <t>אבו רבחי (AR)</t>
  </si>
  <si>
    <t>BǦb.1M</t>
  </si>
  <si>
    <t>BǦb.1M.R1</t>
  </si>
  <si>
    <t>BǦb.1M.R1(t)</t>
  </si>
  <si>
    <t>زكريا</t>
  </si>
  <si>
    <t>Zakariyya</t>
  </si>
  <si>
    <t>ארנולד  (A)</t>
  </si>
  <si>
    <t>Zk.1M</t>
  </si>
  <si>
    <t>Zk.1M.R1</t>
  </si>
  <si>
    <t>מוסא (M)</t>
  </si>
  <si>
    <t>ER.1M</t>
  </si>
  <si>
    <t>ER.1M.R1</t>
  </si>
  <si>
    <t>אודי</t>
  </si>
  <si>
    <t>נאדיה (N)</t>
  </si>
  <si>
    <t>ER.2F</t>
  </si>
  <si>
    <t>hīta, mixbaz</t>
  </si>
  <si>
    <t>ER.2F.R1</t>
  </si>
  <si>
    <t>ER.3M</t>
  </si>
  <si>
    <t>ER.3M.R1</t>
  </si>
  <si>
    <t>أبو ديس</t>
  </si>
  <si>
    <t>Abu Dīs</t>
  </si>
  <si>
    <t>Bahīǧa</t>
  </si>
  <si>
    <t>AD.1F</t>
  </si>
  <si>
    <t>על מוכרת עגבניות שהרגו אותה</t>
  </si>
  <si>
    <t>בין שיניות,q=k, k=č, baka, iǧat,חושב שמסוג-ae</t>
  </si>
  <si>
    <t>AD.1F.R1</t>
  </si>
  <si>
    <t>AD.1F.1R(t)</t>
  </si>
  <si>
    <t>AD.1F.R2</t>
  </si>
  <si>
    <t>יוני 2002</t>
  </si>
  <si>
    <t>AD.1F.R2(t)</t>
  </si>
  <si>
    <t>AD.1F.R3</t>
  </si>
  <si>
    <t>AD.1F.R4</t>
  </si>
  <si>
    <t>AD.1F.R5</t>
  </si>
  <si>
    <t>אמנה (A)</t>
  </si>
  <si>
    <t>AD.2F</t>
  </si>
  <si>
    <t>ana kāʿid</t>
  </si>
  <si>
    <t>AD.2F.R1</t>
  </si>
  <si>
    <t>מחמד עיאד (Mʿ)</t>
  </si>
  <si>
    <t>AD.3M</t>
  </si>
  <si>
    <t>AD.3M.R1</t>
  </si>
  <si>
    <t>AD.3M.R2</t>
  </si>
  <si>
    <t>עלי אבו הלאל (ʿʾH)</t>
  </si>
  <si>
    <t>AD.4M</t>
  </si>
  <si>
    <t>AD.4M.R1</t>
  </si>
  <si>
    <t>ח׳ולה עודה (Xʿ)</t>
  </si>
  <si>
    <t>AD.5F</t>
  </si>
  <si>
    <t>AD.5F.R1</t>
  </si>
  <si>
    <t>עאישה דואס</t>
  </si>
  <si>
    <t>אוגוסט 2002</t>
  </si>
  <si>
    <t>AD.5F.R1(t)</t>
  </si>
  <si>
    <t>ג׳מאל אבו הלאל (ǦʾH)</t>
  </si>
  <si>
    <t>AD.6M</t>
  </si>
  <si>
    <t>AD.6M.R1</t>
  </si>
  <si>
    <t>חסנה (Ḥ)</t>
  </si>
  <si>
    <t>AD.7F</t>
  </si>
  <si>
    <t>AD.7F.R1</t>
  </si>
  <si>
    <t>עיסא אבו ע׳וש (ʿʾĠ)</t>
  </si>
  <si>
    <t>AĠ.1M</t>
  </si>
  <si>
    <t>AĠ.1M.R1</t>
  </si>
  <si>
    <t>גיא ברהום</t>
  </si>
  <si>
    <t>AĠ.1M.R1(t)</t>
  </si>
  <si>
    <t>מצטפא אבו ע׳וש (MʾĠ)</t>
  </si>
  <si>
    <t>AĠ.2M</t>
  </si>
  <si>
    <t>שקלוט עד 02:51</t>
  </si>
  <si>
    <t>AĠ.2M.R1</t>
  </si>
  <si>
    <t>אחסאן</t>
  </si>
  <si>
    <t>AĠ.2M.R1(t)</t>
  </si>
  <si>
    <t>נזאר (N)</t>
  </si>
  <si>
    <t>AĠ.3M</t>
  </si>
  <si>
    <t>AĠ.3M.R1</t>
  </si>
  <si>
    <t>Mḥammad ʿabd iRraḥmān</t>
  </si>
  <si>
    <t>AĠ.4M</t>
  </si>
  <si>
    <t>AĠ.4M.R1</t>
  </si>
  <si>
    <t>שריף אבו ע׳וש</t>
  </si>
  <si>
    <t>AĠ.4M.R1(t)</t>
  </si>
  <si>
    <t>Aḥmad</t>
  </si>
  <si>
    <t>AĠ.5M</t>
  </si>
  <si>
    <t>AĠ.5M.R1</t>
  </si>
  <si>
    <t>שריף וצבי</t>
  </si>
  <si>
    <t>AĠ.5M.R1(t)</t>
  </si>
  <si>
    <t>רלא אבו ע׳וש (RʾĠ)</t>
  </si>
  <si>
    <t>AĠ.6F</t>
  </si>
  <si>
    <t>אמאלה פנימית</t>
  </si>
  <si>
    <t>AĠ.6F.R1</t>
  </si>
  <si>
    <t>פאטמה (F)</t>
  </si>
  <si>
    <t>AĠ.7F</t>
  </si>
  <si>
    <t>AĠ.7F.R1</t>
  </si>
  <si>
    <t>היפאא (H)</t>
  </si>
  <si>
    <t>AĠ.8F</t>
  </si>
  <si>
    <t>AĠ.8F.R1</t>
  </si>
  <si>
    <t>ליסא אבו ע׳וש (LʾĠ)</t>
  </si>
  <si>
    <t>AĠ.9F</t>
  </si>
  <si>
    <t>האישה נשמעת דווקא ירושלמית ולא מאבו ע׳וש, הבחור שמדבר איתה דווקא יותר מעניין</t>
  </si>
  <si>
    <t>AĠ.9F.R1</t>
  </si>
  <si>
    <t>מונא (M)</t>
  </si>
  <si>
    <t>AĠ.10F</t>
  </si>
  <si>
    <t>AĠ.10F.R1</t>
  </si>
  <si>
    <t>עבד (ʿ)</t>
  </si>
  <si>
    <t>AĠ.11M</t>
  </si>
  <si>
    <t>AĠ.11M.R1</t>
  </si>
  <si>
    <t>אלנתן, נדב</t>
  </si>
  <si>
    <t>לונא (L)</t>
  </si>
  <si>
    <t>AĠ.12F</t>
  </si>
  <si>
    <t>AĠ.12F.R1</t>
  </si>
  <si>
    <t>דן גרינברגר</t>
  </si>
  <si>
    <t>רדינא אבראהים  (Rʾ)</t>
  </si>
  <si>
    <t>AĠ.13F</t>
  </si>
  <si>
    <t>AĠ.13F.R1</t>
  </si>
  <si>
    <t>ג׳ני לוי</t>
  </si>
  <si>
    <t>דוחא (D)</t>
  </si>
  <si>
    <t>AĠ.14F</t>
  </si>
  <si>
    <t>כינוי חבור זכר A</t>
  </si>
  <si>
    <t>AĠ.14F.R1</t>
  </si>
  <si>
    <t>חתוך מההקלטה הקודמת</t>
  </si>
  <si>
    <t>AĠ.14F.R2</t>
  </si>
  <si>
    <t>אבו באסל (ʾB)</t>
  </si>
  <si>
    <t>Im.1M</t>
  </si>
  <si>
    <t>Im.1M.R1</t>
  </si>
  <si>
    <t>עלא</t>
  </si>
  <si>
    <t>Im.1M.R2</t>
  </si>
  <si>
    <t>יעקוב אבראהים (Yʾ)</t>
  </si>
  <si>
    <t>Im.2M</t>
  </si>
  <si>
    <t>Im.2M.R1</t>
  </si>
  <si>
    <t>Im.2M.R2</t>
  </si>
  <si>
    <t>Im.2M.R3</t>
  </si>
  <si>
    <t>סוריה (S)</t>
  </si>
  <si>
    <t>Im.3F</t>
  </si>
  <si>
    <t>Im.3F.R1</t>
  </si>
  <si>
    <t>Im.3F.R2</t>
  </si>
  <si>
    <t>Im.3F.R3</t>
  </si>
  <si>
    <t>عيساوية</t>
  </si>
  <si>
    <t>ʿisawiyya</t>
  </si>
  <si>
    <t>שפיקה ע׳ראיב (ŠĠ)</t>
  </si>
  <si>
    <t>Is.1F</t>
  </si>
  <si>
    <t>Is.1F.R1</t>
  </si>
  <si>
    <t>האלה מחאמיד</t>
  </si>
  <si>
    <t>מאי 2002</t>
  </si>
  <si>
    <t>Is.1F.R1(t)</t>
  </si>
  <si>
    <t>Is.1F.R2</t>
  </si>
  <si>
    <t>נובמבר 2002</t>
  </si>
  <si>
    <t>Is.1F.R2(t)</t>
  </si>
  <si>
    <t>עהוד + ינאי</t>
  </si>
  <si>
    <t>Is.1F.R3</t>
  </si>
  <si>
    <t>Is.1F.R3(t)</t>
  </si>
  <si>
    <t>אם איאד (ʾʾ)</t>
  </si>
  <si>
    <t>Is.2F</t>
  </si>
  <si>
    <t>Is.2F.R1</t>
  </si>
  <si>
    <t>Hāla Maḥamīd</t>
  </si>
  <si>
    <t>Is.2F.R1(t)</t>
  </si>
  <si>
    <t>Samāḥ Dāri</t>
  </si>
  <si>
    <t>Is.3F</t>
  </si>
  <si>
    <t>Is.3F.R1</t>
  </si>
  <si>
    <t>Is.3F.R1(t)</t>
  </si>
  <si>
    <t>Is.3F.R2</t>
  </si>
  <si>
    <t>Is.3F.R2(t)</t>
  </si>
  <si>
    <t>Sāmi ʿalayān</t>
  </si>
  <si>
    <t>Is.4M</t>
  </si>
  <si>
    <t>Is.4M.R1</t>
  </si>
  <si>
    <t>Is.4M.R1(t)</t>
  </si>
  <si>
    <t>Wahīb</t>
  </si>
  <si>
    <t>Is.5M</t>
  </si>
  <si>
    <t>Is.5M.R1</t>
  </si>
  <si>
    <t>אפריל 2002</t>
  </si>
  <si>
    <t>Is.5M.R1(t)</t>
  </si>
  <si>
    <t>Hadīl ʿalayān</t>
  </si>
  <si>
    <t>Is.6F</t>
  </si>
  <si>
    <t>Is.6F.R1</t>
  </si>
  <si>
    <t>Hāla Maḥamīd + Hila</t>
  </si>
  <si>
    <t>Is.6F.R1(t)</t>
  </si>
  <si>
    <t>Is.6F.R2</t>
  </si>
  <si>
    <t>Muʾayyad ʿalayān</t>
  </si>
  <si>
    <t>Is.7M</t>
  </si>
  <si>
    <t>Is.7M.R1</t>
  </si>
  <si>
    <t>Hāla Maḥamīd + Ćvi</t>
  </si>
  <si>
    <t>Is.7M.R1(t)</t>
  </si>
  <si>
    <t>Is.7M.R2</t>
  </si>
  <si>
    <t>Fādi</t>
  </si>
  <si>
    <t>Is.8M</t>
  </si>
  <si>
    <t>Is.8M.R1</t>
  </si>
  <si>
    <t>Is.8M.R1(t)</t>
  </si>
  <si>
    <t>מרים (M)</t>
  </si>
  <si>
    <t>Is.9F</t>
  </si>
  <si>
    <t>Is.9F.R1</t>
  </si>
  <si>
    <t>Is.9F.R1(t)</t>
  </si>
  <si>
    <t>BṢ.1M</t>
  </si>
  <si>
    <t>BṢ.1M.R1</t>
  </si>
  <si>
    <t>זינב</t>
  </si>
  <si>
    <t>BṢ.1M.R1(t)</t>
  </si>
  <si>
    <t>Umayma Xaṭṭāb</t>
  </si>
  <si>
    <t>BṢ.2F</t>
  </si>
  <si>
    <t>BṢ.2F.R1</t>
  </si>
  <si>
    <t>BṢ.2F.R1(t)</t>
  </si>
  <si>
    <t>חלק B בתעתיק</t>
  </si>
  <si>
    <t>BṢ.2F.R2</t>
  </si>
  <si>
    <t>BṢ.2F.R2(t)</t>
  </si>
  <si>
    <t>חלק C בתעתיק</t>
  </si>
  <si>
    <t>BṢ.2F.R3</t>
  </si>
  <si>
    <t>BṢ.2F.R3(t)</t>
  </si>
  <si>
    <t>חלקים D-G בתעתיק</t>
  </si>
  <si>
    <t>BṢ.2F.R4</t>
  </si>
  <si>
    <t>BṢ.2F.R4(t)</t>
  </si>
  <si>
    <t>Līna</t>
  </si>
  <si>
    <t>BṢ.3F</t>
  </si>
  <si>
    <t>אמא מספרת על הבת שלה שסובלת מפצעון.</t>
  </si>
  <si>
    <t>fem. ending: ḥilwe#, ḥabba; assimilation of gutturals: maḥ‿ḥa; velarization of vowel: mạ̄ma; raising of vowel mid-word: iddimmäl</t>
  </si>
  <si>
    <t>BṢ.3F.R1</t>
  </si>
  <si>
    <t>Rula + Hila</t>
  </si>
  <si>
    <t>BṢ.3F.R1(t)</t>
  </si>
  <si>
    <t>Hazār Xaṭṭāb</t>
  </si>
  <si>
    <t>BṢ.4F</t>
  </si>
  <si>
    <t>BṢ.4F.R1</t>
  </si>
  <si>
    <t>BṢ.4F.R1(t)</t>
  </si>
  <si>
    <t>נרימאן (N)</t>
  </si>
  <si>
    <t>BṢ.5F</t>
  </si>
  <si>
    <t>BṢ.5F.R1</t>
  </si>
  <si>
    <t>BṢ.5F.R1(t)</t>
  </si>
  <si>
    <t>Mḥammad</t>
  </si>
  <si>
    <t>BṢ.6M</t>
  </si>
  <si>
    <t>BṢ.6M.R1</t>
  </si>
  <si>
    <t>BṢ.6M.R1(t)</t>
  </si>
  <si>
    <t>Mḥammad ʿAlayān</t>
  </si>
  <si>
    <t>BṢ.7M</t>
  </si>
  <si>
    <t>מתחיל לספר על סיפור שאביו מסר, נקטע עד סוף ההקלטה.</t>
  </si>
  <si>
    <t>בין שיניות</t>
  </si>
  <si>
    <t>BṢ.7M.R1</t>
  </si>
  <si>
    <t>BṢ.7M.R1(t)</t>
  </si>
  <si>
    <t>אם נצ׳אל ע׳ית׳ (ʾNĠ)</t>
  </si>
  <si>
    <t>BṢ.8F</t>
  </si>
  <si>
    <t>BṢ.8F.R1</t>
  </si>
  <si>
    <t>מפיד בטאש (MF)</t>
  </si>
  <si>
    <t>BṢ.9M</t>
  </si>
  <si>
    <t>BṢ.9M.R1</t>
  </si>
  <si>
    <t>מחמוד שאעב (MŠ)</t>
  </si>
  <si>
    <t>BṢ.10M</t>
  </si>
  <si>
    <t>BṢ.10M.R1</t>
  </si>
  <si>
    <t>BṢ.11M</t>
  </si>
  <si>
    <t>BṢ.11M.R1</t>
  </si>
  <si>
    <t>אמינה אלקיס (ʾQ)</t>
  </si>
  <si>
    <t>BṢ.12F</t>
  </si>
  <si>
    <t>BṢ.12F.R1</t>
  </si>
  <si>
    <t>שאדן מלחם</t>
  </si>
  <si>
    <t>ספטמבר 2002</t>
  </si>
  <si>
    <t>BṢ.12F.R1(t)</t>
  </si>
  <si>
    <t>נעמה אבו צ׳ואא (NʾḌ)</t>
  </si>
  <si>
    <t>BṢ.13F</t>
  </si>
  <si>
    <t>BṢ.13F.R1</t>
  </si>
  <si>
    <t>ספטמבר 2003</t>
  </si>
  <si>
    <t>BṢ.13F.R1(t)</t>
  </si>
  <si>
    <t>אבראהים עליאן (ʾʿ)</t>
  </si>
  <si>
    <t>BṢ.14M</t>
  </si>
  <si>
    <t>BṢ.14M.R1</t>
  </si>
  <si>
    <t>BṢ.14M.R2</t>
  </si>
  <si>
    <t>אחמד ברהום (ʾB)</t>
  </si>
  <si>
    <t>BṢ.15M</t>
  </si>
  <si>
    <t>BṢ.15M.R1</t>
  </si>
  <si>
    <t>סהילה ברהום (SB)</t>
  </si>
  <si>
    <t>BṢ.16F</t>
  </si>
  <si>
    <t>BṢ.16F.R1</t>
  </si>
  <si>
    <t>BṢ.16F.R2</t>
  </si>
  <si>
    <t>BṢ.17M</t>
  </si>
  <si>
    <t>BṢ.17M.R1</t>
  </si>
  <si>
    <t>מנאר ח׳טאב (MX)</t>
  </si>
  <si>
    <t>BṢ.18F</t>
  </si>
  <si>
    <t>BṢ.18F.R1</t>
  </si>
  <si>
    <t>מוסא עליאן (Mʿ)</t>
  </si>
  <si>
    <t>BṢ.19M</t>
  </si>
  <si>
    <t>קצת קצרה, מספר על פעם שהלך להרכיב מטבח ועוכב בידי צה״ל</t>
  </si>
  <si>
    <t>č גם במילים שאולות, aCC =&gt; iCC, מפעול מטלק מעניין bahhdalūna tbihdil</t>
  </si>
  <si>
    <t>BṢ.19M.R1</t>
  </si>
  <si>
    <t>פאטמה עליאן (Fʿ)</t>
  </si>
  <si>
    <t>BṢ.20F</t>
  </si>
  <si>
    <t xml:space="preserve">איכות ירודה, מספרת על טנק של הבריטים </t>
  </si>
  <si>
    <t>tikaf, č, ǧ, aCC = iCC, בין שיניות, uxri</t>
  </si>
  <si>
    <t>BṢ.20F.R1</t>
  </si>
  <si>
    <t>עצמת עת׳מאן (ʾʾ)</t>
  </si>
  <si>
    <t>BṢ.21M</t>
  </si>
  <si>
    <t>מספר על גניבה כשהיה צעיר, איכות ירודה, הפרעות</t>
  </si>
  <si>
    <t>כינוי מושא חבור hin, č</t>
  </si>
  <si>
    <t>BṢ.21M.R1</t>
  </si>
  <si>
    <t>עבד צבח (ʿṢ)</t>
  </si>
  <si>
    <t>BṢ.22M</t>
  </si>
  <si>
    <t>סיפור קצר מדי, מעירים לו באמצע שלא מדבר בצ׳. מתקן את עצמו</t>
  </si>
  <si>
    <t>ɑ̄</t>
  </si>
  <si>
    <t>BṢ.22M.R1</t>
  </si>
  <si>
    <t>אם נצ׳אל (ʾN)</t>
  </si>
  <si>
    <t>BṢ.23F</t>
  </si>
  <si>
    <t>קצר מדי, נוסטלגי אבל לא מרגש</t>
  </si>
  <si>
    <t>Ṣārin yiʿayyṭin, ɑ̄</t>
  </si>
  <si>
    <t>BṢ.23F.R1</t>
  </si>
  <si>
    <t>אין סיפור ארוך, משווה בין ימי עבר לימינו</t>
  </si>
  <si>
    <t>amman, ɑ̄, aʿh = aḥḥ, הפסק</t>
  </si>
  <si>
    <t>BṢ.23F.R2</t>
  </si>
  <si>
    <t>מפיד בטוש (MB)</t>
  </si>
  <si>
    <t>BṢ.24M</t>
  </si>
  <si>
    <t>מעלליו בימים האחרונים, לא מעניין</t>
  </si>
  <si>
    <t>BṢ.24M.R1</t>
  </si>
  <si>
    <t>מחמוד צאלח (MṢ)</t>
  </si>
  <si>
    <t>BṢ.25M</t>
  </si>
  <si>
    <t>xarrafu txarraf (01:48)</t>
  </si>
  <si>
    <t>BṢ.25M.R1</t>
  </si>
  <si>
    <t>מחמד עליאן (Mʿ)</t>
  </si>
  <si>
    <t>BṢ.26M</t>
  </si>
  <si>
    <t>מתחיל מחתונה שהיה בה ליל אמש, אבל זורם לנושאים אחרים. בלי הפרעות אבל נקטע באמצע</t>
  </si>
  <si>
    <t>בין שיניים, aCC =&gt; iCC</t>
  </si>
  <si>
    <t>BṢ.26M.R1</t>
  </si>
  <si>
    <t>אם לאפי (ʿL)</t>
  </si>
  <si>
    <t>BṢ.27F</t>
  </si>
  <si>
    <t xml:space="preserve">על עלילותיהם לפני 48׳, לא מגיעה לפאנץ׳ </t>
  </si>
  <si>
    <t>בין שיניים, צורות הפסק,iCC לא מתקיים</t>
  </si>
  <si>
    <t>BṢ.27F.R1</t>
  </si>
  <si>
    <t>Šuʿfāṭ</t>
  </si>
  <si>
    <t>Miryam</t>
  </si>
  <si>
    <t>Šʿf.1F</t>
  </si>
  <si>
    <t>התעתיק עד 02:08</t>
  </si>
  <si>
    <t>Šʿf.1F.R1</t>
  </si>
  <si>
    <t>Šʿf.1F.R1(t)</t>
  </si>
  <si>
    <t>התעתיק מ-00:25 עד 03:09</t>
  </si>
  <si>
    <t>Šʿf.1F.R2</t>
  </si>
  <si>
    <t>Tihāni Abu Ḥdēr</t>
  </si>
  <si>
    <t>Šʿf.1F.R2(t)</t>
  </si>
  <si>
    <t>התעתיק עד 02:38</t>
  </si>
  <si>
    <t>Šʿf.1F.R3</t>
  </si>
  <si>
    <t>Šʿf.1F.R3(t)</t>
  </si>
  <si>
    <t>Šʿf.1F.R4</t>
  </si>
  <si>
    <t xml:space="preserve">Mḥammad Yasīn </t>
  </si>
  <si>
    <t>Šʿf.2M</t>
  </si>
  <si>
    <t>Šʿf.2M.R1</t>
  </si>
  <si>
    <t>Šʿf.2M.R1(t)</t>
  </si>
  <si>
    <t xml:space="preserve">Mḥammad ʿAbīd </t>
  </si>
  <si>
    <t>Šʿf.3M</t>
  </si>
  <si>
    <t>Šʿf.3M.R1</t>
  </si>
  <si>
    <t>Haj Sa`iid</t>
  </si>
  <si>
    <t>Šʿf.4M</t>
  </si>
  <si>
    <t>Šʿf.4M.R1</t>
  </si>
  <si>
    <t>سلوان</t>
  </si>
  <si>
    <t>Silwān</t>
  </si>
  <si>
    <t>Mḥammad ʿisāwi</t>
  </si>
  <si>
    <t>Sl.1M</t>
  </si>
  <si>
    <t>Sl.1M.R1</t>
  </si>
  <si>
    <t>Šarīf abu Ġōš</t>
  </si>
  <si>
    <t>Sl.1M.R1(t)</t>
  </si>
  <si>
    <t>Sl.1M.R2</t>
  </si>
  <si>
    <t>Sl.1M.R2(t)</t>
  </si>
  <si>
    <t xml:space="preserve">Amīna </t>
  </si>
  <si>
    <t>Sl.2F</t>
  </si>
  <si>
    <t>Sl.2F.R1</t>
  </si>
  <si>
    <t>Sl.2F.R1(t)</t>
  </si>
  <si>
    <t>Sl.2F.R2</t>
  </si>
  <si>
    <t>Sl.2F.R3</t>
  </si>
  <si>
    <t>Sl.2F.R3(t)</t>
  </si>
  <si>
    <t>Sl.2F.R4</t>
  </si>
  <si>
    <t>Aḥmad ʿisāwi</t>
  </si>
  <si>
    <t>Sl.3M</t>
  </si>
  <si>
    <t>Sl.3M.R1</t>
  </si>
  <si>
    <t>Sl.3M.R1(t)</t>
  </si>
  <si>
    <t>Ẓarīfa Sarḥān</t>
  </si>
  <si>
    <t>Sl.4F</t>
  </si>
  <si>
    <t>התעתיק עד 01:52</t>
  </si>
  <si>
    <t>Sl.4F.R1</t>
  </si>
  <si>
    <t>Abu Saalim</t>
  </si>
  <si>
    <t>Sl.5M</t>
  </si>
  <si>
    <t>Sl.5M.R1</t>
  </si>
  <si>
    <t>Sl.5M.R1(t)</t>
  </si>
  <si>
    <t>Sl.5M.R2</t>
  </si>
  <si>
    <t>Sl.5M.R2(t)</t>
  </si>
  <si>
    <t>Lutfiye Kraa`iin</t>
  </si>
  <si>
    <t>Sl.6F</t>
  </si>
  <si>
    <t>Sl.6F.R1</t>
  </si>
  <si>
    <t>Muin</t>
  </si>
  <si>
    <t>Sl.7M</t>
  </si>
  <si>
    <t>Sl.7M.R1</t>
  </si>
  <si>
    <t>Sl.7M.R2</t>
  </si>
  <si>
    <t>Sl.8F</t>
  </si>
  <si>
    <t>Sl.8F.R1</t>
  </si>
  <si>
    <t>Sl.9M</t>
  </si>
  <si>
    <t>Sl.9M.R1</t>
  </si>
  <si>
    <t>Xl.1F</t>
  </si>
  <si>
    <t>Xl.1F.R1</t>
  </si>
  <si>
    <t>אמירה בזלמיט</t>
  </si>
  <si>
    <t>Xl.1F.R2</t>
  </si>
  <si>
    <t>פברואר 2025</t>
  </si>
  <si>
    <t>Xl.1F.R2(t)</t>
  </si>
  <si>
    <t>מעתז</t>
  </si>
  <si>
    <t>Xl.2M</t>
  </si>
  <si>
    <t>סיפר על פעם אחת שישן אצל סבתא וגילה חתולה ישנה לרגליו.</t>
  </si>
  <si>
    <t>אמאלה פנימית לא קבועה, subh (בלי פירוק), من يوميها. עד 0153.</t>
  </si>
  <si>
    <t>Xl.2M.R1</t>
  </si>
  <si>
    <t>איתמר שגיא</t>
  </si>
  <si>
    <t>Xl.2M.R1(t)</t>
  </si>
  <si>
    <t>מ-0407-0530</t>
  </si>
  <si>
    <t>Xl.2M.R2</t>
  </si>
  <si>
    <t>Xl.3M</t>
  </si>
  <si>
    <t>כלב ממש מגעיל שהופיע בבית</t>
  </si>
  <si>
    <t>מ-0230 עד 0407</t>
  </si>
  <si>
    <t>kalb min liklāb ilmuʾrifīn</t>
  </si>
  <si>
    <t>Xl.3M.R1</t>
  </si>
  <si>
    <t>Xl.3M.R1(t)</t>
  </si>
  <si>
    <t>סבתא השלמון</t>
  </si>
  <si>
    <t>Xl.4F</t>
  </si>
  <si>
    <t>מספרת שכשהייתה בהריון בעלה נסע לחאג' והיא ילדה. כתבה לו ולמשפחתו שהיו איתו. הסתכלו עליה מוזר בביה"ח כי האב אל היה איתה. כשחזרו מהחג' כולם היו שמחים.</t>
  </si>
  <si>
    <t>ج=ž, ق=ʾ. צורת yitirkūna. אמאלה תוכית ב-kamēn וב-tamēm, בצורות אחרות אין. حجّ=ḥižž, حاجّ=ḥāžž.</t>
  </si>
  <si>
    <t>Xl.4F.R1</t>
  </si>
  <si>
    <t>סונדוס השלמון</t>
  </si>
  <si>
    <t>שרוק</t>
  </si>
  <si>
    <t>Fr.1F</t>
  </si>
  <si>
    <t>מספרת על עוגה שנפלה לה במבחן סיום קורס קונדיטוריה</t>
  </si>
  <si>
    <t>חילופי קוד עברית-אנגלית; baka-yibka, issa, hin 3FPl+humme, wikʿat. הארכה והנמכה של i-. בין-שיניות.</t>
  </si>
  <si>
    <t>Fr.1F.R1</t>
  </si>
  <si>
    <t>תומר ברנשטיין</t>
  </si>
  <si>
    <t>Fr.1F.R1(t)</t>
  </si>
  <si>
    <t>Ikrām Ġaṭṭās</t>
  </si>
  <si>
    <t>BǦl.1FC</t>
  </si>
  <si>
    <t>הסתייגות מביקורים אצל הבת שלה מפני שהם קנו כלב קטן והיא מפחדת מכלבים.</t>
  </si>
  <si>
    <t>BǦl.5MC.R1(t)</t>
  </si>
  <si>
    <t>Christina Khoury</t>
  </si>
  <si>
    <t>BǦl.1FC.R1(t)</t>
  </si>
  <si>
    <t>Muna</t>
  </si>
  <si>
    <t>BǦl.2F</t>
  </si>
  <si>
    <t>מספרת על הבת שלה ששמה ג'סיקה שהפכה לילדה טובה בסוף.</t>
  </si>
  <si>
    <t>01:11-02:22 להגהה</t>
  </si>
  <si>
    <t>BǦl.2F.R1</t>
  </si>
  <si>
    <t>BǦl.2F.R1(t)</t>
  </si>
  <si>
    <t>Sāmir</t>
  </si>
  <si>
    <t>BǦl.1M</t>
  </si>
  <si>
    <t>סיפור ילדות על כניסה לצרות בבית-הספר.</t>
  </si>
  <si>
    <t>בין-שיניות. להג כפרי.</t>
  </si>
  <si>
    <t>בחור צעיר. קטע יפה.</t>
  </si>
  <si>
    <t>BǦl.1M.R1</t>
  </si>
  <si>
    <t xml:space="preserve">Jabra Xalilya </t>
  </si>
  <si>
    <t>BǦl.2M</t>
  </si>
  <si>
    <t>סיפורים מפעם על קניית פרדה ועזים, גניבות ואנשים שהיו ואינם.</t>
  </si>
  <si>
    <t>BǦl.2M.R1</t>
  </si>
  <si>
    <t>BǦl.2M.R1(t)</t>
  </si>
  <si>
    <t>Farīd ʿabid Rabu</t>
  </si>
  <si>
    <t>BǦl.3M</t>
  </si>
  <si>
    <t>הסרט פרנקנשטיין מגיע לבית ג'אלא בשנות החמישים, אבל ההקרנה לא עובדת חלק.</t>
  </si>
  <si>
    <t>קטע יפה.</t>
  </si>
  <si>
    <t>BǦl.3M.R1</t>
  </si>
  <si>
    <t>BǦl.3M.R1(t)</t>
  </si>
  <si>
    <t>Abu ʿali</t>
  </si>
  <si>
    <t>BǦl.4M</t>
  </si>
  <si>
    <t>ריב בבית ג'אלא עקב חוסר צניעות של בחורה, 100 הרוגים.</t>
  </si>
  <si>
    <t>אדם מבוגר</t>
  </si>
  <si>
    <t>BǦl.4M.R1</t>
  </si>
  <si>
    <t>Samʿān Maxlūf</t>
  </si>
  <si>
    <t>BǦl.5MC</t>
  </si>
  <si>
    <t>על איך גנבו חמור לבן וצבעו אותו בשחור כדי להסתיר אותו.</t>
  </si>
  <si>
    <t xml:space="preserve"> aCC -&gt; iCC  - ismar , ibyaḏ̣ ; vocal harmony: bukūl ; פירוק שניים מההתחלה: yiʿrifū-š; fem. endings: izzalame, izzalami; </t>
  </si>
  <si>
    <t xml:space="preserve">  להגהה 00:52 - 01:53</t>
  </si>
  <si>
    <t>BǦl.5M.R1</t>
  </si>
  <si>
    <t>Muʿīn</t>
  </si>
  <si>
    <t>פעם היה פשוט יותר, כולם אהבו אחד את השני והיה שיתוף פעולה - היום הכל השתנה.</t>
  </si>
  <si>
    <t>BǦl.5M.R2</t>
  </si>
  <si>
    <t>נהנים בסרט קאובואים.</t>
  </si>
  <si>
    <t>BǦl.5M.R3</t>
  </si>
  <si>
    <t>Abu ʿaṭaḷḷa</t>
  </si>
  <si>
    <t>BǦl.8M</t>
  </si>
  <si>
    <t>מספר על מסע צייד עם חברים.</t>
  </si>
  <si>
    <t>תרגום</t>
  </si>
  <si>
    <t>BǦl.8M.R1</t>
  </si>
  <si>
    <t>BǦl.8M.R1(t)</t>
  </si>
  <si>
    <t>Jiryus Šahīn</t>
  </si>
  <si>
    <t>BǦl.9MC</t>
  </si>
  <si>
    <t>מספר על מהומה בבית ג'אלא, ובדיחה על נישואים.</t>
  </si>
  <si>
    <t>BǦl.9MC.R1</t>
  </si>
  <si>
    <t>Abu Nikula</t>
  </si>
  <si>
    <t>BǦl.10MC</t>
  </si>
  <si>
    <t>מספר על השכונות השונות בבית ג'אלא והתכונות של תושביהן.</t>
  </si>
  <si>
    <t>BǦl.10MC.R1</t>
  </si>
  <si>
    <t>Unknown</t>
  </si>
  <si>
    <t>BǦl.11M</t>
  </si>
  <si>
    <t>הדובר מספר שעבד במלון המלך דייוויד כשתנועת המרי פוצצה אותו ב-1946, במה עבד מאז, ומספר על השלטונות השונים שששלטו וחלפו במרוצת השנים.</t>
  </si>
  <si>
    <t>BǦl.11MC.R1</t>
  </si>
  <si>
    <t>بيت لحم</t>
  </si>
  <si>
    <t>Bēt Laḥem</t>
  </si>
  <si>
    <t>BL</t>
  </si>
  <si>
    <t>Armenian</t>
  </si>
  <si>
    <t>A ?</t>
  </si>
  <si>
    <t>Wadīʿa Naṣiryān</t>
  </si>
  <si>
    <t>BL.1FA</t>
  </si>
  <si>
    <t>מספרת על הלימודים שלה ועל רכישת מקצוע התפירה.</t>
  </si>
  <si>
    <t>ق=k. ج=ǧ, אין בין שיניות למעט hēd̠ hēd̠, הידמות גרוניים, pausal imala, אין ססב"מ, כינוי חבור לגוף שלישי זכר יחיד גם a וגם u. גם widd וגם bidd. אימאלה אמצעית ʿalēmāt .</t>
  </si>
  <si>
    <t>BL.1FA.R1</t>
  </si>
  <si>
    <t>BL.1FA.R1(t)</t>
  </si>
  <si>
    <t>Christian (Syriac)</t>
  </si>
  <si>
    <t>Nahīl Safar</t>
  </si>
  <si>
    <t>BL.2FS</t>
  </si>
  <si>
    <t>פעם היה פשוט וטוב יותר מהיום. ממשיכה לספר טיפה על חייה.</t>
  </si>
  <si>
    <t>ق=ʾ. ج=ǧ. אין בין-שיניות. הידמות ב-nrūʿ ʿa-duttōr.</t>
  </si>
  <si>
    <t>BL.2FS.R1</t>
  </si>
  <si>
    <t>BL.2FS.R1(t)</t>
  </si>
  <si>
    <t>Aḥmad</t>
  </si>
  <si>
    <t>BL .3MM</t>
  </si>
  <si>
    <t>ق=k. ج=ǧ, אין בין שיניות למעט hēd̠ hēd̠, הידמות גרוניים, pausal imala</t>
  </si>
  <si>
    <t>הדובר מ-الفواغرة בבית לחם.</t>
  </si>
  <si>
    <t>BL .3MM.R1</t>
  </si>
  <si>
    <t>Tasnīm ʿAbadīn</t>
  </si>
  <si>
    <t>BL .3MM.R2</t>
  </si>
  <si>
    <t>Bēt Saḥūr</t>
  </si>
  <si>
    <t xml:space="preserve"> Bēt Ṣaḥūr</t>
  </si>
  <si>
    <t xml:space="preserve"> BSḥ</t>
  </si>
  <si>
    <t>Fuʾād Xalīl Xaḍir</t>
  </si>
  <si>
    <t>BSḥ.1MC</t>
  </si>
  <si>
    <t>א לא היה טוב  במתמטיקה בבית ספר, פעם המורה נתן להם שיעור בית, והוא ביקש מהשכן שלו לפתור לו את השאלות, אך המורה גילה זאת, ורצה להעניש אותו אבל הוא נמלט מהעונש כי הפעמון צילצל והשיעור נגמר.</t>
  </si>
  <si>
    <t>ق=k. שימוש ב-baka. יש בין-שיניות. ğīt. יש מעט אפריקציה. yōxiḏ.</t>
  </si>
  <si>
    <t>BSḥ.1MC.R1</t>
  </si>
  <si>
    <t>BSḥ.1MC.R1(t)</t>
  </si>
  <si>
    <t>Christian (Melkite*)</t>
  </si>
  <si>
    <t>Madlēn Abu Saʿda</t>
  </si>
  <si>
    <t>BSḥ.2FC</t>
  </si>
  <si>
    <t>הייתה עוזרת לבעלה, עבדה כמורה בבית ספר עם נזירות אחר כך הייתה רוקמת במכונת צמר.</t>
  </si>
  <si>
    <t>ج=ž. ق=ʾiṣṣa, akaddimhin. אין אפריקציה של ك. אין בין-שיניות.āxud. קטע עם הרבה תופעות, מפורטות בתעתיק.</t>
  </si>
  <si>
    <t>BSḥ.2FC.R1</t>
  </si>
  <si>
    <t>BSḥ.2FC.R1(t)</t>
  </si>
  <si>
    <t>Marsēl ʿOde</t>
  </si>
  <si>
    <t>BSḥ.3FC</t>
  </si>
  <si>
    <r>
      <rPr>
        <rFont val="David Libre"/>
        <color theme="1"/>
        <sz val="10.0"/>
      </rPr>
      <t xml:space="preserve">על הילדים שלה. על החיים בבית צאחור. בסוף הסיפור מספרת על בעלה שהיה בביה"ח וסיפר לשכנו המוסלמי שיש לו </t>
    </r>
    <r>
      <rPr>
        <rFont val="David Libre"/>
        <i/>
        <color theme="1"/>
        <sz val="10.0"/>
      </rPr>
      <t>tisʿ iwlād w walad</t>
    </r>
    <r>
      <rPr>
        <rFont val="David Libre"/>
        <color theme="1"/>
        <sz val="10.0"/>
      </rPr>
      <t>, שזה תשע בנות ובן.</t>
    </r>
  </si>
  <si>
    <t>בינוני-פעיל רבות בצורת רבים: .ج=ǧ. אין הנמכת ססב"מ. יש בין-שיניות.</t>
  </si>
  <si>
    <t>BSḥ.3FC.R1</t>
  </si>
  <si>
    <t>Mxayīl Lwīs Ḥğāzīn</t>
  </si>
  <si>
    <t>BSḥ.4MC</t>
  </si>
  <si>
    <t>מספר על המשפחה, הילדים הנכדים.</t>
  </si>
  <si>
    <t>יש בין-שיניות.</t>
  </si>
  <si>
    <t>BSḥ.4MC.R1</t>
  </si>
  <si>
    <t>Nabīl Salsaʿ</t>
  </si>
  <si>
    <t>BSḥ.5MC</t>
  </si>
  <si>
    <t>מספר על מקרה בעבודה שלו כחשמלאי בכווית ואיך שהשיך (בן דודו של הנסיך) התפלא מהעבודה שלו.</t>
  </si>
  <si>
    <t>יש בין-שיניות. ق=k.</t>
  </si>
  <si>
    <t>טופל</t>
  </si>
  <si>
    <t>BSḥ.5MC.R1</t>
  </si>
  <si>
    <t>BSḥ.5MC.R1(t)</t>
  </si>
  <si>
    <t>Sāmya Abu Zuluf</t>
  </si>
  <si>
    <t>BSḥ.6FC</t>
  </si>
  <si>
    <t>איך הכירה את בעלה. בעלה הוא אח של הבעל של אחותה, הוא ראה אותה ואמר "איי לאב יו" והיא אמרה לו בחזרה. כשבאו לבקש את ידה כעסו עליה שהיא ״סידרה לעצמה״ חתן.</t>
  </si>
  <si>
    <t>ق=k. ج=ğ. אין בין-שיניות. אין אפריקציה. פ"א עתיד: btōxḏīni, bōxḏak.</t>
  </si>
  <si>
    <t>BSḥ.6FC.R1</t>
  </si>
  <si>
    <t>BSḥ.6FC.R1(t)</t>
  </si>
  <si>
    <t>Katrīn Xūri</t>
  </si>
  <si>
    <t>BSḥ.7FC</t>
  </si>
  <si>
    <t>אבא רצה שתהיה נזירה. הייתה מורה בבית ספר יום ראשון של נוצרים. באינתיפאדה היו מלמדים בבתים.</t>
  </si>
  <si>
    <t>אין בין-שיניות, יוצאי דופן: aṯṯaru, ḥāfaḏ̣it, ḏ̣urūf. פ"א עתיד: nōxidhum. ע"ו: ṣirt. ج=ž.</t>
  </si>
  <si>
    <t>BSḥ.7FC.R1</t>
  </si>
  <si>
    <t>BSḥ.7FC.R1(t)</t>
  </si>
  <si>
    <t>Xaḍir Yūsif Qumsiyye</t>
  </si>
  <si>
    <t>BSḥ.8MC</t>
  </si>
  <si>
    <t>פעם אנשים היו מרוצים כשאכלו סלט שהכינו מחוץ לבית, היו ניזונים מהשמש והאוויר הנקי. היום עם הטכנולוגיה הילדים חוזרים מבית ספר למחשב ולאייפד ויש זיהום והכול משפיע על הבריאות.</t>
  </si>
  <si>
    <t>ق=q~ḳ. ج=ğ. יש בין-שיניות. פ"א עתיד: yōkil.</t>
  </si>
  <si>
    <t>BSḥ.8MC.R1</t>
  </si>
  <si>
    <t>BSḥ.8MC.R1(t)</t>
  </si>
  <si>
    <t>Žihād Naṣri</t>
  </si>
  <si>
    <t>BSḥ.9FC</t>
  </si>
  <si>
    <t>מורה לכלכלת-בית בבית סאחור. חשיבות היחסים הטובים עם התלמידות. גם לאחר פרישתה עדיין בקשר עימן.</t>
  </si>
  <si>
    <t>עכשיו: hallaʾ. ق=q. ج=ž. אין בין-שיניות. מרגיש משלב גבוה יחסית.</t>
  </si>
  <si>
    <t>BSḥ.9FC.R1</t>
  </si>
  <si>
    <t>BSḥ.9FC.R1(t)</t>
  </si>
  <si>
    <t>Abu Muhammad</t>
  </si>
  <si>
    <t>BSḥ.10M</t>
  </si>
  <si>
    <t>חבורה של צעירים עושים בעיות למשפחות בקולנוע. הדובר, שנמצא בתפקיד בבית- הקולנוע, מתייצב לעזרתן ונכנס לקטטה עם המתפרעים. יחד עם חבריו מבית-סחור, הם הולכים לטרה-סנטה בבית לחם ומרביצים לכל מי שבא נגדם.</t>
  </si>
  <si>
    <t>biddču &gt; bičču, יש בין שיניות. השמטה תדירה של h בכינויים החבורים.</t>
  </si>
  <si>
    <t>BSḥ.10M.R1</t>
  </si>
  <si>
    <t>BSḥ.10M.R1(t)</t>
  </si>
  <si>
    <t>הדובר הולך מכות עם מנהל בית הספר ומספר איך הם יישרו את ההדורים.</t>
  </si>
  <si>
    <t>BSḥ.10M.R2</t>
  </si>
  <si>
    <t>טיול עם חברים לצפון</t>
  </si>
  <si>
    <t xml:space="preserve">אמאלה חזקה במילה - sāʿa - sēʿa  - sīʿa. </t>
  </si>
  <si>
    <t>BSḥ.10M.R3</t>
  </si>
  <si>
    <t>אמא של הדובר מבקשת מאבא שלו לכרות לה בור בבית סחור. הבור מלא במים עד היום הזה.</t>
  </si>
  <si>
    <t xml:space="preserve"> ج=ğ.</t>
  </si>
  <si>
    <t>BSḥ.10M.R4</t>
  </si>
  <si>
    <t>BSḥ.10M.R4(t)</t>
  </si>
  <si>
    <t>Sābāt Kamsiyye</t>
  </si>
  <si>
    <t>BSḥ.11F</t>
  </si>
  <si>
    <t>מספרת את סיפור ההיכרותה עם בעלה.</t>
  </si>
  <si>
    <t>ج=ǧ. בין-שיניות</t>
  </si>
  <si>
    <t>BSḥ.11F.R1</t>
  </si>
  <si>
    <t>הצבא מגיע לבצע מעצרים בבניין.</t>
  </si>
  <si>
    <t>BSḥ.11F.R2</t>
  </si>
  <si>
    <t>Fidā</t>
  </si>
  <si>
    <t>BSḥ.12F</t>
  </si>
  <si>
    <t>טיול בית-ספר לואדי קלט</t>
  </si>
  <si>
    <t xml:space="preserve"> בין שיניות aCC-&gt;iCC</t>
  </si>
  <si>
    <t>BSḥ.12F.R1</t>
  </si>
  <si>
    <t>Tāmir Hayyak</t>
  </si>
  <si>
    <t>BSḥ.13M</t>
  </si>
  <si>
    <t>הדובר מספר איך הגיעה מורה חדשה לבית-הספר והכריחה אותו ללמוד.</t>
  </si>
  <si>
    <t>BSḥ.13M.R1</t>
  </si>
  <si>
    <t>ʿali</t>
  </si>
  <si>
    <t>BSḥ.14M</t>
  </si>
  <si>
    <t>BSḥ.14M.R1</t>
  </si>
  <si>
    <t>Salīma Kumsiyye</t>
  </si>
  <si>
    <t>BSḥ.15F</t>
  </si>
  <si>
    <t>מספרת על קשריה הטובים עם יהודים בעבר. מדברת על הריסה של בתים בעקבות פיגוע יידוי אבנים, ומפנה פנייה נרגשת לאריאל שרון.</t>
  </si>
  <si>
    <t>ج=ǧ. בין-שיניות. קטע יפה</t>
  </si>
  <si>
    <t>BSḥ.15F.R1</t>
  </si>
  <si>
    <t>BSḥ.15F.R1(t)</t>
  </si>
  <si>
    <t>القدس</t>
  </si>
  <si>
    <t>Jerusalem</t>
  </si>
  <si>
    <t>Jr</t>
  </si>
  <si>
    <t>Harout Yerevian</t>
  </si>
  <si>
    <t>Jr.1MA</t>
  </si>
  <si>
    <t>אחרי השואה הארמנית אבותיו ברחו לסוריה, משם לירדן ואח"כ לירושלים. היום יש ארמנים בתורכיה ששינו את השם שלהם כדי שלא יזהו אותם.</t>
  </si>
  <si>
    <t>אין בין-שיניות. ق=ʾ. תנועת תחילית עתיד לא צפויה: yaḥku. כינוי חבור "הם" aṣlon וגם hawiyt-un, וגם כינויים חבורים hom ו- hon. פועל חריג yžī-nu. מקרה אחד של ق = k במילה ilmanāṭek. היה פירוק גם שניים מההתחלה וגם שניים מהסוף: biʿirfunā, binkirū</t>
  </si>
  <si>
    <t>Jr.1MA.R1</t>
  </si>
  <si>
    <t>Jr.1MA.R1(t)</t>
  </si>
  <si>
    <t>היו למשפחה שתי חנויות. הוא למד צורפות והיה מכין תכשיטים עם אבני חן.  באינתיפאדה הראשונה היו צריכים לסגור את החנות ואז התחיל לעבוד אצל היהודים. מסביר על מלאכות יד שכבר אינן.</t>
  </si>
  <si>
    <t>ق= לרוב q אבל גם ʾ ב-taʾrīban, waʾtna.  לפעמים יש לו t̠.    כינוי חבור on-</t>
  </si>
  <si>
    <t>Jr.1MA.R2</t>
  </si>
  <si>
    <t>Jr.1MA.R2(t)</t>
  </si>
  <si>
    <t>Salwa ʾUdsiyyi</t>
  </si>
  <si>
    <t>Jr.2FC</t>
  </si>
  <si>
    <t>לדוברת היו דגים והיא הרחיקה את הביצים של הנקבה כדי שלא תאכל אותן.</t>
  </si>
  <si>
    <t>ج=ž. ق= ʿ. גם ʿammo l-ilwalad (תופעת analytic epexegetic genitive?)</t>
  </si>
  <si>
    <t>Jr.2FC.R1</t>
  </si>
  <si>
    <t>Jr.2FC.R1(t)</t>
  </si>
  <si>
    <t>Samīr Ḥiluw</t>
  </si>
  <si>
    <t>Jr.3MC</t>
  </si>
  <si>
    <t>החזרה לארץ משהייה בארה"ב, הקשיים וכו'.</t>
  </si>
  <si>
    <t>לעיתים גולש למשלב גבוה, מכניס בין-שיניות ו-q. ברגיל: ق=ʾ. ج=ž. בלי בין-שיניות.</t>
  </si>
  <si>
    <t>Jr.3MC.R1</t>
  </si>
  <si>
    <t>Jr.3MC.R1(t)</t>
  </si>
  <si>
    <t>George Amar</t>
  </si>
  <si>
    <t>Jr.4MC</t>
  </si>
  <si>
    <r>
      <rPr>
        <rFont val="David Libre"/>
        <color theme="1"/>
        <sz val="10.0"/>
      </rPr>
      <t>חשיבות תפקיד המח'תאר בעדה (</t>
    </r>
    <r>
      <rPr>
        <rFont val="David Libre"/>
        <i/>
        <color theme="1"/>
        <sz val="10.0"/>
      </rPr>
      <t>hammīt ilmixtara l-iṭṭāyfe</t>
    </r>
    <r>
      <rPr>
        <rFont val="David Libre"/>
        <color theme="1"/>
        <sz val="10.0"/>
      </rPr>
      <t>)</t>
    </r>
  </si>
  <si>
    <t>סיומת נקבה i-. ق=ʾ. ج=ž. אין בין-שיניות--&gt;שורקים: kaza.</t>
  </si>
  <si>
    <t>Jr.4MC.R1</t>
  </si>
  <si>
    <t>מספר שבשבת האור יש הרבה קושי ולחץ. המון עולי רגל מכל העולם. המשטרה מקשה.</t>
  </si>
  <si>
    <t>Jr.4MC.R2</t>
  </si>
  <si>
    <t>Nabīl Bajali</t>
  </si>
  <si>
    <t>Jr.5MC</t>
  </si>
  <si>
    <t>סיפור קשה. אחיו נהרג בשער מנדלבוים לאחר שהוכה על ידי חיילים ישראלים. מדבר על חוסר ההוגנות ששוללים תושבות לפלסטינים שגרים מחוץ לירושלים.</t>
  </si>
  <si>
    <t>שימוש ב-fēn. ق=q. ج=ž. יש הנמכת ססב"מ.</t>
  </si>
  <si>
    <t>Jr.5MC.R1</t>
  </si>
  <si>
    <t>Jr.5MC.R1(t)</t>
  </si>
  <si>
    <t>Nādya Arʿa</t>
  </si>
  <si>
    <t>Jr.6FC</t>
  </si>
  <si>
    <t>מספרת על בית מחסה לנשים, שבהמשך גם קיבל ילדים נטושים/יתומים, זקנים וכו'. המלכה נתנה להם אדמה באלעזריה.</t>
  </si>
  <si>
    <t xml:space="preserve">ج=ž. ق=ʾ. </t>
  </si>
  <si>
    <t>Jr.6FC.R1</t>
  </si>
  <si>
    <t>Sāmi Barṣōm</t>
  </si>
  <si>
    <t>Jr.7MC</t>
  </si>
  <si>
    <t>היה חייט בעיר העתיקה לאחר 1948. תיירת עיראקית סיפרה לו שבעיראק הפרנסה טובה והוא עבר לשם כדי להיות חייט. עבד ם שנתיים כשכיר ועוד שנתיים-שלוש כבעל עסק פרטי. לאחר מכן חזר לירושלים, לאחר המהפכה בעיראק.</t>
  </si>
  <si>
    <t>ج=ž וגם ǧ. ق=ʾ. אין בין שיניות. יש הנמכה בססב"מ. נזל בכינוי חבור bēn-hon. פירוק CCvC: yuʾtulu.</t>
  </si>
  <si>
    <t>hum/hom</t>
  </si>
  <si>
    <t>Jr.7MC.R1</t>
  </si>
  <si>
    <t>Jr.7MC.R1(t)</t>
  </si>
  <si>
    <t xml:space="preserve">Hana </t>
  </si>
  <si>
    <t>Arḥ.1F</t>
  </si>
  <si>
    <t>מציגה עצמה, מספרת בקטנה על משפחתה ועל האופן בו מתחתנים</t>
  </si>
  <si>
    <t>צורות הפסק - sīde, tāne. נשמע להג עירוני: הרמוניה ווקלית, ž, hallaʾ, q=ʾ, בלי בין שיניות</t>
  </si>
  <si>
    <t>Arḥ.1F.R1</t>
  </si>
  <si>
    <t>סימה</t>
  </si>
  <si>
    <t>Arḥ.2F</t>
  </si>
  <si>
    <t>בדיחה שמשווה בין שוטר לחמור</t>
  </si>
  <si>
    <t>ǧ, אין בין שיניות, q=ʾ, סיומת נקבה e</t>
  </si>
  <si>
    <t>Arḥ.2F.R1</t>
  </si>
  <si>
    <t>Ǧw.1M</t>
  </si>
  <si>
    <t>בדיחה על מנגנוני המודיעין של אמריקה, רוסיה וארה״ב כפתח לביקורת על המשטרה.</t>
  </si>
  <si>
    <t xml:space="preserve">  בין שיניות, q=g, k, ǧ, סיומת נקבה a, דיפתונג ay הופך ל-ī. ב-31:10 בערך - דוגמה לצורה kumɑ̄n (kamān). ב-06:36-07:50 על חבר שלא היה מוכן להחזיר לו טובה.</t>
  </si>
  <si>
    <t xml:space="preserve"> לטקסט: 18:39 - 20:35</t>
  </si>
  <si>
    <t>תסנים + אורי</t>
  </si>
  <si>
    <t>Ǧw.1M.R1</t>
  </si>
  <si>
    <t>אבינועם</t>
  </si>
  <si>
    <t>Ǧw.1M.R1 (t)</t>
  </si>
  <si>
    <t>irRamle</t>
  </si>
  <si>
    <t>Nihād Ḍabīṭ</t>
  </si>
  <si>
    <t>Rml.1M</t>
  </si>
  <si>
    <t>על ימיו בכלא וכיצד זה השפיע על האומנות שלו</t>
  </si>
  <si>
    <t>מילית שייכות šēt, q=ʾ, k, ž.</t>
  </si>
  <si>
    <t>Rml.1MC.R1</t>
  </si>
  <si>
    <t>הדס וגל</t>
  </si>
  <si>
    <t>Rml.1MC.R1(t)</t>
  </si>
  <si>
    <t>Samīra Sūsu</t>
  </si>
  <si>
    <t>Rml.2F</t>
  </si>
  <si>
    <t>הכנות חתן לחתונה, חתונה, ירח דבש והמנהגים.</t>
  </si>
  <si>
    <t>לטקסט: 05:45 - 08:09. q=ʾ, k=k, סיומת נקבה e, שימוש בפועל baʾa, פריפיקס מדברים mn, אין בין שיניות, Ḥafilto, Ḥaflet ilbinet, biḥammimū la-lʿarīs</t>
  </si>
  <si>
    <r>
      <rPr>
        <rFont val="David Libre"/>
        <sz val="10.0"/>
      </rPr>
      <t xml:space="preserve">רקע על הדוברת נמצא </t>
    </r>
    <r>
      <rPr>
        <rFont val="David Libre"/>
        <color rgb="FF1155CC"/>
        <sz val="10.0"/>
        <u/>
      </rPr>
      <t>כאן</t>
    </r>
  </si>
  <si>
    <t>Rml.2F.R1</t>
  </si>
  <si>
    <t>חן</t>
  </si>
  <si>
    <t>Rml.2F.R1(t)</t>
  </si>
  <si>
    <t xml:space="preserve">קטעים נוספים של אותה ההקלטה </t>
  </si>
  <si>
    <t>Rml.2F.R2(t)</t>
  </si>
  <si>
    <t>Rml.3M</t>
  </si>
  <si>
    <t>בדיחה על חתן וכלה מבוגרים</t>
  </si>
  <si>
    <t>bisālha (שואל אותה), שלילה עם š בלבד</t>
  </si>
  <si>
    <t>Rml.3M.R1</t>
  </si>
  <si>
    <t>Werner Arnold</t>
  </si>
  <si>
    <t>בדיחה על גן חיות</t>
  </si>
  <si>
    <t xml:space="preserve">siʿdān - קוף, yōkel אבל yukulha </t>
  </si>
  <si>
    <t>Rml.3M.R2</t>
  </si>
  <si>
    <t>Imm Yaaqub</t>
  </si>
  <si>
    <t>Rml.5FC</t>
  </si>
  <si>
    <t>פגישתה הראשונה המקרית עם בעלה ולידת בניה.</t>
  </si>
  <si>
    <t>ج=ž. ق=ʾ. הסמכת ססב"מ. אמאלה תוכית (??): ṣabiyēn.</t>
  </si>
  <si>
    <t>Rml.5FC.R1</t>
  </si>
  <si>
    <t>George Batshoun</t>
  </si>
  <si>
    <t>Rml.5FC.R1(t)</t>
  </si>
  <si>
    <t>Rml.6FC</t>
  </si>
  <si>
    <t>לחתונות מכינים מאכלים לבנוניים, צפיחה, תבולה, קובה. עושים מסיבה יומיים לפני המסיבה של החתן באולם.</t>
  </si>
  <si>
    <t>ج=ž. ق=ʾ. קיצור דיפתונג: lamūn. *הקלטה באיכות לא טובה*</t>
  </si>
  <si>
    <t>Rml.6FC.R1</t>
  </si>
  <si>
    <t>Chen Cohen</t>
  </si>
  <si>
    <t>Rml.6FC.R1(t)</t>
  </si>
  <si>
    <t>Amal</t>
  </si>
  <si>
    <t>Rml.7FC</t>
  </si>
  <si>
    <t>מספרת איך הכירה את בעלה בערב בינגו. הוא ביקש את המספר מחברה שלה והם התחילו לצאת.</t>
  </si>
  <si>
    <t xml:space="preserve">ج=ž. ق=ʾ. צורה סגנונית: “kīf ḥālek miš kīf ḥālek, ā hādi bintek miŝ hādi bintek. </t>
  </si>
  <si>
    <t>Rml.7FC.R1</t>
  </si>
  <si>
    <t>George Baṭshoun</t>
  </si>
  <si>
    <t>Rml.7FC.R1(t)</t>
  </si>
  <si>
    <t>Randa Abu Manne</t>
  </si>
  <si>
    <t>Rmḷ.1F</t>
  </si>
  <si>
    <t>על איך היו משחקים בילדות ואיך הגיבו כשראו את אביהם חוזר הביתה</t>
  </si>
  <si>
    <t>Rmḷ.1F.R1</t>
  </si>
  <si>
    <t>ויולט</t>
  </si>
  <si>
    <t>Rml.1F.R1(t)</t>
  </si>
  <si>
    <t>Rmḷ.1F.R2</t>
  </si>
  <si>
    <t>על איסוף זיתים</t>
  </si>
  <si>
    <t>גם כאן שילובים מעניינים, ללא בין שיניים, הפחתת דיפתונג ב״זיתים״</t>
  </si>
  <si>
    <t>Rmḷ.1F.R3</t>
  </si>
  <si>
    <t>iṬṭūr</t>
  </si>
  <si>
    <t>Abu Aḥmad</t>
  </si>
  <si>
    <t>Ṭṭr.1M</t>
  </si>
  <si>
    <t>Ṭṭr.1M.R1</t>
  </si>
  <si>
    <t>Rula + Zvi</t>
  </si>
  <si>
    <t>Ṭṭr.1M.R1(t)</t>
  </si>
  <si>
    <t>Ṭṭr.1M.R2</t>
  </si>
  <si>
    <t>Ṭṭr.1M.R2(t)</t>
  </si>
  <si>
    <t>Naǧwa imm Ḥasan</t>
  </si>
  <si>
    <t>Ṭṭr.2F</t>
  </si>
  <si>
    <t>Ṭṭr.2F.R1</t>
  </si>
  <si>
    <t>Ṭṭr.2F.R1(t)</t>
  </si>
  <si>
    <t>Ṭṭr.2F.R2</t>
  </si>
  <si>
    <t>Imm Ahmad</t>
  </si>
  <si>
    <t>Ṭṭr.3F</t>
  </si>
  <si>
    <t>Imm Xadir</t>
  </si>
  <si>
    <t>Ṭṭr.4F</t>
  </si>
  <si>
    <t>Ṭṭr.4F.R1</t>
  </si>
  <si>
    <t xml:space="preserve">Fāṭma </t>
  </si>
  <si>
    <t>Ṭṭr.5F</t>
  </si>
  <si>
    <t>Urayb</t>
  </si>
  <si>
    <t>Ṭṭr.6M</t>
  </si>
  <si>
    <t>Ṭṭr.6M.R1</t>
  </si>
  <si>
    <t>Ṭṭr.6M.R2</t>
  </si>
  <si>
    <t>Ṭṭr.6M.R3</t>
  </si>
  <si>
    <t>Xālid</t>
  </si>
  <si>
    <t>ʿnt.1M</t>
  </si>
  <si>
    <t>התעתיק מ-01:22 עד 02:08</t>
  </si>
  <si>
    <t>כינויים חבורים עם t (ʿalēta, fīta)</t>
  </si>
  <si>
    <t>הקלטה ותעתיק לא תואמים</t>
  </si>
  <si>
    <t>ʿnt.1M.R1</t>
  </si>
  <si>
    <t>ʿnt.1M.R1(t)</t>
  </si>
  <si>
    <t>ʿnt.1M.R2</t>
  </si>
  <si>
    <t>ʿāyda</t>
  </si>
  <si>
    <t>ʿnt.2F</t>
  </si>
  <si>
    <t>מתכון מקלובה ומפתול</t>
  </si>
  <si>
    <t>ʿnt.2F.R1</t>
  </si>
  <si>
    <t>Tihāni</t>
  </si>
  <si>
    <t>ʿnt.2F.R1(t)</t>
  </si>
  <si>
    <t>ʿnt.2F.R2</t>
  </si>
  <si>
    <t>ʿnt.2F.R3</t>
  </si>
  <si>
    <t>ʿnt.2F.R4</t>
  </si>
  <si>
    <t>ʿnt.2F.R5</t>
  </si>
  <si>
    <t>ʿnt.2F.R6</t>
  </si>
  <si>
    <t>Haaja Nādya</t>
  </si>
  <si>
    <t>ʿnt.3F</t>
  </si>
  <si>
    <t>ʿnt.3F.R1</t>
  </si>
  <si>
    <t>ʿnt.3F.R1(t)</t>
  </si>
  <si>
    <t>ʿnt.4F</t>
  </si>
  <si>
    <t>ʿnt.4F.R1</t>
  </si>
  <si>
    <t>ʿnt.4F.R2</t>
  </si>
  <si>
    <t>ʿnt.4F.R3</t>
  </si>
  <si>
    <t>ʿnt.4F.R4</t>
  </si>
  <si>
    <t>ʿnt.4F.R5</t>
  </si>
  <si>
    <t>Basma</t>
  </si>
  <si>
    <t>ʿnt.5F</t>
  </si>
  <si>
    <t>ʿnt.5F.R1</t>
  </si>
  <si>
    <t>ʿnt.5F.R2</t>
  </si>
  <si>
    <t>ʿnt.5F.R3</t>
  </si>
  <si>
    <t>ʿnt.6M</t>
  </si>
  <si>
    <t>ʿnt.6M.R1</t>
  </si>
  <si>
    <t>ʿnt.7F</t>
  </si>
  <si>
    <t>ʿnt.7F.R1</t>
  </si>
  <si>
    <t>ʿnt.7F.R1(t)</t>
  </si>
  <si>
    <t>اللد</t>
  </si>
  <si>
    <t>ilLidd</t>
  </si>
  <si>
    <t>Ld</t>
  </si>
  <si>
    <t>Regina Habash</t>
  </si>
  <si>
    <t>Ld.1FC</t>
  </si>
  <si>
    <t>אבא שלה מת כשהייתה בת 14, ואז נאלצה לפרוש מבית ספר ולעבוד כל חייה. היא מפרטת את העבודות השונות, עבדה כחייטת, עבדה בבית אריזה והייתה לה חנות…</t>
  </si>
  <si>
    <t>kinna. ḍallētni. התחלתי=badēt. סיומות ā* קדמיות יחסית. ج=ž. ق=ʾ. אין בין-שיניות.</t>
  </si>
  <si>
    <t>Ld.1FC.R1</t>
  </si>
  <si>
    <t>Ld.1FC.R1(t)</t>
  </si>
  <si>
    <t>Lutfi</t>
  </si>
  <si>
    <t>Ld.2MC</t>
  </si>
  <si>
    <t>הסבר על הזרמים הנוצריים בארץ. לא היה להם מקום קבע וכל אחד מהעדה האורתודוכסית תרם אלף דולר ובנו מרכז לקהילה שקיים הרבה פעילויות לקהילה מכל ישראל.</t>
  </si>
  <si>
    <t>סיומת נקבה e-.ج=ž. אין בין-שיניות. ق=q.</t>
  </si>
  <si>
    <t>Ld.2MC.R1</t>
  </si>
  <si>
    <t>بيت أولا</t>
  </si>
  <si>
    <t>Amm Yāsir</t>
  </si>
  <si>
    <t>BŪ.1F</t>
  </si>
  <si>
    <t>כבוד למורים אז והיום.</t>
  </si>
  <si>
    <t>מעתק aCC=&gt;iCC, פירוק צרור מעניין yigasidru, היפוך עיצורים baga=&gt;yigba</t>
  </si>
  <si>
    <t>לטקסט 1032-1200</t>
  </si>
  <si>
    <t>BŪ.1F.R1</t>
  </si>
  <si>
    <t>Halā, Asmā</t>
  </si>
  <si>
    <t>נחש שמצאה בכיתה ו שאבא שלה הרג וזרק בבאר</t>
  </si>
  <si>
    <t>fogīha, naḥīti, שימוש ב-baga, rāḥin, ḥayāy. אין פירוק צרור בגוף מדבר עבר (mayyalt). מפעול מטלק</t>
  </si>
  <si>
    <t>BŪ.1F.R2</t>
  </si>
  <si>
    <t>BŪ.1F.R2(t)</t>
  </si>
  <si>
    <t>بيت أمر</t>
  </si>
  <si>
    <t>Samīr ʿalaqam</t>
  </si>
  <si>
    <t>BU.1M</t>
  </si>
  <si>
    <t xml:space="preserve"> בקטע הראשון מספר על ראש מועצת הכפר, בקטע השני על עצמו ואחיו.</t>
  </si>
  <si>
    <t>בין שיניות, מעתק aCC iCC, כינוי חבור a, סיומת נקבה e.</t>
  </si>
  <si>
    <t>אופציות נוספות לטקסט: 2230-2430, 1920-2027.</t>
  </si>
  <si>
    <t>BU.1M.R1</t>
  </si>
  <si>
    <t>Adi + Omri</t>
  </si>
  <si>
    <t>להגהה: 29:50-31:20. אותה ההקלטה הקודמת, קטע אחר לחילוץ</t>
  </si>
  <si>
    <t>BU.1M.R2</t>
  </si>
  <si>
    <t>BU.1M.R2(t)</t>
  </si>
  <si>
    <t>Yṭ.1M</t>
  </si>
  <si>
    <t>fogīna taḥtīna, סיומת נקבה גבוהה</t>
  </si>
  <si>
    <t>g</t>
  </si>
  <si>
    <t>alḥīn</t>
  </si>
  <si>
    <t>Yṭ.1M.R1</t>
  </si>
  <si>
    <t>Moti+Yaara</t>
  </si>
  <si>
    <t>Yṭ.1M.R1(t)</t>
  </si>
  <si>
    <t>בין שיניות, baga, סיומת נקבה i, בערך ב-02:40 lissaʿān פעמיים. wildet ב-03:10 בערך. דיפתונג ay הופך ī. אין שימור של שתי תנועות ארוכות garagīš למשל. לקראת הסוף - māna במקום ana mišš</t>
  </si>
  <si>
    <t>Yṭ.1M.R2</t>
  </si>
  <si>
    <t>סרט קצר בו שואלים תושבי הכפר ממשפחת נואג׳עה על משמעות הבית.</t>
  </si>
  <si>
    <t>*q=g, *k=k, baga&gt;yigba, 2F S suff. -ki (non conditional), interdentals, two long vowels (sāknīn), šamis (no clusters), *ǧ-ž~ǧ, here: hān/hāna, there: hanāk, fem. ending -e~-i, pausal h (fīh), ǧidīd, kiṯīr,</t>
  </si>
  <si>
    <t>Ss.R1</t>
  </si>
  <si>
    <t>دريجات</t>
  </si>
  <si>
    <t>Drēǧāt</t>
  </si>
  <si>
    <t>Dr</t>
  </si>
  <si>
    <t>Bedouin (Negev)</t>
  </si>
  <si>
    <t>Amm Ǧāber</t>
  </si>
  <si>
    <t>Dr.1FB</t>
  </si>
  <si>
    <t>בהקלטה אם ובנה. האם טוענת שהחיים היום טובים יותר מפעם, הבן מספר על אביו שהיה ״צדיק״. לציין כי אינם בדוים</t>
  </si>
  <si>
    <t>fem. ending -i, *ǧ=ǧ, *q=g, interdentals, , baga</t>
  </si>
  <si>
    <t>תעתיק עד 03:01</t>
  </si>
  <si>
    <t>Dr.1FB.R1</t>
  </si>
  <si>
    <t>Dr.1FB.R1(t)</t>
  </si>
  <si>
    <t>Ǧāber</t>
  </si>
  <si>
    <t>Dr.1MB</t>
  </si>
  <si>
    <t>Dr.2MB.R1</t>
  </si>
  <si>
    <t>fem. ending -i, *ǧ=ǧ, baga</t>
  </si>
  <si>
    <t>Dr.2MB.R2</t>
  </si>
  <si>
    <t>הבדלים בין הלהג שלהם ללהגים הבדוים. גם האמא מדברת</t>
  </si>
  <si>
    <t>Dr.2MB.R3</t>
  </si>
  <si>
    <t xml:space="preserve">fem. ending -i, *ǧ=ǧ, baga, fem. pos. suf. CC-ki, </t>
  </si>
  <si>
    <t>Dr.2MB.R4</t>
  </si>
  <si>
    <t>عرب الجهالين</t>
  </si>
  <si>
    <t>ʿArab alǦahālīn</t>
  </si>
  <si>
    <t>AǦh</t>
  </si>
  <si>
    <t>Ibrāhīm</t>
  </si>
  <si>
    <t>AǦh.1MB</t>
  </si>
  <si>
    <t>פה - hān.</t>
  </si>
  <si>
    <t>AǦh.1MB.R1</t>
  </si>
  <si>
    <t>25.2.2009</t>
  </si>
  <si>
    <t>AǦh.1MB.R1(t)</t>
  </si>
  <si>
    <t>מוספית שלילה š-</t>
  </si>
  <si>
    <t>AǦh.1MB.R2</t>
  </si>
  <si>
    <t>AǦh.1MB.R3</t>
  </si>
  <si>
    <t>Muḥammad</t>
  </si>
  <si>
    <t>AǦh.2MB</t>
  </si>
  <si>
    <t>הרגלי עישון, לא לפני האם.</t>
  </si>
  <si>
    <t>AǦh.2MB.R1</t>
  </si>
  <si>
    <t>AǦh.3MB</t>
  </si>
  <si>
    <t>הדובר (אולי דוברת) נשמע מאוד צעיר, ומספר שהוא שמח ושהוא הכי אוהב את אחיו הגדול.</t>
  </si>
  <si>
    <t>מילת שיוך ḥagg. משקל fiʿil/fʿil בצורה friḥt.</t>
  </si>
  <si>
    <t>AǦh.3MB.R1</t>
  </si>
  <si>
    <t>קטע מאוד חמוד שבו הדובר אומר שכשהוא רוצה לאכול משהו הוא מכין, בניגוד לפלאחים שעובדים את האדמה ומתעייפים.</t>
  </si>
  <si>
    <t>פ"א עתיד: bāxad, nākul. אין בין-שיניות ב-ذ.</t>
  </si>
  <si>
    <t>AǦh.3MB.R2</t>
  </si>
  <si>
    <t>AǦh.3MB.R3</t>
  </si>
  <si>
    <t>AǦh.4MB</t>
  </si>
  <si>
    <t xml:space="preserve">סיומת 3MPL perf. </t>
  </si>
  <si>
    <t>AǦh.4MB.R1</t>
  </si>
  <si>
    <t>AǦh.5MB</t>
  </si>
  <si>
    <t>AǦh.5MB.R1</t>
  </si>
  <si>
    <t>AǦh.6MB</t>
  </si>
  <si>
    <t>AǦh.6MB.R1</t>
  </si>
  <si>
    <t>Abu Māzin ʿAšūr</t>
  </si>
  <si>
    <t>Ġz.1M</t>
  </si>
  <si>
    <t>טיפים לענבים טובים</t>
  </si>
  <si>
    <t>הידמות והתפשטות קוליות (zagēto = سقيته) ʿunubֿ, ǧ, q=g, alḥīn</t>
  </si>
  <si>
    <t>Ġz.1M.R1</t>
  </si>
  <si>
    <t>Umm Hāni</t>
  </si>
  <si>
    <t>Ġz.2F</t>
  </si>
  <si>
    <t>מעידה על עצמה שהיא ממשפחה שאינה מעזה במקור. על החתונה של הבן שלה ועל לידת בנו ח׳מיס שקרוי על שם בעלה המנוח</t>
  </si>
  <si>
    <t>(walad ismu xamīs). סיומת נקבה e, q=g, halgēte, אין בין שיניות, הבחנה בין רבים לרבות, נטיית פו״י agaf, פועל עזר baga, baktib, ž, ʿh=ḥḥ, wildat, גוף מדברים mn, פירוקי צרור שניים מהסוף. ḏ̣ayyig&gt;ḏ̣iyyig.</t>
  </si>
  <si>
    <t>טקסט 15:20-18:07</t>
  </si>
  <si>
    <t>Ġz.2F.R1</t>
  </si>
  <si>
    <t>Muʿtaṣim ʿaṭšān</t>
  </si>
  <si>
    <t>Ġz.2F.R1(t)</t>
  </si>
  <si>
    <t>על תפילה שלה באלאקצא</t>
  </si>
  <si>
    <t>טקסט 22:40-27:30</t>
  </si>
  <si>
    <t>Ġz.2F.R2</t>
  </si>
  <si>
    <t>Ġz.2F.R2(t)</t>
  </si>
  <si>
    <t>Muḥammad ilḤarazīn</t>
  </si>
  <si>
    <t>Ġz.3M</t>
  </si>
  <si>
    <t>על חקלאות בעל</t>
  </si>
  <si>
    <t>דובר מהשכונה שג׳אעיה בעיר עזה</t>
  </si>
  <si>
    <t>Ġz.3M.R1</t>
  </si>
  <si>
    <t>Aharon Barnea</t>
  </si>
  <si>
    <t>Ġz.3M.R1(t)</t>
  </si>
  <si>
    <t>Hāšim ilʿašši</t>
  </si>
  <si>
    <t>Ġz.4M</t>
  </si>
  <si>
    <t>אפייה בתנור השכונתי</t>
  </si>
  <si>
    <t>baka~biki / yikbi~yikba</t>
  </si>
  <si>
    <t>דובר מהשכונה רמאל בעיר עזה</t>
  </si>
  <si>
    <t>Ġz.4M.R1</t>
  </si>
  <si>
    <t>Ġz.4M.R1(t)</t>
  </si>
  <si>
    <t>ליל כלולות</t>
  </si>
  <si>
    <t>wagtēš</t>
  </si>
  <si>
    <t>Ġz.4M.R2</t>
  </si>
  <si>
    <t>Ġz.4M.R2(t)</t>
  </si>
  <si>
    <t>Ismāʿīl Mḥammad Gannūʿ</t>
  </si>
  <si>
    <t>Ġz.5M</t>
  </si>
  <si>
    <t>הליך האירוסין</t>
  </si>
  <si>
    <t>conditioned</t>
  </si>
  <si>
    <t>Ġz.5M.R1</t>
  </si>
  <si>
    <t>Ġz.5M.R1(t)</t>
  </si>
  <si>
    <t>נקמת דם</t>
  </si>
  <si>
    <t>hina</t>
  </si>
  <si>
    <t>Ġz.5M.R2</t>
  </si>
  <si>
    <t>Ġz.5M.R2(t)</t>
  </si>
  <si>
    <t>מישהו לא הבין איך רדיו עובד, חשב שיש איש קטן בפנים שמדבר</t>
  </si>
  <si>
    <t>Ġz.5M.R3</t>
  </si>
  <si>
    <t>Ġz.5M.R3(t)</t>
  </si>
  <si>
    <t>Ḥilmi isSwērki</t>
  </si>
  <si>
    <t>Ġz.6M</t>
  </si>
  <si>
    <t>יחסי כוחות בין בעל לאישה</t>
  </si>
  <si>
    <t>Ġz.6M.R1</t>
  </si>
  <si>
    <t>Ġz.6M.R1(t)</t>
  </si>
  <si>
    <t>ניסה להירשם ללימודים אבל אביו לא הסכים להעיד כדי שיוציא תעודת לידה</t>
  </si>
  <si>
    <t>Ġz.6M.R2</t>
  </si>
  <si>
    <t>Ġz.6M.R2(t)</t>
  </si>
  <si>
    <t>ʿabd ilXālig Ibrahīm Muṣliḥ</t>
  </si>
  <si>
    <t>Ġz.7M</t>
  </si>
  <si>
    <t>על צועני שדקר איש ביטחון מצרי וניגש אליו כדי לבקש חסות</t>
  </si>
  <si>
    <t>דובר מהשכונה זיתון בעיר עזה</t>
  </si>
  <si>
    <t>Ġz.7M.R1</t>
  </si>
  <si>
    <t>Ġz.7M.R1(t)</t>
  </si>
  <si>
    <t xml:space="preserve"> Ṯābit Salāma Ḥasan</t>
  </si>
  <si>
    <t>Ġz.8M</t>
  </si>
  <si>
    <t>כיצד מתנהל סבב הכנסת אורחים בין חברים וקרובי דם</t>
  </si>
  <si>
    <t>דובר מהשכונה דרג׳ בעיר עזה</t>
  </si>
  <si>
    <t>Ġz.8M.R1</t>
  </si>
  <si>
    <t>Ġz.8M.R1(t)</t>
  </si>
  <si>
    <t>Abu Muṣṭafa</t>
  </si>
  <si>
    <t>Wl.1M</t>
  </si>
  <si>
    <t>*k=č, *q=k, ǧ, interdentals, baka-yikbaw, CCC=&gt; CiCC, 3MPl suff.≠3FPl suff.</t>
  </si>
  <si>
    <t>התעתיק רק עד 02:15, להמשיך עד הסוף</t>
  </si>
  <si>
    <t>Wl.1M.R1</t>
  </si>
  <si>
    <t>Wl.1M.R1(t)</t>
  </si>
  <si>
    <t>Wl.1M.R2</t>
  </si>
  <si>
    <t>Wl.1M.R3</t>
  </si>
  <si>
    <t>Wl.1M.R4</t>
  </si>
  <si>
    <t>Imm Muṣṭafa</t>
  </si>
  <si>
    <t>Wl.2F</t>
  </si>
  <si>
    <t>*k=č, *q=k, ǧ, interdentals, ā =&gt;ɑ̄/ō, baka, aCC=&gt;iCC, pausal (-a=&gt;-e#), maṭrabɑ̄n</t>
  </si>
  <si>
    <t>Wl.2F.R1</t>
  </si>
  <si>
    <t>Wl.2F.R1(t)</t>
  </si>
  <si>
    <t>Wl.2F.R2</t>
  </si>
  <si>
    <t>كسيفة</t>
  </si>
  <si>
    <t>Ksēfe</t>
  </si>
  <si>
    <t>Ksf</t>
  </si>
  <si>
    <t>ṯgīl</t>
  </si>
  <si>
    <t>(Grandfather)</t>
  </si>
  <si>
    <t>Ksf.1MB</t>
  </si>
  <si>
    <t>סיפור היסטורי של הגעתם לאזור מבלגא (البلقاء)</t>
  </si>
  <si>
    <t>Ksf.1MB.R1</t>
  </si>
  <si>
    <t>Ido Kfir</t>
  </si>
  <si>
    <t>Ksf.1MB.R1(t)</t>
  </si>
  <si>
    <t>Slīmān</t>
  </si>
  <si>
    <t>Ksf.2MB</t>
  </si>
  <si>
    <t>Ksf.2MB.R1</t>
  </si>
  <si>
    <t>Ksf.2MB.R2</t>
  </si>
  <si>
    <t>הסברים מאוד ארוכים על אורח החיים הבדואי, המשפט הבדואי</t>
  </si>
  <si>
    <t>Ksf.2MB.R3</t>
  </si>
  <si>
    <t>Ksf.3MB</t>
  </si>
  <si>
    <t>התעתיק החל מ-00:39</t>
  </si>
  <si>
    <t>Ksf.3MB.R1</t>
  </si>
  <si>
    <t>رهط</t>
  </si>
  <si>
    <t>Rahaṭ</t>
  </si>
  <si>
    <t>Rh</t>
  </si>
  <si>
    <t>Rh.1MB</t>
  </si>
  <si>
    <t>הדובר משבט תראבין</t>
  </si>
  <si>
    <t>משתמש בכל הצורות ל"עכשיו".</t>
  </si>
  <si>
    <t>Rh.1MB.R1</t>
  </si>
  <si>
    <t>Rei Even Chen</t>
  </si>
  <si>
    <t>Salīm alGarinawi</t>
  </si>
  <si>
    <t>Rh.2MB</t>
  </si>
  <si>
    <t>אין נרטיב אחד סולידי אבל הרבה רגעים קטנים טובים. יש רגע אחד יפה במיוחד שבן הדובר מתקשר לאיו מעזה ושואל לשלומו.</t>
  </si>
  <si>
    <t>Rh.2MB.R1</t>
  </si>
  <si>
    <t>عرب الرشايدة</t>
  </si>
  <si>
    <t>ʿArab arRašāyde</t>
  </si>
  <si>
    <t>ARš</t>
  </si>
  <si>
    <t>Muḥammad Rašāyde</t>
  </si>
  <si>
    <t>Arš.1MB</t>
  </si>
  <si>
    <t>Arš.1MB.R1</t>
  </si>
  <si>
    <t>Noga Gadish</t>
  </si>
  <si>
    <t>התעתיק בין 7:16-12:14</t>
  </si>
  <si>
    <t>Arš.1MB.R2</t>
  </si>
  <si>
    <t>Arš.1MB.R2(t)</t>
  </si>
  <si>
    <t>התעתיק בין 20:17-26:23</t>
  </si>
  <si>
    <t>Arš.1MB.R3</t>
  </si>
  <si>
    <t>Abu Ismāʿīl Rašāyde</t>
  </si>
  <si>
    <t>Arš.2MB</t>
  </si>
  <si>
    <t>Jordan Valley (?)</t>
  </si>
  <si>
    <t>JV.1MB</t>
  </si>
  <si>
    <t>לא מוגדר מאיפה הדובר.</t>
  </si>
  <si>
    <t>JV.1MB.R1</t>
  </si>
  <si>
    <t>Niel</t>
  </si>
  <si>
    <t>Negev Xmayyis (?)</t>
  </si>
  <si>
    <t>Ng.1MB</t>
  </si>
  <si>
    <t>Ng.1MB.R1</t>
  </si>
  <si>
    <t>Henkin</t>
  </si>
  <si>
    <t>Qeidar (Qwedar?)</t>
  </si>
  <si>
    <t>Qd.1MB</t>
  </si>
  <si>
    <t>לא מוגדר מאיפה הדובר. יש מספר סיפורים המתאימים לתעתיק: על הגמל שלו ושמו 00:00-01:55; על תיירת מאמריקה מ-02:03</t>
  </si>
  <si>
    <t>Qd.1MB.R1</t>
  </si>
  <si>
    <t>Segev Šalom</t>
  </si>
  <si>
    <t>SŠ</t>
  </si>
  <si>
    <t>SŠ.1FB</t>
  </si>
  <si>
    <t>SŠ.1FB.R1</t>
  </si>
  <si>
    <t>Ido Daniely</t>
  </si>
  <si>
    <t>Tarabin</t>
  </si>
  <si>
    <t>Trb</t>
  </si>
  <si>
    <t>Saʿīd</t>
  </si>
  <si>
    <t>Trb.1MB</t>
  </si>
  <si>
    <t>Trb.1MB.R1</t>
  </si>
  <si>
    <t>Lee Or</t>
  </si>
  <si>
    <t>Galilee ??</t>
  </si>
  <si>
    <t>G?.1M</t>
  </si>
  <si>
    <t>G?.1M.R1</t>
  </si>
  <si>
    <t>G?.1M.R2</t>
  </si>
  <si>
    <t>G?.1M.R3</t>
  </si>
  <si>
    <t>G?.2M</t>
  </si>
  <si>
    <t>G?.2M.R1</t>
  </si>
  <si>
    <t>Fāṭma Ḥāmid</t>
  </si>
  <si>
    <t>ṢB.1F</t>
  </si>
  <si>
    <r>
      <rPr>
        <rFont val="David Libre"/>
        <sz val="10.0"/>
      </rPr>
      <t xml:space="preserve">יש תרגום לעברית  </t>
    </r>
    <r>
      <rPr>
        <rFont val="David Libre"/>
        <color rgb="FF1155CC"/>
        <sz val="10.0"/>
        <u/>
      </rPr>
      <t>כאן</t>
    </r>
  </si>
  <si>
    <t>ṢB.1F.R1</t>
  </si>
  <si>
    <t>ṢB.1F.R1(t)</t>
  </si>
  <si>
    <t>ṢB.1F.R2</t>
  </si>
  <si>
    <t>ṢB.1F.R3</t>
  </si>
  <si>
    <t>בהקלטה מצוין כי הדובר לא ידוע, אך כנראה מדובר בפאטמה חמיד.</t>
  </si>
  <si>
    <t>ṢB.1F.R4</t>
  </si>
  <si>
    <t>ʿumar Ḥāmid</t>
  </si>
  <si>
    <t>ṢB.2M</t>
  </si>
  <si>
    <t>על כריתת לשון</t>
  </si>
  <si>
    <t>baka, *q=k, interdentals, aCC=&gt;iCC, *k=č</t>
  </si>
  <si>
    <t>תעתיק קיים מגיע עד 03:05</t>
  </si>
  <si>
    <t>ṢB.2M.R1</t>
  </si>
  <si>
    <t>ṢB.2M.R1(t)</t>
  </si>
  <si>
    <t>איך עזב את בית הספר והלך לעבוד בביתו של ראש העיר ירושלים</t>
  </si>
  <si>
    <t>baka, *q=k, interdentals, aCC=&gt;iCC, *k=č, badawwir fi šuġul</t>
  </si>
  <si>
    <t>אפשר לעצור ב-03:18</t>
  </si>
  <si>
    <t>ṢB.2M.R2</t>
  </si>
  <si>
    <t>ṢB.2M.R2(t)</t>
  </si>
  <si>
    <t>ṢB.2M.R3</t>
  </si>
  <si>
    <t>ṢB.2M.R4</t>
  </si>
  <si>
    <t xml:space="preserve"> Zuhēr Ḥamdān</t>
  </si>
  <si>
    <t>ṢB.3M</t>
  </si>
  <si>
    <t>ṢB.3M.R1</t>
  </si>
  <si>
    <t>Yasmin ʿAwīḍa</t>
  </si>
  <si>
    <t>بيت إكسا</t>
  </si>
  <si>
    <t>Bēt Iksa</t>
  </si>
  <si>
    <t>BIk</t>
  </si>
  <si>
    <t>ʿabd Issalām Xaṭīb</t>
  </si>
  <si>
    <t>BIk.1M</t>
  </si>
  <si>
    <t>היסטוריה של הכפר ומקור שמו</t>
  </si>
  <si>
    <t>baka+kan, *q=k, interdentals, a~e#, 3M.PL=u~aw</t>
  </si>
  <si>
    <t>בין 01:00-04:30</t>
  </si>
  <si>
    <t>BIk.1M.R1</t>
  </si>
  <si>
    <t>ʾImān Qāsim</t>
  </si>
  <si>
    <t>BIk.1M.R1(t)</t>
  </si>
  <si>
    <t>Abu Hāni</t>
  </si>
  <si>
    <t>BIk.2M</t>
  </si>
  <si>
    <t>איך היו עושים כביסה בימים הטובים</t>
  </si>
  <si>
    <t>3F.PL≠3M.PL, *q=k, *k=č, interdentals</t>
  </si>
  <si>
    <t>BIk.2M.R1</t>
  </si>
  <si>
    <t>Bik.2M.R1(t)</t>
  </si>
  <si>
    <t>BIk.2M.R2</t>
  </si>
  <si>
    <t>BIk.2M.R3</t>
  </si>
  <si>
    <t>BIk.2M.R4</t>
  </si>
  <si>
    <t>BIk.2M.R5</t>
  </si>
  <si>
    <t>BIk.2M.R6</t>
  </si>
  <si>
    <t>ʿali Habābna</t>
  </si>
  <si>
    <t>BIk.3M</t>
  </si>
  <si>
    <t>על יצירת כביש לכפר</t>
  </si>
  <si>
    <t>interdentals, *q=k</t>
  </si>
  <si>
    <t>בראש הקובץ מצוין הכפר ח'צ'ר כמקור. (תומר)</t>
  </si>
  <si>
    <t>BIk.3M.R1</t>
  </si>
  <si>
    <t>Bik.3M.R1(t)</t>
  </si>
  <si>
    <t>BIk.3M.R2</t>
  </si>
  <si>
    <t>ʿabd Ġīṯ</t>
  </si>
  <si>
    <t>BIk.4M</t>
  </si>
  <si>
    <t>BIk.4M.R1</t>
  </si>
  <si>
    <t>Mḥammad ʿali</t>
  </si>
  <si>
    <t>BIk.5M</t>
  </si>
  <si>
    <t>BIk.5M.R1</t>
  </si>
  <si>
    <t>ʿīsa Aḥmad</t>
  </si>
  <si>
    <t>BIk.6M</t>
  </si>
  <si>
    <t>BIk.6M.R1</t>
  </si>
  <si>
    <t>Imm Muḥammad</t>
  </si>
  <si>
    <t>BIk.7F</t>
  </si>
  <si>
    <t>הדוברת היא אשתו של אבו האני (אבו כאפי)</t>
  </si>
  <si>
    <t>BIk.7F.R1</t>
  </si>
  <si>
    <t>BIk.7F.R2</t>
  </si>
  <si>
    <t>BIk.7F.R3</t>
  </si>
  <si>
    <t>BIk.7F.R4</t>
  </si>
  <si>
    <t>BIk.7F.R5</t>
  </si>
  <si>
    <t>BIk.7F.R6</t>
  </si>
  <si>
    <t>BIk.7F.R7</t>
  </si>
  <si>
    <t>ǦM.1F</t>
  </si>
  <si>
    <t>על פגישה עם עקרב בזמן ששיחקה עם חברים כשהייתה ילדה</t>
  </si>
  <si>
    <t>interdentals, *q=k, baka, *k=č, fem. ending=-a~e#, -h# (sitteh)</t>
  </si>
  <si>
    <t>ǦM.1F.R1</t>
  </si>
  <si>
    <t>ǦM.1F.R1(t)</t>
  </si>
  <si>
    <t>Rizik</t>
  </si>
  <si>
    <t>ǦM.2M</t>
  </si>
  <si>
    <t>תאונת דרכים והעונש שקיבל</t>
  </si>
  <si>
    <t>interdentals, ǧ, *q=k, *k=č,  fem. ending=a~i</t>
  </si>
  <si>
    <t>ǦM.2M.R1</t>
  </si>
  <si>
    <t>ǦM.2M.R1(t)</t>
  </si>
  <si>
    <t>Himām Abu lʿamal</t>
  </si>
  <si>
    <t>ǦM.3M</t>
  </si>
  <si>
    <t>תאונה שהיה מעורב בה כשעבד בתור נהג מונית</t>
  </si>
  <si>
    <t>ǦM.3M.R1</t>
  </si>
  <si>
    <t>ǦM.3M.R1(t)</t>
  </si>
  <si>
    <t>ǦM.3M.R2</t>
  </si>
  <si>
    <t>Abu Yaʿkūb</t>
  </si>
  <si>
    <t>ǦM.4M</t>
  </si>
  <si>
    <t>צבוע שפגש כשרכב על פרד לבית לחם</t>
  </si>
  <si>
    <t>ǧ, *q=k, *k=č,  fem. ending=-e, baka, interdentals, ʿh=ḥḥ, inner Imāla (ēǧi)</t>
  </si>
  <si>
    <r>
      <rPr>
        <rFont val="David Libre"/>
        <sz val="10.0"/>
      </rPr>
      <t xml:space="preserve">תרגום לעברית </t>
    </r>
    <r>
      <rPr>
        <rFont val="David Libre"/>
        <color rgb="FF1155CC"/>
        <sz val="10.0"/>
        <u/>
      </rPr>
      <t>כאן</t>
    </r>
  </si>
  <si>
    <t>ǦM.4M.R1</t>
  </si>
  <si>
    <t>Ṣafā Isbanyōli</t>
  </si>
  <si>
    <t>ǦM.4M.R1(t)</t>
  </si>
  <si>
    <t>ǦM.4M.R2</t>
  </si>
  <si>
    <t>Ibrāhīm Salāme</t>
  </si>
  <si>
    <t>ǦM.5M</t>
  </si>
  <si>
    <t xml:space="preserve">לימודי נהיגה </t>
  </si>
  <si>
    <t>daxal/yidxal, *q=g, *k=k, kān, interdentals, ǧ, wudd, #h, ǧōṭar (???), tagʿid</t>
  </si>
  <si>
    <t>ǦM.5M.R1</t>
  </si>
  <si>
    <t>ǦM.5M.R1(t)</t>
  </si>
  <si>
    <t>Muḥammad Ṣubḥi</t>
  </si>
  <si>
    <t>ǦM.6M</t>
  </si>
  <si>
    <t>ǦM.6M.R1</t>
  </si>
  <si>
    <t>Aḥmad ʿlīsa</t>
  </si>
  <si>
    <t>ǦM.7M</t>
  </si>
  <si>
    <t>ǦM.7M.R1</t>
  </si>
  <si>
    <t>ʿalāʾ ʿali</t>
  </si>
  <si>
    <t>ǦM.9M</t>
  </si>
  <si>
    <t>ǦM.9M.R1</t>
  </si>
  <si>
    <t>Ḥurriyya</t>
  </si>
  <si>
    <t>ʿz.1F</t>
  </si>
  <si>
    <t>סיפור על אדם שהתאהב באישה נשואה, יש כמה בתי שיר. נשמע משהו מקומי ולא סיפור שקרה באמת.</t>
  </si>
  <si>
    <t xml:space="preserve">baka, *k=č, *q=k, 3M PL verbs suffix=aw (bakaw), interdentals, female -a=a, 3M.S suffix=a, #e (wikiʿ fi ḥubbhe#), pausal inner imāla (zamān, hāḏa min zamēn) </t>
  </si>
  <si>
    <t>החל מ-00:53</t>
  </si>
  <si>
    <t>ʿz.1F.R1</t>
  </si>
  <si>
    <t>ʿz.1F.R1(t)</t>
  </si>
  <si>
    <t>על כבשה שנגנבה ממנה ליריחו</t>
  </si>
  <si>
    <t>baka, *k=č, *q=k, 3M PL verbs suffix=aw (simʿaw), interdentals, pausal final imāla (ġanama, ʿindi ġaname#)</t>
  </si>
  <si>
    <t>עד 03:00</t>
  </si>
  <si>
    <t>ʿz.1F.R2</t>
  </si>
  <si>
    <t>ʿz.1F.R2(t)</t>
  </si>
  <si>
    <t>ʿz.1F.R3</t>
  </si>
  <si>
    <t>Abu Mḥammad Farʿōn</t>
  </si>
  <si>
    <t>ʿz.2M</t>
  </si>
  <si>
    <t>עברו התעסוקתי. לא ממריא לגמרי</t>
  </si>
  <si>
    <t>3M PL verbs suffix=aw (iǧaw), *k=č, *q=k, ǧ, interdentals, pausal final imāla (baʿṭī šahriyye#. kadēš iššahriyya miya...)</t>
  </si>
  <si>
    <t>אפשר לעצור ב-04:13</t>
  </si>
  <si>
    <t>ʿz.2M.R1</t>
  </si>
  <si>
    <t>ʿz.2M.R1(t)</t>
  </si>
  <si>
    <t>Imm ʿīsa Farʿōn</t>
  </si>
  <si>
    <t>ʿz.3F</t>
  </si>
  <si>
    <t>ʿz.3F.R1</t>
  </si>
  <si>
    <t>ʿz.3F.R2</t>
  </si>
  <si>
    <t>Ḥāja Rābḥa</t>
  </si>
  <si>
    <t>ʿz.4F</t>
  </si>
  <si>
    <t>ʿz.4F.R1</t>
  </si>
  <si>
    <t>Imm Mūsa Abu Daʿmūs</t>
  </si>
  <si>
    <t>ʿz.5F</t>
  </si>
  <si>
    <t>ʿz.5F.R1</t>
  </si>
  <si>
    <t>ʿz.6M</t>
  </si>
  <si>
    <t>ʿz.6F.R1</t>
  </si>
  <si>
    <t>Umm Salīm</t>
  </si>
  <si>
    <t>Bd.1F</t>
  </si>
  <si>
    <t>איך קרה הדבר הכי משמח בחייה - אירוסי בנה הבכור</t>
  </si>
  <si>
    <t>*k=č, *q=k, ǧ, interdentals, baka but (bkīt), 2S M+3S F suffix=e</t>
  </si>
  <si>
    <t>04:00-08:09, התעתיק מתחיל בעמוד 3 למטה</t>
  </si>
  <si>
    <t>Bd.1F.R1</t>
  </si>
  <si>
    <t>Saǧa Kilāni</t>
  </si>
  <si>
    <t>Bd.1F.R1(t)</t>
  </si>
  <si>
    <t>Abu Fahmi</t>
  </si>
  <si>
    <t>Bd.2M</t>
  </si>
  <si>
    <t>Bd.2M.R1</t>
  </si>
  <si>
    <t>Bd.2M.R2</t>
  </si>
  <si>
    <t>Ibrahīm Manṣūr</t>
  </si>
  <si>
    <t>Bd.3M</t>
  </si>
  <si>
    <t>הקלטות יפות וברורות של הדובר</t>
  </si>
  <si>
    <t>Bd.3M.R1</t>
  </si>
  <si>
    <t>Jihān</t>
  </si>
  <si>
    <t>Bd.3M.R2</t>
  </si>
  <si>
    <t>Bd.3M.R3</t>
  </si>
  <si>
    <t>Mḥammad Ibrahīm</t>
  </si>
  <si>
    <t>Šrf.1M</t>
  </si>
  <si>
    <t>קטטה שהיה מעורב בה</t>
  </si>
  <si>
    <t>two long vowels (sāknīn), baka, *q=k, *k=č, poss. 3PL suffix -him, 3S M suffix -a~-e#, interdentals,</t>
  </si>
  <si>
    <t>Šrf.1M.R1</t>
  </si>
  <si>
    <t>Šrf.1M.R1(t)</t>
  </si>
  <si>
    <t>Šrf.2M</t>
  </si>
  <si>
    <t>Šrf.2M.R1</t>
  </si>
  <si>
    <t>Aḥmad ʿamar</t>
  </si>
  <si>
    <t>Šrf.3M</t>
  </si>
  <si>
    <t>Šrf.3M.R1</t>
  </si>
  <si>
    <t>Šrf.4F</t>
  </si>
  <si>
    <t>Šrf.4F.R1</t>
  </si>
  <si>
    <t>Šrf.4F.R2</t>
  </si>
  <si>
    <t>Unkown Children</t>
  </si>
  <si>
    <t>Šrf.5M</t>
  </si>
  <si>
    <t>הקלטה מסתיימת ב-03:24</t>
  </si>
  <si>
    <t>Šrf.5M.R1</t>
  </si>
  <si>
    <t>Šrf.6M</t>
  </si>
  <si>
    <t>Šrf.6M.R1</t>
  </si>
  <si>
    <t>Šrf.6M.R2</t>
  </si>
  <si>
    <t>Šrf.7F</t>
  </si>
  <si>
    <t>Šrf.7F.R1</t>
  </si>
  <si>
    <t>Abu Slimān</t>
  </si>
  <si>
    <t>Lf.1M</t>
  </si>
  <si>
    <t>מנהגי שמחות ומסיבות</t>
  </si>
  <si>
    <t>interdentals, *q=k, *k=č, baka, ā=&gt;ō, 2M PL suffix -ču, fem. ending=-a~e#, 2S M suff.=-a, 3PL F suff. -hin, F</t>
  </si>
  <si>
    <t>מ-04:05, התעתיק מתחיל בעמוד 4</t>
  </si>
  <si>
    <t>Lf.1M.R1</t>
  </si>
  <si>
    <t>Lf.1M.R2(t)</t>
  </si>
  <si>
    <t>צריך לבחור קטע מסוים. יש להשתמש בשתי ההקלטות של הדובר כשמבצעים בקרה (הערות בגוף התעתיק)</t>
  </si>
  <si>
    <t>Lf.1M.R2</t>
  </si>
  <si>
    <t>Fāṭma Salīm</t>
  </si>
  <si>
    <t>Lf.2F</t>
  </si>
  <si>
    <t>בריחתם מהכפר</t>
  </si>
  <si>
    <t>two long vowels (lēltēn), *q=k, *k=č, yiṭaxṭixu, baka, interdentals</t>
  </si>
  <si>
    <t>עד 04:21</t>
  </si>
  <si>
    <t>Lf.2F.R1</t>
  </si>
  <si>
    <t>Lf.2M.R1(t)</t>
  </si>
  <si>
    <t>Lf.2F.R2</t>
  </si>
  <si>
    <t>Lf.3M</t>
  </si>
  <si>
    <t>Lf.3M.R1</t>
  </si>
  <si>
    <t>Imm Mḥammad</t>
  </si>
  <si>
    <t>Lf.4F</t>
  </si>
  <si>
    <t>Lf.4F.R1</t>
  </si>
  <si>
    <t>Lf.4F.R2</t>
  </si>
  <si>
    <t>Lf.4F.R3</t>
  </si>
  <si>
    <t>Šayalmān (?)</t>
  </si>
  <si>
    <t>Lf.5F</t>
  </si>
  <si>
    <t>Lf.5F.R1</t>
  </si>
  <si>
    <t>Wafā</t>
  </si>
  <si>
    <t>BNk.1F</t>
  </si>
  <si>
    <t>חלוקת עבודה עם גיסותיה בסיוע לחמותן</t>
  </si>
  <si>
    <t>ʿh=ḥḥ, *q=k, *k=č, ǧ, interdentals, 2M S suffix -a, fem. ending=-a, hīta</t>
  </si>
  <si>
    <t>טקסט לספר</t>
  </si>
  <si>
    <t>BNk.1F.R1</t>
  </si>
  <si>
    <t>BNk.1F.R1(t)</t>
  </si>
  <si>
    <t>Umm Badrān</t>
  </si>
  <si>
    <t>BNk.2F</t>
  </si>
  <si>
    <t>על פעם אחת שיצאה לתפור בגדים בבית הוריה וננעלה מחוץ לבית</t>
  </si>
  <si>
    <t>baka, *q=k,2M S suff. -a, interdentals, 3PL F suff. -hin, pausal forms (iǧet, akul-lhe#), ʿh=ḥḥ</t>
  </si>
  <si>
    <t>החל מ-01:58 (מתחיל בעמוד 1 למטה)</t>
  </si>
  <si>
    <t>BNk.2F.R1</t>
  </si>
  <si>
    <t>BNk.2F.R1(t)</t>
  </si>
  <si>
    <t>BNk.2F.R2</t>
  </si>
  <si>
    <t>BNk.2F.R3</t>
  </si>
  <si>
    <t>Xālid ʿawḏ̣aḷḷa</t>
  </si>
  <si>
    <t>BNk.3M</t>
  </si>
  <si>
    <t>צילם בקברט שהיה אסור לצלם בו, וכיצד הציעו לו סכום כסף מכובד בשביל למסור את הפילם</t>
  </si>
  <si>
    <t>biki, interdentals, *q=k, *k=č, ǧ</t>
  </si>
  <si>
    <t>BNk.3M.R1</t>
  </si>
  <si>
    <t>Madīḥa Dīb</t>
  </si>
  <si>
    <t>BNk.3M.R1(t)</t>
  </si>
  <si>
    <t>Ḥamdi Wajīh ʿabdallah</t>
  </si>
  <si>
    <t>BNk.4M</t>
  </si>
  <si>
    <t>BNk.4M.R1</t>
  </si>
  <si>
    <t>BNk.4M.R2</t>
  </si>
  <si>
    <t>Haifā</t>
  </si>
  <si>
    <t>BNk.5F</t>
  </si>
  <si>
    <t>BNk.5F.R1</t>
  </si>
  <si>
    <t>BNk.6M</t>
  </si>
  <si>
    <t>הקלטה של בני זוג. דיבור ברור</t>
  </si>
  <si>
    <t>BNk.6M.R1</t>
  </si>
  <si>
    <t>Yāmna Umm Mḥammad</t>
  </si>
  <si>
    <t>Ǧb.1F</t>
  </si>
  <si>
    <t>רבה עם חמותה שניתקה להם את המים החמים לבית, ברחה לבית הוריה באלג׳יב</t>
  </si>
  <si>
    <t>ǧ, 2M S suff. -a, yūmin, tōčil, baka, fem. ending -a~-e#, two long vowels (Yāsmīn)</t>
  </si>
  <si>
    <t>Ǧb.1F.R1</t>
  </si>
  <si>
    <t>Rula Dakka</t>
  </si>
  <si>
    <t>Ǧb.1F.R1(t)</t>
  </si>
  <si>
    <t>Ḥayīya Abu Dayya</t>
  </si>
  <si>
    <t>Ǧb.2F</t>
  </si>
  <si>
    <t>יחסיה עם חמותה וחמה ומה שקרה לאחר מותה</t>
  </si>
  <si>
    <t>ǧ, yumītha, amman, 2M S suff. -a~-e#, taktak itiktik, interdentals, *q=k, *k=č, baka, mustašfe#(!)</t>
  </si>
  <si>
    <t>החל מ-00:42</t>
  </si>
  <si>
    <t>Ǧb.2F.R1</t>
  </si>
  <si>
    <t>ʿāyša</t>
  </si>
  <si>
    <t>Ǧb.2F.R1(t)</t>
  </si>
  <si>
    <t>Maʿiziyya Šākir</t>
  </si>
  <si>
    <t>Ǧb.3F</t>
  </si>
  <si>
    <t>Ǧb.3F.R1</t>
  </si>
  <si>
    <t>Nasīm Abu Diyya</t>
  </si>
  <si>
    <t>Ǧb.4F</t>
  </si>
  <si>
    <t>Ǧb.4F.R1</t>
  </si>
  <si>
    <t>Wahība ʿabdallah</t>
  </si>
  <si>
    <t>Ǧb.5F</t>
  </si>
  <si>
    <t>Ǧb.5F.R1</t>
  </si>
  <si>
    <t>Ǧb.6M</t>
  </si>
  <si>
    <t>Ǧb.6M.R1</t>
  </si>
  <si>
    <t>Ḥaǧǧa Ḥāsna</t>
  </si>
  <si>
    <t>Mlḥ.1F</t>
  </si>
  <si>
    <t>בעלה הנכה רעה לבד וגנבו ממנו את הצאן</t>
  </si>
  <si>
    <t>ā=&gt;ō, two long vowels, 2M S suff. -a~-e#, 3F PL suff. hin, *q=k, *k=č, interdentals</t>
  </si>
  <si>
    <r>
      <rPr>
        <rFont val="David Libre"/>
        <sz val="10.0"/>
      </rPr>
      <t xml:space="preserve">תרגום לעברית </t>
    </r>
    <r>
      <rPr>
        <rFont val="David Libre"/>
        <color rgb="FF1155CC"/>
        <sz val="10.0"/>
        <u/>
      </rPr>
      <t>כאן</t>
    </r>
  </si>
  <si>
    <t>Mlḥ.1F.R1</t>
  </si>
  <si>
    <t>Mlḥ.1F.R1(t)</t>
  </si>
  <si>
    <t>Mlḥ.1F.R2</t>
  </si>
  <si>
    <t>Mlḥ.1F.R3</t>
  </si>
  <si>
    <t>ʿab ilʿazīz ʿīd</t>
  </si>
  <si>
    <t>Mlḥ.2M</t>
  </si>
  <si>
    <t>סתלבט שהריץ חבר אחד שלו על חבר אחר כשהלכו לאכול משמשים</t>
  </si>
  <si>
    <t>*q=k, *k=č, fem. ending -a~-ē#, ḥālne#, ittafakne#, ǧ, interdentals, 3F PL -hin, baka (ae variant)</t>
  </si>
  <si>
    <t>Mlḥ.2M.R1</t>
  </si>
  <si>
    <t>Mlḥ.2M.R1(t)</t>
  </si>
  <si>
    <t>חבר שהשתכר פעם אחת בחתונה של שכנים נוצרים</t>
  </si>
  <si>
    <t>*q=k, *k=č, fem. ending -a~-ē#, nsawwīle# (ae variant)</t>
  </si>
  <si>
    <t>Mlḥ.2M.R2</t>
  </si>
  <si>
    <t>Mlḥ.2M.R2(t)</t>
  </si>
  <si>
    <t>Ḥaǧǧ ʿumar</t>
  </si>
  <si>
    <t>Mlḥ.3M</t>
  </si>
  <si>
    <t>מעללי גדי שברח/נגנב</t>
  </si>
  <si>
    <t>ā=&gt;ō, baka, ǧ, *q=k,*k=č, 3F PL suff. -hin, aCC=&gt; iCC (miṭraḥ), interdentdals, mēxid, waktītha</t>
  </si>
  <si>
    <t>החל מ-00:20</t>
  </si>
  <si>
    <t>Mlḥ.3M.R1</t>
  </si>
  <si>
    <t>Mlḥ.3M.R1(t)</t>
  </si>
  <si>
    <t>Mlḥ.3M.R2</t>
  </si>
  <si>
    <t>Kbb</t>
  </si>
  <si>
    <t>Ḥasan Māhir</t>
  </si>
  <si>
    <t>Kbb.1M</t>
  </si>
  <si>
    <t>קונץ שעשו במכונות צילום כשעבדו בגן ילדים</t>
  </si>
  <si>
    <t xml:space="preserve">interdentals, *q=k, *k=č, ʿh=ḥḥ, budursu, ž~ǧ, 1PL pref. mn-, </t>
  </si>
  <si>
    <r>
      <rPr>
        <rFont val="David Libre"/>
        <sz val="10.0"/>
      </rPr>
      <t xml:space="preserve">תרגום לעברית </t>
    </r>
    <r>
      <rPr>
        <rFont val="David Libre"/>
        <color rgb="FF1155CC"/>
        <sz val="10.0"/>
        <u/>
      </rPr>
      <t>כאן</t>
    </r>
  </si>
  <si>
    <t>Kbb.1M.R1</t>
  </si>
  <si>
    <t>Kb.1M.R1(t)</t>
  </si>
  <si>
    <t>Mḥammad Aḥmad</t>
  </si>
  <si>
    <t>Kbb.2M</t>
  </si>
  <si>
    <t>ליהקו אותו לשחק חוקר ישראלי בסרט על האנתפאצ׳ה אבל סירב כשלא שילמו לו</t>
  </si>
  <si>
    <t>interdentals, *q=k, *k=č, ǧ, 2M S suff. -a</t>
  </si>
  <si>
    <t>Kbb.2M.R1</t>
  </si>
  <si>
    <t>Kb.2M.R1(t)</t>
  </si>
  <si>
    <t>ʿali Hadūm</t>
  </si>
  <si>
    <t>Kbb.3M</t>
  </si>
  <si>
    <t>Kbb.3M.R1</t>
  </si>
  <si>
    <t>Abu T̠aʾer</t>
  </si>
  <si>
    <t>Kbb.4M</t>
  </si>
  <si>
    <t>Kbb.4M.R1</t>
  </si>
  <si>
    <t>Kaṭanna</t>
  </si>
  <si>
    <t>Ḥaǧǧa Fāṭma</t>
  </si>
  <si>
    <t>Kṭn.1F</t>
  </si>
  <si>
    <t>חיילים שהגיעו לחפש את נט׳מי בביתה</t>
  </si>
  <si>
    <t>*q=k,*k=č, interdentals, baka, F active part.=M active part. (bakēt nāyim),  ay diphthong drops (malanāt),</t>
  </si>
  <si>
    <r>
      <rPr>
        <rFont val="David Libre"/>
        <sz val="10.0"/>
      </rPr>
      <t xml:space="preserve">תרגום לעברית </t>
    </r>
    <r>
      <rPr>
        <rFont val="David Libre"/>
        <color rgb="FF1155CC"/>
        <sz val="10.0"/>
        <u/>
      </rPr>
      <t>כאן</t>
    </r>
    <r>
      <rPr>
        <rFont val="David Libre"/>
        <sz val="10.0"/>
      </rPr>
      <t>, עד 05:12</t>
    </r>
  </si>
  <si>
    <t>Kṭn.1F.R1</t>
  </si>
  <si>
    <t>Kṭn.1F.R1(t)</t>
  </si>
  <si>
    <t>Ibrāhīm ilFakī</t>
  </si>
  <si>
    <t>Kṭn.2M</t>
  </si>
  <si>
    <t>רב עם פועלים שהגיעו משכם לשוק בו עבד</t>
  </si>
  <si>
    <t>Kṭn.2M.R1</t>
  </si>
  <si>
    <t>Kṭn.2M.R1(t)</t>
  </si>
  <si>
    <t>על כך שהקליט לבנים שלו את כיפה אדומה משום שלא הפסיקו לבקש אותו לפני השינה</t>
  </si>
  <si>
    <t>*k=č, *q=k, 2PL M suff. -ču, interdentals, ǧ, 3M S suff. -e</t>
  </si>
  <si>
    <t>מ-00:09</t>
  </si>
  <si>
    <t>Kṭn.2M.R2</t>
  </si>
  <si>
    <t>Ḥaǧǧa Ǧamīla</t>
  </si>
  <si>
    <t>Kṭn.3F</t>
  </si>
  <si>
    <t>Kṭn.3F.R1</t>
  </si>
  <si>
    <t>Fādi</t>
  </si>
  <si>
    <t>Kṭn.4M</t>
  </si>
  <si>
    <t>Kṭn.4M.R1</t>
  </si>
  <si>
    <t>Nizār</t>
  </si>
  <si>
    <t>Kṭn.5M</t>
  </si>
  <si>
    <t>Kṭn.5M.R1</t>
  </si>
  <si>
    <t>Umm Rāsim</t>
  </si>
  <si>
    <t>Ḥz.1F</t>
  </si>
  <si>
    <t>אחת מהפרות שלהם נפלה לבאר ועוד כעסה כשהוציאו אותה.</t>
  </si>
  <si>
    <t>*q=k, *k=č, ǧ, interdentals, pausal forms (birče#, ġumukhe#), diphthong drops (malān), wikʿit, productive IV (aṭlaʿnāha)</t>
  </si>
  <si>
    <t>Ḥz.1F.R1</t>
  </si>
  <si>
    <t>Ṣafā</t>
  </si>
  <si>
    <t>Ḥz.1F.R1(t)</t>
  </si>
  <si>
    <t>Ḥz.1F.R2</t>
  </si>
  <si>
    <t>Ḥz.1F.R3</t>
  </si>
  <si>
    <t>Ḥz.1F.R4</t>
  </si>
  <si>
    <t>Aḥmad ilXaṭīb</t>
  </si>
  <si>
    <t>Ḥz.2M</t>
  </si>
  <si>
    <t>Ḥz.2M.R1</t>
  </si>
  <si>
    <t>Farīd ilXaṭīb</t>
  </si>
  <si>
    <t>Ḥz.3M</t>
  </si>
  <si>
    <t>Ḥz.3M.R1</t>
  </si>
  <si>
    <t>Ḥz.3M.R2</t>
  </si>
  <si>
    <t>Abu Rāsim</t>
  </si>
  <si>
    <t>Ḥz.4M</t>
  </si>
  <si>
    <t>Ḥz.4M.R1</t>
  </si>
  <si>
    <t>Ḥz.4M.R2</t>
  </si>
  <si>
    <t>Ṣābḥa Yūsif</t>
  </si>
  <si>
    <t>Ḥz.5F</t>
  </si>
  <si>
    <t>Ḥz.5F.R1</t>
  </si>
  <si>
    <t>Ḥz.5F.R2</t>
  </si>
  <si>
    <t>Niǧma ilXaṭīb</t>
  </si>
  <si>
    <t>Ḥz.6F</t>
  </si>
  <si>
    <t>Ḥz.6F.R1</t>
  </si>
  <si>
    <t>BIǧ.1M</t>
  </si>
  <si>
    <t>ריב שנקלעו אליו בדרך הביתה מהבקעות</t>
  </si>
  <si>
    <t>baka, pausal imāla (rawwaḥne#), interdentals</t>
  </si>
  <si>
    <t>מ-00:33</t>
  </si>
  <si>
    <t>BIǧ.1M.R1</t>
  </si>
  <si>
    <t>Niʿma</t>
  </si>
  <si>
    <t>BIǧ.2F</t>
  </si>
  <si>
    <t>חיי הכפר היפים, מדקלמת כמה בתי שיר</t>
  </si>
  <si>
    <t>baka, interdentals, *q=k, *k=č, ǧ</t>
  </si>
  <si>
    <t>החל מ-02:22</t>
  </si>
  <si>
    <t>BIǧ.2F.R1</t>
  </si>
  <si>
    <t>Huda</t>
  </si>
  <si>
    <t>BIǧ.3F</t>
  </si>
  <si>
    <t>החיים קשים</t>
  </si>
  <si>
    <t xml:space="preserve">pausal imāla -a=&gt;-e# (bēt iǧze#, laḥālne#), baka, </t>
  </si>
  <si>
    <t>BIǧ.3F.R1</t>
  </si>
  <si>
    <t>Ḥalīma Ibrahīm</t>
  </si>
  <si>
    <t>BIǧ.4F</t>
  </si>
  <si>
    <t>BIǧ.4F.R1</t>
  </si>
  <si>
    <t>Naǧǧāḥ Naʿīm</t>
  </si>
  <si>
    <t>BIǧ.5F</t>
  </si>
  <si>
    <t>מידע בסיסי על משפחתה</t>
  </si>
  <si>
    <t>*q=k, *k=č, ǧ, niǧḥit, hīta</t>
  </si>
  <si>
    <t>BIǧ.5F.R1</t>
  </si>
  <si>
    <t>BIǧ.5F.R1(t)</t>
  </si>
  <si>
    <t>Ǧd.1F</t>
  </si>
  <si>
    <t>מפגש עם נחש כשירדה להביא דלי מבאר. חריה ניצחה!</t>
  </si>
  <si>
    <t>biki, tikba, *k=č, *q=k, ǧ, productive IV (aṭlaʿatni), dar+yifʿal (durt aṣīḥ)</t>
  </si>
  <si>
    <t>Ǧd.1F.R1</t>
  </si>
  <si>
    <t>Ǧd.1F.R1(t)</t>
  </si>
  <si>
    <t>Ǧd.1F.R2</t>
  </si>
  <si>
    <t>Unkown</t>
  </si>
  <si>
    <t>Ǧd.2M</t>
  </si>
  <si>
    <t>Ǧd.2M.R1</t>
  </si>
  <si>
    <t>Ḥtām</t>
  </si>
  <si>
    <t>Ǧd.3F</t>
  </si>
  <si>
    <t>Ǧd.3F.R1</t>
  </si>
  <si>
    <t>שמע מרוחק ובקושי ניתן לשמיעה</t>
  </si>
  <si>
    <t>Ǧd.3F.R2</t>
  </si>
  <si>
    <t>Xirbit ilLaḥim</t>
  </si>
  <si>
    <t>Imm Lāfi</t>
  </si>
  <si>
    <t>XL.1F</t>
  </si>
  <si>
    <t>איך ברחו מהכפר כשהגיעו היהודים</t>
  </si>
  <si>
    <t>baka, *q=k, *k=č, ǧ, interdentals, hayyūte, 3MSg suff. -a, mašaw, bakaw</t>
  </si>
  <si>
    <t>עד 03:16</t>
  </si>
  <si>
    <t>XL.1F.R1</t>
  </si>
  <si>
    <t>Saǧa Kilāni, Ḥanīn Maǧādali</t>
  </si>
  <si>
    <t>XL.1F.R1(t)</t>
  </si>
  <si>
    <t>XL.1F.R2</t>
  </si>
  <si>
    <t>XL.1F.R3</t>
  </si>
  <si>
    <t>Imm ʿUmar ʿArūri</t>
  </si>
  <si>
    <t>ḌB.1F</t>
  </si>
  <si>
    <t>ḌB.1F.R1</t>
  </si>
  <si>
    <t>Abu Nawwāl</t>
  </si>
  <si>
    <t>ḌB.2M</t>
  </si>
  <si>
    <t>ḌB.2M.R1</t>
  </si>
  <si>
    <t>ḌB.2M.R2</t>
  </si>
  <si>
    <t>Rīm Baṭāris</t>
  </si>
  <si>
    <t>ḌB.3F</t>
  </si>
  <si>
    <t>ḌB.3F.R1</t>
  </si>
  <si>
    <t>ḌB.3F.R2</t>
  </si>
  <si>
    <t>النعمان</t>
  </si>
  <si>
    <t>iNnuʿmān</t>
  </si>
  <si>
    <t>Nʿ</t>
  </si>
  <si>
    <t>Imm Ǧammāl</t>
  </si>
  <si>
    <t>Nʿ.1F</t>
  </si>
  <si>
    <t>יחסיה עם בנותיה וביקוריהן הנדירים</t>
  </si>
  <si>
    <t>ǧ, *k=k, *q=g, 2FSg poss. pron. -ki,3FPl suff. -in</t>
  </si>
  <si>
    <t>16:55-20:08, יש תרגום לעברית באותו הקובץ. הטקסט עבר סטנדרטיזציה של הניקוד ע"פ התרגום אך קובץ השמע לא נפתח ~תומר</t>
  </si>
  <si>
    <t>Nʿ.1F.R1</t>
  </si>
  <si>
    <t>Nʿ.1F.R1(t)</t>
  </si>
  <si>
    <t>itTaʿāmra</t>
  </si>
  <si>
    <t>Mḥammad ilʿAbūr</t>
  </si>
  <si>
    <t>Tʿm.1M</t>
  </si>
  <si>
    <t>סבב עטוות בעקבות קטטה לאחר שהתחילו עם קרובת משפחתו</t>
  </si>
  <si>
    <t>*q=g, bāgi, ḏ̣arabnāta,ʿḥ=&gt;ḥḥ, fem. ending -a, ž, 2MSg suff. -a, ganūn, yaṭlaʿ</t>
  </si>
  <si>
    <t>טקסט לספר (w-ruḥna ḏ̣arabnāta)</t>
  </si>
  <si>
    <t>Tʿm.1M.R1</t>
  </si>
  <si>
    <t>Tʿm.1M.R1(t)</t>
  </si>
  <si>
    <t>ʿizz ʿali</t>
  </si>
  <si>
    <t>Tʿm.2M</t>
  </si>
  <si>
    <t>Tʿm.2M.R1</t>
  </si>
  <si>
    <t>ריב שהיה לו עם המורה שלו שקרע לו מבחן אחד שרימה בו</t>
  </si>
  <si>
    <t>interdentals, *q=g, alḥīn, ǧ, ā~ɑ̄ (ʿɑ̄di)</t>
  </si>
  <si>
    <t>Tʿm.2M.R2</t>
  </si>
  <si>
    <t>ʿali ʿāmir</t>
  </si>
  <si>
    <t>Tʿm.3M</t>
  </si>
  <si>
    <t>סכסוך עם אדם מבית עוא</t>
  </si>
  <si>
    <t>*q=g, ǧ, interdentals, ā~ɑ̄ (ġɑ̄li), ḥʿ =&gt; ʿʿ</t>
  </si>
  <si>
    <t>Tʿm.3M.R1</t>
  </si>
  <si>
    <t>Imm ʿali</t>
  </si>
  <si>
    <t>Tʿm.4F</t>
  </si>
  <si>
    <t>Tʿm.4F.R1</t>
  </si>
  <si>
    <t>ʿali ʿabbūr</t>
  </si>
  <si>
    <t>Tʿm.5M</t>
  </si>
  <si>
    <t>איך התגלגל ללימודים באוניברסיטת בית לחם</t>
  </si>
  <si>
    <t>*q=g~k (gaddamna, yikaf), *k=k, ǧ, interdentals</t>
  </si>
  <si>
    <t>Tʿm.5M.R1</t>
  </si>
  <si>
    <t>Mḥammad ʿabayyāt</t>
  </si>
  <si>
    <t>Tʿm.6M</t>
  </si>
  <si>
    <t>מכות ואשפוז</t>
  </si>
  <si>
    <t>*q=g, *k=k, ǧ, interdentals, yomiyitha, ā~ɑ̄ (ʿabayyɑ̄t)</t>
  </si>
  <si>
    <t>Tʿm.6M.R1</t>
  </si>
  <si>
    <t>Tʿm.7F</t>
  </si>
  <si>
    <t>היסטוריה משפחתית: הריונות ולידות, עם מי חיתנה את הילדים</t>
  </si>
  <si>
    <t>*q=g, *k=k, ǧ, interdentals, 3MSg object pron. -eh (leh), kullayithum, ā~ɑ̄ (ixtilɑ̄f), aCC=iCC (ḥitta)</t>
  </si>
  <si>
    <t>Tʿm.7F.R1</t>
  </si>
  <si>
    <t>מאכלים</t>
  </si>
  <si>
    <t>3Msg object pron. -a (baẓabṭa)~ -eh (nṭaḥḥneh w...), aux. verb bgy</t>
  </si>
  <si>
    <t>ב-01:01 בערך קאט להקלטה אחרת</t>
  </si>
  <si>
    <t>Tʿm.7F.R2</t>
  </si>
  <si>
    <t>Tʿm.8F</t>
  </si>
  <si>
    <t>Tʿm.8F.R1</t>
  </si>
  <si>
    <t>Mhannad iṢṣlbēḥ</t>
  </si>
  <si>
    <t>Xḏ̣.1M</t>
  </si>
  <si>
    <t>פנצ׳ר בדרך חזרה מטיול</t>
  </si>
  <si>
    <t>*k=č, ǧ, *q=k,  ā =&gt;ɑ̄/ō, interdentals, two long vowels (ǧɑ̄ǧtēn), yirčabu fi sayyāra</t>
  </si>
  <si>
    <t>Xḏ̣.1M.R1</t>
  </si>
  <si>
    <t>Xḏ̣.1M.R1(t)</t>
  </si>
  <si>
    <t>Xālid Ṣalāḥ</t>
  </si>
  <si>
    <t>Xḏ̣.2M</t>
  </si>
  <si>
    <t>הלכו לים והרכב שלהם שקע במים, אחד החבר׳ה היה שיכור וזה עשה להם בעיות</t>
  </si>
  <si>
    <t>*q=k, *k=č, ǧ, interdentals, ā =&gt;ɑ̄/ō, 2MSg suff. -a, 2Pl suff. -ču~-čim, weak verbs: nōčil, baka, ḏ̣all, 3FPl suff. -in</t>
  </si>
  <si>
    <t>תעתיק קיים עד 15:38. עד 06:38</t>
  </si>
  <si>
    <t>Xḏ̣.2M.R1</t>
  </si>
  <si>
    <t>Šādin Mulḥim</t>
  </si>
  <si>
    <t>Xḏ̣.2M.R1(t)</t>
  </si>
  <si>
    <t>Imm Murād</t>
  </si>
  <si>
    <t>Xḏ̣.3F</t>
  </si>
  <si>
    <t xml:space="preserve">סיפורי אהבה - שידוך שבחרו </t>
  </si>
  <si>
    <t>interdentals, *q=k, *k=č, ǧ, ā =&gt;ɑ̄/ō</t>
  </si>
  <si>
    <t>Xḏ̣.3F.R1</t>
  </si>
  <si>
    <t>Xḏ̣.3F.R1(t)</t>
  </si>
  <si>
    <t>Imm Xālid</t>
  </si>
  <si>
    <t>Ir.1F</t>
  </si>
  <si>
    <t>מספרת על כמה שפעם היה יותר יפה וטוב. מספרת סיפור על ילדה שעקצו אותה בכל הגוף נמלים ואיך היא שמה לה רוק על הפצעים.</t>
  </si>
  <si>
    <t>Ir.1F.R1</t>
  </si>
  <si>
    <t>Ir.3F.R1(t)</t>
  </si>
  <si>
    <t>Ir.2M</t>
  </si>
  <si>
    <t>הדובר משתף שהוא למד לרקוד דבקה מרחוק בעזרת הקלטות מפעם.</t>
  </si>
  <si>
    <r>
      <rPr>
        <rFont val="David Libre"/>
        <color theme="1"/>
        <sz val="10.0"/>
      </rPr>
      <t xml:space="preserve">interdentals, *q=k, *k=č, ǧ. Syncope of unstressed [a]: ḥčāli.   aCC &gt; iCC: mihǧar .  3.Msg. suffix -a: </t>
    </r>
    <r>
      <rPr>
        <rFont val="David Libre"/>
        <i/>
        <color theme="1"/>
        <sz val="10.0"/>
      </rPr>
      <t xml:space="preserve">ḥačit-la </t>
    </r>
  </si>
  <si>
    <r>
      <rPr>
        <rFont val="David Libre"/>
        <color rgb="FF1155CC"/>
        <sz val="10.0"/>
        <u/>
      </rPr>
      <t>תרגום</t>
    </r>
    <r>
      <rPr>
        <rFont val="David Libre"/>
        <sz val="10.0"/>
      </rPr>
      <t xml:space="preserve"> (קלוקל). קטע יפה!</t>
    </r>
  </si>
  <si>
    <t>Ir.2M.R1</t>
  </si>
  <si>
    <t>Ḥanīn Maǧādli</t>
  </si>
  <si>
    <t>Ir.2M.R1(t)</t>
  </si>
  <si>
    <t>על חשיבות שמירת המסורות ועל המרכז הקהילתי למורשת בכפר שמסייע בכך.</t>
  </si>
  <si>
    <t>Ir.2M.R2</t>
  </si>
  <si>
    <t>Abu Lutfi</t>
  </si>
  <si>
    <t>Ir.3M</t>
  </si>
  <si>
    <t>קורא לכולם להגיע למרכז המורשת של הכפר ופוצח בשירה מלווה בחליל. לאחר מכן מספר איך למד דבקה בכפר.</t>
  </si>
  <si>
    <t>interdentals, *q=k, *k=č, ǧ. 3.Msg. suffix -a: niqaddim-la , but also [e] (pausal form?): bidd-e, yilbs-e.  aCC &gt; iCC: iʿrās</t>
  </si>
  <si>
    <t xml:space="preserve">מתחיל לשיר ב- 00:40 - 02:00 ולאחר מכן ממשיך </t>
  </si>
  <si>
    <t>Ir.3M.R1</t>
  </si>
  <si>
    <t>Abu Ḥilmi</t>
  </si>
  <si>
    <t>Ḥsn.1M</t>
  </si>
  <si>
    <t>מתאר את מסע התלאות שלו ושל חבריו לעבודה בהנחת מסילות רכבת לאחר שנאבדו במדבר הסעודי.</t>
  </si>
  <si>
    <t>f. dem.pronoun: hēḏ̣ . Dialect Type: JF-4a</t>
  </si>
  <si>
    <t>תעתיק עד 09:27</t>
  </si>
  <si>
    <t>Ḥsn.1M.R1</t>
  </si>
  <si>
    <t>Ḥsn.1M.R1(t)</t>
  </si>
  <si>
    <t>מספר על החיים בעבר ועל מנהגי החתונה.</t>
  </si>
  <si>
    <t>Ḥsn.1M.R2</t>
  </si>
  <si>
    <t>Imm Ḥilmi</t>
  </si>
  <si>
    <t>Ḥsn.2F</t>
  </si>
  <si>
    <t>Ḥsn.2F.R1</t>
  </si>
  <si>
    <t>Rašīd Abu Muḥammad</t>
  </si>
  <si>
    <t>Bt.1M</t>
  </si>
  <si>
    <t>baku --&gt; bakaw</t>
  </si>
  <si>
    <t>תעתיק עד 00:29</t>
  </si>
  <si>
    <t>Bt.1M.R1</t>
  </si>
  <si>
    <t>Bt.1M.R1(t)</t>
  </si>
  <si>
    <t>baku --&gt; bakau</t>
  </si>
  <si>
    <t>Bt.1M.R2</t>
  </si>
  <si>
    <t>מתאר שחיטה של ארנבים ותרנגולות</t>
  </si>
  <si>
    <t>להוסיף קטע קודם 4706</t>
  </si>
  <si>
    <t>Bt.1M.R3</t>
  </si>
  <si>
    <t>Bt.1M.R3(t)</t>
  </si>
  <si>
    <t>נמצא בואדי כשמחשיך ופחד מהצבועים.</t>
  </si>
  <si>
    <t>interdentals, *q=k, *k=č, ǧ. aCC &gt; iCC: midrase</t>
  </si>
  <si>
    <t>Bt.1M.R4</t>
  </si>
  <si>
    <t>מספר שבתיר הייתה אזור תיירותי מפורסם מאוד בבוסתניו בעבר ושנהגו להגיע אליה מכל הגדה.</t>
  </si>
  <si>
    <t>Bt.1M.R5</t>
  </si>
  <si>
    <t>מספר על הגידולים השונים בכפר,על התרנגולות בעבר שהיו שונות מהיום, והמאכלים שהיו אוכלים.</t>
  </si>
  <si>
    <t>Bt.1M.R6</t>
  </si>
  <si>
    <t>מספר שבעבר המסחר בכפר היה מבוסס על סחר חליפין.</t>
  </si>
  <si>
    <t>Bt.1M.R7</t>
  </si>
  <si>
    <t>Bt.1M.R8</t>
  </si>
  <si>
    <t>מספר על הכנת ארוחה בחוץ עם המשפחה.</t>
  </si>
  <si>
    <t>interdentals, *q=k, *k=č, ǧ. aCC &gt; iCC: midrase, milʿab</t>
  </si>
  <si>
    <t>Bt.1M.R9</t>
  </si>
  <si>
    <t>איך הגיעו החדשות לכפר בתקופת המנדט</t>
  </si>
  <si>
    <t>Bt.1M.R10</t>
  </si>
  <si>
    <t>Tawfīk</t>
  </si>
  <si>
    <t>Bt.2M</t>
  </si>
  <si>
    <t>סיפור על שני אחים ללא גרוש לשמם שמחפשים שתי אחיות כדי להתחתן איתן.</t>
  </si>
  <si>
    <t>aCC &gt; iCC: iʿma</t>
  </si>
  <si>
    <t>הרבה התערבות מצד המקליטות</t>
  </si>
  <si>
    <t>Bt.2M.R1</t>
  </si>
  <si>
    <t>Ilana</t>
  </si>
  <si>
    <t>מספר על כיבוש הכפר ב-67'.</t>
  </si>
  <si>
    <t>aCC &gt; iCC: milḥama. Says ʿagāyiz (g --&gt; ǧ). halkēt</t>
  </si>
  <si>
    <t>מתחיל ב- 01:11. מדבר לאט ובבהירות</t>
  </si>
  <si>
    <t>Bt.2M.R2</t>
  </si>
  <si>
    <t>بيت فجار</t>
  </si>
  <si>
    <t>ʿimād</t>
  </si>
  <si>
    <t>BF.1M</t>
  </si>
  <si>
    <t>מנהגי החתונות בכפר.</t>
  </si>
  <si>
    <t>aCC &gt; iCC: midrase,minṣaf . Pronunciation: sometimes ǧ, and sometimes  ž. interdentals. -hin.  Dialect Type: JF-4</t>
  </si>
  <si>
    <t>נדמה שהדובר מושפע מלהג עירוני ולא עקבי במימושים</t>
  </si>
  <si>
    <t>BF.1M.R1</t>
  </si>
  <si>
    <t>BF.1M.R1(t)</t>
  </si>
  <si>
    <t>Abu Mhammad</t>
  </si>
  <si>
    <t>BF.2M</t>
  </si>
  <si>
    <t>מספר סיפור על הפרדה שלו שנפלה עליו. לאחר מכן מדבר בערגה על מרעה צאן בואדי שאם ועל האוכל שהיו מבשלים ואוכלים.</t>
  </si>
  <si>
    <t>lamman. Pausal Imāla: baġle --- baġla. šū sme --- šū sma. Backing and Rounding. Initial unstressed vowel reduction: hanāka. Slight on-glide preceeding long front vowels : ilbaġla ilbēḏ̣a --- ilbaġla ilb(y)ēḏ̣a,  iṯnēn ---  iṯn(y)ēn</t>
  </si>
  <si>
    <r>
      <rPr>
        <rFont val="David Libre"/>
        <color rgb="FF1155CC"/>
        <sz val="10.0"/>
        <u/>
      </rPr>
      <t>תרגום</t>
    </r>
    <r>
      <rPr>
        <rFont val="David Libre"/>
        <sz val="10.0"/>
      </rPr>
      <t>. קטע יפה מאוד! לספר חובה</t>
    </r>
  </si>
  <si>
    <t>BF.2M.R1</t>
  </si>
  <si>
    <t>BF.2M.R1(t)</t>
  </si>
  <si>
    <t>פותח בשיר עלא דלעונא. מדבר על ליקוט פירות וירקות והכנת דבס ושמן.</t>
  </si>
  <si>
    <t>axaḏit bʿīd min issōmʿīn liḥmōro# w ilfarase# lamman… yaʿni liḥṣōn ā illi baḳa ʿindi.  narrative imperative: w uḏ̣rubu abar w uḏ̣urbu. Slight on-glide preceeding long front vowels: lviṭariyyā --- lv(y)iṭariyyā</t>
  </si>
  <si>
    <t>דיבור מתחיל ב-01:42</t>
  </si>
  <si>
    <t>BF.2M.R2</t>
  </si>
  <si>
    <t>מספר על מותו של סוסו האהוב.</t>
  </si>
  <si>
    <t xml:space="preserve">axaḏit bʿīd min issōmʿīn liḥmōro# w ilfarase# lamman… yaʿni liḥṣōn ā illi baḳa ʿindi.  narrative imperative: w uḏ̣rubu abar w uḏ̣urbu. </t>
  </si>
  <si>
    <t>קטע יפה. צריך עוד בדיקה - תומר</t>
  </si>
  <si>
    <t>BF.2M.R3</t>
  </si>
  <si>
    <t>BF.2M.R3(t)</t>
  </si>
  <si>
    <t xml:space="preserve">Imm Mhammad </t>
  </si>
  <si>
    <t>BF.3F</t>
  </si>
  <si>
    <t>מספרת על החתונה שלה ועל הילדים.</t>
  </si>
  <si>
    <t xml:space="preserve">aCC &gt; iCC: mifraš. </t>
  </si>
  <si>
    <t>BF.3F.R1</t>
  </si>
  <si>
    <t>BF.3F.R1(t)</t>
  </si>
  <si>
    <t>מספרת על חגיגות האירוסין שלה אצל בית משפחת בעלה.</t>
  </si>
  <si>
    <t>*q=g</t>
  </si>
  <si>
    <t>BF.3F.R2</t>
  </si>
  <si>
    <t>BF.3F.R2(t)</t>
  </si>
  <si>
    <t>Imm Ziyād</t>
  </si>
  <si>
    <t>ʿb.1F</t>
  </si>
  <si>
    <t>אכזבה גדולה אחרי לידתה של בתה הרביעית מצד משפחתו של בעלה, שדווא שמח וחילק ממתקים בבית הספר.</t>
  </si>
  <si>
    <t xml:space="preserve">*q=g, k =k, ǧ, interdentals </t>
  </si>
  <si>
    <t>ʿib.1F.R1</t>
  </si>
  <si>
    <t>בנה נמצא ברמאללה בזמן המצור באנתפאדה השנייה, והיא לא יודעת מה איתו. הצבא נכנס לעבידיה והיא נתקפת חרדות על גורל בנותיה.</t>
  </si>
  <si>
    <t xml:space="preserve"> *q=k/g. lamman, ġarman. mafʿūl muṭlaq: infaʿalt fiʿla. Umarked masculine usage:  gāʿid, mafʿūl  </t>
  </si>
  <si>
    <t>קטע יפה עם תופעות מעניינות.</t>
  </si>
  <si>
    <t>ʿib.1F.R2</t>
  </si>
  <si>
    <t>Imm Ibrahīm</t>
  </si>
  <si>
    <t>ʿb.2F</t>
  </si>
  <si>
    <t>כל יום היא מכינה סיר אחר של אוכל ומביאה לבן שלה אבראהים.</t>
  </si>
  <si>
    <t>*q=g. interdentals. Dialect Type: B-1</t>
  </si>
  <si>
    <t>ʿib.2F.R1</t>
  </si>
  <si>
    <t>00:00 - 00:25</t>
  </si>
  <si>
    <t>ʿib.2F.R2</t>
  </si>
  <si>
    <t>ʿb.3M</t>
  </si>
  <si>
    <t>מספר על צעירותו ועל השידוכין שלו.</t>
  </si>
  <si>
    <t>ʿib.3M.R1</t>
  </si>
  <si>
    <t>DṢ.1F</t>
  </si>
  <si>
    <t>נשמעת כמו אותה גברת מעבידיה, כעת היא מופיעה תחת דאר צלאח?</t>
  </si>
  <si>
    <t>DṢ.1F.R1</t>
  </si>
  <si>
    <t>DṢ.2F</t>
  </si>
  <si>
    <t>DṢ.1F.R2</t>
  </si>
  <si>
    <t xml:space="preserve"> 03:45 - 06:29 תעתיק</t>
  </si>
  <si>
    <t>DṢ.1F.R3</t>
  </si>
  <si>
    <t>ʿabīr ʿuṯmān</t>
  </si>
  <si>
    <t>DṢ.1F.R3(t)</t>
  </si>
  <si>
    <t>Xalīl Abu Ibrahīm</t>
  </si>
  <si>
    <t>DṢ.2M</t>
  </si>
  <si>
    <t>סיפור הסתננות באמצע הלילה.</t>
  </si>
  <si>
    <t>*q=g. interdentals</t>
  </si>
  <si>
    <t>נשמע כמו האלמוני מעבידיה</t>
  </si>
  <si>
    <t>DṢ.2M.R1</t>
  </si>
  <si>
    <t>גדל עם בחורה שרצתה שיתחתנו, אבל הוא נגעל מההתנהגות שלה.</t>
  </si>
  <si>
    <t>*q=g. lamman. interdentals</t>
  </si>
  <si>
    <t>Transcript (00:27 -  2:27)</t>
  </si>
  <si>
    <t>DṢ.2M.R2</t>
  </si>
  <si>
    <t>DṢ.2M.R2(t)</t>
  </si>
  <si>
    <t>Wādi iNnīṣṣ</t>
  </si>
  <si>
    <t>WN.1F</t>
  </si>
  <si>
    <t xml:space="preserve">פעם אחת הלכה למכור ירקות, נבהלה מבעלת בית יהודיה שפתחה לה את דלתה וברחה. </t>
  </si>
  <si>
    <t>*q=k,*k=k, ǧ, interdentals, ā~ɑ̄, ṣaḥibt iddɑ̄r, 3FPl object pron. -hin, laḥikitni</t>
  </si>
  <si>
    <t>WN.1F.R1</t>
  </si>
  <si>
    <t>Hanā ʿabid</t>
  </si>
  <si>
    <r>
      <rPr>
        <rFont val="David Libre"/>
        <color rgb="FF1155CC"/>
        <sz val="10.0"/>
        <u/>
      </rPr>
      <t>WN.1F.R1(t)</t>
    </r>
    <r>
      <rPr>
        <rFont val="David Libre"/>
        <sz val="10.0"/>
      </rPr>
      <t xml:space="preserve"> /  </t>
    </r>
    <r>
      <rPr>
        <rFont val="David Libre"/>
        <color rgb="FF1155CC"/>
        <sz val="10.0"/>
        <u/>
      </rPr>
      <t>Handwritten</t>
    </r>
  </si>
  <si>
    <t>מצבה הכלכלי הקשה</t>
  </si>
  <si>
    <t>*q=k, *k=č, interdentals, ǧ, ā~ɑ̄ (ʿ ɑ̄lam), alḥīna, fem. ending -a, 3FPl suff. -hin, akaf, ōčil, axuḏhin, imbarḥiyyɑ̄t, nušukru, yikba</t>
  </si>
  <si>
    <t>WN.1F.R2</t>
  </si>
  <si>
    <t>סיפור צבא</t>
  </si>
  <si>
    <t>WN.1F.R3</t>
  </si>
  <si>
    <t>WN.2M</t>
  </si>
  <si>
    <t>נפצע מפיצוץ אבק שריפה כשסלל כביש עבור אדם מבית ג׳אלא. סיפור המקרה והחלמתו.</t>
  </si>
  <si>
    <t>*q=k, *k=č, ǧ, ā~ɑ̄ (nɑ̄blis), interdentals, aCC=&gt;iCC (miḥǧara)</t>
  </si>
  <si>
    <t>01:33-06:22</t>
  </si>
  <si>
    <t>WN.2M.R1</t>
  </si>
  <si>
    <t>מהיכן נהגו לשאוב מים לכפר ואיך חפרו באר</t>
  </si>
  <si>
    <t>WN.2M.R2</t>
  </si>
  <si>
    <t xml:space="preserve"> Ṭālib Abu Iyād</t>
  </si>
  <si>
    <t>Tg.1M</t>
  </si>
  <si>
    <r>
      <rPr>
        <rFont val="David Libre"/>
        <color theme="1"/>
        <sz val="11.0"/>
      </rPr>
      <t xml:space="preserve"> *q=g, *k=k, interdentals, ʿh=ḥḥ, aCC=&gt;iCC (tiṣrīḥ) ,biddki uxutki </t>
    </r>
    <r>
      <rPr>
        <rFont val="David Libre"/>
        <b/>
        <color theme="1"/>
        <sz val="11.0"/>
      </rPr>
      <t>but also</t>
    </r>
    <r>
      <rPr>
        <rFont val="David Libre"/>
        <color theme="1"/>
        <sz val="11.0"/>
      </rPr>
      <t xml:space="preserve"> abūki axūki</t>
    </r>
  </si>
  <si>
    <t>Tg.1M.R1</t>
  </si>
  <si>
    <t>Naama Ben David</t>
  </si>
  <si>
    <t>הקלטה של שיחה בין כמה דוברים שונים, ללא נרטיב רצוף.</t>
  </si>
  <si>
    <t>Tg.1M.R2</t>
  </si>
  <si>
    <t>EḤ.2M</t>
  </si>
  <si>
    <t>EḤ.2M.R1</t>
  </si>
  <si>
    <t>Dolev Assaf</t>
  </si>
  <si>
    <t>EḤ.2M.R2</t>
  </si>
  <si>
    <t>EḤ.2M.R3</t>
  </si>
  <si>
    <t>EḤ.2M.R4</t>
  </si>
  <si>
    <t>EḤ.1M</t>
  </si>
  <si>
    <t>EḤ.1M.R5</t>
  </si>
  <si>
    <t>الظاهرية</t>
  </si>
  <si>
    <t>id̠̣D̠̣āhiriyyi</t>
  </si>
  <si>
    <t>D̠̣h</t>
  </si>
  <si>
    <t>D̠̣h.1M</t>
  </si>
  <si>
    <t>D̠̣h.1M.R1</t>
  </si>
  <si>
    <t>00:52</t>
  </si>
  <si>
    <t>U-Center</t>
  </si>
  <si>
    <t>unsplitt -CC ; stable CaCaCa in V1, V7</t>
  </si>
  <si>
    <t>לתעתק גם סיפור החתול דקה 08׳00</t>
  </si>
  <si>
    <t>ḥāmel ib-ʾabūki</t>
  </si>
  <si>
    <t>medial imāla</t>
  </si>
  <si>
    <t>sinʿa w-ʿam bibīʿu fī-ha</t>
  </si>
  <si>
    <t>xsāra hadōl mā yitʿallamū-šši, minʿallim-hon ʿa-ḥsāb-na</t>
  </si>
  <si>
    <t>kānu yžīn-o arman yaḥku turki</t>
  </si>
  <si>
    <t>אלא אם יימצא טקסט ארמני מתאים יותר</t>
  </si>
  <si>
    <t>U-North</t>
  </si>
  <si>
    <t>aʿžabatni bi-ššāreʿ w-šufthe</t>
  </si>
  <si>
    <t>Nāblus</t>
  </si>
  <si>
    <t>ilʾaqzām ʿammālhon bištiġlu</t>
  </si>
  <si>
    <t>w-yidillna iṭṭuruʾāt bi-lwaʿir ta-nūṣal</t>
  </si>
  <si>
    <t>axadu lkaleb w-saraʾū</t>
  </si>
  <si>
    <t>R-North</t>
  </si>
  <si>
    <t>rakkab-u ʿala ḏ̣ahr-u</t>
  </si>
  <si>
    <t>ṯqīl  baqa</t>
  </si>
  <si>
    <t>קצר מאוד, להוסיף עוד קטע תעתיק</t>
  </si>
  <si>
    <t>ha-liḥṣān ha-lʾaddi ʿazīz</t>
  </si>
  <si>
    <t>Taršīḥa</t>
  </si>
  <si>
    <t>tiṣfīr</t>
  </si>
  <si>
    <t>kubbit baṭāṭa</t>
  </si>
  <si>
    <r>
      <rPr>
        <rFont val="Times New Roman"/>
        <i/>
        <color theme="1"/>
        <sz val="10.0"/>
      </rPr>
      <t xml:space="preserve">ṯʾīl ; i~e# ; </t>
    </r>
    <r>
      <rPr>
        <rFont val="Times New Roman"/>
        <color theme="1"/>
        <sz val="10.0"/>
      </rPr>
      <t xml:space="preserve">Silent </t>
    </r>
    <r>
      <rPr>
        <rFont val="Times New Roman"/>
        <i/>
        <color theme="1"/>
        <sz val="10.0"/>
      </rPr>
      <t xml:space="preserve">h ; </t>
    </r>
    <r>
      <rPr>
        <rFont val="Times New Roman"/>
        <color theme="1"/>
        <sz val="10.0"/>
      </rPr>
      <t xml:space="preserve">ant.pron ; intr. </t>
    </r>
    <r>
      <rPr>
        <rFont val="Times New Roman"/>
        <i/>
        <color theme="1"/>
        <sz val="10.0"/>
      </rPr>
      <t>kān</t>
    </r>
  </si>
  <si>
    <t>מחכה לתרגום</t>
  </si>
  <si>
    <t>alġanmi - ṭayliʿīha tirǧa la-ḥāla</t>
  </si>
  <si>
    <t>non-diff. ; CayCaC ; CaCaC.CaCiC ; ay~ē</t>
  </si>
  <si>
    <t>Birʿim</t>
  </si>
  <si>
    <t>mawʾif ḥariž min il-mawāʾif</t>
  </si>
  <si>
    <t>walad maḥrūʾ nāʾeṣ aʿḍāʾ min žism-o</t>
  </si>
  <si>
    <t>Faṣṣūṭa</t>
  </si>
  <si>
    <t>Mṣallabt iddam</t>
  </si>
  <si>
    <t>w-glide</t>
  </si>
  <si>
    <t>קיים תרגום חלקי במאמר 2023</t>
  </si>
  <si>
    <t>tʿallamet taṣmīm daxilay</t>
  </si>
  <si>
    <t>מחכה לתעתיק</t>
  </si>
  <si>
    <t>R-Triangle</t>
  </si>
  <si>
    <t>Mḥimmad itṣāwab ib-ʾīdu</t>
  </si>
  <si>
    <t>ilyahudiyyāt yiḥtallēn iddār</t>
  </si>
  <si>
    <t>akalna mn izzād w-ilmiliḥ</t>
  </si>
  <si>
    <t>R-Coast</t>
  </si>
  <si>
    <t>wikʿat minni lʿugá</t>
  </si>
  <si>
    <t>R-Center</t>
  </si>
  <si>
    <r>
      <rPr>
        <rFont val="Times New Roman"/>
        <i/>
        <color theme="1"/>
      </rPr>
      <t xml:space="preserve">izzalama barūdta fi čitfeh# / </t>
    </r>
    <r>
      <rPr>
        <rFont val="Times New Roman"/>
        <color theme="1"/>
      </rPr>
      <t>Innocent (CRPA 1805)</t>
    </r>
  </si>
  <si>
    <r>
      <rPr>
        <rFont val="Times New Roman"/>
        <i/>
        <color theme="1"/>
      </rPr>
      <t>min ilʿēla ʿa-ṯāni ʿēle#</t>
    </r>
    <r>
      <rPr>
        <rFont val="Times New Roman"/>
        <color theme="1"/>
      </rPr>
      <t xml:space="preserve"> (CRPA 2502)</t>
    </r>
  </si>
  <si>
    <r>
      <rPr>
        <rFont val="Times New Roman"/>
        <i/>
        <color theme="1"/>
      </rPr>
      <t xml:space="preserve">ḏ̣ayyaʿta la-lmiftāḥ lizġīr </t>
    </r>
    <r>
      <rPr>
        <rFont val="Times New Roman"/>
        <color theme="1"/>
      </rPr>
      <t>/ Soldiers in pajamas (CRPA 3102)</t>
    </r>
  </si>
  <si>
    <t>lāzim ačayyil tačyīl</t>
  </si>
  <si>
    <t>narr.impt  UCC  a~e#  -ču</t>
  </si>
  <si>
    <t>מחכה לאוזן שנייה ותרגום</t>
  </si>
  <si>
    <t>ibnat iFranklištayn</t>
  </si>
  <si>
    <t>Work arrangement (CRPA 2704)</t>
  </si>
  <si>
    <t>iṭlub mir͜ min rabb-ak yiskī-k</t>
  </si>
  <si>
    <t>Waking the dead (CRPA 8304)</t>
  </si>
  <si>
    <t>bakat ʿinna baġla bēḏ̣a</t>
  </si>
  <si>
    <t>daxalt fi-ddukkōn w-kilt iḥmū-ni</t>
  </si>
  <si>
    <r>
      <rPr>
        <rFont val="Times New Roman"/>
        <color theme="1"/>
        <sz val="10.0"/>
      </rPr>
      <t xml:space="preserve">Push chain </t>
    </r>
    <r>
      <rPr>
        <rFont val="Times New Roman"/>
        <i/>
        <color theme="1"/>
        <sz val="10.0"/>
      </rPr>
      <t>ā&gt;ō =&gt; aw&gt;ō&gt;ū</t>
    </r>
    <r>
      <rPr>
        <rFont val="Times New Roman"/>
        <color theme="1"/>
        <sz val="10.0"/>
      </rPr>
      <t xml:space="preserve"> </t>
    </r>
  </si>
  <si>
    <t>CRPA 1304</t>
  </si>
  <si>
    <t>dīč malʿūn wāldēn</t>
  </si>
  <si>
    <t>להמשיך עד סוף ההקלטה!</t>
  </si>
  <si>
    <t>lēš ha-ččanna w-ʾačalna ʿrūk čirsanna</t>
  </si>
  <si>
    <t>ana kīla w-il-a w-la-uxt-a kīle#</t>
  </si>
  <si>
    <t>B-Galilee</t>
  </si>
  <si>
    <t>Ṭūba</t>
  </si>
  <si>
    <t>ṬZn.1FB.R1</t>
  </si>
  <si>
    <t>bandōra</t>
  </si>
  <si>
    <t>Čʿabiyya</t>
  </si>
  <si>
    <t>AČ.1FB.R2</t>
  </si>
  <si>
    <t>taʿāl izgi farasak</t>
  </si>
  <si>
    <t>A. Ḥilf</t>
  </si>
  <si>
    <t>AḤ.1FB.R1</t>
  </si>
  <si>
    <t>čint axāf agarrib ʿa-lġanama</t>
  </si>
  <si>
    <t>D-Galilee</t>
  </si>
  <si>
    <t>qiṣṣt ilkalb w-ilfallāḥ</t>
  </si>
  <si>
    <t>Kufr Smēʿ</t>
  </si>
  <si>
    <t>yimkin ʾakal-u šī waḥš</t>
  </si>
  <si>
    <t>R-South</t>
  </si>
  <si>
    <t>ağa tiḥtīy w-ana fogīh</t>
  </si>
  <si>
    <t>extended particles</t>
  </si>
  <si>
    <t>BŪ.1F.R2</t>
  </si>
  <si>
    <t>ḥayya mḥawwaya taḥtiyye</t>
  </si>
  <si>
    <r>
      <rPr>
        <rFont val="Times New Roman"/>
        <color theme="1"/>
        <sz val="10.0"/>
      </rPr>
      <t xml:space="preserve">UCC, presentative </t>
    </r>
    <r>
      <rPr>
        <rFont val="Times New Roman"/>
        <i/>
        <color theme="1"/>
        <sz val="10.0"/>
      </rPr>
      <t xml:space="preserve">alla, </t>
    </r>
    <r>
      <rPr>
        <rFont val="Times New Roman"/>
        <color theme="1"/>
        <sz val="10.0"/>
      </rPr>
      <t>extended particles</t>
    </r>
  </si>
  <si>
    <t>Ġazze</t>
  </si>
  <si>
    <t>nifsi ʾarūʿ ʿa-lʾagṣa</t>
  </si>
  <si>
    <t>assimilation; lām alqasm; presentatives</t>
  </si>
  <si>
    <t>תורגם</t>
  </si>
  <si>
    <t>min Bēt Šémiš ʿala ilGudis</t>
  </si>
  <si>
    <t>Wādi inNīṣ</t>
  </si>
  <si>
    <t>kīf ilʿaǧīn?</t>
  </si>
  <si>
    <t>lamman ṣārat ilʾintifāḏ̣a lʾawwala</t>
  </si>
  <si>
    <t>xallanā milthi w-axaḏna minn-a ǧidi</t>
  </si>
  <si>
    <t>Battīr</t>
  </si>
  <si>
    <t>ya Ḥāzim, manta btōčl-iš arānib</t>
  </si>
  <si>
    <t>B-South</t>
  </si>
  <si>
    <t>A.Rašāyde</t>
  </si>
  <si>
    <t>ḥagīgiyye bas ǧinniyye</t>
  </si>
  <si>
    <t>abūy kān "ćadík"</t>
  </si>
  <si>
    <t>לא מתאים לספר</t>
  </si>
  <si>
    <t>שם היישוב</t>
  </si>
  <si>
    <t>קוד</t>
  </si>
  <si>
    <t>הרכב האוכלוסיה</t>
  </si>
  <si>
    <t>האם יש לנו הקלטות?</t>
  </si>
  <si>
    <t>כמה?</t>
  </si>
  <si>
    <t>האם נבחרו לספר?</t>
  </si>
  <si>
    <t>الجولان</t>
  </si>
  <si>
    <t>D (Golan)</t>
  </si>
  <si>
    <t>C (Maronite, Melkite, Catholic?, Muslim)</t>
  </si>
  <si>
    <t>Gǧ</t>
  </si>
  <si>
    <t>D (Galilee), C (Melkite), Muslim (very few)</t>
  </si>
  <si>
    <t>אין הקלטות בכלל</t>
  </si>
  <si>
    <t xml:space="preserve">Circassian </t>
  </si>
  <si>
    <t>B (Galilee)</t>
  </si>
  <si>
    <t>AĠ</t>
  </si>
  <si>
    <t>Includes population from Qadita.</t>
  </si>
  <si>
    <t>D (Galilee), M, C (Orthodox, Melkite, Evangelical?)</t>
  </si>
  <si>
    <t>M, C (Melkite, Orthodox), B (Galilee)</t>
  </si>
  <si>
    <t>ʿArab aṣṢwēṭāt</t>
  </si>
  <si>
    <t>D (Galilee), M, C (Orthodox, Melkite)</t>
  </si>
  <si>
    <t>M, C (Orthodox, Melkite)</t>
  </si>
  <si>
    <t>Includes many displaced from surounding villages.</t>
  </si>
  <si>
    <t>D (Galilee), M, C (Orthodox, Melkite, Latin)</t>
  </si>
  <si>
    <t>Includes most of the populatin from Iqriṯ &amp; Birʿim.</t>
  </si>
  <si>
    <t>القبسي</t>
  </si>
  <si>
    <t>Qbs</t>
  </si>
  <si>
    <t>ačČammāna</t>
  </si>
  <si>
    <t>الكمانة</t>
  </si>
  <si>
    <t>Čm</t>
  </si>
  <si>
    <t>D (Galilee)</t>
  </si>
  <si>
    <t>D (Galilee), M (very few)</t>
  </si>
  <si>
    <t>M, C (Orthodox), B (Galilee)</t>
  </si>
  <si>
    <t>Sažūr</t>
  </si>
  <si>
    <t>M (large Sufi population), C (Orthodox, Melkite), B (Galilee)</t>
  </si>
  <si>
    <t>M, B (Galilee)</t>
  </si>
  <si>
    <t>Majority of population displaced from neighbouring villages.</t>
  </si>
  <si>
    <t>M, C (Melkite)</t>
  </si>
  <si>
    <t>Wādi Salāma</t>
  </si>
  <si>
    <t xml:space="preserve">وادي سلامة </t>
  </si>
  <si>
    <t>WSl</t>
  </si>
  <si>
    <t>Umm ilQuṭuf</t>
  </si>
  <si>
    <t>ام القطوف</t>
  </si>
  <si>
    <t>UQṭ</t>
  </si>
  <si>
    <t>Barṭaʿa ilĠarbiyya</t>
  </si>
  <si>
    <t>برطعة الغربية</t>
  </si>
  <si>
    <t>Xawālid</t>
  </si>
  <si>
    <t>خوالد</t>
  </si>
  <si>
    <t>Dār ilḤanūn</t>
  </si>
  <si>
    <t xml:space="preserve">دار الحنون </t>
  </si>
  <si>
    <t>ʿarʿara</t>
  </si>
  <si>
    <t>عرعرة</t>
  </si>
  <si>
    <t>رمانة</t>
  </si>
  <si>
    <t>ʿāra</t>
  </si>
  <si>
    <t>عارة</t>
  </si>
  <si>
    <t>Kufr Qaraʿ</t>
  </si>
  <si>
    <t>كفر قرع</t>
  </si>
  <si>
    <t>Maysar</t>
  </si>
  <si>
    <t>ميسر</t>
  </si>
  <si>
    <t>البعينة النجيدات</t>
  </si>
  <si>
    <t>الدحي</t>
  </si>
  <si>
    <t>العزير</t>
  </si>
  <si>
    <t>الناعورة</t>
  </si>
  <si>
    <t>Rummāne ilBaṭūf</t>
  </si>
  <si>
    <t>رمانة البطوف</t>
  </si>
  <si>
    <t>RB</t>
  </si>
  <si>
    <t>رمة الهيب</t>
  </si>
  <si>
    <t>سولم</t>
  </si>
  <si>
    <t>ضميدة</t>
  </si>
  <si>
    <t>Kufir Manda</t>
  </si>
  <si>
    <t>نين</t>
  </si>
  <si>
    <t>بيسان</t>
  </si>
  <si>
    <t>طمرة الزعبية</t>
  </si>
  <si>
    <t>ṬmZ</t>
  </si>
  <si>
    <t>جنين</t>
  </si>
  <si>
    <t>ام التوت</t>
  </si>
  <si>
    <t>ام دار</t>
  </si>
  <si>
    <t>ام الريحان</t>
  </si>
  <si>
    <t>البارد</t>
  </si>
  <si>
    <t>الجديدة</t>
  </si>
  <si>
    <t>الجلجان</t>
  </si>
  <si>
    <t>الزاوية</t>
  </si>
  <si>
    <t>الزبابدة</t>
  </si>
  <si>
    <t>السعايدة</t>
  </si>
  <si>
    <t>الشهداء</t>
  </si>
  <si>
    <t>الطرم</t>
  </si>
  <si>
    <t>الطيبة</t>
  </si>
  <si>
    <t>العرقة</t>
  </si>
  <si>
    <t>العصاعصة</t>
  </si>
  <si>
    <t>الكفير</t>
  </si>
  <si>
    <t>المنصورة</t>
  </si>
  <si>
    <t>المطلة</t>
  </si>
  <si>
    <t>المغير</t>
  </si>
  <si>
    <t>اليامون</t>
  </si>
  <si>
    <t>امريحة</t>
  </si>
  <si>
    <t>برقين</t>
  </si>
  <si>
    <t>برطعة الشرقية</t>
  </si>
  <si>
    <t>بيت قاد الشمالي</t>
  </si>
  <si>
    <t>بيت قاد الجنوبي</t>
  </si>
  <si>
    <t>بير الباشا</t>
  </si>
  <si>
    <t>تنين</t>
  </si>
  <si>
    <t>تلفيت</t>
  </si>
  <si>
    <t>جبع</t>
  </si>
  <si>
    <t>جربا</t>
  </si>
  <si>
    <t>جلبون</t>
  </si>
  <si>
    <t>جلقموس</t>
  </si>
  <si>
    <t>حفيرة عرابة</t>
  </si>
  <si>
    <t>خربة المنطار</t>
  </si>
  <si>
    <t>خربة المكحل</t>
  </si>
  <si>
    <t>خربة عبدالله اليونس</t>
  </si>
  <si>
    <t>دير أبو ضعيف</t>
  </si>
  <si>
    <t>رابا</t>
  </si>
  <si>
    <t>زبدة</t>
  </si>
  <si>
    <t>سيلة الحارثية</t>
  </si>
  <si>
    <t>سيلة الظهر</t>
  </si>
  <si>
    <t>سيريس</t>
  </si>
  <si>
    <t>صانور</t>
  </si>
  <si>
    <t>صير</t>
  </si>
  <si>
    <t>طورة الشرقية</t>
  </si>
  <si>
    <t>طورة الغربية</t>
  </si>
  <si>
    <t>ظهر العبد</t>
  </si>
  <si>
    <t>ظهر المالح</t>
  </si>
  <si>
    <t>عطارة</t>
  </si>
  <si>
    <t xml:space="preserve">عابا الشرقية </t>
  </si>
  <si>
    <t>عابا الغربية</t>
  </si>
  <si>
    <t>عانين</t>
  </si>
  <si>
    <t>عجة</t>
  </si>
  <si>
    <t>عنزة</t>
  </si>
  <si>
    <t>فحمة</t>
  </si>
  <si>
    <t>فقوعة</t>
  </si>
  <si>
    <t>فندقومية</t>
  </si>
  <si>
    <t>فراسين</t>
  </si>
  <si>
    <t>قباطية</t>
  </si>
  <si>
    <t>كفر دان</t>
  </si>
  <si>
    <t>كفر قود</t>
  </si>
  <si>
    <t>كفر راعي</t>
  </si>
  <si>
    <t>كفيرت</t>
  </si>
  <si>
    <t>ميثلون</t>
  </si>
  <si>
    <t>مخيم جنين</t>
  </si>
  <si>
    <t>مركة</t>
  </si>
  <si>
    <t>مسلية</t>
  </si>
  <si>
    <t>نزلة الشيخ زيد</t>
  </si>
  <si>
    <t>وادي دعوق</t>
  </si>
  <si>
    <t>يعبد</t>
  </si>
  <si>
    <t>طوباس</t>
  </si>
  <si>
    <t>العقبة</t>
  </si>
  <si>
    <t>بردلة</t>
  </si>
  <si>
    <t>تياسير</t>
  </si>
  <si>
    <t>طمون</t>
  </si>
  <si>
    <t>عقابة</t>
  </si>
  <si>
    <t>اوصرين</t>
  </si>
  <si>
    <t>اجنسيا</t>
  </si>
  <si>
    <t>الباذان</t>
  </si>
  <si>
    <t>الساوية</t>
  </si>
  <si>
    <t>العقربانية</t>
  </si>
  <si>
    <t>اللبن الشرقية</t>
  </si>
  <si>
    <t>الناقورة</t>
  </si>
  <si>
    <t>النصارية</t>
  </si>
  <si>
    <t>برقة</t>
  </si>
  <si>
    <t>بزارية</t>
  </si>
  <si>
    <t>بلاطة</t>
  </si>
  <si>
    <t>بورين</t>
  </si>
  <si>
    <t>بيت ايبا</t>
  </si>
  <si>
    <t>بيت امرين</t>
  </si>
  <si>
    <t>بيت حسن</t>
  </si>
  <si>
    <t>بيت دجن</t>
  </si>
  <si>
    <t>بيت فوريك</t>
  </si>
  <si>
    <t>بيت وزن</t>
  </si>
  <si>
    <t>بيتا</t>
  </si>
  <si>
    <t>تل</t>
  </si>
  <si>
    <t>جماعين</t>
  </si>
  <si>
    <t>جوريش</t>
  </si>
  <si>
    <t>حجا</t>
  </si>
  <si>
    <t>حوارة</t>
  </si>
  <si>
    <t>دوما</t>
  </si>
  <si>
    <t>دير الحطب</t>
  </si>
  <si>
    <t>دير شرف</t>
  </si>
  <si>
    <t>روجيب</t>
  </si>
  <si>
    <t>زعترة</t>
  </si>
  <si>
    <t>زواتا</t>
  </si>
  <si>
    <t>زيتا جماعين</t>
  </si>
  <si>
    <t>سبسطية</t>
  </si>
  <si>
    <t>صرة</t>
  </si>
  <si>
    <t>طلوزة</t>
  </si>
  <si>
    <t>عراق بورين</t>
  </si>
  <si>
    <t>عزموط</t>
  </si>
  <si>
    <t>عصيرة الشمالية</t>
  </si>
  <si>
    <t>عصيرة القبلية</t>
  </si>
  <si>
    <t>عقربا</t>
  </si>
  <si>
    <t>عورتا</t>
  </si>
  <si>
    <t>عين الشبلي</t>
  </si>
  <si>
    <t>عينأبوس</t>
  </si>
  <si>
    <t>عمورية</t>
  </si>
  <si>
    <t>عوريف</t>
  </si>
  <si>
    <t>قريوت</t>
  </si>
  <si>
    <t>قصرة</t>
  </si>
  <si>
    <t>قوصين</t>
  </si>
  <si>
    <t>قبلان</t>
  </si>
  <si>
    <t>كفر قليل</t>
  </si>
  <si>
    <t>لوزة</t>
  </si>
  <si>
    <t>مجدل بني فاضل</t>
  </si>
  <si>
    <t>مادما</t>
  </si>
  <si>
    <t>ياسيد</t>
  </si>
  <si>
    <t>يانون</t>
  </si>
  <si>
    <t>يتما</t>
  </si>
  <si>
    <t>طول كرم</t>
  </si>
  <si>
    <t>ابثان</t>
  </si>
  <si>
    <t>الراس</t>
  </si>
  <si>
    <t>المرجه</t>
  </si>
  <si>
    <t>بيت ليد</t>
  </si>
  <si>
    <t>بير السكة</t>
  </si>
  <si>
    <t>بلعا</t>
  </si>
  <si>
    <t>خربة جبارة</t>
  </si>
  <si>
    <t>دير الغصون</t>
  </si>
  <si>
    <t>رامين</t>
  </si>
  <si>
    <t>زيتا</t>
  </si>
  <si>
    <t>سفارين</t>
  </si>
  <si>
    <t>شويكة</t>
  </si>
  <si>
    <t>عتيل</t>
  </si>
  <si>
    <t>علار</t>
  </si>
  <si>
    <t>عنبتا</t>
  </si>
  <si>
    <t>فرعون</t>
  </si>
  <si>
    <t>قفين</t>
  </si>
  <si>
    <t>كفر اللبد</t>
  </si>
  <si>
    <t>كفر برا</t>
  </si>
  <si>
    <t>كفر رمان</t>
  </si>
  <si>
    <t>كفر زيباد</t>
  </si>
  <si>
    <t>كفر قاسم</t>
  </si>
  <si>
    <t>كور</t>
  </si>
  <si>
    <t>كفر عبوش</t>
  </si>
  <si>
    <t>كفر جمال</t>
  </si>
  <si>
    <t>كفر صور</t>
  </si>
  <si>
    <t>نزلة أبو نار</t>
  </si>
  <si>
    <t>نزلة عيسى</t>
  </si>
  <si>
    <t>يمة</t>
  </si>
  <si>
    <t>قلقيلية</t>
  </si>
  <si>
    <t>اماتين</t>
  </si>
  <si>
    <t>الضبعة</t>
  </si>
  <si>
    <t>الفندق</t>
  </si>
  <si>
    <t>النبي الياس</t>
  </si>
  <si>
    <t>باقة الحطب</t>
  </si>
  <si>
    <t>بيت امين</t>
  </si>
  <si>
    <t>جيوس</t>
  </si>
  <si>
    <t>جنصافوط</t>
  </si>
  <si>
    <t>جيت</t>
  </si>
  <si>
    <t>حبلة</t>
  </si>
  <si>
    <t>حجة</t>
  </si>
  <si>
    <t>خربة صير</t>
  </si>
  <si>
    <t>راس الطيرة</t>
  </si>
  <si>
    <t>راس عطية</t>
  </si>
  <si>
    <t>سنيريا</t>
  </si>
  <si>
    <t>عرب أبو فردة</t>
  </si>
  <si>
    <t>عرب الرماضين الجنوبي</t>
  </si>
  <si>
    <t>عرب الرماضين الشمالي</t>
  </si>
  <si>
    <t>عرون عتمة</t>
  </si>
  <si>
    <t>عرون</t>
  </si>
  <si>
    <t>عسلة</t>
  </si>
  <si>
    <t>عزبة الاشقر</t>
  </si>
  <si>
    <t>عزبة الطبيب</t>
  </si>
  <si>
    <t>عزبة المدور</t>
  </si>
  <si>
    <t>عزبة جلعود</t>
  </si>
  <si>
    <t>عزبة سلمان</t>
  </si>
  <si>
    <t>فرعتا</t>
  </si>
  <si>
    <t>فلامية</t>
  </si>
  <si>
    <t xml:space="preserve">قلقيلية </t>
  </si>
  <si>
    <t>كفر ثلث</t>
  </si>
  <si>
    <t>كفر قدوم</t>
  </si>
  <si>
    <t>كفر لاقف</t>
  </si>
  <si>
    <t>وادي رشا</t>
  </si>
  <si>
    <t>سلفيت</t>
  </si>
  <si>
    <t>اسكاكا</t>
  </si>
  <si>
    <t>بديا</t>
  </si>
  <si>
    <t>بروقين</t>
  </si>
  <si>
    <t>حارس</t>
  </si>
  <si>
    <t>دير استيا</t>
  </si>
  <si>
    <t>رافات</t>
  </si>
  <si>
    <t>سرطة</t>
  </si>
  <si>
    <t>فرخة</t>
  </si>
  <si>
    <t>قراوى بني حسان</t>
  </si>
  <si>
    <t>قيرة</t>
  </si>
  <si>
    <t>كفر الديك</t>
  </si>
  <si>
    <t>كفل حارس</t>
  </si>
  <si>
    <t>مردة</t>
  </si>
  <si>
    <t>مسحة</t>
  </si>
  <si>
    <t>ياسوف</t>
  </si>
  <si>
    <t>يافا</t>
  </si>
  <si>
    <t>دهمش</t>
  </si>
  <si>
    <t>أبو شخيدم</t>
  </si>
  <si>
    <t>أبو قش</t>
  </si>
  <si>
    <t>ام صفا</t>
  </si>
  <si>
    <t>البيرة</t>
  </si>
  <si>
    <t>اللبن الغربي</t>
  </si>
  <si>
    <t>المدية</t>
  </si>
  <si>
    <t>المزرعة الشرقية</t>
  </si>
  <si>
    <t>المزرعة القبلية</t>
  </si>
  <si>
    <t>بدرس</t>
  </si>
  <si>
    <t>برهام</t>
  </si>
  <si>
    <t>بيت ريما</t>
  </si>
  <si>
    <t xml:space="preserve">بيت سيرا </t>
  </si>
  <si>
    <t>بيت لقيا</t>
  </si>
  <si>
    <t>بيتونيا</t>
  </si>
  <si>
    <t>بيتين</t>
  </si>
  <si>
    <t>بيتلو</t>
  </si>
  <si>
    <t>جمالا</t>
  </si>
  <si>
    <t>جيبيا</t>
  </si>
  <si>
    <t>خربة أبو فلاح</t>
  </si>
  <si>
    <t>خربثا المصباح</t>
  </si>
  <si>
    <t>دورا القرع</t>
  </si>
  <si>
    <t>دير أبو مشعل</t>
  </si>
  <si>
    <t>دير ابزيع</t>
  </si>
  <si>
    <t>دير السودان</t>
  </si>
  <si>
    <t>دير جرير</t>
  </si>
  <si>
    <t>دير عمار</t>
  </si>
  <si>
    <t>دير غسانة</t>
  </si>
  <si>
    <t>دير نظام</t>
  </si>
  <si>
    <t>دير دبوان</t>
  </si>
  <si>
    <t>راس كركر</t>
  </si>
  <si>
    <t>رمون</t>
  </si>
  <si>
    <t>رنتيس</t>
  </si>
  <si>
    <t>سردا</t>
  </si>
  <si>
    <t>سلواد</t>
  </si>
  <si>
    <t>شبتين</t>
  </si>
  <si>
    <t>عبوين</t>
  </si>
  <si>
    <t>عجول</t>
  </si>
  <si>
    <t>عين سينيا</t>
  </si>
  <si>
    <t>عين عريك</t>
  </si>
  <si>
    <t>عين قينيا</t>
  </si>
  <si>
    <t>عين يبرود</t>
  </si>
  <si>
    <t>قبية</t>
  </si>
  <si>
    <t>قراوة بني زيد</t>
  </si>
  <si>
    <t>كفر عين</t>
  </si>
  <si>
    <t>كوبر</t>
  </si>
  <si>
    <t>مزارع النوباني</t>
  </si>
  <si>
    <t>نعلين</t>
  </si>
  <si>
    <t>يبرود</t>
  </si>
  <si>
    <t>العوجا</t>
  </si>
  <si>
    <t>عين الديوك الفوقا</t>
  </si>
  <si>
    <t>عين حجلة</t>
  </si>
  <si>
    <t>أم طوبا</t>
  </si>
  <si>
    <t>الخان الأحمر</t>
  </si>
  <si>
    <t>الرام</t>
  </si>
  <si>
    <t>الزعيم</t>
  </si>
  <si>
    <t>السواحرة الشرقية</t>
  </si>
  <si>
    <t>السواحرة الغربية</t>
  </si>
  <si>
    <t>الشيخ جراح</t>
  </si>
  <si>
    <t>بيت حنينا</t>
  </si>
  <si>
    <t>خربة بيت ازرة</t>
  </si>
  <si>
    <t>خرائب أم اللحمم</t>
  </si>
  <si>
    <t>قلنديا</t>
  </si>
  <si>
    <t>كفر عقب</t>
  </si>
  <si>
    <t>مخماس</t>
  </si>
  <si>
    <t>وادي قدرون</t>
  </si>
  <si>
    <t>الشواورة</t>
  </si>
  <si>
    <t>ʿib</t>
  </si>
  <si>
    <t>المنية</t>
  </si>
  <si>
    <t>جبعة</t>
  </si>
  <si>
    <t>جورة الشمعة</t>
  </si>
  <si>
    <t>خربة أم سلمونه</t>
  </si>
  <si>
    <t>خربة الدير</t>
  </si>
  <si>
    <t>خربة المعصرة</t>
  </si>
  <si>
    <t>DS</t>
  </si>
  <si>
    <t>رخمة</t>
  </si>
  <si>
    <t>شوشحلة</t>
  </si>
  <si>
    <t>مراح رباح</t>
  </si>
  <si>
    <t>مراح معلا</t>
  </si>
  <si>
    <t>نحالين</t>
  </si>
  <si>
    <t>هندازة ريضعة خلايل اللوز</t>
  </si>
  <si>
    <t>وادي رحال</t>
  </si>
  <si>
    <t>وادي فوكين</t>
  </si>
  <si>
    <t>ام النصر</t>
  </si>
  <si>
    <t>البريج</t>
  </si>
  <si>
    <t>الزهراء</t>
  </si>
  <si>
    <t>الروايدة</t>
  </si>
  <si>
    <t>الشوكة</t>
  </si>
  <si>
    <t>الفخاري</t>
  </si>
  <si>
    <t>القرارة</t>
  </si>
  <si>
    <t>المغازي</t>
  </si>
  <si>
    <t>المصدر</t>
  </si>
  <si>
    <t>المغراقة</t>
  </si>
  <si>
    <t>النصر</t>
  </si>
  <si>
    <t>النزلة</t>
  </si>
  <si>
    <t>النصيرات</t>
  </si>
  <si>
    <t>بني سهيلا</t>
  </si>
  <si>
    <t>بيت حانون</t>
  </si>
  <si>
    <t>بيت لاهيا</t>
  </si>
  <si>
    <t>جباليا</t>
  </si>
  <si>
    <t>جحر الديك</t>
  </si>
  <si>
    <t>خان يونس</t>
  </si>
  <si>
    <t>خزاعة</t>
  </si>
  <si>
    <t>دير البلح</t>
  </si>
  <si>
    <t>رفح</t>
  </si>
  <si>
    <t>عبسان الجديدة</t>
  </si>
  <si>
    <t>عبسان الكبيرة</t>
  </si>
  <si>
    <t>عزبة بيت حانون</t>
  </si>
  <si>
    <t>أبو العسجا</t>
  </si>
  <si>
    <t>أبو سحويله</t>
  </si>
  <si>
    <t>اذنا</t>
  </si>
  <si>
    <t>البرج</t>
  </si>
  <si>
    <t>البقعة</t>
  </si>
  <si>
    <t>البويب</t>
  </si>
  <si>
    <t>التواني</t>
  </si>
  <si>
    <t>الجبعة</t>
  </si>
  <si>
    <t>الريحية</t>
  </si>
  <si>
    <t>السموع</t>
  </si>
  <si>
    <t>السيميا</t>
  </si>
  <si>
    <t>الصرة</t>
  </si>
  <si>
    <t>المجد</t>
  </si>
  <si>
    <t>الهجرة</t>
  </si>
  <si>
    <t>امريش</t>
  </si>
  <si>
    <t>بني نعيم</t>
  </si>
  <si>
    <t>Bēt Ūla</t>
  </si>
  <si>
    <t>بيت الروش التحتا</t>
  </si>
  <si>
    <t>بيت الروش الفوقا</t>
  </si>
  <si>
    <t>بيت عوا</t>
  </si>
  <si>
    <t xml:space="preserve">بيت كاحل </t>
  </si>
  <si>
    <t>بيت مرسم</t>
  </si>
  <si>
    <t>ترقوميا</t>
  </si>
  <si>
    <t>تفوح</t>
  </si>
  <si>
    <t>العلقة</t>
  </si>
  <si>
    <t>الفوار</t>
  </si>
  <si>
    <t>حلحول</t>
  </si>
  <si>
    <t>خاراس</t>
  </si>
  <si>
    <t>خربة زنوتا</t>
  </si>
  <si>
    <t>خربة عزيز</t>
  </si>
  <si>
    <t>خرسا</t>
  </si>
  <si>
    <t>خلة الضبع</t>
  </si>
  <si>
    <t>خلة العقد</t>
  </si>
  <si>
    <t>دورا</t>
  </si>
  <si>
    <t>دير العسل التحتا</t>
  </si>
  <si>
    <t>دير العسل الفوقا</t>
  </si>
  <si>
    <t>دير رازح</t>
  </si>
  <si>
    <t>دير سامت</t>
  </si>
  <si>
    <t>رأبود</t>
  </si>
  <si>
    <t>رقعة</t>
  </si>
  <si>
    <t>سكة</t>
  </si>
  <si>
    <t>سعير</t>
  </si>
  <si>
    <t>شيوخ</t>
  </si>
  <si>
    <t>صافا</t>
  </si>
  <si>
    <t>صوريف</t>
  </si>
  <si>
    <t>طواس</t>
  </si>
  <si>
    <t>طوبا</t>
  </si>
  <si>
    <t>عرب الرماضين</t>
  </si>
  <si>
    <t>فقيقيس</t>
  </si>
  <si>
    <t>قلقوس</t>
  </si>
  <si>
    <t>كرزة</t>
  </si>
  <si>
    <t>مراح البقار</t>
  </si>
  <si>
    <t>مسافر يطا</t>
  </si>
  <si>
    <t>العروب</t>
  </si>
  <si>
    <t>نوبا</t>
  </si>
  <si>
    <t>بئر السبع</t>
  </si>
  <si>
    <t>أبو سبيلة</t>
  </si>
  <si>
    <t>الباطل</t>
  </si>
  <si>
    <t>الزرنوق</t>
  </si>
  <si>
    <t>ام الحيران</t>
  </si>
  <si>
    <t>تل أبو محفوظ</t>
  </si>
  <si>
    <t>تل عراد</t>
  </si>
  <si>
    <t>حورا</t>
  </si>
  <si>
    <t>خشم الزنة</t>
  </si>
  <si>
    <t>شقيب السلام</t>
  </si>
  <si>
    <t>عبده</t>
  </si>
  <si>
    <t>عرعرة النقب</t>
  </si>
  <si>
    <t>قرية أبو تلول</t>
  </si>
  <si>
    <t>لقية</t>
  </si>
  <si>
    <t>مكحول</t>
  </si>
  <si>
    <t>כלל הקורפוס</t>
  </si>
  <si>
    <t>רשימת דוברים מלאה</t>
  </si>
  <si>
    <t>מגדר</t>
  </si>
  <si>
    <t>רשימת דוברים (בקרה/הגהה/תעתיק)</t>
  </si>
  <si>
    <t>מגדר הדוברים</t>
  </si>
  <si>
    <t>כמות</t>
  </si>
  <si>
    <t>זכר</t>
  </si>
  <si>
    <t>נקבה</t>
  </si>
  <si>
    <t>סה״כ</t>
  </si>
  <si>
    <t>מגדר הדוברים (רשימה מלאה)</t>
  </si>
  <si>
    <t>ריק</t>
  </si>
  <si>
    <t>עיבוד משמעותי</t>
  </si>
  <si>
    <t>לא עובד</t>
  </si>
  <si>
    <t>יחסים בין חומר שעובד לכזה שלא</t>
  </si>
  <si>
    <t>עובד</t>
  </si>
  <si>
    <t>כמה יישובים מיוצגים?</t>
  </si>
  <si>
    <t>מכמה יישובים יש הקלטות</t>
  </si>
  <si>
    <t>ייצוג קהילות/דתות (WIP)</t>
  </si>
  <si>
    <t>C (Latin)</t>
  </si>
  <si>
    <t>C (Orthodox)</t>
  </si>
  <si>
    <t>Blank (נתון קפוא!)</t>
  </si>
  <si>
    <t>Christian (Armenian Catholic)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</si>
</sst>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mmm. yyyy"/>
    <numFmt numFmtId="166" formatCode="mmm yyyy"/>
  </numFmts>
  <fonts count="66">
    <font>
      <sz val="10.0"/>
      <color rgb="FF000000"/>
      <name val="Arial"/>
      <scheme val="minor"/>
    </font>
    <font>
      <sz val="11.0"/>
      <color theme="1"/>
      <name val="David Libre"/>
    </font>
    <font>
      <color theme="1"/>
      <name val="David Libre"/>
    </font>
    <font>
      <sz val="10.0"/>
      <color theme="1"/>
      <name val="David Libre"/>
    </font>
    <font>
      <sz val="11.0"/>
      <color rgb="FF000000"/>
      <name val="David Libre"/>
    </font>
    <font>
      <sz val="10.0"/>
      <color rgb="FF000000"/>
      <name val="David Libre"/>
    </font>
    <font>
      <u/>
      <sz val="10.0"/>
      <color theme="1"/>
      <name val="David Libre"/>
    </font>
    <font>
      <b/>
      <sz val="10.0"/>
      <color rgb="FF000000"/>
      <name val="David Libre"/>
    </font>
    <font>
      <u/>
      <sz val="10.0"/>
      <color theme="1"/>
      <name val="David Libre"/>
    </font>
    <font>
      <u/>
      <sz val="10.0"/>
      <color theme="1"/>
      <name val="David Libre"/>
    </font>
    <font>
      <u/>
      <sz val="10.0"/>
      <color rgb="FF000000"/>
      <name val="David Libre"/>
    </font>
    <font>
      <u/>
      <sz val="10.0"/>
      <color rgb="FF000000"/>
      <name val="David Libre"/>
    </font>
    <font>
      <u/>
      <sz val="10.0"/>
      <color rgb="FF000000"/>
      <name val="David Libre"/>
    </font>
    <font>
      <u/>
      <sz val="10.0"/>
      <color rgb="FF000000"/>
      <name val="David Libre"/>
    </font>
    <font>
      <u/>
      <sz val="10.0"/>
      <color rgb="FF000000"/>
      <name val="David Libre"/>
    </font>
    <font>
      <u/>
      <sz val="10.0"/>
      <color theme="1"/>
      <name val="David Libre"/>
    </font>
    <font>
      <color rgb="FF000000"/>
      <name val="David Libre"/>
    </font>
    <font>
      <sz val="10.0"/>
      <color rgb="FF1F1F1F"/>
      <name val="David Libre"/>
    </font>
    <font>
      <i/>
      <sz val="10.0"/>
      <color theme="1"/>
      <name val="David Libre"/>
    </font>
    <font>
      <i/>
      <sz val="10.0"/>
      <color rgb="FF000000"/>
      <name val="David Libre"/>
    </font>
    <font>
      <u/>
      <sz val="10.0"/>
      <color rgb="FF0000FF"/>
      <name val="David Libre"/>
    </font>
    <font>
      <u/>
      <sz val="11.0"/>
      <color theme="1"/>
      <name val="David Libre"/>
    </font>
    <font>
      <i/>
      <color rgb="FF000000"/>
      <name val="David Libre"/>
    </font>
    <font>
      <b/>
      <sz val="10.0"/>
      <color theme="1"/>
      <name val="David Libre"/>
    </font>
    <font>
      <color rgb="FF000000"/>
      <name val="Roboto"/>
    </font>
    <font>
      <u/>
      <sz val="10.0"/>
      <color rgb="FF0000FF"/>
      <name val="David Libre"/>
    </font>
    <font>
      <u/>
      <sz val="10.0"/>
      <color rgb="FF0000FF"/>
      <name val="David Libre"/>
    </font>
    <font>
      <u/>
      <sz val="10.0"/>
      <color rgb="FF0000FF"/>
      <name val="David Libre"/>
    </font>
    <font>
      <u/>
      <sz val="10.0"/>
      <color rgb="FF0000FF"/>
      <name val="David Libre"/>
    </font>
    <font>
      <u/>
      <sz val="10.0"/>
      <color rgb="FF0000FF"/>
      <name val="David Libre"/>
    </font>
    <font>
      <color theme="1"/>
      <name val="Arial"/>
      <scheme val="minor"/>
    </font>
    <font>
      <u/>
      <sz val="10.0"/>
      <color rgb="FF0000FF"/>
      <name val="David Libre"/>
    </font>
    <font>
      <sz val="12.0"/>
      <color theme="1"/>
      <name val="David Libre"/>
    </font>
    <font>
      <sz val="11.0"/>
      <color theme="1"/>
      <name val="Arial"/>
      <scheme val="minor"/>
    </font>
    <font>
      <sz val="10.0"/>
      <color theme="1"/>
      <name val="Arial"/>
      <scheme val="minor"/>
    </font>
    <font>
      <sz val="10.0"/>
      <color theme="1"/>
      <name val="Arial"/>
    </font>
    <font>
      <sz val="11.0"/>
      <color theme="1"/>
      <name val="Arial"/>
    </font>
    <font>
      <u/>
      <sz val="10.0"/>
      <color rgb="FF1155CC"/>
      <name val="David Libre"/>
    </font>
    <font>
      <u/>
      <sz val="10.0"/>
      <color rgb="FF0000FF"/>
      <name val="David Libre"/>
    </font>
    <font>
      <u/>
      <sz val="10.0"/>
      <color rgb="FF0000FF"/>
      <name val="David Libre"/>
    </font>
    <font>
      <i/>
      <sz val="11.0"/>
      <color theme="1"/>
      <name val="David Libre"/>
    </font>
    <font>
      <i/>
      <sz val="11.0"/>
      <color rgb="FF000000"/>
      <name val="David Libre"/>
    </font>
    <font>
      <u/>
      <sz val="11.0"/>
      <color rgb="FF0000FF"/>
      <name val="David Libre"/>
    </font>
    <font>
      <i/>
      <color theme="1"/>
      <name val="David Libre"/>
    </font>
    <font>
      <color theme="1"/>
      <name val="Arial"/>
    </font>
    <font>
      <u/>
      <sz val="11.0"/>
      <color rgb="FF0000FF"/>
      <name val="David Libre"/>
    </font>
    <font>
      <sz val="10.0"/>
      <color rgb="FF000000"/>
      <name val="Arial"/>
    </font>
    <font>
      <sz val="10.0"/>
      <color theme="1"/>
      <name val="Times New Roman"/>
    </font>
    <font>
      <i/>
      <sz val="10.0"/>
      <color theme="1"/>
      <name val="Times New Roman"/>
    </font>
    <font>
      <sz val="10.0"/>
      <color rgb="FF000000"/>
      <name val="Times New Roman"/>
    </font>
    <font>
      <i/>
      <sz val="10.0"/>
      <color rgb="FF000000"/>
      <name val="Times New Roman"/>
    </font>
    <font>
      <color theme="1"/>
      <name val="Times New Roman"/>
    </font>
    <font>
      <i/>
      <color theme="1"/>
      <name val="Times New Roman"/>
    </font>
    <font>
      <i/>
      <sz val="10.0"/>
      <color rgb="FF000000"/>
      <name val="'Times New Roman'"/>
    </font>
    <font>
      <i/>
      <sz val="11.0"/>
      <color rgb="FF000000"/>
      <name val="'Times New Roman'"/>
    </font>
    <font>
      <b/>
      <u/>
      <sz val="10.0"/>
      <color theme="1"/>
      <name val="David Libre"/>
    </font>
    <font>
      <b/>
      <u/>
      <sz val="10.0"/>
      <color theme="1"/>
      <name val="David Libre"/>
    </font>
    <font>
      <b/>
      <u/>
      <sz val="10.0"/>
      <color theme="1"/>
      <name val="David Libre"/>
    </font>
    <font>
      <b/>
      <u/>
      <color theme="1"/>
      <name val="Arial"/>
      <scheme val="minor"/>
    </font>
    <font>
      <color theme="1"/>
      <name val="&quot;Google Sans Text&quot;"/>
    </font>
    <font>
      <b/>
      <color theme="1"/>
      <name val="Arial"/>
      <scheme val="minor"/>
    </font>
    <font>
      <color rgb="FF000000"/>
      <name val="&quot;David Libre&quot;"/>
    </font>
    <font>
      <color theme="1"/>
      <name val="Alef"/>
    </font>
    <font>
      <u/>
      <color rgb="FF1155CC"/>
      <name val="Arial"/>
    </font>
    <font>
      <u/>
      <color rgb="FF0000FF"/>
      <name val="Arial"/>
    </font>
    <font>
      <u/>
      <color rgb="FF0000FF"/>
    </font>
  </fonts>
  <fills count="30">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B6D7A8"/>
        <bgColor rgb="FFB6D7A8"/>
      </patternFill>
    </fill>
    <fill>
      <patternFill patternType="solid">
        <fgColor rgb="FFFF9900"/>
        <bgColor rgb="FFFF9900"/>
      </patternFill>
    </fill>
    <fill>
      <patternFill patternType="solid">
        <fgColor rgb="FFB7B7B7"/>
        <bgColor rgb="FFB7B7B7"/>
      </patternFill>
    </fill>
    <fill>
      <patternFill patternType="solid">
        <fgColor rgb="FFD9EAD3"/>
        <bgColor rgb="FFD9EAD3"/>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D0E0E3"/>
        <bgColor rgb="FFD0E0E3"/>
      </patternFill>
    </fill>
    <fill>
      <patternFill patternType="solid">
        <fgColor rgb="FFA2C4C9"/>
        <bgColor rgb="FFA2C4C9"/>
      </patternFill>
    </fill>
    <fill>
      <patternFill patternType="solid">
        <fgColor rgb="FF76A5AF"/>
        <bgColor rgb="FF76A5AF"/>
      </patternFill>
    </fill>
    <fill>
      <patternFill patternType="solid">
        <fgColor rgb="FF45818E"/>
        <bgColor rgb="FF45818E"/>
      </patternFill>
    </fill>
    <fill>
      <patternFill patternType="solid">
        <fgColor rgb="FF134F5C"/>
        <bgColor rgb="FF134F5C"/>
      </patternFill>
    </fill>
    <fill>
      <patternFill patternType="solid">
        <fgColor rgb="FFC9DAF8"/>
        <bgColor rgb="FFC9DAF8"/>
      </patternFill>
    </fill>
    <fill>
      <patternFill patternType="solid">
        <fgColor rgb="FFA4C2F4"/>
        <bgColor rgb="FFA4C2F4"/>
      </patternFill>
    </fill>
    <fill>
      <patternFill patternType="solid">
        <fgColor rgb="FF6D9EEB"/>
        <bgColor rgb="FF6D9EEB"/>
      </patternFill>
    </fill>
    <fill>
      <patternFill patternType="solid">
        <fgColor rgb="FF3C78D8"/>
        <bgColor rgb="FF3C78D8"/>
      </patternFill>
    </fill>
    <fill>
      <patternFill patternType="solid">
        <fgColor rgb="FF1155CC"/>
        <bgColor rgb="FF1155CC"/>
      </patternFill>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BF9000"/>
        <bgColor rgb="FFBF9000"/>
      </patternFill>
    </fill>
    <fill>
      <patternFill patternType="solid">
        <fgColor rgb="FFFCE5CD"/>
        <bgColor rgb="FFFCE5CD"/>
      </patternFill>
    </fill>
    <fill>
      <patternFill patternType="solid">
        <fgColor rgb="FFF9CB9C"/>
        <bgColor rgb="FFF9CB9C"/>
      </patternFill>
    </fill>
    <fill>
      <patternFill patternType="solid">
        <fgColor rgb="FFF6B26B"/>
        <bgColor rgb="FFF6B26B"/>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1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xf>
    <xf borderId="0" fillId="0" fontId="3" numFmtId="0" xfId="0" applyAlignment="1" applyFont="1">
      <alignment horizontal="center" readingOrder="0" vertic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2" fontId="4" numFmtId="0" xfId="0" applyAlignment="1" applyFill="1" applyFont="1">
      <alignment horizontal="center" readingOrder="0" vertical="center"/>
    </xf>
    <xf borderId="0" fillId="0" fontId="3" numFmtId="0" xfId="0" applyAlignment="1" applyFont="1">
      <alignment horizontal="center" readingOrder="0" vertical="center"/>
    </xf>
    <xf borderId="0" fillId="0" fontId="2"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5" numFmtId="0" xfId="0" applyAlignment="1" applyFont="1">
      <alignment horizontal="center" readingOrder="0" vertical="center"/>
    </xf>
    <xf borderId="0" fillId="0" fontId="1" numFmtId="0" xfId="0" applyAlignment="1" applyFont="1">
      <alignment horizontal="center"/>
    </xf>
    <xf borderId="0" fillId="0" fontId="6" numFmtId="0" xfId="0" applyAlignment="1" applyFont="1">
      <alignment horizontal="center" readingOrder="0" vertical="center"/>
    </xf>
    <xf borderId="0" fillId="0" fontId="7" numFmtId="0" xfId="0" applyAlignment="1" applyFont="1">
      <alignment horizontal="center" readingOrder="0" shrinkToFit="0" vertical="bottom" wrapText="0"/>
    </xf>
    <xf borderId="0" fillId="0" fontId="8" numFmtId="0" xfId="0" applyAlignment="1" applyFont="1">
      <alignment horizontal="center" readingOrder="0" vertical="center"/>
    </xf>
    <xf borderId="0" fillId="0" fontId="9" numFmtId="0" xfId="0" applyAlignment="1" applyFont="1">
      <alignment horizontal="center" readingOrder="0" shrinkToFit="0" vertical="center" wrapText="0"/>
    </xf>
    <xf borderId="0" fillId="3" fontId="10" numFmtId="0" xfId="0" applyAlignment="1" applyFill="1" applyFont="1">
      <alignment horizontal="center" vertical="center"/>
    </xf>
    <xf borderId="0" fillId="3" fontId="11" numFmtId="0" xfId="0" applyAlignment="1" applyFont="1">
      <alignment horizontal="center" readingOrder="0" vertical="center"/>
    </xf>
    <xf borderId="0" fillId="3" fontId="5" numFmtId="0" xfId="0" applyAlignment="1" applyFont="1">
      <alignment horizontal="center" vertical="center"/>
    </xf>
    <xf borderId="0" fillId="3" fontId="12" numFmtId="0" xfId="0" applyAlignment="1" applyFont="1">
      <alignment horizontal="center" vertical="center"/>
    </xf>
    <xf borderId="0" fillId="3" fontId="13" numFmtId="0" xfId="0" applyAlignment="1" applyFont="1">
      <alignment horizontal="center" readingOrder="0" vertical="center"/>
    </xf>
    <xf borderId="0" fillId="3" fontId="14" numFmtId="0" xfId="0" applyAlignment="1" applyFont="1">
      <alignment horizontal="center" vertical="center"/>
    </xf>
    <xf borderId="1" fillId="0" fontId="15" numFmtId="0" xfId="0" applyAlignment="1" applyBorder="1" applyFont="1">
      <alignment horizontal="center" readingOrder="0" vertical="center"/>
    </xf>
    <xf borderId="0" fillId="0" fontId="2" numFmtId="46" xfId="0" applyAlignment="1" applyFont="1" applyNumberFormat="1">
      <alignment horizontal="center"/>
    </xf>
    <xf borderId="0" fillId="0" fontId="3" numFmtId="0" xfId="0" applyAlignment="1" applyFont="1">
      <alignment horizontal="center" vertical="center"/>
    </xf>
    <xf borderId="0" fillId="0" fontId="16" numFmtId="0" xfId="0" applyAlignment="1" applyFont="1">
      <alignment horizontal="center" readingOrder="0" shrinkToFit="0" vertical="bottom" wrapText="0"/>
    </xf>
    <xf borderId="0" fillId="2" fontId="17" numFmtId="0" xfId="0" applyAlignment="1" applyFont="1">
      <alignment horizontal="center" readingOrder="0" vertical="center"/>
    </xf>
    <xf borderId="0" fillId="0" fontId="18" numFmtId="0" xfId="0" applyAlignment="1" applyFont="1">
      <alignment horizontal="center" readingOrder="0" vertical="center"/>
    </xf>
    <xf borderId="0" fillId="0" fontId="3" numFmtId="0" xfId="0" applyAlignment="1" applyFont="1">
      <alignment horizontal="center" readingOrder="2" shrinkToFit="0" vertical="center" wrapText="0"/>
    </xf>
    <xf borderId="0" fillId="0" fontId="3" numFmtId="0" xfId="0" applyAlignment="1" applyFont="1">
      <alignment horizontal="center" readingOrder="0" shrinkToFit="0" vertical="center" wrapText="0"/>
    </xf>
    <xf borderId="0" fillId="3" fontId="5" numFmtId="0" xfId="0" applyAlignment="1" applyFont="1">
      <alignment horizontal="center" readingOrder="0" vertical="center"/>
    </xf>
    <xf borderId="0" fillId="3" fontId="5" numFmtId="0" xfId="0" applyAlignment="1" applyFont="1">
      <alignment horizontal="center" readingOrder="0" vertical="center"/>
    </xf>
    <xf borderId="0" fillId="3" fontId="19" numFmtId="0" xfId="0" applyAlignment="1" applyFont="1">
      <alignment horizontal="center" readingOrder="0" vertical="center"/>
    </xf>
    <xf borderId="2" fillId="0" fontId="3" numFmtId="0" xfId="0" applyAlignment="1" applyBorder="1" applyFont="1">
      <alignment horizontal="center" readingOrder="0" vertical="center"/>
    </xf>
    <xf borderId="0" fillId="0" fontId="20" numFmtId="0" xfId="0" applyAlignment="1" applyFont="1">
      <alignment horizontal="center" readingOrder="0" vertical="center"/>
    </xf>
    <xf borderId="0" fillId="0" fontId="3" numFmtId="0" xfId="0" applyAlignment="1" applyFont="1">
      <alignment horizontal="center" readingOrder="0" vertical="center"/>
    </xf>
    <xf borderId="0" fillId="0" fontId="1" numFmtId="0" xfId="0" applyAlignment="1" applyFont="1">
      <alignment horizontal="center" vertical="center"/>
    </xf>
    <xf borderId="0" fillId="0" fontId="21" numFmtId="0" xfId="0" applyAlignment="1" applyFont="1">
      <alignment horizontal="center" vertical="center"/>
    </xf>
    <xf borderId="0" fillId="0" fontId="2" numFmtId="0" xfId="0" applyAlignment="1" applyFont="1">
      <alignment horizontal="center" readingOrder="1" shrinkToFit="0" vertical="center" wrapText="0"/>
    </xf>
    <xf borderId="0" fillId="3" fontId="16" numFmtId="0" xfId="0" applyAlignment="1" applyFont="1">
      <alignment horizontal="center" readingOrder="0" vertical="center"/>
    </xf>
    <xf borderId="0" fillId="3" fontId="16" numFmtId="0" xfId="0" applyAlignment="1" applyFont="1">
      <alignment horizontal="center" readingOrder="0" vertical="center"/>
    </xf>
    <xf borderId="0" fillId="3" fontId="22" numFmtId="0" xfId="0" applyAlignment="1" applyFont="1">
      <alignment horizontal="center" readingOrder="0" vertical="center"/>
    </xf>
    <xf borderId="0" fillId="0" fontId="5" numFmtId="0" xfId="0" applyAlignment="1" applyFont="1">
      <alignment horizontal="center" readingOrder="0" shrinkToFit="0" vertical="bottom" wrapText="0"/>
    </xf>
    <xf borderId="0" fillId="0" fontId="3" numFmtId="0" xfId="0" applyAlignment="1" applyFont="1">
      <alignment horizontal="center" readingOrder="1" shrinkToFit="0" vertical="center" wrapText="0"/>
    </xf>
    <xf borderId="0" fillId="3" fontId="19" numFmtId="0" xfId="0" applyAlignment="1" applyFont="1">
      <alignment horizontal="center" readingOrder="0" vertical="center"/>
    </xf>
    <xf borderId="0" fillId="2" fontId="5" numFmtId="0" xfId="0" applyAlignment="1" applyFont="1">
      <alignment horizontal="center" readingOrder="0" vertical="center"/>
    </xf>
    <xf borderId="0" fillId="0" fontId="3" numFmtId="0" xfId="0" applyAlignment="1" applyFont="1">
      <alignment horizontal="center" shrinkToFit="0" vertical="center" wrapText="0"/>
    </xf>
    <xf borderId="0" fillId="3" fontId="5" numFmtId="0" xfId="0" applyAlignment="1" applyFont="1">
      <alignment horizontal="center" vertical="center"/>
    </xf>
    <xf borderId="0" fillId="3" fontId="19" numFmtId="0" xfId="0" applyAlignment="1" applyFont="1">
      <alignment horizontal="center" vertical="center"/>
    </xf>
    <xf borderId="2" fillId="0" fontId="3" numFmtId="0" xfId="0" applyAlignment="1" applyBorder="1" applyFont="1">
      <alignment horizontal="center" vertical="center"/>
    </xf>
    <xf borderId="0" fillId="0" fontId="23" numFmtId="0" xfId="0" applyAlignment="1" applyFont="1">
      <alignment horizontal="center" readingOrder="0" shrinkToFit="0" vertical="center" wrapText="0"/>
    </xf>
    <xf borderId="0" fillId="0" fontId="3" numFmtId="0" xfId="0" applyAlignment="1" applyFont="1">
      <alignment horizontal="right" readingOrder="0" shrinkToFit="0" vertical="center" wrapText="0"/>
    </xf>
    <xf borderId="0" fillId="2" fontId="17" numFmtId="0" xfId="0" applyAlignment="1" applyFont="1">
      <alignment horizontal="center" readingOrder="0" vertical="center"/>
    </xf>
    <xf borderId="0" fillId="0" fontId="3" numFmtId="0" xfId="0" applyAlignment="1" applyFont="1">
      <alignment horizontal="center" readingOrder="0" shrinkToFit="0" vertical="center" wrapText="0"/>
    </xf>
    <xf borderId="0" fillId="0" fontId="3" numFmtId="0" xfId="0" applyAlignment="1" applyFont="1">
      <alignment horizontal="right" readingOrder="0" shrinkToFit="0" vertical="center" wrapText="0"/>
    </xf>
    <xf borderId="0" fillId="0" fontId="2" numFmtId="0" xfId="0" applyAlignment="1" applyFont="1">
      <alignment readingOrder="0"/>
    </xf>
    <xf borderId="0" fillId="0" fontId="19" numFmtId="0" xfId="0" applyAlignment="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0"/>
    </xf>
    <xf borderId="0" fillId="3" fontId="5" numFmtId="0" xfId="0" applyAlignment="1" applyFont="1">
      <alignment horizontal="center" vertical="center"/>
    </xf>
    <xf borderId="0" fillId="3" fontId="19" numFmtId="0" xfId="0" applyAlignment="1" applyFont="1">
      <alignment horizontal="center" vertical="center"/>
    </xf>
    <xf borderId="0" fillId="0" fontId="5" numFmtId="0" xfId="0" applyAlignment="1" applyFont="1">
      <alignment horizontal="center" readingOrder="2" vertical="center"/>
    </xf>
    <xf borderId="0" fillId="0" fontId="5" numFmtId="0" xfId="0" applyAlignment="1" applyFont="1">
      <alignment horizontal="center" readingOrder="2" shrinkToFit="0" vertical="center" wrapText="0"/>
    </xf>
    <xf borderId="0" fillId="3" fontId="5" numFmtId="0" xfId="0" applyAlignment="1" applyFont="1">
      <alignment horizontal="center" readingOrder="2" vertical="center"/>
    </xf>
    <xf borderId="0" fillId="3" fontId="19" numFmtId="0" xfId="0" applyAlignment="1" applyFont="1">
      <alignment horizontal="center" readingOrder="2" vertical="center"/>
    </xf>
    <xf borderId="0" fillId="0" fontId="24" numFmtId="0" xfId="0" applyAlignment="1" applyFont="1">
      <alignment shrinkToFit="0" wrapText="1"/>
    </xf>
    <xf borderId="0" fillId="0" fontId="3" numFmtId="164" xfId="0" applyAlignment="1" applyFont="1" applyNumberFormat="1">
      <alignment horizontal="center" readingOrder="0" vertical="center"/>
    </xf>
    <xf borderId="0" fillId="2" fontId="25" numFmtId="0" xfId="0" applyAlignment="1" applyFont="1">
      <alignment horizontal="center" readingOrder="0" vertical="center"/>
    </xf>
    <xf borderId="0" fillId="0" fontId="18" numFmtId="0" xfId="0" applyAlignment="1" applyFont="1">
      <alignment horizontal="center" readingOrder="2" shrinkToFit="0" vertical="center" wrapText="0"/>
    </xf>
    <xf borderId="0" fillId="0" fontId="18" numFmtId="0" xfId="0" applyAlignment="1" applyFont="1">
      <alignment horizontal="center" readingOrder="2" vertical="center"/>
    </xf>
    <xf borderId="0" fillId="0" fontId="3" numFmtId="0" xfId="0" applyAlignment="1" applyFont="1">
      <alignment horizontal="center" readingOrder="2" vertical="center"/>
    </xf>
    <xf borderId="0" fillId="2" fontId="5" numFmtId="0" xfId="0" applyAlignment="1" applyFont="1">
      <alignment horizontal="center" readingOrder="2" shrinkToFit="0" vertical="center" wrapText="0"/>
    </xf>
    <xf borderId="0" fillId="0" fontId="3" numFmtId="164" xfId="0" applyAlignment="1" applyFont="1" applyNumberFormat="1">
      <alignment horizontal="center" readingOrder="0" vertical="center"/>
    </xf>
    <xf borderId="0" fillId="0" fontId="3" numFmtId="49" xfId="0" applyAlignment="1" applyFont="1" applyNumberFormat="1">
      <alignment horizontal="center" readingOrder="0" vertical="center"/>
    </xf>
    <xf borderId="0" fillId="0" fontId="5" numFmtId="0" xfId="0" applyAlignment="1" applyFont="1">
      <alignment horizontal="center" readingOrder="0" shrinkToFit="0" vertical="center" wrapText="0"/>
    </xf>
    <xf borderId="0" fillId="0" fontId="2" numFmtId="46" xfId="0" applyAlignment="1" applyFont="1" applyNumberFormat="1">
      <alignment horizontal="center" readingOrder="0"/>
    </xf>
    <xf borderId="0" fillId="0" fontId="3" numFmtId="0" xfId="0" applyAlignment="1" applyFont="1">
      <alignment horizontal="center" readingOrder="2" shrinkToFit="0" vertical="center" wrapText="0"/>
    </xf>
    <xf borderId="0" fillId="0" fontId="3" numFmtId="49" xfId="0" applyAlignment="1" applyFont="1" applyNumberFormat="1">
      <alignment horizontal="center" vertical="center"/>
    </xf>
    <xf borderId="2" fillId="0" fontId="3" numFmtId="0" xfId="0" applyAlignment="1" applyBorder="1" applyFont="1">
      <alignment horizontal="center" readingOrder="2" vertical="center"/>
    </xf>
    <xf borderId="0" fillId="0" fontId="3" numFmtId="0" xfId="0" applyAlignment="1" applyFont="1">
      <alignment horizontal="center" readingOrder="1" shrinkToFit="0" vertical="center" wrapText="0"/>
    </xf>
    <xf borderId="0" fillId="0" fontId="26" numFmtId="0" xfId="0" applyAlignment="1" applyFont="1">
      <alignment horizontal="center" readingOrder="0" vertical="center"/>
    </xf>
    <xf borderId="0" fillId="0" fontId="3" numFmtId="164" xfId="0" applyAlignment="1" applyFont="1" applyNumberFormat="1">
      <alignment horizontal="center" vertical="center"/>
    </xf>
    <xf borderId="0" fillId="0" fontId="2" numFmtId="0" xfId="0" applyAlignment="1" applyFont="1">
      <alignment horizontal="center" vertical="center"/>
    </xf>
    <xf borderId="0" fillId="0" fontId="18" numFmtId="0" xfId="0" applyAlignment="1" applyFont="1">
      <alignment horizontal="center" vertical="center"/>
    </xf>
    <xf borderId="0" fillId="0" fontId="3" numFmtId="0" xfId="0" applyAlignment="1" applyFont="1">
      <alignment horizontal="center" vertical="center"/>
    </xf>
    <xf borderId="0" fillId="0" fontId="3" numFmtId="49" xfId="0" applyAlignment="1" applyFont="1" applyNumberFormat="1">
      <alignment horizontal="center" readingOrder="0" shrinkToFit="0" vertical="center" wrapText="0"/>
    </xf>
    <xf borderId="0" fillId="0" fontId="3" numFmtId="0" xfId="0" applyAlignment="1" applyFont="1">
      <alignment horizontal="center"/>
    </xf>
    <xf borderId="0" fillId="0" fontId="27" numFmtId="0" xfId="0" applyAlignment="1" applyFont="1">
      <alignment horizontal="center" readingOrder="2" vertical="center"/>
    </xf>
    <xf borderId="0" fillId="2" fontId="5" numFmtId="0" xfId="0" applyAlignment="1" applyFont="1">
      <alignment horizontal="center" readingOrder="0" shrinkToFit="0" vertical="center" wrapText="0"/>
    </xf>
    <xf borderId="0" fillId="0" fontId="28" numFmtId="0" xfId="0" applyAlignment="1" applyFont="1">
      <alignment horizontal="center" readingOrder="1" vertical="center"/>
    </xf>
    <xf borderId="0" fillId="2" fontId="5" numFmtId="0" xfId="0" applyAlignment="1" applyFont="1">
      <alignment horizontal="center" readingOrder="0" shrinkToFit="0" vertical="center" wrapText="0"/>
    </xf>
    <xf borderId="0" fillId="0" fontId="18" numFmtId="0" xfId="0" applyAlignment="1" applyFont="1">
      <alignment horizontal="center" readingOrder="0" vertical="center"/>
    </xf>
    <xf borderId="0" fillId="0" fontId="5" numFmtId="0" xfId="0" applyAlignment="1" applyFont="1">
      <alignment horizontal="center" readingOrder="0" vertical="center"/>
    </xf>
    <xf borderId="0" fillId="0" fontId="3" numFmtId="0" xfId="0" applyAlignment="1" applyFont="1">
      <alignment horizontal="center" readingOrder="0" vertical="center"/>
    </xf>
    <xf borderId="0" fillId="0" fontId="29" numFmtId="4" xfId="0" applyAlignment="1" applyFont="1" applyNumberFormat="1">
      <alignment horizontal="center" readingOrder="0" vertical="center"/>
    </xf>
    <xf borderId="0" fillId="4" fontId="3" numFmtId="0" xfId="0" applyAlignment="1" applyFill="1" applyFont="1">
      <alignment horizontal="center" readingOrder="0" vertical="center"/>
    </xf>
    <xf borderId="0" fillId="2" fontId="5" numFmtId="0" xfId="0" applyAlignment="1" applyFont="1">
      <alignment horizontal="center" readingOrder="0" shrinkToFit="0" vertical="center" wrapText="0"/>
    </xf>
    <xf borderId="0" fillId="2" fontId="5" numFmtId="0" xfId="0" applyAlignment="1" applyFont="1">
      <alignment horizontal="center" readingOrder="0" vertical="center"/>
    </xf>
    <xf borderId="0" fillId="0" fontId="30" numFmtId="0" xfId="0" applyAlignment="1" applyFont="1">
      <alignment horizontal="center" readingOrder="0"/>
    </xf>
    <xf borderId="0" fillId="0" fontId="3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3" fontId="5" numFmtId="0" xfId="0" applyAlignment="1" applyFont="1">
      <alignment horizontal="center" readingOrder="0" vertical="center"/>
    </xf>
    <xf borderId="0" fillId="3" fontId="19" numFmtId="0" xfId="0" applyAlignment="1" applyFont="1">
      <alignment horizontal="center" readingOrder="0" vertical="center"/>
    </xf>
    <xf borderId="0" fillId="0" fontId="3" numFmtId="0" xfId="0" applyAlignment="1" applyFont="1">
      <alignment horizontal="center" readingOrder="0" vertical="center"/>
    </xf>
    <xf borderId="2" fillId="0" fontId="3" numFmtId="0" xfId="0" applyAlignment="1" applyBorder="1" applyFont="1">
      <alignment horizontal="center" readingOrder="0" vertical="center"/>
    </xf>
    <xf borderId="0" fillId="0" fontId="32" numFmtId="0" xfId="0" applyAlignment="1" applyFont="1">
      <alignment horizontal="center" readingOrder="0" shrinkToFit="0" wrapText="0"/>
    </xf>
    <xf borderId="2" fillId="0" fontId="3" numFmtId="0" xfId="0" applyAlignment="1" applyBorder="1" applyFont="1">
      <alignment horizontal="center" readingOrder="0" vertical="center"/>
    </xf>
    <xf borderId="0" fillId="0" fontId="33" numFmtId="0" xfId="0" applyAlignment="1" applyFont="1">
      <alignment horizontal="center" vertical="center"/>
    </xf>
    <xf borderId="0" fillId="0" fontId="34" numFmtId="0" xfId="0" applyAlignment="1" applyFont="1">
      <alignment horizontal="center" vertical="center"/>
    </xf>
    <xf borderId="0" fillId="0" fontId="35" numFmtId="0" xfId="0" applyAlignment="1" applyFont="1">
      <alignment horizontal="center" vertical="center"/>
    </xf>
    <xf borderId="0" fillId="0" fontId="36" numFmtId="0" xfId="0" applyAlignment="1" applyFont="1">
      <alignment horizontal="center" vertical="center"/>
    </xf>
    <xf borderId="0" fillId="0" fontId="37" numFmtId="0" xfId="0" applyAlignment="1" applyFont="1">
      <alignment horizontal="center" vertical="center"/>
    </xf>
    <xf borderId="0" fillId="0" fontId="3" numFmtId="165" xfId="0" applyAlignment="1" applyFont="1" applyNumberFormat="1">
      <alignment horizontal="center" readingOrder="0" vertical="center"/>
    </xf>
    <xf borderId="0" fillId="0" fontId="5" numFmtId="0" xfId="0" applyAlignment="1" applyFont="1">
      <alignment horizontal="center" shrinkToFit="0" vertical="center" wrapText="0"/>
    </xf>
    <xf borderId="0" fillId="0" fontId="5" numFmtId="0" xfId="0" applyAlignment="1" applyFont="1">
      <alignment horizontal="center" vertical="center"/>
    </xf>
    <xf borderId="0" fillId="0" fontId="3" numFmtId="0" xfId="0" applyAlignment="1" applyFont="1">
      <alignment horizontal="center" shrinkToFit="0" vertical="center" wrapText="0"/>
    </xf>
    <xf borderId="0" fillId="0" fontId="18" numFmtId="0" xfId="0" applyAlignment="1" applyFont="1">
      <alignment horizontal="center" vertical="center"/>
    </xf>
    <xf borderId="0" fillId="0" fontId="38" numFmtId="0" xfId="0" applyAlignment="1" applyFont="1">
      <alignment horizontal="right" readingOrder="0" vertical="center"/>
    </xf>
    <xf borderId="0" fillId="0" fontId="2" numFmtId="0" xfId="0" applyAlignment="1" applyFont="1">
      <alignment readingOrder="0"/>
    </xf>
    <xf borderId="0" fillId="0" fontId="3" numFmtId="0" xfId="0" applyAlignment="1" applyFont="1">
      <alignment readingOrder="0"/>
    </xf>
    <xf borderId="0" fillId="0" fontId="39" numFmtId="0" xfId="0" applyAlignment="1" applyFont="1">
      <alignment horizontal="center" readingOrder="0"/>
    </xf>
    <xf borderId="0" fillId="0" fontId="40" numFmtId="0" xfId="0" applyAlignment="1" applyFont="1">
      <alignment horizontal="center" vertical="center"/>
    </xf>
    <xf borderId="0" fillId="0" fontId="1" numFmtId="0" xfId="0" applyAlignment="1" applyFont="1">
      <alignment horizontal="center" shrinkToFit="0" vertical="center" wrapText="0"/>
    </xf>
    <xf borderId="0" fillId="3" fontId="4" numFmtId="0" xfId="0" applyAlignment="1" applyFont="1">
      <alignment horizontal="center" vertical="center"/>
    </xf>
    <xf borderId="0" fillId="3" fontId="41" numFmtId="0" xfId="0" applyAlignment="1" applyFont="1">
      <alignment horizontal="center" vertical="center"/>
    </xf>
    <xf borderId="0" fillId="0" fontId="42" numFmtId="0" xfId="0" applyAlignment="1" applyFont="1">
      <alignment horizontal="center" readingOrder="0" vertical="center"/>
    </xf>
    <xf borderId="0" fillId="0" fontId="4" numFmtId="0" xfId="0" applyAlignment="1" applyFont="1">
      <alignment horizontal="center" readingOrder="0" shrinkToFit="0" vertical="bottom" wrapText="0"/>
    </xf>
    <xf borderId="0" fillId="0" fontId="1" numFmtId="0" xfId="0" applyAlignment="1" applyFont="1">
      <alignment horizontal="center" readingOrder="0" shrinkToFit="0" vertical="center" wrapText="0"/>
    </xf>
    <xf borderId="0" fillId="3" fontId="4" numFmtId="0" xfId="0" applyAlignment="1" applyFont="1">
      <alignment horizontal="center" readingOrder="0" vertical="center"/>
    </xf>
    <xf borderId="0" fillId="3" fontId="41" numFmtId="0" xfId="0" applyAlignment="1" applyFont="1">
      <alignment horizontal="center" readingOrder="0" vertical="center"/>
    </xf>
    <xf borderId="0" fillId="0" fontId="1" numFmtId="49" xfId="0" applyAlignment="1" applyFont="1" applyNumberFormat="1">
      <alignment horizontal="center" readingOrder="0" vertical="center"/>
    </xf>
    <xf borderId="0" fillId="0" fontId="40" numFmtId="0" xfId="0" applyAlignment="1" applyFont="1">
      <alignment horizontal="center" readingOrder="0" vertical="center"/>
    </xf>
    <xf borderId="0" fillId="0" fontId="1" numFmtId="0" xfId="0" applyAlignment="1" applyFont="1">
      <alignment horizontal="center" readingOrder="1" vertical="center"/>
    </xf>
    <xf borderId="0" fillId="0" fontId="1" numFmtId="0" xfId="0" applyAlignment="1" applyFont="1">
      <alignment horizontal="center" readingOrder="0" shrinkToFit="0" vertical="center" wrapText="0"/>
    </xf>
    <xf borderId="0" fillId="3" fontId="4" numFmtId="0" xfId="0" applyAlignment="1" applyFont="1">
      <alignment horizontal="center" readingOrder="0" vertical="center"/>
    </xf>
    <xf borderId="0" fillId="3" fontId="41" numFmtId="0" xfId="0" applyAlignment="1" applyFont="1">
      <alignment horizontal="center" readingOrder="0" vertical="center"/>
    </xf>
    <xf borderId="0" fillId="0" fontId="1" numFmtId="164" xfId="0" applyAlignment="1" applyFont="1" applyNumberForma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center" readingOrder="0" vertical="center"/>
    </xf>
    <xf borderId="0" fillId="4" fontId="3" numFmtId="0" xfId="0" applyAlignment="1" applyFont="1">
      <alignment horizontal="center" readingOrder="0" vertical="center"/>
    </xf>
    <xf borderId="0" fillId="0" fontId="3" numFmtId="0" xfId="0" applyAlignment="1" applyFont="1">
      <alignment horizontal="center" vertical="bottom"/>
    </xf>
    <xf borderId="0" fillId="0" fontId="3" numFmtId="0" xfId="0" applyAlignment="1" applyFont="1">
      <alignment horizontal="center"/>
    </xf>
    <xf borderId="0" fillId="0" fontId="18" numFmtId="0" xfId="0" applyAlignment="1" applyFont="1">
      <alignment horizontal="center"/>
    </xf>
    <xf borderId="0" fillId="0" fontId="3" numFmtId="0" xfId="0" applyAlignment="1" applyFont="1">
      <alignment horizontal="center" readingOrder="0"/>
    </xf>
    <xf borderId="0" fillId="0" fontId="35" numFmtId="0" xfId="0" applyFont="1"/>
    <xf borderId="0" fillId="0" fontId="2" numFmtId="0" xfId="0" applyAlignment="1" applyFont="1">
      <alignment horizontal="center" vertical="bottom"/>
    </xf>
    <xf borderId="0" fillId="0" fontId="2" numFmtId="0" xfId="0" applyAlignment="1" applyFont="1">
      <alignment horizontal="center"/>
    </xf>
    <xf borderId="0" fillId="0" fontId="43" numFmtId="0" xfId="0" applyAlignment="1" applyFont="1">
      <alignment horizontal="center"/>
    </xf>
    <xf borderId="2" fillId="0" fontId="3" numFmtId="0" xfId="0" applyAlignment="1" applyBorder="1" applyFont="1">
      <alignment horizontal="center"/>
    </xf>
    <xf borderId="0" fillId="0" fontId="44" numFmtId="0" xfId="0" applyFont="1"/>
    <xf borderId="0" fillId="0" fontId="2" numFmtId="0" xfId="0" applyAlignment="1" applyFont="1">
      <alignment horizontal="center" shrinkToFit="0" wrapText="0"/>
    </xf>
    <xf borderId="0" fillId="3" fontId="16" numFmtId="0" xfId="0" applyAlignment="1" applyFont="1">
      <alignment horizontal="center"/>
    </xf>
    <xf borderId="0" fillId="3" fontId="22" numFmtId="0" xfId="0" applyAlignment="1" applyFont="1">
      <alignment horizontal="center"/>
    </xf>
    <xf borderId="0" fillId="0" fontId="3" numFmtId="0" xfId="0" applyAlignment="1" applyFont="1">
      <alignment horizontal="center" shrinkToFit="0" wrapText="0"/>
    </xf>
    <xf borderId="0" fillId="3" fontId="5" numFmtId="0" xfId="0" applyAlignment="1" applyFont="1">
      <alignment horizontal="center"/>
    </xf>
    <xf borderId="0" fillId="3" fontId="19" numFmtId="0" xfId="0" applyAlignment="1" applyFont="1">
      <alignment horizontal="center"/>
    </xf>
    <xf borderId="0" fillId="4" fontId="3" numFmtId="0" xfId="0" applyAlignment="1" applyFont="1">
      <alignment horizontal="center" readingOrder="0" vertical="center"/>
    </xf>
    <xf borderId="0" fillId="0" fontId="45" numFmtId="0" xfId="0" applyAlignment="1" applyFont="1">
      <alignment horizontal="center" readingOrder="0"/>
    </xf>
    <xf borderId="0" fillId="0" fontId="3" numFmtId="164" xfId="0" applyAlignment="1" applyFont="1" applyNumberFormat="1">
      <alignment horizontal="center" readingOrder="0"/>
    </xf>
    <xf borderId="0" fillId="0" fontId="3" numFmtId="164" xfId="0" applyAlignment="1" applyFont="1" applyNumberFormat="1">
      <alignment horizontal="center"/>
    </xf>
    <xf borderId="0" fillId="0" fontId="3" numFmtId="166" xfId="0" applyAlignment="1" applyFont="1" applyNumberFormat="1">
      <alignment horizontal="center" readingOrder="0" vertical="center"/>
    </xf>
    <xf borderId="0" fillId="0" fontId="16" numFmtId="0" xfId="0" applyAlignment="1" applyFont="1">
      <alignment horizontal="center" readingOrder="0" shrinkToFit="0" vertical="center" wrapText="0"/>
    </xf>
    <xf borderId="0" fillId="0" fontId="2" numFmtId="49" xfId="0" applyAlignment="1" applyFont="1" applyNumberFormat="1">
      <alignment horizontal="center" readingOrder="0"/>
    </xf>
    <xf borderId="0" fillId="0" fontId="16" numFmtId="0" xfId="0" applyAlignment="1" applyFont="1">
      <alignment horizontal="center" shrinkToFit="0" vertical="bottom" wrapText="0"/>
    </xf>
    <xf borderId="0" fillId="0" fontId="2" numFmtId="49" xfId="0" applyAlignment="1" applyFont="1" applyNumberFormat="1">
      <alignment horizontal="center"/>
    </xf>
    <xf borderId="0" fillId="0" fontId="1" numFmtId="49" xfId="0" applyAlignment="1" applyFont="1" applyNumberFormat="1">
      <alignment horizontal="center" vertical="center"/>
    </xf>
    <xf borderId="0" fillId="0" fontId="16" numFmtId="0" xfId="0" applyAlignment="1" applyFont="1">
      <alignment horizontal="center" shrinkToFit="0" vertical="bottom" wrapText="0"/>
    </xf>
    <xf borderId="0" fillId="0" fontId="46" numFmtId="0" xfId="0" applyAlignment="1" applyFont="1">
      <alignment shrinkToFit="0" vertical="bottom" wrapText="0"/>
    </xf>
    <xf borderId="0" fillId="0" fontId="3" numFmtId="0" xfId="0" applyAlignment="1" applyFont="1">
      <alignment horizontal="right" shrinkToFit="0" vertical="center" wrapText="0"/>
    </xf>
    <xf borderId="0" fillId="3" fontId="5" numFmtId="0" xfId="0" applyAlignment="1" applyFont="1">
      <alignment horizontal="right" vertical="center"/>
    </xf>
    <xf borderId="0" fillId="3" fontId="19" numFmtId="0" xfId="0" applyAlignment="1" applyFont="1">
      <alignment horizontal="right" vertical="center"/>
    </xf>
    <xf borderId="0" fillId="0" fontId="3" numFmtId="0" xfId="0" applyAlignment="1" applyFont="1">
      <alignment horizontal="right" vertical="center"/>
    </xf>
    <xf borderId="3" fillId="0" fontId="3" numFmtId="0" xfId="0" applyAlignment="1" applyBorder="1" applyFont="1">
      <alignment horizontal="center" vertical="center"/>
    </xf>
    <xf borderId="0" fillId="0" fontId="47" numFmtId="0" xfId="0" applyFont="1"/>
    <xf borderId="0" fillId="0" fontId="47" numFmtId="0" xfId="0" applyAlignment="1" applyFont="1">
      <alignment horizontal="center" readingOrder="2"/>
    </xf>
    <xf borderId="0" fillId="0" fontId="47" numFmtId="0" xfId="0" applyAlignment="1" applyFont="1">
      <alignment readingOrder="0"/>
    </xf>
    <xf borderId="0" fillId="0" fontId="48" numFmtId="0" xfId="0" applyAlignment="1" applyFont="1">
      <alignment readingOrder="0"/>
    </xf>
    <xf borderId="0" fillId="0" fontId="2" numFmtId="0" xfId="0" applyAlignment="1" applyFont="1">
      <alignment horizontal="center" readingOrder="2"/>
    </xf>
    <xf borderId="0" fillId="5" fontId="47" numFmtId="0" xfId="0" applyAlignment="1" applyFill="1" applyFont="1">
      <alignment readingOrder="0"/>
    </xf>
    <xf borderId="0" fillId="5" fontId="48" numFmtId="0" xfId="0" applyAlignment="1" applyFont="1">
      <alignment readingOrder="0"/>
    </xf>
    <xf borderId="0" fillId="0" fontId="2" numFmtId="0" xfId="0" applyAlignment="1" applyFont="1">
      <alignment horizontal="center" readingOrder="2"/>
    </xf>
    <xf borderId="0" fillId="0" fontId="47" numFmtId="0" xfId="0" applyAlignment="1" applyFont="1">
      <alignment readingOrder="0"/>
    </xf>
    <xf borderId="0" fillId="6" fontId="49" numFmtId="0" xfId="0" applyAlignment="1" applyFill="1" applyFont="1">
      <alignment readingOrder="0"/>
    </xf>
    <xf borderId="0" fillId="6" fontId="48" numFmtId="0" xfId="0" applyAlignment="1" applyFont="1">
      <alignment readingOrder="0"/>
    </xf>
    <xf borderId="0" fillId="0" fontId="49" numFmtId="0" xfId="0" applyAlignment="1" applyFont="1">
      <alignment readingOrder="0"/>
    </xf>
    <xf borderId="0" fillId="5" fontId="49" numFmtId="0" xfId="0" applyAlignment="1" applyFont="1">
      <alignment readingOrder="0"/>
    </xf>
    <xf borderId="0" fillId="5" fontId="50" numFmtId="0" xfId="0" applyAlignment="1" applyFont="1">
      <alignment readingOrder="0"/>
    </xf>
    <xf borderId="0" fillId="6" fontId="47" numFmtId="0" xfId="0" applyAlignment="1" applyFont="1">
      <alignment readingOrder="0"/>
    </xf>
    <xf borderId="0" fillId="4" fontId="47" numFmtId="0" xfId="0" applyAlignment="1" applyFont="1">
      <alignment readingOrder="0"/>
    </xf>
    <xf borderId="0" fillId="6" fontId="47" numFmtId="0" xfId="0" applyAlignment="1" applyFont="1">
      <alignment horizontal="left" readingOrder="0" vertical="center"/>
    </xf>
    <xf borderId="0" fillId="0" fontId="47" numFmtId="0" xfId="0" applyAlignment="1" applyFont="1">
      <alignment horizontal="right" readingOrder="0"/>
    </xf>
    <xf borderId="0" fillId="0" fontId="50" numFmtId="0" xfId="0" applyAlignment="1" applyFont="1">
      <alignment readingOrder="0"/>
    </xf>
    <xf borderId="0" fillId="0" fontId="51" numFmtId="0" xfId="0" applyAlignment="1" applyFont="1">
      <alignment vertical="bottom"/>
    </xf>
    <xf borderId="0" fillId="0" fontId="51" numFmtId="0" xfId="0" applyAlignment="1" applyFont="1">
      <alignment readingOrder="0" vertical="bottom"/>
    </xf>
    <xf borderId="0" fillId="5" fontId="51" numFmtId="0" xfId="0" applyAlignment="1" applyFont="1">
      <alignment readingOrder="0" vertical="bottom"/>
    </xf>
    <xf borderId="0" fillId="5" fontId="51" numFmtId="0" xfId="0" applyAlignment="1" applyFont="1">
      <alignment vertical="bottom"/>
    </xf>
    <xf borderId="0" fillId="5" fontId="52" numFmtId="0" xfId="0" applyAlignment="1" applyFont="1">
      <alignment readingOrder="0" vertical="bottom"/>
    </xf>
    <xf borderId="0" fillId="0" fontId="52" numFmtId="0" xfId="0" applyAlignment="1" applyFont="1">
      <alignment readingOrder="0" vertical="bottom"/>
    </xf>
    <xf borderId="0" fillId="6" fontId="51" numFmtId="0" xfId="0" applyAlignment="1" applyFont="1">
      <alignment readingOrder="0" vertical="bottom"/>
    </xf>
    <xf borderId="0" fillId="6" fontId="52" numFmtId="0" xfId="0" applyAlignment="1" applyFont="1">
      <alignment readingOrder="0" vertical="bottom"/>
    </xf>
    <xf borderId="0" fillId="0" fontId="47" numFmtId="0" xfId="0" applyAlignment="1" applyFont="1">
      <alignment horizontal="right" readingOrder="2"/>
    </xf>
    <xf borderId="0" fillId="0" fontId="47" numFmtId="0" xfId="0" applyFont="1"/>
    <xf borderId="0" fillId="0" fontId="53" numFmtId="0" xfId="0" applyAlignment="1" applyFont="1">
      <alignment readingOrder="0"/>
    </xf>
    <xf borderId="0" fillId="0" fontId="54" numFmtId="0" xfId="0" applyAlignment="1" applyFont="1">
      <alignment readingOrder="0"/>
    </xf>
    <xf borderId="0" fillId="0" fontId="51" numFmtId="0" xfId="0" applyAlignment="1" applyFont="1">
      <alignment readingOrder="0"/>
    </xf>
    <xf borderId="0" fillId="7" fontId="47" numFmtId="0" xfId="0" applyFill="1" applyFont="1"/>
    <xf borderId="0" fillId="7" fontId="48" numFmtId="0" xfId="0" applyAlignment="1" applyFont="1">
      <alignment readingOrder="0"/>
    </xf>
    <xf borderId="0" fillId="7" fontId="47" numFmtId="0" xfId="0" applyAlignment="1" applyFont="1">
      <alignment horizontal="right" readingOrder="0"/>
    </xf>
    <xf borderId="0" fillId="0" fontId="55" numFmtId="0" xfId="0" applyAlignment="1" applyFont="1">
      <alignment horizontal="center" vertical="center"/>
    </xf>
    <xf borderId="0" fillId="0" fontId="56" numFmtId="0" xfId="0" applyAlignment="1" applyFont="1">
      <alignment horizontal="center" readingOrder="0" vertical="center"/>
    </xf>
    <xf borderId="0" fillId="0" fontId="57" numFmtId="0" xfId="0" applyAlignment="1" applyFont="1">
      <alignment horizontal="center" readingOrder="0" shrinkToFit="0" vertical="center" wrapText="1"/>
    </xf>
    <xf borderId="0" fillId="8" fontId="3" numFmtId="0" xfId="0" applyAlignment="1" applyFill="1" applyFont="1">
      <alignment horizontal="center" readingOrder="0" vertical="center"/>
    </xf>
    <xf borderId="0" fillId="8" fontId="1" numFmtId="0" xfId="0" applyAlignment="1" applyFont="1">
      <alignment horizontal="center" vertical="bottom"/>
    </xf>
    <xf borderId="0" fillId="8" fontId="2" numFmtId="0" xfId="0" applyAlignment="1" applyFont="1">
      <alignment horizontal="center" vertical="bottom"/>
    </xf>
    <xf borderId="0" fillId="8" fontId="2" numFmtId="0" xfId="0" applyAlignment="1" applyFont="1">
      <alignment horizontal="center" readingOrder="0" shrinkToFit="0" vertical="bottom" wrapText="1"/>
    </xf>
    <xf borderId="0" fillId="8" fontId="3" numFmtId="0" xfId="0" applyAlignment="1" applyFont="1">
      <alignment horizontal="center"/>
    </xf>
    <xf borderId="0" fillId="8" fontId="2" numFmtId="0" xfId="0" applyAlignment="1" applyFont="1">
      <alignment horizontal="center" shrinkToFit="0" wrapText="1"/>
    </xf>
    <xf borderId="0" fillId="0" fontId="1" numFmtId="0" xfId="0" applyAlignment="1" applyFont="1">
      <alignment horizontal="center" vertical="bottom"/>
    </xf>
    <xf borderId="0" fillId="5" fontId="3" numFmtId="0" xfId="0" applyAlignment="1" applyFont="1">
      <alignment horizontal="center" readingOrder="0" vertical="center"/>
    </xf>
    <xf borderId="0" fillId="5" fontId="3" numFmtId="0" xfId="0" applyAlignment="1" applyFont="1">
      <alignment horizontal="center" vertical="center"/>
    </xf>
    <xf borderId="0" fillId="5" fontId="3" numFmtId="0" xfId="0" applyAlignment="1" applyFont="1">
      <alignment horizontal="center" readingOrder="0" shrinkToFit="0" vertical="center" wrapText="1"/>
    </xf>
    <xf borderId="0" fillId="5" fontId="3" numFmtId="0" xfId="0" applyAlignment="1" applyFont="1">
      <alignment horizontal="center"/>
    </xf>
    <xf borderId="0" fillId="5" fontId="2" numFmtId="0" xfId="0" applyAlignment="1" applyFont="1">
      <alignment horizontal="center" shrinkToFit="0" wrapText="1"/>
    </xf>
    <xf borderId="0" fillId="5" fontId="1" numFmtId="0" xfId="0" applyAlignment="1" applyFont="1">
      <alignment horizontal="center" vertical="bottom"/>
    </xf>
    <xf borderId="0" fillId="5" fontId="2" numFmtId="0" xfId="0" applyAlignment="1" applyFont="1">
      <alignment horizontal="center" vertical="bottom"/>
    </xf>
    <xf borderId="0" fillId="5" fontId="3" numFmtId="0" xfId="0" applyAlignment="1" applyFont="1">
      <alignment horizontal="center" shrinkToFit="0" vertical="center" wrapText="1"/>
    </xf>
    <xf borderId="0" fillId="0" fontId="2" numFmtId="0" xfId="0" applyAlignment="1" applyFont="1">
      <alignment horizontal="center" readingOrder="0" vertical="bottom"/>
    </xf>
    <xf borderId="0" fillId="5" fontId="5" numFmtId="0" xfId="0" applyAlignment="1" applyFont="1">
      <alignment horizontal="center" readingOrder="0" vertical="center"/>
    </xf>
    <xf borderId="0" fillId="5" fontId="2" numFmtId="0" xfId="0" applyAlignment="1" applyFont="1">
      <alignment horizontal="center" readingOrder="0"/>
    </xf>
    <xf borderId="0" fillId="5" fontId="2" numFmtId="0" xfId="0" applyAlignment="1" applyFont="1">
      <alignment horizontal="center" readingOrder="0"/>
    </xf>
    <xf borderId="0" fillId="5" fontId="2" numFmtId="0" xfId="0" applyAlignment="1" applyFont="1">
      <alignment horizontal="center" readingOrder="0" shrinkToFit="0" wrapText="1"/>
    </xf>
    <xf borderId="0" fillId="9" fontId="3" numFmtId="0" xfId="0" applyAlignment="1" applyFill="1" applyFont="1">
      <alignment horizontal="center" readingOrder="0" vertical="center"/>
    </xf>
    <xf borderId="0" fillId="9" fontId="3" numFmtId="0" xfId="0" applyAlignment="1" applyFont="1">
      <alignment horizontal="center" vertical="center"/>
    </xf>
    <xf borderId="0" fillId="9" fontId="3" numFmtId="0" xfId="0" applyAlignment="1" applyFont="1">
      <alignment horizontal="center" readingOrder="0" shrinkToFit="0" vertical="center" wrapText="1"/>
    </xf>
    <xf borderId="0" fillId="9" fontId="3" numFmtId="0" xfId="0" applyAlignment="1" applyFont="1">
      <alignment horizontal="center"/>
    </xf>
    <xf borderId="0" fillId="9" fontId="2" numFmtId="0" xfId="0" applyAlignment="1" applyFont="1">
      <alignment horizontal="center" shrinkToFit="0" wrapText="1"/>
    </xf>
    <xf borderId="0" fillId="0" fontId="1" numFmtId="0" xfId="0" applyAlignment="1" applyFont="1">
      <alignment horizontal="center" readingOrder="0" vertical="bottom"/>
    </xf>
    <xf borderId="0" fillId="9" fontId="2" numFmtId="0" xfId="0" applyAlignment="1" applyFont="1">
      <alignment horizontal="center" readingOrder="0" shrinkToFit="0" wrapText="1"/>
    </xf>
    <xf borderId="0" fillId="9" fontId="3" numFmtId="0" xfId="0" applyAlignment="1" applyFont="1">
      <alignment horizontal="center" readingOrder="0" vertical="center"/>
    </xf>
    <xf borderId="0" fillId="2" fontId="1" numFmtId="0" xfId="0" applyAlignment="1" applyFont="1">
      <alignment horizontal="center" vertical="bottom"/>
    </xf>
    <xf borderId="0" fillId="9" fontId="3" numFmtId="0" xfId="0" applyAlignment="1" applyFont="1">
      <alignment horizontal="center" shrinkToFit="0" vertical="center" wrapText="1"/>
    </xf>
    <xf borderId="0" fillId="9" fontId="1" numFmtId="0" xfId="0" applyAlignment="1" applyFont="1">
      <alignment horizontal="center" readingOrder="0"/>
    </xf>
    <xf borderId="0" fillId="0" fontId="30" numFmtId="0" xfId="0" applyAlignment="1" applyFont="1">
      <alignment readingOrder="0"/>
    </xf>
    <xf borderId="0" fillId="9" fontId="1" numFmtId="0" xfId="0" applyAlignment="1" applyFont="1">
      <alignment horizontal="center" vertical="bottom"/>
    </xf>
    <xf borderId="0" fillId="9" fontId="2" numFmtId="0" xfId="0" applyAlignment="1" applyFont="1">
      <alignment horizontal="center" vertical="bottom"/>
    </xf>
    <xf borderId="0" fillId="9" fontId="1" numFmtId="0" xfId="0" applyAlignment="1" applyFont="1">
      <alignment horizontal="center"/>
    </xf>
    <xf borderId="0" fillId="10" fontId="3" numFmtId="0" xfId="0" applyAlignment="1" applyFill="1" applyFont="1">
      <alignment horizontal="center" readingOrder="0" vertical="center"/>
    </xf>
    <xf borderId="0" fillId="10" fontId="1" numFmtId="0" xfId="0" applyAlignment="1" applyFont="1">
      <alignment horizontal="center" vertical="bottom"/>
    </xf>
    <xf borderId="0" fillId="10" fontId="2" numFmtId="0" xfId="0" applyAlignment="1" applyFont="1">
      <alignment horizontal="center" vertical="bottom"/>
    </xf>
    <xf borderId="0" fillId="10" fontId="3" numFmtId="0" xfId="0" applyAlignment="1" applyFont="1">
      <alignment horizontal="center" shrinkToFit="0" vertical="center" wrapText="1"/>
    </xf>
    <xf borderId="0" fillId="10" fontId="3" numFmtId="0" xfId="0" applyAlignment="1" applyFont="1">
      <alignment horizontal="center"/>
    </xf>
    <xf borderId="0" fillId="10" fontId="2" numFmtId="0" xfId="0" applyAlignment="1" applyFont="1">
      <alignment horizontal="center" shrinkToFit="0" wrapText="1"/>
    </xf>
    <xf borderId="0" fillId="10" fontId="2" numFmtId="0" xfId="0" applyAlignment="1" applyFont="1">
      <alignment horizontal="center" readingOrder="0" vertical="bottom"/>
    </xf>
    <xf borderId="0" fillId="10" fontId="3" numFmtId="0" xfId="0" applyAlignment="1" applyFont="1">
      <alignment horizontal="center" readingOrder="0" vertical="center"/>
    </xf>
    <xf borderId="0" fillId="10" fontId="30" numFmtId="0" xfId="0" applyAlignment="1" applyFont="1">
      <alignment readingOrder="0"/>
    </xf>
    <xf borderId="0" fillId="10" fontId="3" numFmtId="0" xfId="0" applyAlignment="1" applyFont="1">
      <alignment horizontal="center" vertical="center"/>
    </xf>
    <xf borderId="0" fillId="11" fontId="3" numFmtId="0" xfId="0" applyAlignment="1" applyFill="1" applyFont="1">
      <alignment horizontal="center" readingOrder="0" vertical="center"/>
    </xf>
    <xf borderId="0" fillId="11" fontId="3" numFmtId="0" xfId="0" applyAlignment="1" applyFont="1">
      <alignment horizontal="center" vertical="center"/>
    </xf>
    <xf borderId="0" fillId="11" fontId="3" numFmtId="0" xfId="0" applyAlignment="1" applyFont="1">
      <alignment horizontal="center" shrinkToFit="0" vertical="center" wrapText="1"/>
    </xf>
    <xf borderId="0" fillId="11" fontId="3" numFmtId="0" xfId="0" applyAlignment="1" applyFont="1">
      <alignment horizontal="center"/>
    </xf>
    <xf borderId="0" fillId="11" fontId="2" numFmtId="0" xfId="0" applyAlignment="1" applyFont="1">
      <alignment horizontal="center" shrinkToFit="0" wrapText="1"/>
    </xf>
    <xf borderId="0" fillId="11" fontId="3" numFmtId="0" xfId="0" applyAlignment="1" applyFont="1">
      <alignment horizontal="center" readingOrder="0" vertical="center"/>
    </xf>
    <xf borderId="0" fillId="11" fontId="1" numFmtId="0" xfId="0" applyAlignment="1" applyFont="1">
      <alignment horizontal="center" readingOrder="0"/>
    </xf>
    <xf borderId="0" fillId="11" fontId="1" numFmtId="0" xfId="0" applyAlignment="1" applyFont="1">
      <alignment horizontal="center"/>
    </xf>
    <xf borderId="0" fillId="12" fontId="3" numFmtId="0" xfId="0" applyAlignment="1" applyFill="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center" shrinkToFit="0" vertical="center" wrapText="1"/>
    </xf>
    <xf borderId="0" fillId="12" fontId="3" numFmtId="0" xfId="0" applyAlignment="1" applyFont="1">
      <alignment horizontal="center"/>
    </xf>
    <xf borderId="0" fillId="12" fontId="2" numFmtId="0" xfId="0" applyAlignment="1" applyFont="1">
      <alignment horizontal="center" shrinkToFit="0" wrapText="1"/>
    </xf>
    <xf borderId="0" fillId="13" fontId="3" numFmtId="0" xfId="0" applyAlignment="1" applyFill="1" applyFont="1">
      <alignment horizontal="center" readingOrder="0" vertical="center"/>
    </xf>
    <xf borderId="0" fillId="13" fontId="2" numFmtId="0" xfId="0" applyAlignment="1" applyFont="1">
      <alignment horizontal="center"/>
    </xf>
    <xf borderId="0" fillId="13" fontId="2" numFmtId="0" xfId="0" applyAlignment="1" applyFont="1">
      <alignment horizontal="center" readingOrder="0" vertical="bottom"/>
    </xf>
    <xf borderId="0" fillId="13" fontId="3" numFmtId="0" xfId="0" applyAlignment="1" applyFont="1">
      <alignment horizontal="center" shrinkToFit="0" vertical="center" wrapText="1"/>
    </xf>
    <xf borderId="0" fillId="13" fontId="3" numFmtId="0" xfId="0" applyAlignment="1" applyFont="1">
      <alignment horizontal="center"/>
    </xf>
    <xf borderId="0" fillId="13" fontId="2" numFmtId="0" xfId="0" applyAlignment="1" applyFont="1">
      <alignment horizontal="center" shrinkToFit="0" wrapText="1"/>
    </xf>
    <xf borderId="0" fillId="13" fontId="1" numFmtId="0" xfId="0" applyAlignment="1" applyFont="1">
      <alignment horizontal="center" vertical="bottom"/>
    </xf>
    <xf borderId="0" fillId="13" fontId="2" numFmtId="0" xfId="0" applyAlignment="1" applyFont="1">
      <alignment horizontal="center" vertical="bottom"/>
    </xf>
    <xf borderId="0" fillId="13" fontId="3" numFmtId="0" xfId="0" applyAlignment="1" applyFont="1">
      <alignment horizontal="center" vertical="center"/>
    </xf>
    <xf borderId="0" fillId="14" fontId="3" numFmtId="0" xfId="0" applyAlignment="1" applyFill="1" applyFont="1">
      <alignment horizontal="center" readingOrder="0" vertical="center"/>
    </xf>
    <xf borderId="0" fillId="14" fontId="3" numFmtId="0" xfId="0" applyAlignment="1" applyFont="1">
      <alignment horizontal="center" vertical="center"/>
    </xf>
    <xf borderId="0" fillId="14" fontId="3" numFmtId="0" xfId="0" applyAlignment="1" applyFont="1">
      <alignment horizontal="center" shrinkToFit="0" vertical="center" wrapText="1"/>
    </xf>
    <xf borderId="0" fillId="14" fontId="3" numFmtId="0" xfId="0" applyAlignment="1" applyFont="1">
      <alignment horizontal="center"/>
    </xf>
    <xf borderId="0" fillId="14" fontId="2" numFmtId="0" xfId="0" applyAlignment="1" applyFont="1">
      <alignment horizontal="center" shrinkToFit="0" wrapText="1"/>
    </xf>
    <xf borderId="0" fillId="14" fontId="3" numFmtId="0" xfId="0" applyAlignment="1" applyFont="1">
      <alignment horizontal="center" readingOrder="0" vertical="center"/>
    </xf>
    <xf borderId="0" fillId="15" fontId="3" numFmtId="0" xfId="0" applyAlignment="1" applyFill="1" applyFont="1">
      <alignment horizontal="center" readingOrder="0" vertical="center"/>
    </xf>
    <xf borderId="0" fillId="15" fontId="3" numFmtId="0" xfId="0" applyAlignment="1" applyFont="1">
      <alignment horizontal="center" vertical="center"/>
    </xf>
    <xf borderId="0" fillId="15" fontId="3" numFmtId="0" xfId="0" applyAlignment="1" applyFont="1">
      <alignment horizontal="center" shrinkToFit="0" vertical="center" wrapText="1"/>
    </xf>
    <xf borderId="0" fillId="15" fontId="3" numFmtId="0" xfId="0" applyAlignment="1" applyFont="1">
      <alignment horizontal="center"/>
    </xf>
    <xf borderId="0" fillId="15" fontId="2" numFmtId="0" xfId="0" applyAlignment="1" applyFont="1">
      <alignment horizontal="center" shrinkToFit="0" wrapText="1"/>
    </xf>
    <xf borderId="0" fillId="15" fontId="3" numFmtId="0" xfId="0" applyAlignment="1" applyFont="1">
      <alignment horizontal="center" readingOrder="0" vertical="center"/>
    </xf>
    <xf borderId="0" fillId="16" fontId="3" numFmtId="0" xfId="0" applyAlignment="1" applyFill="1" applyFont="1">
      <alignment horizontal="center" readingOrder="0" vertical="center"/>
    </xf>
    <xf borderId="0" fillId="16" fontId="3" numFmtId="0" xfId="0" applyAlignment="1" applyFont="1">
      <alignment horizontal="center" vertical="center"/>
    </xf>
    <xf borderId="0" fillId="16" fontId="3" numFmtId="0" xfId="0" applyAlignment="1" applyFont="1">
      <alignment horizontal="center" shrinkToFit="0" vertical="center" wrapText="1"/>
    </xf>
    <xf borderId="0" fillId="16" fontId="3" numFmtId="0" xfId="0" applyAlignment="1" applyFont="1">
      <alignment horizontal="center"/>
    </xf>
    <xf borderId="0" fillId="16" fontId="2" numFmtId="0" xfId="0" applyAlignment="1" applyFont="1">
      <alignment horizontal="center" shrinkToFit="0" wrapText="1"/>
    </xf>
    <xf borderId="0" fillId="17" fontId="3" numFmtId="0" xfId="0" applyAlignment="1" applyFill="1" applyFont="1">
      <alignment horizontal="center" readingOrder="0" vertical="center"/>
    </xf>
    <xf borderId="0" fillId="17" fontId="3" numFmtId="0" xfId="0" applyAlignment="1" applyFont="1">
      <alignment horizontal="center" vertical="center"/>
    </xf>
    <xf borderId="0" fillId="17" fontId="3" numFmtId="0" xfId="0" applyAlignment="1" applyFont="1">
      <alignment horizontal="center" shrinkToFit="0" vertical="center" wrapText="1"/>
    </xf>
    <xf borderId="0" fillId="17" fontId="3" numFmtId="0" xfId="0" applyAlignment="1" applyFont="1">
      <alignment horizontal="center"/>
    </xf>
    <xf borderId="0" fillId="17" fontId="2" numFmtId="0" xfId="0" applyAlignment="1" applyFont="1">
      <alignment horizontal="center" shrinkToFit="0" wrapText="1"/>
    </xf>
    <xf borderId="0" fillId="17" fontId="3" numFmtId="0" xfId="0" applyAlignment="1" applyFont="1">
      <alignment horizontal="center" readingOrder="0" vertical="center"/>
    </xf>
    <xf borderId="0" fillId="18" fontId="3" numFmtId="0" xfId="0" applyAlignment="1" applyFill="1" applyFont="1">
      <alignment horizontal="center" readingOrder="0" vertical="center"/>
    </xf>
    <xf borderId="0" fillId="18" fontId="3" numFmtId="0" xfId="0" applyAlignment="1" applyFont="1">
      <alignment horizontal="center" vertical="center"/>
    </xf>
    <xf borderId="0" fillId="18" fontId="3" numFmtId="0" xfId="0" applyAlignment="1" applyFont="1">
      <alignment horizontal="center" shrinkToFit="0" vertical="center" wrapText="1"/>
    </xf>
    <xf borderId="0" fillId="18" fontId="3" numFmtId="0" xfId="0" applyAlignment="1" applyFont="1">
      <alignment horizontal="center"/>
    </xf>
    <xf borderId="0" fillId="18" fontId="2" numFmtId="0" xfId="0" applyAlignment="1" applyFont="1">
      <alignment horizontal="center" shrinkToFit="0" wrapText="1"/>
    </xf>
    <xf borderId="0" fillId="19" fontId="3" numFmtId="0" xfId="0" applyAlignment="1" applyFill="1" applyFont="1">
      <alignment horizontal="center" readingOrder="0" vertical="center"/>
    </xf>
    <xf borderId="0" fillId="19" fontId="3" numFmtId="0" xfId="0" applyAlignment="1" applyFont="1">
      <alignment horizontal="center" vertical="center"/>
    </xf>
    <xf borderId="0" fillId="19" fontId="3" numFmtId="0" xfId="0" applyAlignment="1" applyFont="1">
      <alignment horizontal="center" shrinkToFit="0" vertical="center" wrapText="1"/>
    </xf>
    <xf borderId="0" fillId="19" fontId="3" numFmtId="0" xfId="0" applyAlignment="1" applyFont="1">
      <alignment horizontal="center"/>
    </xf>
    <xf borderId="0" fillId="19" fontId="2" numFmtId="0" xfId="0" applyAlignment="1" applyFont="1">
      <alignment horizontal="center" shrinkToFit="0" wrapText="1"/>
    </xf>
    <xf borderId="0" fillId="20" fontId="3" numFmtId="0" xfId="0" applyAlignment="1" applyFill="1" applyFont="1">
      <alignment horizontal="center" readingOrder="0" vertical="center"/>
    </xf>
    <xf borderId="0" fillId="20" fontId="3" numFmtId="0" xfId="0" applyAlignment="1" applyFont="1">
      <alignment horizontal="center" vertical="center"/>
    </xf>
    <xf borderId="0" fillId="20" fontId="3" numFmtId="0" xfId="0" applyAlignment="1" applyFont="1">
      <alignment horizontal="center" shrinkToFit="0" vertical="center" wrapText="1"/>
    </xf>
    <xf borderId="0" fillId="20" fontId="3" numFmtId="0" xfId="0" applyAlignment="1" applyFont="1">
      <alignment horizontal="center"/>
    </xf>
    <xf borderId="0" fillId="20" fontId="2" numFmtId="0" xfId="0" applyAlignment="1" applyFont="1">
      <alignment horizontal="center" shrinkToFit="0" wrapText="1"/>
    </xf>
    <xf borderId="0" fillId="21" fontId="3" numFmtId="0" xfId="0" applyAlignment="1" applyFill="1" applyFont="1">
      <alignment horizontal="center" readingOrder="0" vertical="center"/>
    </xf>
    <xf borderId="0" fillId="21" fontId="3" numFmtId="0" xfId="0" applyAlignment="1" applyFont="1">
      <alignment horizontal="center" readingOrder="0" vertical="center"/>
    </xf>
    <xf borderId="0" fillId="21" fontId="3" numFmtId="0" xfId="0" applyAlignment="1" applyFont="1">
      <alignment horizontal="center" readingOrder="0" shrinkToFit="0" vertical="center" wrapText="1"/>
    </xf>
    <xf borderId="0" fillId="21" fontId="3" numFmtId="0" xfId="0" applyAlignment="1" applyFont="1">
      <alignment horizontal="center"/>
    </xf>
    <xf borderId="0" fillId="21" fontId="2" numFmtId="0" xfId="0" applyAlignment="1" applyFont="1">
      <alignment horizontal="center" shrinkToFit="0" wrapText="1"/>
    </xf>
    <xf borderId="0" fillId="21" fontId="1" numFmtId="0" xfId="0" applyAlignment="1" applyFont="1">
      <alignment horizontal="center" readingOrder="0"/>
    </xf>
    <xf borderId="0" fillId="21" fontId="2" numFmtId="0" xfId="0" applyAlignment="1" applyFont="1">
      <alignment horizontal="center" readingOrder="0"/>
    </xf>
    <xf borderId="0" fillId="21" fontId="2" numFmtId="0" xfId="0" applyAlignment="1" applyFont="1">
      <alignment horizontal="center" readingOrder="0" shrinkToFit="0" wrapText="1"/>
    </xf>
    <xf borderId="0" fillId="21" fontId="16" numFmtId="0" xfId="0" applyAlignment="1" applyFont="1">
      <alignment horizontal="center" readingOrder="0" shrinkToFit="0" vertical="bottom" wrapText="0"/>
    </xf>
    <xf borderId="0" fillId="21" fontId="1" numFmtId="0" xfId="0" applyAlignment="1" applyFont="1">
      <alignment horizontal="center" vertical="bottom"/>
    </xf>
    <xf borderId="0" fillId="21" fontId="1" numFmtId="0" xfId="0" applyAlignment="1" applyFont="1">
      <alignment horizontal="center"/>
    </xf>
    <xf borderId="0" fillId="21" fontId="1" numFmtId="0" xfId="0" applyAlignment="1" applyFont="1">
      <alignment horizontal="center" readingOrder="0" vertical="bottom"/>
    </xf>
    <xf borderId="0" fillId="21" fontId="2" numFmtId="0" xfId="0" applyAlignment="1" applyFont="1">
      <alignment horizontal="center" vertical="bottom"/>
    </xf>
    <xf borderId="0" fillId="22" fontId="3" numFmtId="0" xfId="0" applyAlignment="1" applyFill="1" applyFont="1">
      <alignment horizontal="center" readingOrder="0" vertical="center"/>
    </xf>
    <xf borderId="0" fillId="22" fontId="3" numFmtId="0" xfId="0" applyAlignment="1" applyFont="1">
      <alignment horizontal="center" readingOrder="0" vertical="center"/>
    </xf>
    <xf borderId="0" fillId="22" fontId="3" numFmtId="0" xfId="0" applyAlignment="1" applyFont="1">
      <alignment horizontal="center" vertical="center"/>
    </xf>
    <xf borderId="0" fillId="22" fontId="3" numFmtId="0" xfId="0" applyAlignment="1" applyFont="1">
      <alignment horizontal="center" shrinkToFit="0" vertical="center" wrapText="1"/>
    </xf>
    <xf borderId="0" fillId="22" fontId="3" numFmtId="0" xfId="0" applyAlignment="1" applyFont="1">
      <alignment horizontal="center"/>
    </xf>
    <xf borderId="0" fillId="22" fontId="2" numFmtId="0" xfId="0" applyAlignment="1" applyFont="1">
      <alignment horizontal="center" shrinkToFit="0" wrapText="1"/>
    </xf>
    <xf borderId="0" fillId="23" fontId="3" numFmtId="0" xfId="0" applyAlignment="1" applyFill="1" applyFont="1">
      <alignment horizontal="center" readingOrder="0" vertical="center"/>
    </xf>
    <xf borderId="0" fillId="23" fontId="3" numFmtId="0" xfId="0" applyAlignment="1" applyFont="1">
      <alignment horizontal="center" vertical="center"/>
    </xf>
    <xf borderId="0" fillId="23" fontId="3" numFmtId="0" xfId="0" applyAlignment="1" applyFont="1">
      <alignment horizontal="center" shrinkToFit="0" vertical="center" wrapText="1"/>
    </xf>
    <xf borderId="0" fillId="23" fontId="3" numFmtId="0" xfId="0" applyAlignment="1" applyFont="1">
      <alignment horizontal="center"/>
    </xf>
    <xf borderId="0" fillId="23" fontId="2" numFmtId="0" xfId="0" applyAlignment="1" applyFont="1">
      <alignment horizontal="center" shrinkToFit="0" wrapText="1"/>
    </xf>
    <xf borderId="0" fillId="23" fontId="3" numFmtId="0" xfId="0" applyAlignment="1" applyFont="1">
      <alignment horizontal="center" readingOrder="0" vertical="center"/>
    </xf>
    <xf borderId="0" fillId="23" fontId="1" numFmtId="0" xfId="0" applyAlignment="1" applyFont="1">
      <alignment horizontal="center" readingOrder="0"/>
    </xf>
    <xf borderId="0" fillId="23" fontId="2" numFmtId="0" xfId="0" applyAlignment="1" applyFont="1">
      <alignment horizontal="center" readingOrder="0"/>
    </xf>
    <xf borderId="0" fillId="23" fontId="2" numFmtId="0" xfId="0" applyAlignment="1" applyFont="1">
      <alignment horizontal="center" readingOrder="0"/>
    </xf>
    <xf borderId="0" fillId="23" fontId="2" numFmtId="0" xfId="0" applyAlignment="1" applyFont="1">
      <alignment horizontal="center" readingOrder="0" shrinkToFit="0" wrapText="1"/>
    </xf>
    <xf borderId="0" fillId="24" fontId="3" numFmtId="0" xfId="0" applyAlignment="1" applyFill="1" applyFont="1">
      <alignment horizontal="center" readingOrder="0" vertical="center"/>
    </xf>
    <xf borderId="0" fillId="24" fontId="3" numFmtId="0" xfId="0" applyAlignment="1" applyFont="1">
      <alignment horizontal="center" readingOrder="0" vertical="center"/>
    </xf>
    <xf borderId="0" fillId="24" fontId="3" numFmtId="0" xfId="0" applyAlignment="1" applyFont="1">
      <alignment horizontal="center" readingOrder="0" shrinkToFit="0" vertical="center" wrapText="1"/>
    </xf>
    <xf borderId="0" fillId="24" fontId="3" numFmtId="0" xfId="0" applyAlignment="1" applyFont="1">
      <alignment horizontal="center"/>
    </xf>
    <xf borderId="0" fillId="24" fontId="2" numFmtId="0" xfId="0" applyAlignment="1" applyFont="1">
      <alignment horizontal="center" shrinkToFit="0" wrapText="1"/>
    </xf>
    <xf borderId="0" fillId="24" fontId="3" numFmtId="0" xfId="0" applyAlignment="1" applyFont="1">
      <alignment horizontal="center" vertical="center"/>
    </xf>
    <xf borderId="0" fillId="24" fontId="3" numFmtId="0" xfId="0" applyAlignment="1" applyFont="1">
      <alignment horizontal="center" shrinkToFit="0" vertical="center" wrapText="1"/>
    </xf>
    <xf borderId="0" fillId="25" fontId="3" numFmtId="0" xfId="0" applyAlignment="1" applyFill="1" applyFont="1">
      <alignment horizontal="center" readingOrder="0" vertical="center"/>
    </xf>
    <xf borderId="0" fillId="25" fontId="3" numFmtId="0" xfId="0" applyAlignment="1" applyFont="1">
      <alignment horizontal="center" readingOrder="0" vertical="center"/>
    </xf>
    <xf borderId="0" fillId="25" fontId="3" numFmtId="0" xfId="0" applyAlignment="1" applyFont="1">
      <alignment horizontal="center" vertical="center"/>
    </xf>
    <xf borderId="0" fillId="25" fontId="3" numFmtId="0" xfId="0" applyAlignment="1" applyFont="1">
      <alignment horizontal="center" shrinkToFit="0" vertical="center" wrapText="1"/>
    </xf>
    <xf borderId="0" fillId="25" fontId="3" numFmtId="0" xfId="0" applyAlignment="1" applyFont="1">
      <alignment horizontal="center"/>
    </xf>
    <xf borderId="0" fillId="25" fontId="2" numFmtId="0" xfId="0" applyAlignment="1" applyFont="1">
      <alignment horizontal="center" shrinkToFit="0" wrapText="1"/>
    </xf>
    <xf borderId="0" fillId="25" fontId="3" numFmtId="0" xfId="0" applyAlignment="1" applyFont="1">
      <alignment horizontal="center" readingOrder="0" shrinkToFit="0" vertical="center" wrapText="1"/>
    </xf>
    <xf borderId="0" fillId="25" fontId="16" numFmtId="0" xfId="0" applyAlignment="1" applyFont="1">
      <alignment horizontal="center" readingOrder="0" shrinkToFit="0" vertical="bottom" wrapText="0"/>
    </xf>
    <xf borderId="0" fillId="25" fontId="2" numFmtId="0" xfId="0" applyAlignment="1" applyFont="1">
      <alignment horizontal="center"/>
    </xf>
    <xf borderId="0" fillId="25" fontId="1" numFmtId="0" xfId="0" applyAlignment="1" applyFont="1">
      <alignment horizontal="center" readingOrder="0"/>
    </xf>
    <xf borderId="0" fillId="25" fontId="2" numFmtId="0" xfId="0" applyAlignment="1" applyFont="1">
      <alignment horizontal="center" readingOrder="0"/>
    </xf>
    <xf borderId="0" fillId="25" fontId="2" numFmtId="0" xfId="0" applyAlignment="1" applyFont="1">
      <alignment horizontal="center" readingOrder="0"/>
    </xf>
    <xf borderId="0" fillId="25" fontId="2" numFmtId="0" xfId="0" applyAlignment="1" applyFont="1">
      <alignment horizontal="center" readingOrder="0" shrinkToFit="0" wrapText="1"/>
    </xf>
    <xf borderId="0" fillId="26" fontId="3" numFmtId="0" xfId="0" applyAlignment="1" applyFill="1" applyFont="1">
      <alignment horizontal="center" readingOrder="0" vertical="center"/>
    </xf>
    <xf borderId="0" fillId="26" fontId="3" numFmtId="0" xfId="0" applyAlignment="1" applyFont="1">
      <alignment horizontal="center" readingOrder="0" vertical="center"/>
    </xf>
    <xf borderId="0" fillId="26" fontId="3" numFmtId="0" xfId="0" applyAlignment="1" applyFont="1">
      <alignment horizontal="center" vertical="center"/>
    </xf>
    <xf borderId="0" fillId="26" fontId="3" numFmtId="0" xfId="0" applyAlignment="1" applyFont="1">
      <alignment horizontal="center" shrinkToFit="0" vertical="center" wrapText="1"/>
    </xf>
    <xf borderId="0" fillId="26" fontId="3" numFmtId="0" xfId="0" applyAlignment="1" applyFont="1">
      <alignment horizontal="center"/>
    </xf>
    <xf borderId="0" fillId="26" fontId="2" numFmtId="0" xfId="0" applyAlignment="1" applyFont="1">
      <alignment horizontal="center" shrinkToFit="0" wrapText="1"/>
    </xf>
    <xf borderId="0" fillId="26" fontId="1" numFmtId="0" xfId="0" applyAlignment="1" applyFont="1">
      <alignment horizontal="center" readingOrder="0" vertical="center"/>
    </xf>
    <xf borderId="0" fillId="26" fontId="1" numFmtId="0" xfId="0" applyAlignment="1" applyFont="1">
      <alignment horizontal="center" readingOrder="0"/>
    </xf>
    <xf borderId="0" fillId="26" fontId="2" numFmtId="0" xfId="0" applyAlignment="1" applyFont="1">
      <alignment horizontal="center" readingOrder="0"/>
    </xf>
    <xf borderId="0" fillId="26" fontId="2" numFmtId="0" xfId="0" applyAlignment="1" applyFont="1">
      <alignment horizontal="center" readingOrder="0"/>
    </xf>
    <xf borderId="0" fillId="27" fontId="3" numFmtId="0" xfId="0" applyAlignment="1" applyFill="1" applyFont="1">
      <alignment horizontal="center" readingOrder="0" vertical="center"/>
    </xf>
    <xf borderId="0" fillId="27" fontId="3" numFmtId="0" xfId="0" applyAlignment="1" applyFont="1">
      <alignment horizontal="center" vertical="center"/>
    </xf>
    <xf borderId="0" fillId="27" fontId="3" numFmtId="0" xfId="0" applyAlignment="1" applyFont="1">
      <alignment horizontal="center" shrinkToFit="0" vertical="center" wrapText="1"/>
    </xf>
    <xf borderId="0" fillId="27" fontId="3" numFmtId="0" xfId="0" applyAlignment="1" applyFont="1">
      <alignment horizontal="center"/>
    </xf>
    <xf borderId="0" fillId="27" fontId="2" numFmtId="0" xfId="0" applyAlignment="1" applyFont="1">
      <alignment horizontal="center" shrinkToFit="0" wrapText="1"/>
    </xf>
    <xf borderId="0" fillId="27" fontId="3" numFmtId="0" xfId="0" applyAlignment="1" applyFont="1">
      <alignment horizontal="center" readingOrder="0" vertical="center"/>
    </xf>
    <xf borderId="0" fillId="28" fontId="3" numFmtId="0" xfId="0" applyAlignment="1" applyFill="1" applyFont="1">
      <alignment horizontal="center" readingOrder="0" vertical="center"/>
    </xf>
    <xf borderId="0" fillId="28" fontId="3" numFmtId="0" xfId="0" applyAlignment="1" applyFont="1">
      <alignment horizontal="center" vertical="center"/>
    </xf>
    <xf borderId="0" fillId="28" fontId="3" numFmtId="0" xfId="0" applyAlignment="1" applyFont="1">
      <alignment horizontal="center" shrinkToFit="0" vertical="center" wrapText="1"/>
    </xf>
    <xf borderId="0" fillId="28" fontId="3" numFmtId="0" xfId="0" applyAlignment="1" applyFont="1">
      <alignment horizontal="center"/>
    </xf>
    <xf borderId="0" fillId="28" fontId="2" numFmtId="0" xfId="0" applyAlignment="1" applyFont="1">
      <alignment horizontal="center" shrinkToFit="0" wrapText="1"/>
    </xf>
    <xf borderId="0" fillId="28" fontId="1" numFmtId="0" xfId="0" applyAlignment="1" applyFont="1">
      <alignment horizontal="center"/>
    </xf>
    <xf borderId="0" fillId="28" fontId="1" numFmtId="0" xfId="0" applyAlignment="1" applyFont="1">
      <alignment horizontal="center" vertical="bottom"/>
    </xf>
    <xf borderId="0" fillId="28" fontId="1" numFmtId="0" xfId="0" applyAlignment="1" applyFont="1">
      <alignment horizontal="center" readingOrder="0"/>
    </xf>
    <xf borderId="0" fillId="28" fontId="1" numFmtId="0" xfId="0" applyAlignment="1" applyFont="1">
      <alignment horizontal="center" readingOrder="0" vertical="bottom"/>
    </xf>
    <xf borderId="0" fillId="28" fontId="3" numFmtId="0" xfId="0" applyAlignment="1" applyFont="1">
      <alignment horizontal="center" readingOrder="0" vertical="center"/>
    </xf>
    <xf borderId="0" fillId="29" fontId="3" numFmtId="0" xfId="0" applyAlignment="1" applyFill="1" applyFont="1">
      <alignment horizontal="center" readingOrder="0" vertical="center"/>
    </xf>
    <xf borderId="0" fillId="29" fontId="3" numFmtId="0" xfId="0" applyAlignment="1" applyFont="1">
      <alignment horizontal="center" vertical="center"/>
    </xf>
    <xf borderId="0" fillId="29" fontId="3" numFmtId="0" xfId="0" applyAlignment="1" applyFont="1">
      <alignment horizontal="center" shrinkToFit="0" vertical="center" wrapText="1"/>
    </xf>
    <xf borderId="0" fillId="29" fontId="3" numFmtId="0" xfId="0" applyAlignment="1" applyFont="1">
      <alignment horizontal="center"/>
    </xf>
    <xf borderId="0" fillId="29" fontId="2" numFmtId="0" xfId="0" applyAlignment="1" applyFont="1">
      <alignment horizontal="center" shrinkToFit="0" wrapText="1"/>
    </xf>
    <xf borderId="0" fillId="29" fontId="3" numFmtId="0" xfId="0" applyAlignment="1" applyFont="1">
      <alignment horizontal="center" readingOrder="0" vertical="center"/>
    </xf>
    <xf borderId="0" fillId="0" fontId="2" numFmtId="0" xfId="0" applyAlignment="1" applyFont="1">
      <alignment horizontal="center" shrinkToFit="0" wrapText="1"/>
    </xf>
    <xf borderId="0" fillId="0" fontId="58" numFmtId="0" xfId="0" applyAlignment="1" applyFont="1">
      <alignment readingOrder="0"/>
    </xf>
    <xf borderId="0" fillId="0" fontId="44" numFmtId="0" xfId="0" applyAlignment="1" applyFont="1">
      <alignment horizontal="right" vertical="bottom"/>
    </xf>
    <xf borderId="0" fillId="0" fontId="59" numFmtId="0" xfId="0" applyAlignment="1" applyFont="1">
      <alignment readingOrder="0"/>
    </xf>
    <xf borderId="0" fillId="0" fontId="30" numFmtId="46" xfId="0" applyAlignment="1" applyFont="1" applyNumberFormat="1">
      <alignment readingOrder="0"/>
    </xf>
    <xf borderId="0" fillId="0" fontId="30" numFmtId="0" xfId="0" applyFont="1"/>
    <xf borderId="0" fillId="0" fontId="44" numFmtId="0" xfId="0" applyAlignment="1" applyFont="1">
      <alignment vertical="bottom"/>
    </xf>
    <xf borderId="0" fillId="0" fontId="60" numFmtId="0" xfId="0" applyAlignment="1" applyFont="1">
      <alignment readingOrder="0"/>
    </xf>
    <xf borderId="0" fillId="0" fontId="60" numFmtId="46" xfId="0" applyFont="1" applyNumberFormat="1"/>
    <xf borderId="0" fillId="0" fontId="30" numFmtId="46" xfId="0" applyFont="1" applyNumberFormat="1"/>
    <xf borderId="0" fillId="0" fontId="61" numFmtId="0" xfId="0" applyAlignment="1" applyFont="1">
      <alignment horizontal="left" readingOrder="0" shrinkToFit="0" vertical="bottom" wrapText="0"/>
    </xf>
    <xf borderId="0" fillId="0" fontId="62" numFmtId="0" xfId="0" applyFont="1"/>
    <xf borderId="0" fillId="0" fontId="30" numFmtId="0" xfId="0" applyAlignment="1" applyFont="1">
      <alignment readingOrder="0"/>
    </xf>
    <xf borderId="0" fillId="0" fontId="63" numFmtId="0" xfId="0" applyAlignment="1" applyFont="1">
      <alignment vertical="bottom"/>
    </xf>
    <xf borderId="0" fillId="0" fontId="64" numFmtId="0" xfId="0" applyAlignment="1" applyFont="1">
      <alignment vertical="bottom"/>
    </xf>
    <xf borderId="0" fillId="0" fontId="6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חלוקה לזמנים בקורפוס כולו</a:t>
            </a:r>
          </a:p>
        </c:rich>
      </c:tx>
      <c:overlay val="0"/>
    </c:title>
    <c:plotArea>
      <c:layout/>
      <c:pieChart>
        <c:varyColors val="1"/>
        <c:ser>
          <c:idx val="0"/>
          <c:order val="0"/>
          <c:dPt>
            <c:idx val="0"/>
            <c:spPr>
              <a:solidFill>
                <a:srgbClr val="FFD966"/>
              </a:solidFill>
            </c:spPr>
          </c:dPt>
          <c:dPt>
            <c:idx val="1"/>
            <c:spPr>
              <a:solidFill>
                <a:srgbClr val="6D9EEB"/>
              </a:solidFill>
            </c:spPr>
          </c:dPt>
          <c:dPt>
            <c:idx val="2"/>
            <c:spPr>
              <a:solidFill>
                <a:srgbClr val="93C47D"/>
              </a:solidFill>
            </c:spPr>
          </c:dPt>
          <c:dPt>
            <c:idx val="3"/>
            <c:spPr>
              <a:solidFill>
                <a:srgbClr val="BDBDBD"/>
              </a:solidFill>
            </c:spPr>
          </c:dPt>
          <c:dPt>
            <c:idx val="4"/>
            <c:spPr>
              <a:solidFill>
                <a:srgbClr val="8E7CC3"/>
              </a:solidFill>
            </c:spPr>
          </c:dPt>
          <c:dPt>
            <c:idx val="5"/>
            <c:spPr>
              <a:solidFill>
                <a:srgbClr val="BDBDBD"/>
              </a:solidFill>
            </c:spPr>
          </c:dPt>
          <c:dLbls>
            <c:showLegendKey val="0"/>
            <c:showVal val="0"/>
            <c:showCatName val="0"/>
            <c:showSerName val="0"/>
            <c:showPercent val="0"/>
            <c:showBubbleSize val="0"/>
            <c:showLeaderLines val="1"/>
          </c:dLbls>
          <c:cat>
            <c:strRef>
              <c:f>Statistics!$B$2:$B$7</c:f>
            </c:strRef>
          </c:cat>
          <c:val>
            <c:numRef>
              <c:f>Statistics!$C$2:$C$7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מגדר הדוברים בתעתיקים בעלי עיבוד משמעותי (בקרה/הגהה/תעתיק)</a:t>
            </a:r>
          </a:p>
        </c:rich>
      </c:tx>
      <c:overlay val="0"/>
    </c:title>
    <c:plotArea>
      <c:layout/>
      <c:pieChart>
        <c:varyColors val="1"/>
        <c:ser>
          <c:idx val="0"/>
          <c:order val="0"/>
          <c:tx>
            <c:strRef>
              <c:f>Statistics!$L$1</c:f>
            </c:strRef>
          </c:tx>
          <c:dPt>
            <c:idx val="0"/>
            <c:spPr>
              <a:solidFill>
                <a:srgbClr val="9FC5E8"/>
              </a:solidFill>
            </c:spPr>
          </c:dPt>
          <c:dPt>
            <c:idx val="1"/>
            <c:spPr>
              <a:solidFill>
                <a:srgbClr val="EA9999"/>
              </a:solidFill>
            </c:spPr>
          </c:dPt>
          <c:dLbls>
            <c:showLegendKey val="0"/>
            <c:showVal val="0"/>
            <c:showCatName val="0"/>
            <c:showSerName val="0"/>
            <c:showPercent val="0"/>
            <c:showBubbleSize val="0"/>
            <c:showLeaderLines val="1"/>
          </c:dLbls>
          <c:cat>
            <c:strRef>
              <c:f>Statistics!$K$2:$K$3</c:f>
            </c:strRef>
          </c:cat>
          <c:val>
            <c:numRef>
              <c:f>Statistics!$L$2:$L$3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מגדר הדוברים בכלל הקורפוס</a:t>
            </a:r>
          </a:p>
        </c:rich>
      </c:tx>
      <c:overlay val="0"/>
    </c:title>
    <c:plotArea>
      <c:layout/>
      <c:pieChart>
        <c:varyColors val="1"/>
        <c:ser>
          <c:idx val="0"/>
          <c:order val="0"/>
          <c:tx>
            <c:strRef>
              <c:f>Statistics!$L$6</c:f>
            </c:strRef>
          </c:tx>
          <c:dPt>
            <c:idx val="0"/>
            <c:spPr>
              <a:solidFill>
                <a:srgbClr val="9FC5E8"/>
              </a:solidFill>
            </c:spPr>
          </c:dPt>
          <c:dPt>
            <c:idx val="1"/>
            <c:spPr>
              <a:solidFill>
                <a:srgbClr val="EA9999"/>
              </a:solidFill>
            </c:spPr>
          </c:dPt>
          <c:dLbls>
            <c:showLegendKey val="0"/>
            <c:showVal val="0"/>
            <c:showCatName val="0"/>
            <c:showSerName val="0"/>
            <c:showPercent val="0"/>
            <c:showBubbleSize val="0"/>
            <c:showLeaderLines val="1"/>
          </c:dLbls>
          <c:cat>
            <c:strRef>
              <c:f>Statistics!$K$7:$K$8</c:f>
            </c:strRef>
          </c:cat>
          <c:val>
            <c:numRef>
              <c:f>Statistics!$L$7:$L$8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חלוקה לזמנים בתעתיקים בעלי עיבוד משמעותי (בקרה/הגהה/תעתיק)</a:t>
            </a:r>
          </a:p>
        </c:rich>
      </c:tx>
      <c:overlay val="0"/>
    </c:title>
    <c:plotArea>
      <c:layout/>
      <c:pieChart>
        <c:varyColors val="1"/>
        <c:ser>
          <c:idx val="0"/>
          <c:order val="0"/>
          <c:dPt>
            <c:idx val="0"/>
            <c:spPr>
              <a:solidFill>
                <a:srgbClr val="FFD966"/>
              </a:solidFill>
            </c:spPr>
          </c:dPt>
          <c:dPt>
            <c:idx val="1"/>
            <c:spPr>
              <a:solidFill>
                <a:srgbClr val="93C47D"/>
              </a:solidFill>
            </c:spPr>
          </c:dPt>
          <c:dPt>
            <c:idx val="2"/>
            <c:spPr>
              <a:solidFill>
                <a:srgbClr val="8E7CC3"/>
              </a:solidFill>
            </c:spPr>
          </c:dPt>
          <c:dLbls>
            <c:showLegendKey val="0"/>
            <c:showVal val="0"/>
            <c:showCatName val="0"/>
            <c:showSerName val="0"/>
            <c:showPercent val="0"/>
            <c:showBubbleSize val="0"/>
            <c:showLeaderLines val="1"/>
          </c:dLbls>
          <c:cat>
            <c:strRef>
              <c:f>Statistics!$B$12:$B$14</c:f>
            </c:strRef>
          </c:cat>
          <c:val>
            <c:numRef>
              <c:f>Statistics!$C$12:$C$14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4"/>
              </a:solidFill>
            </c:spPr>
          </c:dPt>
          <c:dPt>
            <c:idx val="1"/>
            <c:spPr>
              <a:solidFill>
                <a:srgbClr val="EA4335"/>
              </a:solidFill>
            </c:spPr>
          </c:dPt>
          <c:dLbls>
            <c:showLegendKey val="0"/>
            <c:showVal val="0"/>
            <c:showCatName val="0"/>
            <c:showSerName val="0"/>
            <c:showPercent val="0"/>
            <c:showBubbleSize val="0"/>
            <c:showLeaderLines val="1"/>
          </c:dLbls>
          <c:cat>
            <c:strRef>
              <c:f>Statistics!$B$25:$B$26</c:f>
            </c:strRef>
          </c:cat>
          <c:val>
            <c:numRef>
              <c:f>Statistics!$C$25:$C$26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ייצוג קהילות שונות בכל הקורפוס (רק שורות להן קיים סימון קהילה)</a:t>
            </a:r>
          </a:p>
        </c:rich>
      </c:tx>
      <c:overlay val="0"/>
    </c:title>
    <c:plotArea>
      <c:layout/>
      <c:barChart>
        <c:barDir val="col"/>
        <c:ser>
          <c:idx val="0"/>
          <c:order val="0"/>
          <c:spPr>
            <a:solidFill>
              <a:schemeClr val="accent1"/>
            </a:solidFill>
            <a:ln cmpd="sng">
              <a:solidFill>
                <a:srgbClr val="000000"/>
              </a:solidFill>
            </a:ln>
          </c:spPr>
          <c:cat>
            <c:strRef>
              <c:f>Statistics!$B$33:$B$53</c:f>
            </c:strRef>
          </c:cat>
          <c:val>
            <c:numRef>
              <c:f>Statistics!$C$33:$C$53</c:f>
              <c:numCache/>
            </c:numRef>
          </c:val>
        </c:ser>
        <c:axId val="2060116000"/>
        <c:axId val="458754712"/>
      </c:barChart>
      <c:catAx>
        <c:axId val="20601160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58754712"/>
      </c:catAx>
      <c:valAx>
        <c:axId val="4587547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0116000"/>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952500</xdr:colOff>
      <xdr:row>0</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38100</xdr:colOff>
      <xdr:row>18</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38100</xdr:colOff>
      <xdr:row>0</xdr:row>
      <xdr:rowOff>38100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952500</xdr:colOff>
      <xdr:row>18</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952500</xdr:colOff>
      <xdr:row>37</xdr:row>
      <xdr:rowOff>47625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952500</xdr:colOff>
      <xdr:row>55</xdr:row>
      <xdr:rowOff>152400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file/d/1p_K0Gh-nWe7HCZ8m4YALK_5ZrZ5PZ44U/view?usp=sharing" TargetMode="External"/><Relationship Id="rId194" Type="http://schemas.openxmlformats.org/officeDocument/2006/relationships/hyperlink" Target="https://drive.google.com/file/d/1MXzBnFNVpBY4cf62EHdk44NPQzzVLt4W/view?usp=drive_link" TargetMode="External"/><Relationship Id="rId193" Type="http://schemas.openxmlformats.org/officeDocument/2006/relationships/hyperlink" Target="https://drive.google.com/file/d/1X8oReucuURTuRjyPiWLBTqB6NVUh_Dyr/view?usp=drive_link" TargetMode="External"/><Relationship Id="rId192" Type="http://schemas.openxmlformats.org/officeDocument/2006/relationships/hyperlink" Target="https://docs.google.com/document/d/1got_uAY9PVi6FDj-Pxw5jvsqfTTEEaJu8tyQp-Pl7ac/edit?tab=t.0" TargetMode="External"/><Relationship Id="rId191" Type="http://schemas.openxmlformats.org/officeDocument/2006/relationships/hyperlink" Target="https://drive.google.com/file/d/1C68q_EYDxTrZ5-ZIocseDyOe0mDipO18/view?usp=sharing" TargetMode="External"/><Relationship Id="rId187" Type="http://schemas.openxmlformats.org/officeDocument/2006/relationships/hyperlink" Target="https://docs.google.com/document/d/1PcDUieHTncmYv-edZRT0ukuqxBklYJfMtncYu2XFqhU/edit?usp=sharing" TargetMode="External"/><Relationship Id="rId186" Type="http://schemas.openxmlformats.org/officeDocument/2006/relationships/hyperlink" Target="https://drive.google.com/file/d/1_O8PPpSiTa7PR2jJkzeKPPOnmK3OzeD9/view?usp=sharing" TargetMode="External"/><Relationship Id="rId185" Type="http://schemas.openxmlformats.org/officeDocument/2006/relationships/hyperlink" Target="https://docs.google.com/document/d/1ZJTiDGdVIpVtLuV2YrUiOJS7nzacJIDeNWhccLE25RU/edit?usp=sharing" TargetMode="External"/><Relationship Id="rId184" Type="http://schemas.openxmlformats.org/officeDocument/2006/relationships/hyperlink" Target="https://drive.google.com/file/d/1Fyl0R-QJX7WBLwJ1FP6AxwExfMjdSgxn/view?usp=sharing" TargetMode="External"/><Relationship Id="rId189" Type="http://schemas.openxmlformats.org/officeDocument/2006/relationships/hyperlink" Target="https://drive.google.com/file/d/1GP_HXQJlImMuLnKjAthT_7nNK5EvExn_/view?usp=sharing" TargetMode="External"/><Relationship Id="rId188" Type="http://schemas.openxmlformats.org/officeDocument/2006/relationships/hyperlink" Target="https://drive.google.com/file/d/126rFm8xMvwaqNkX9z6knAiQrVRtqUDCi/view?usp=sharing" TargetMode="External"/><Relationship Id="rId183" Type="http://schemas.openxmlformats.org/officeDocument/2006/relationships/hyperlink" Target="http://3.m.pl/" TargetMode="External"/><Relationship Id="rId182" Type="http://schemas.openxmlformats.org/officeDocument/2006/relationships/hyperlink" Target="https://docs.google.com/document/d/1Njif72UefvVZ9pkYsVeDUTc_6I7-lfs-QoaNktZgeAY/edit?usp=sharing" TargetMode="External"/><Relationship Id="rId181" Type="http://schemas.openxmlformats.org/officeDocument/2006/relationships/hyperlink" Target="https://drive.google.com/file/d/1SfPzl-i17KyGAyYlV4jUGmJauSyKTwH2/view?usp=sharing" TargetMode="External"/><Relationship Id="rId180" Type="http://schemas.openxmlformats.org/officeDocument/2006/relationships/hyperlink" Target="https://docs.google.com/document/d/1631-ywxLW0_0DBAVtxAjLNXf2yeKQFXh9iUBfKTN-bc/edit?usp=sharing" TargetMode="External"/><Relationship Id="rId176" Type="http://schemas.openxmlformats.org/officeDocument/2006/relationships/hyperlink" Target="https://drive.google.com/file/d/1X30bwSC69ka2berH_2GpR8fpd7bKk7Bq/view?usp=sharing" TargetMode="External"/><Relationship Id="rId175" Type="http://schemas.openxmlformats.org/officeDocument/2006/relationships/hyperlink" Target="https://docs.google.com/document/d/1Gv8E04ZAWHSKt7HNfpX-MF0abqMTjga4Vsahr-D3DUg/edit?usp=sharing" TargetMode="External"/><Relationship Id="rId174" Type="http://schemas.openxmlformats.org/officeDocument/2006/relationships/hyperlink" Target="https://drive.google.com/file/d/1BIRBa7Z2JYczpZVqSK3JjklvUdYVYJ21/view?usp=drive_link" TargetMode="External"/><Relationship Id="rId173" Type="http://schemas.openxmlformats.org/officeDocument/2006/relationships/hyperlink" Target="https://docs.google.com/document/d/14_bSqKPv4nZooQDPegrqmMzPFibqBLO_7yiIbGH7f2U/edit?usp=drive_link" TargetMode="External"/><Relationship Id="rId179" Type="http://schemas.openxmlformats.org/officeDocument/2006/relationships/hyperlink" Target="https://drive.google.com/file/d/1525jF5LxsHwCW0LFMBKi3zv9KQXlWErD/view?usp=sharing" TargetMode="External"/><Relationship Id="rId178" Type="http://schemas.openxmlformats.org/officeDocument/2006/relationships/hyperlink" Target="https://docs.google.com/document/d/1bWWVUoXkwHQWFG4QUC-FQR6b_hTYcRJa-UhRBd368mk/edit?usp=sharing" TargetMode="External"/><Relationship Id="rId177" Type="http://schemas.openxmlformats.org/officeDocument/2006/relationships/hyperlink" Target="https://drive.google.com/file/d/13QLwT2PjVV77sZLZTH4_6BO1DOmkg98U/view?usp=sharing" TargetMode="External"/><Relationship Id="rId198" Type="http://schemas.openxmlformats.org/officeDocument/2006/relationships/hyperlink" Target="https://drive.google.com/file/d/1n_MNyu8wrdXhR7ksC4_EomJtQVEn39di/view?usp=drive_link" TargetMode="External"/><Relationship Id="rId197" Type="http://schemas.openxmlformats.org/officeDocument/2006/relationships/hyperlink" Target="https://drive.google.com/file/d/1vUmFGa7NQJLEXpBRq3JFp9VCSf46llAV/view?usp=drive_link" TargetMode="External"/><Relationship Id="rId196" Type="http://schemas.openxmlformats.org/officeDocument/2006/relationships/hyperlink" Target="https://drive.google.com/file/d/1zZnynOS39Zn6ZXm007Yv9qudZ5eVJKYQ/view?usp=drive_link" TargetMode="External"/><Relationship Id="rId195" Type="http://schemas.openxmlformats.org/officeDocument/2006/relationships/hyperlink" Target="https://drive.google.com/file/d/1-u874K3zgj5cT5UXzZuApqUCgGb-7Wi-/view?usp=drive_link" TargetMode="External"/><Relationship Id="rId199" Type="http://schemas.openxmlformats.org/officeDocument/2006/relationships/hyperlink" Target="https://drive.google.com/file/d/1s5XhD6s0U68_MuJZEHvT1nD03YC0cDMw/view?usp=drive_link" TargetMode="External"/><Relationship Id="rId150" Type="http://schemas.openxmlformats.org/officeDocument/2006/relationships/hyperlink" Target="https://drive.google.com/file/d/1lkmD5eR6hjYXOw-i_7ygchsHuOL10_-D/view?usp=sharing" TargetMode="External"/><Relationship Id="rId392" Type="http://schemas.openxmlformats.org/officeDocument/2006/relationships/hyperlink" Target="https://drive.google.com/file/d/1m4c1-Qe9NKwlcy9g6zQjm-7LrL9H8xdx/view?usp=sharing" TargetMode="External"/><Relationship Id="rId391" Type="http://schemas.openxmlformats.org/officeDocument/2006/relationships/hyperlink" Target="https://drive.google.com/file/d/1C1TgQVjJqpbVviTP2_0BeJiACgtNc6T4/view?usp=sharing" TargetMode="External"/><Relationship Id="rId390" Type="http://schemas.openxmlformats.org/officeDocument/2006/relationships/hyperlink" Target="https://drive.google.com/file/d/1VMIKhwE6vz31tTi6wB7chd9apc21P6V9/view?usp=sharing" TargetMode="External"/><Relationship Id="rId1" Type="http://schemas.openxmlformats.org/officeDocument/2006/relationships/comments" Target="../comments1.xml"/><Relationship Id="rId2" Type="http://schemas.openxmlformats.org/officeDocument/2006/relationships/hyperlink" Target="https://drive.google.com/file/d/18T6ksAmuplw-IzLG7Nq-T3goh1Q9r-Mk/view?usp=drive_link" TargetMode="External"/><Relationship Id="rId3" Type="http://schemas.openxmlformats.org/officeDocument/2006/relationships/hyperlink" Target="https://drive.google.com/file/d/168NcPYAYV0O7rNY_iorD--9FlE2POMxP/view?usp=drive_link" TargetMode="External"/><Relationship Id="rId149" Type="http://schemas.openxmlformats.org/officeDocument/2006/relationships/hyperlink" Target="https://docs.google.com/document/d/1jj9QmG8ZcdyQKFPjFz6LktDB08RqNqHPNfniIkxtnCg/edit?tab=t.0" TargetMode="External"/><Relationship Id="rId4" Type="http://schemas.openxmlformats.org/officeDocument/2006/relationships/hyperlink" Target="https://drive.google.com/file/d/1dwzyDHemSX1T8obN64O8EHTR4gq1XMv9/view?usp=drive_link" TargetMode="External"/><Relationship Id="rId148" Type="http://schemas.openxmlformats.org/officeDocument/2006/relationships/hyperlink" Target="https://drive.google.com/file/d/1qbvShnhvUNFASMNq6p4TQo14pnNU3nqQ/view?usp=sharing" TargetMode="External"/><Relationship Id="rId9" Type="http://schemas.openxmlformats.org/officeDocument/2006/relationships/hyperlink" Target="https://drive.google.com/file/d/1gMde3jHtQPMb4C-Bmw3lxp1UCH3MWMXS/view?usp=drive_link" TargetMode="External"/><Relationship Id="rId143" Type="http://schemas.openxmlformats.org/officeDocument/2006/relationships/hyperlink" Target="https://drive.google.com/file/d/1Es2ucy4jJiqFXs6vJXZvKLPpL5JXShBp/view?usp=drive_link" TargetMode="External"/><Relationship Id="rId385" Type="http://schemas.openxmlformats.org/officeDocument/2006/relationships/hyperlink" Target="https://drive.google.com/file/d/1a-W9loWzDsMglj1CsgobGHHu_Jkwm3Wa/view?usp=sharing" TargetMode="External"/><Relationship Id="rId142" Type="http://schemas.openxmlformats.org/officeDocument/2006/relationships/hyperlink" Target="https://drive.google.com/file/d/1UXQvCXhvIhgmUlabdzOm3afLctThprLp/view?usp=drive_link" TargetMode="External"/><Relationship Id="rId384" Type="http://schemas.openxmlformats.org/officeDocument/2006/relationships/hyperlink" Target="https://drive.google.com/file/d/1G8xuF_Nd0lQSVOD6TMgaoeO45gegqEZ-/view?usp=sharing" TargetMode="External"/><Relationship Id="rId141" Type="http://schemas.openxmlformats.org/officeDocument/2006/relationships/hyperlink" Target="https://docs.google.com/document/d/1CQMAcAbotBx1mqa4t0gabg74DnyGV8-bkg6yHfCinnk/edit?usp=sharing" TargetMode="External"/><Relationship Id="rId383" Type="http://schemas.openxmlformats.org/officeDocument/2006/relationships/hyperlink" Target="https://drive.google.com/file/d/1NA3fBgul9WeVRC6k6ixyFTxsr5V91iEa/view?usp=sharing" TargetMode="External"/><Relationship Id="rId140" Type="http://schemas.openxmlformats.org/officeDocument/2006/relationships/hyperlink" Target="https://drive.google.com/file/d/1H_rJ6X6RFhcbkVGsdz6J2GTOhtaE9_e4/view?usp=sharing" TargetMode="External"/><Relationship Id="rId382" Type="http://schemas.openxmlformats.org/officeDocument/2006/relationships/hyperlink" Target="https://drive.google.com/file/d/1WfFAoXA08ChgUQjMLK14FROov43xraiz/view?usp=sharing" TargetMode="External"/><Relationship Id="rId5" Type="http://schemas.openxmlformats.org/officeDocument/2006/relationships/hyperlink" Target="https://drive.google.com/file/d/15emt6Z49fgZW5yByIJ4xFB1SfjvSU8Kj/view?usp=drive_link" TargetMode="External"/><Relationship Id="rId147" Type="http://schemas.openxmlformats.org/officeDocument/2006/relationships/hyperlink" Target="https://drive.google.com/file/d/1qbvShnhvUNFASMNq6p4TQo14pnNU3nqQ/view?usp=sharing" TargetMode="External"/><Relationship Id="rId389" Type="http://schemas.openxmlformats.org/officeDocument/2006/relationships/hyperlink" Target="https://drive.google.com/file/d/16-ZVuhTTz0fecFWVKykib-xZd6PnvqY2/view?usp=sharing" TargetMode="External"/><Relationship Id="rId6" Type="http://schemas.openxmlformats.org/officeDocument/2006/relationships/hyperlink" Target="https://drive.google.com/file/d/1vuKl3vKrRubYZuV4YP4aoONLVVKBFQeY/view?usp=drive_link" TargetMode="External"/><Relationship Id="rId146" Type="http://schemas.openxmlformats.org/officeDocument/2006/relationships/hyperlink" Target="https://drive.google.com/file/d/14_b2KTD4YOR1R43h--TA5qQoWg0VYsoa/view?usp=sharing" TargetMode="External"/><Relationship Id="rId388" Type="http://schemas.openxmlformats.org/officeDocument/2006/relationships/hyperlink" Target="https://drive.google.com/file/d/10XoMA_BTBqnrCTcw0ORQA9n2gx7XhfPO/view?usp=sharing" TargetMode="External"/><Relationship Id="rId7" Type="http://schemas.openxmlformats.org/officeDocument/2006/relationships/hyperlink" Target="https://drive.google.com/file/d/11rq8VxZN3Ue22BKnWHbmTvEk8q5UH6dU/view?usp=drive_link" TargetMode="External"/><Relationship Id="rId145" Type="http://schemas.openxmlformats.org/officeDocument/2006/relationships/hyperlink" Target="https://drive.google.com/file/d/1I520VLtUIHeJZuKFx7X0mZTBIRxDvqh9/view?usp=drive_link" TargetMode="External"/><Relationship Id="rId387" Type="http://schemas.openxmlformats.org/officeDocument/2006/relationships/hyperlink" Target="https://drive.google.com/file/d/1xhCDfEuKqM7LIhAwe9cWTYjvtkwJsskb/view?usp=sharing" TargetMode="External"/><Relationship Id="rId8" Type="http://schemas.openxmlformats.org/officeDocument/2006/relationships/hyperlink" Target="https://drive.google.com/file/d/1ZBEKND50gQvRLCpcHwtbEvvfvGVozrhp/view?usp=drive_link" TargetMode="External"/><Relationship Id="rId144" Type="http://schemas.openxmlformats.org/officeDocument/2006/relationships/hyperlink" Target="https://drive.google.com/file/d/17Eb7lMeKkJdioVTGVZY_J84njHIrk1Eb/view?usp=sharing" TargetMode="External"/><Relationship Id="rId386" Type="http://schemas.openxmlformats.org/officeDocument/2006/relationships/hyperlink" Target="https://drive.google.com/file/d/1VtINI6YFDXlEJWHvmuL4BDrVqqZPrZTF/view?usp=sharing" TargetMode="External"/><Relationship Id="rId381" Type="http://schemas.openxmlformats.org/officeDocument/2006/relationships/hyperlink" Target="https://drive.google.com/file/d/1yyvWbRAcs7oCRlrNH0uGtTKET9Fmvm0V/view?usp=sharing" TargetMode="External"/><Relationship Id="rId380" Type="http://schemas.openxmlformats.org/officeDocument/2006/relationships/hyperlink" Target="https://drive.google.com/file/d/1deGS5FPbrf87_7N7KL6W57WS_BlEOmXe/view?usp=sharing" TargetMode="External"/><Relationship Id="rId139" Type="http://schemas.openxmlformats.org/officeDocument/2006/relationships/hyperlink" Target="https://docs.google.com/document/d/1Oj9bakBLKkTUwe6q_CmGiUpWh8RPECDcfqM4dk55fHk/edit?usp=sharing" TargetMode="External"/><Relationship Id="rId138" Type="http://schemas.openxmlformats.org/officeDocument/2006/relationships/hyperlink" Target="https://drive.google.com/file/d/19RQ-E-WtST4KanXacxqSG7pF3coVrdo1/view?usp=sharing" TargetMode="External"/><Relationship Id="rId137" Type="http://schemas.openxmlformats.org/officeDocument/2006/relationships/hyperlink" Target="https://docs.google.com/document/d/18yPI4wnM_hov4HhCulPcXu9GK6aqgoz_eO-YDJBQixk/edit?usp=sharing" TargetMode="External"/><Relationship Id="rId379" Type="http://schemas.openxmlformats.org/officeDocument/2006/relationships/hyperlink" Target="https://drive.google.com/file/d/1qwkI7UuZd2AL-4QUsjS_KkcU7Yyc90ao/view?usp=sharing" TargetMode="External"/><Relationship Id="rId132" Type="http://schemas.openxmlformats.org/officeDocument/2006/relationships/hyperlink" Target="https://drive.google.com/file/d/1r1kwcvUxI9yCSIgQhUgol6eLbjDSW0iK/view?usp=sharing" TargetMode="External"/><Relationship Id="rId374" Type="http://schemas.openxmlformats.org/officeDocument/2006/relationships/hyperlink" Target="https://docs.google.com/document/d/1Jbq9K461jCL-Y3r7EMP-n-UKLJTI_5pcQ66SS_mzW7Q/edit?tab=t.0" TargetMode="External"/><Relationship Id="rId131" Type="http://schemas.openxmlformats.org/officeDocument/2006/relationships/hyperlink" Target="https://drive.google.com/file/d/10yskHx83Cxsf75rAz62-UIy8Jzv1E1lR/view?usp=sharing" TargetMode="External"/><Relationship Id="rId373" Type="http://schemas.openxmlformats.org/officeDocument/2006/relationships/hyperlink" Target="https://drive.google.com/file/d/1IKR27Jy-XD2Dno0HtEwwMpNIEN6LPpKM/view?usp=sharing" TargetMode="External"/><Relationship Id="rId130" Type="http://schemas.openxmlformats.org/officeDocument/2006/relationships/hyperlink" Target="https://drive.google.com/file/d/1v6U20eEzJ2NNB99taaKE6-CQqpfXBzYl/view?usp=sharing" TargetMode="External"/><Relationship Id="rId372" Type="http://schemas.openxmlformats.org/officeDocument/2006/relationships/hyperlink" Target="https://drive.google.com/file/d/11lVgQ7j-pTIwT9PRcB3b2ko-03KAC-U2/view?usp=sharing" TargetMode="External"/><Relationship Id="rId371" Type="http://schemas.openxmlformats.org/officeDocument/2006/relationships/hyperlink" Target="https://drive.google.com/file/d/1nDC-_XxMTXLXmOBWdL3X9Xv84UEJPRIy/view?usp=sharing" TargetMode="External"/><Relationship Id="rId136" Type="http://schemas.openxmlformats.org/officeDocument/2006/relationships/hyperlink" Target="https://drive.google.com/file/d/1D0brYBZlgx_3W54oY_4ZBzc2tX03MTcc/view?usp=sharing" TargetMode="External"/><Relationship Id="rId378" Type="http://schemas.openxmlformats.org/officeDocument/2006/relationships/hyperlink" Target="https://drive.google.com/file/d/1cCrSjE3OIzG1G1guU7i27ilV_NeTdqRy/view?usp=sharing" TargetMode="External"/><Relationship Id="rId135" Type="http://schemas.openxmlformats.org/officeDocument/2006/relationships/hyperlink" Target="https://drive.google.com/file/d/1zTmyob0JfHsO__KQ1CwJPDMunkl3_cKe/view?usp=sharing" TargetMode="External"/><Relationship Id="rId377" Type="http://schemas.openxmlformats.org/officeDocument/2006/relationships/hyperlink" Target="https://drive.google.com/file/d/10MMqvaO0H4doECfYgwju7Vyl-sBJAdjU/view?usp=sharing" TargetMode="External"/><Relationship Id="rId134" Type="http://schemas.openxmlformats.org/officeDocument/2006/relationships/hyperlink" Target="https://drive.google.com/file/d/1uaMI_nWQLo9X_8w0tDoUdR0UMYyeGThK/view?usp=sharing" TargetMode="External"/><Relationship Id="rId376" Type="http://schemas.openxmlformats.org/officeDocument/2006/relationships/hyperlink" Target="https://drive.google.com/file/d/1UuY5KImO5tVdZdAafnFOmGOwkIDk1Z7j/view?usp=sharing" TargetMode="External"/><Relationship Id="rId133" Type="http://schemas.openxmlformats.org/officeDocument/2006/relationships/hyperlink" Target="https://drive.google.com/file/d/17yV11nq05DhPQdtdB7uoabp5he8b21pr/view?usp=sharing" TargetMode="External"/><Relationship Id="rId375" Type="http://schemas.openxmlformats.org/officeDocument/2006/relationships/hyperlink" Target="https://drive.google.com/file/d/1qx8OoC84ChMgADBo8t9qS3mQDg9rLE3e/view?usp=sharing" TargetMode="External"/><Relationship Id="rId172" Type="http://schemas.openxmlformats.org/officeDocument/2006/relationships/hyperlink" Target="https://www.youtube.com/watch?v=Ees2J2iPScw" TargetMode="External"/><Relationship Id="rId171" Type="http://schemas.openxmlformats.org/officeDocument/2006/relationships/hyperlink" Target="https://drive.google.com/file/d/1VQaw9oSYkSSQIlaNkigbTLL62TLfyyIe/view?usp=sharing" TargetMode="External"/><Relationship Id="rId170" Type="http://schemas.openxmlformats.org/officeDocument/2006/relationships/hyperlink" Target="https://drive.google.com/file/d/1rE9wIEti_XZVuJu-BWvrslaQ8BjYTBw5/view?usp=sharing" TargetMode="External"/><Relationship Id="rId165" Type="http://schemas.openxmlformats.org/officeDocument/2006/relationships/hyperlink" Target="https://drive.google.com/file/d/1cJ0Pc-c8kz1y7m7kaQzFM_tBeFdX9jot/view?usp=sharing" TargetMode="External"/><Relationship Id="rId164" Type="http://schemas.openxmlformats.org/officeDocument/2006/relationships/hyperlink" Target="https://drive.google.com/file/d/1v6w6XPmy3_zigJ9Qwk9l9lhJAvkBd07_/view?usp=sharing" TargetMode="External"/><Relationship Id="rId163" Type="http://schemas.openxmlformats.org/officeDocument/2006/relationships/hyperlink" Target="https://docs.google.com/document/d/1FgpmaMDunWlW9tjIl2VY_N13LM9FZnAW1mdhdwBL45Q/edit?usp=sharing" TargetMode="External"/><Relationship Id="rId162" Type="http://schemas.openxmlformats.org/officeDocument/2006/relationships/hyperlink" Target="https://drive.google.com/file/d/17FwbGO9YN6gmpam9Ltrsw_7V_fo3cMl7/view?usp=sharing" TargetMode="External"/><Relationship Id="rId169" Type="http://schemas.openxmlformats.org/officeDocument/2006/relationships/hyperlink" Target="https://drive.google.com/file/d/1gQZVnie7cSXWGeyNlkpw9-dGQkr6pBFd/view?usp=drive_link" TargetMode="External"/><Relationship Id="rId168" Type="http://schemas.openxmlformats.org/officeDocument/2006/relationships/hyperlink" Target="https://drive.google.com/file/d/1PURpLGyO-V7MP0q7IRfZuxd-1Hrf_ZI0/view?usp=sharing" TargetMode="External"/><Relationship Id="rId167" Type="http://schemas.openxmlformats.org/officeDocument/2006/relationships/hyperlink" Target="https://drive.google.com/file/d/1ac5_OQs5wGveyeaO5DMc5EQAJJdpgKdI/view?usp=sharing" TargetMode="External"/><Relationship Id="rId166" Type="http://schemas.openxmlformats.org/officeDocument/2006/relationships/hyperlink" Target="https://drive.google.com/file/d/1EoB8TpAO1J8Yb_VEAOip8mE7QTdaXp5N/view?usp=sharing" TargetMode="External"/><Relationship Id="rId161" Type="http://schemas.openxmlformats.org/officeDocument/2006/relationships/hyperlink" Target="https://drive.google.com/file/d/1WAPQD_uEMv9-mAVOqn2-gxeF92ac2qVV/view?usp=sharing" TargetMode="External"/><Relationship Id="rId160" Type="http://schemas.openxmlformats.org/officeDocument/2006/relationships/hyperlink" Target="https://drive.google.com/file/d/18VR52Bn-2ZK8SxPmG6YglSzEWPdj2L4i/view?usp=sharing" TargetMode="External"/><Relationship Id="rId159" Type="http://schemas.openxmlformats.org/officeDocument/2006/relationships/hyperlink" Target="https://drive.google.com/file/d/1Dnk3t_m5AnQ0PS2hi-bz_fg7iElluDdk/view?usp=drive_link" TargetMode="External"/><Relationship Id="rId154" Type="http://schemas.openxmlformats.org/officeDocument/2006/relationships/hyperlink" Target="https://drive.google.com/file/d/1xD6OApgnARLHRGSU6nSMTmQavfQylMvr/view?usp=sharing" TargetMode="External"/><Relationship Id="rId396" Type="http://schemas.openxmlformats.org/officeDocument/2006/relationships/hyperlink" Target="https://drive.google.com/file/d/1_DfVnVLGgtg2c56QrDo3BHWpo0Z45U6c/view?usp=sharing" TargetMode="External"/><Relationship Id="rId153" Type="http://schemas.openxmlformats.org/officeDocument/2006/relationships/hyperlink" Target="https://drive.google.com/file/d/1jVI9PjNZQkIrUN5naZsqPGusiVlz2bgQ/view?usp=sharing" TargetMode="External"/><Relationship Id="rId395" Type="http://schemas.openxmlformats.org/officeDocument/2006/relationships/hyperlink" Target="https://drive.google.com/file/d/13s40p0Fxcsow-29lTd6pWB__0-ii0-8t/view?usp=sharing" TargetMode="External"/><Relationship Id="rId152" Type="http://schemas.openxmlformats.org/officeDocument/2006/relationships/hyperlink" Target="https://drive.google.com/file/d/17Eb7lMeKkJdioVTGVZY_J84njHIrk1Eb/view?usp=drive_link" TargetMode="External"/><Relationship Id="rId394" Type="http://schemas.openxmlformats.org/officeDocument/2006/relationships/hyperlink" Target="https://drive.google.com/file/d/1a52MESe08_KGTlHPnNhYEEKNScki2VjQ/view?usp=sharing" TargetMode="External"/><Relationship Id="rId151" Type="http://schemas.openxmlformats.org/officeDocument/2006/relationships/hyperlink" Target="https://drive.google.com/file/d/1-l-LpeQMKSU0pfJb6lPV0V-EgpIb78mA/view?usp=sharing" TargetMode="External"/><Relationship Id="rId393" Type="http://schemas.openxmlformats.org/officeDocument/2006/relationships/hyperlink" Target="https://docs.google.com/document/d/1MIP2t4RESqeB6FQi3cmW-UBT-x5P2n-AhHsxye1dZWM/edit?tab=t.0" TargetMode="External"/><Relationship Id="rId158" Type="http://schemas.openxmlformats.org/officeDocument/2006/relationships/hyperlink" Target="https://drive.google.com/file/d/1NiPpfoQnDbUHxxwi4salubKHUvq8SlAZ/view?usp=sharing" TargetMode="External"/><Relationship Id="rId157" Type="http://schemas.openxmlformats.org/officeDocument/2006/relationships/hyperlink" Target="https://docs.google.com/document/d/1qpbT-K36tYXEBngLYgHSvIaphYnFnksa3MdBxwhLEkg/edit?usp=sharing" TargetMode="External"/><Relationship Id="rId399" Type="http://schemas.openxmlformats.org/officeDocument/2006/relationships/hyperlink" Target="https://drive.google.com/file/d/1gzkYY8YGGf_EjtVCF2oC6nHdokxj6e0-/view?usp=sharing" TargetMode="External"/><Relationship Id="rId156" Type="http://schemas.openxmlformats.org/officeDocument/2006/relationships/hyperlink" Target="https://drive.google.com/file/d/17UgO6ePC_5ohRrFxgZOoYPUvx6CIQgKd/view?usp=sharing" TargetMode="External"/><Relationship Id="rId398" Type="http://schemas.openxmlformats.org/officeDocument/2006/relationships/hyperlink" Target="https://drive.google.com/file/d/10PNIs4t7QZU2XYcHtg_8ckdT3Ce3fZ82/view?usp=sharing" TargetMode="External"/><Relationship Id="rId155" Type="http://schemas.openxmlformats.org/officeDocument/2006/relationships/hyperlink" Target="https://drive.google.com/file/d/1UyRm2B8oWW8xRJMQA3LJsOnfHvae_FmJ/view?usp=sharing" TargetMode="External"/><Relationship Id="rId397" Type="http://schemas.openxmlformats.org/officeDocument/2006/relationships/hyperlink" Target="https://drive.google.com/file/d/15f45M9dfzll-FKaP1KkxcgYzlnghkwf3/view?usp=sharing" TargetMode="External"/><Relationship Id="rId808" Type="http://schemas.openxmlformats.org/officeDocument/2006/relationships/hyperlink" Target="https://drive.google.com/file/d/1GTt6HG7V5qLJdkUSqXDgFDn80nGBv1A8/view?usp=sharing" TargetMode="External"/><Relationship Id="rId807" Type="http://schemas.openxmlformats.org/officeDocument/2006/relationships/hyperlink" Target="https://docs.google.com/document/d/1BgXzXeko_QLO6nPijJjsA-ex4BmC0L0KD8O8IWbRNBs/edit?tab=t.0" TargetMode="External"/><Relationship Id="rId806" Type="http://schemas.openxmlformats.org/officeDocument/2006/relationships/hyperlink" Target="https://drive.google.com/file/d/1mqWTfS-tFVoBayAvJO-00i8DOZZPzji6/view?usp=sharing" TargetMode="External"/><Relationship Id="rId805" Type="http://schemas.openxmlformats.org/officeDocument/2006/relationships/hyperlink" Target="https://docs.google.com/document/d/1LROy5GR0-n62BCRCg7bp1sFq1myFM7Ic2NmL9jYwx6A/edit?tab=t.0" TargetMode="External"/><Relationship Id="rId809" Type="http://schemas.openxmlformats.org/officeDocument/2006/relationships/hyperlink" Target="https://drive.google.com/file/d/1nANLYcuCT4OIg-tY_0niioGZk9KwZhE7/view?usp=sharing" TargetMode="External"/><Relationship Id="rId800" Type="http://schemas.openxmlformats.org/officeDocument/2006/relationships/hyperlink" Target="https://docs.google.com/document/d/1cS0lmIuzCbJhonVQe4752AwHmJVYr2q6_tfcu4da1KA/edit?tab=t.0" TargetMode="External"/><Relationship Id="rId804" Type="http://schemas.openxmlformats.org/officeDocument/2006/relationships/hyperlink" Target="https://drive.google.com/file/d/1Xz0bV0wJ1S1bQqamywXMKMwYz9HV1YS8/view?usp=sharing" TargetMode="External"/><Relationship Id="rId803" Type="http://schemas.openxmlformats.org/officeDocument/2006/relationships/hyperlink" Target="https://drive.google.com/file/d/1uoaGhSoutWft16xuJsvj6ctAHffMHHns/view?usp=sharing" TargetMode="External"/><Relationship Id="rId802" Type="http://schemas.openxmlformats.org/officeDocument/2006/relationships/hyperlink" Target="https://drive.google.com/file/d/1bgh5z48KHzbyHzQjjM0DwBNLaFRSU2RQ/view?usp=sharing" TargetMode="External"/><Relationship Id="rId801" Type="http://schemas.openxmlformats.org/officeDocument/2006/relationships/hyperlink" Target="https://drive.google.com/file/d/1bgh5z48KHzbyHzQjjM0DwBNLaFRSU2RQ/view?usp=sharing" TargetMode="External"/><Relationship Id="rId40" Type="http://schemas.openxmlformats.org/officeDocument/2006/relationships/hyperlink" Target="https://docs.google.com/document/d/1KVEszq9bYH0f1NFtraPmAmbvLMoBGeeufiuxCeQK8k4/edit?tab=t.0" TargetMode="External"/><Relationship Id="rId42" Type="http://schemas.openxmlformats.org/officeDocument/2006/relationships/hyperlink" Target="https://drive.google.com/file/d/1x7bsesbTQsrF0y8pkwinC__BrmW0JJwh/view?usp=drive_link" TargetMode="External"/><Relationship Id="rId41" Type="http://schemas.openxmlformats.org/officeDocument/2006/relationships/hyperlink" Target="https://drive.google.com/file/d/1qxkj36OuIDLbEKw94kH7i5ufyU27ZOqr/view?usp=drive_link" TargetMode="External"/><Relationship Id="rId44" Type="http://schemas.openxmlformats.org/officeDocument/2006/relationships/hyperlink" Target="https://drive.google.com/file/d/1maBJ0vbeIKSjjkyJBJyADpR2yLDvR5i5/view?usp=drive_link" TargetMode="External"/><Relationship Id="rId43" Type="http://schemas.openxmlformats.org/officeDocument/2006/relationships/hyperlink" Target="https://drive.google.com/file/d/1MJUaGZS_LEHAoQfY72gGIHXlj9FhIbm_/view?usp=drive_link" TargetMode="External"/><Relationship Id="rId46" Type="http://schemas.openxmlformats.org/officeDocument/2006/relationships/hyperlink" Target="https://drive.google.com/file/d/17EfFxz2mL-j_mG6jc-zB3XwqoacV4x82/view?usp=drive_link" TargetMode="External"/><Relationship Id="rId45" Type="http://schemas.openxmlformats.org/officeDocument/2006/relationships/hyperlink" Target="https://docs.google.com/document/d/1OjpCR566i37i0cC2EA8S7GD59JSTzoI-_phELLLnPgs/edit?usp=drive_link" TargetMode="External"/><Relationship Id="rId509" Type="http://schemas.openxmlformats.org/officeDocument/2006/relationships/hyperlink" Target="https://docs.google.com/document/d/1biOT_ti74am4oZT4CAfPo6xwmT3BkUsfzYvG5TKJ-4U/edit?tab=t.0" TargetMode="External"/><Relationship Id="rId508" Type="http://schemas.openxmlformats.org/officeDocument/2006/relationships/hyperlink" Target="https://drive.google.com/file/d/1Bsfo3K_81Mc3HUIRqLhHe8rii1Z6pR33/view?usp=sharing" TargetMode="External"/><Relationship Id="rId503" Type="http://schemas.openxmlformats.org/officeDocument/2006/relationships/hyperlink" Target="https://docs.google.com/document/d/1vpotPYA_dfy33637Fta8p76aPOB2GyzcaOLNZTBC9BU/edit?tab=t.0" TargetMode="External"/><Relationship Id="rId745" Type="http://schemas.openxmlformats.org/officeDocument/2006/relationships/hyperlink" Target="https://drive.google.com/file/d/1JfCmaArJ4kClkV6WOp9MQyCxNhqsw_KM/view?usp=sharing" TargetMode="External"/><Relationship Id="rId987" Type="http://schemas.openxmlformats.org/officeDocument/2006/relationships/hyperlink" Target="https://drive.google.com/file/d/181nGKNXcUwHZ0uI-WutM-PXQDNK3hxvg/view?usp=sharing" TargetMode="External"/><Relationship Id="rId502" Type="http://schemas.openxmlformats.org/officeDocument/2006/relationships/hyperlink" Target="https://drive.google.com/file/d/18BWuOcIINW8Du03-GZEiro4rzr8YWKO8/view?usp=sharing" TargetMode="External"/><Relationship Id="rId744" Type="http://schemas.openxmlformats.org/officeDocument/2006/relationships/hyperlink" Target="https://drive.google.com/file/d/1IIdLUzoZN2GSVNNP9iR9UJhQcoqEuz45/view?usp=sharing" TargetMode="External"/><Relationship Id="rId986" Type="http://schemas.openxmlformats.org/officeDocument/2006/relationships/hyperlink" Target="https://docs.google.com/document/d/1jsT76NZtiVc5Jtk8jg7Dxng9N3oWiPgaZ4WqjXWZ6MM/edit?tab=t.0" TargetMode="External"/><Relationship Id="rId501" Type="http://schemas.openxmlformats.org/officeDocument/2006/relationships/hyperlink" Target="https://docs.google.com/document/d/1Y8qSuIPStvci4xOxn6dFOpOx5IIySR5oyFIfRwjFLiE/edit?tab=t.0" TargetMode="External"/><Relationship Id="rId743" Type="http://schemas.openxmlformats.org/officeDocument/2006/relationships/hyperlink" Target="https://drive.google.com/file/d/1sVhWU_7V_wLynVxEnVwQYMGnADbycJIJ/view?usp=sharing" TargetMode="External"/><Relationship Id="rId985" Type="http://schemas.openxmlformats.org/officeDocument/2006/relationships/hyperlink" Target="https://docs.google.com/document/d/1UTTLiXDPbSN_ys8DGTqvlg6cjZpZpSTEeFLbM8IjwcE/edit?tab=t.0" TargetMode="External"/><Relationship Id="rId500" Type="http://schemas.openxmlformats.org/officeDocument/2006/relationships/hyperlink" Target="https://drive.google.com/file/d/1wcYPeExQmc1IJTApnOXEBodHfsB9SWts/view?usp=sharing" TargetMode="External"/><Relationship Id="rId742" Type="http://schemas.openxmlformats.org/officeDocument/2006/relationships/hyperlink" Target="https://drive.google.com/file/d/1TscjX9paweGsJyUbGPykHhVADqZq9gHk/view?usp=sharing" TargetMode="External"/><Relationship Id="rId984" Type="http://schemas.openxmlformats.org/officeDocument/2006/relationships/hyperlink" Target="https://drive.google.com/file/d/1wJaAjvpKlAEUraQYzv9d8j8phHjFCI6b/view?usp=sharing" TargetMode="External"/><Relationship Id="rId507" Type="http://schemas.openxmlformats.org/officeDocument/2006/relationships/hyperlink" Target="https://docs.google.com/document/d/1jYVyho3tnSFglMQ-UMMeakaJlmNvpVRUuLIaqY1kotQ/edit?tab=t.0" TargetMode="External"/><Relationship Id="rId749" Type="http://schemas.openxmlformats.org/officeDocument/2006/relationships/hyperlink" Target="https://drive.google.com/file/d/1nOtrJGlI0w3gq5yr7NfAv6NGE5i4UAhv/view?usp=sharing" TargetMode="External"/><Relationship Id="rId506" Type="http://schemas.openxmlformats.org/officeDocument/2006/relationships/hyperlink" Target="https://drive.google.com/file/d/1wC3I2e565WvkBGTP1DY0z3pUN4klOEOK/view?usp=sharing" TargetMode="External"/><Relationship Id="rId748" Type="http://schemas.openxmlformats.org/officeDocument/2006/relationships/hyperlink" Target="https://drive.google.com/file/d/1zka9Ja9rTj-e2S6AcbLJf90Qt8gfAoTS/view?usp=sharing" TargetMode="External"/><Relationship Id="rId505" Type="http://schemas.openxmlformats.org/officeDocument/2006/relationships/hyperlink" Target="https://docs.google.com/document/d/17Un79GwSMuXyQo5RYWwkgON6BIObA4O3P7lVIje9ipA/edit?tab=t.0" TargetMode="External"/><Relationship Id="rId747" Type="http://schemas.openxmlformats.org/officeDocument/2006/relationships/hyperlink" Target="https://drive.google.com/file/d/1XoOnnFqhWq4X3zf9kN7PtPEztVGMuY5X/view?usp=sharing" TargetMode="External"/><Relationship Id="rId989" Type="http://schemas.openxmlformats.org/officeDocument/2006/relationships/hyperlink" Target="https://drive.google.com/file/d/1rj9Xj-XGy8kyt8JGFKNsKmyGDcx7ff1P/view?usp=sharing" TargetMode="External"/><Relationship Id="rId504" Type="http://schemas.openxmlformats.org/officeDocument/2006/relationships/hyperlink" Target="https://drive.google.com/file/d/18qz44dFGCLSXknARadxX14Ghk_Um2nxn/view?usp=sharing" TargetMode="External"/><Relationship Id="rId746" Type="http://schemas.openxmlformats.org/officeDocument/2006/relationships/hyperlink" Target="https://drive.google.com/file/d/1gkHnWWdPy35wUAAKKAlMJFpYOK7JXwAo/view?usp=sharing" TargetMode="External"/><Relationship Id="rId988" Type="http://schemas.openxmlformats.org/officeDocument/2006/relationships/hyperlink" Target="https://docs.google.com/document/d/1FJj4ZJ2cv_CmhQsG7HfvkNRgVI8zeostajnPBU7nMks/edit?tab=t.0" TargetMode="External"/><Relationship Id="rId48" Type="http://schemas.openxmlformats.org/officeDocument/2006/relationships/hyperlink" Target="https://drive.google.com/file/d/1gUdKNkLx46zBdOZMvZMPmIUz0n_qQRjd/view?usp=drive_link" TargetMode="External"/><Relationship Id="rId47" Type="http://schemas.openxmlformats.org/officeDocument/2006/relationships/hyperlink" Target="https://docs.google.com/document/d/1z2rAcd7RvbpfpgYc0Rz7wwBnt2Nept3QCf3MDE6uKJs/edit?usp=drive_link" TargetMode="External"/><Relationship Id="rId49" Type="http://schemas.openxmlformats.org/officeDocument/2006/relationships/hyperlink" Target="https://docs.google.com/document/d/11s6eB634ztjt8lRX4EPxk8zlMYFKAZZ9CcF87166oDI/edit?usp=drive_link" TargetMode="External"/><Relationship Id="rId741" Type="http://schemas.openxmlformats.org/officeDocument/2006/relationships/hyperlink" Target="https://drive.google.com/file/d/1Uencd8wdtt_OUy2ChjDYB6bC78nzZNao/view?usp=sharing" TargetMode="External"/><Relationship Id="rId983" Type="http://schemas.openxmlformats.org/officeDocument/2006/relationships/hyperlink" Target="https://docs.google.com/document/d/1DXcuoqOcs5zpLkePSrKRlY9Mih5p5Sdfg_gTlbK4JMA/edit?tab=t.0" TargetMode="External"/><Relationship Id="rId740" Type="http://schemas.openxmlformats.org/officeDocument/2006/relationships/hyperlink" Target="https://docs.google.com/document/d/1-0osWWt207tzZ_QFFUj5lkrmGDmUI33WTh-54BGOS7A/edit?tab=t.0" TargetMode="External"/><Relationship Id="rId982" Type="http://schemas.openxmlformats.org/officeDocument/2006/relationships/hyperlink" Target="https://docs.google.com/document/d/1GlSv8ON2K8Evxrpf2WieFskOE8DPHVWDXnFsnr3qzyM/edit?tab=t.0" TargetMode="External"/><Relationship Id="rId981" Type="http://schemas.openxmlformats.org/officeDocument/2006/relationships/hyperlink" Target="https://drive.google.com/file/d/1mX8dN7wSiFj_5huyj-nmP4dWrDmq7HBL/view?usp=sharing" TargetMode="External"/><Relationship Id="rId980" Type="http://schemas.openxmlformats.org/officeDocument/2006/relationships/hyperlink" Target="https://docs.google.com/document/d/1DarwSheqKH26yCwSeg-UGX7mXW7ZsQP8l45jvTU8eaE/edit?tab=t.0" TargetMode="External"/><Relationship Id="rId31" Type="http://schemas.openxmlformats.org/officeDocument/2006/relationships/hyperlink" Target="https://drive.google.com/file/d/1dxHoCNfnBBdpnuarONEMJ4IcEwtU_42R/view?usp=drive_link" TargetMode="External"/><Relationship Id="rId30" Type="http://schemas.openxmlformats.org/officeDocument/2006/relationships/hyperlink" Target="https://docs.google.com/document/d/1hFBNTbBy7-ojN3nicd6fyjebDe4c9WzglZTU19RJqlQ/edit?usp=drive_link" TargetMode="External"/><Relationship Id="rId33" Type="http://schemas.openxmlformats.org/officeDocument/2006/relationships/hyperlink" Target="https://drive.google.com/file/d/192mUH-nPbdxYgAivDBDZ69cb1KB4MBoN/view?usp=drive_link" TargetMode="External"/><Relationship Id="rId32" Type="http://schemas.openxmlformats.org/officeDocument/2006/relationships/hyperlink" Target="https://docs.google.com/document/d/1iRyN3XYKyZdAicqHSLG-eyWKsfp_L1WKFdOg9j8PKeE/edit?usp=drive_link" TargetMode="External"/><Relationship Id="rId35" Type="http://schemas.openxmlformats.org/officeDocument/2006/relationships/hyperlink" Target="https://drive.google.com/file/d/1oL8vJPLjtIQ56KxyvTIqIcMtv6FiPQZw/view?usp=drive_link" TargetMode="External"/><Relationship Id="rId34" Type="http://schemas.openxmlformats.org/officeDocument/2006/relationships/hyperlink" Target="https://docs.google.com/document/d/1n2gAlf0Hi_UtKgtKomUnKnVA4EqsQoOUNtUA-AWyN2c/edit?usp=drive_link" TargetMode="External"/><Relationship Id="rId739" Type="http://schemas.openxmlformats.org/officeDocument/2006/relationships/hyperlink" Target="https://drive.google.com/file/d/1ivsoo6mQZth9aAmpJsMk9GYEN9SVssw8/view?usp=sharing" TargetMode="External"/><Relationship Id="rId734" Type="http://schemas.openxmlformats.org/officeDocument/2006/relationships/hyperlink" Target="https://drive.google.com/file/d/1uBluukeI4gghbLFa153i-_p_DfKecH54/view?usp=drive_link" TargetMode="External"/><Relationship Id="rId976" Type="http://schemas.openxmlformats.org/officeDocument/2006/relationships/hyperlink" Target="https://drive.google.com/file/d/1gioOCg0FzUMsyJX7LjFgu0ZL1LMZBzaE/view?usp=sharing" TargetMode="External"/><Relationship Id="rId733" Type="http://schemas.openxmlformats.org/officeDocument/2006/relationships/hyperlink" Target="https://drive.google.com/file/d/15OMxXb8xkR5GkWytn0Ns62A3lT9AF9FU/view?usp=drive_link" TargetMode="External"/><Relationship Id="rId975" Type="http://schemas.openxmlformats.org/officeDocument/2006/relationships/hyperlink" Target="https://drive.google.com/file/d/1C0Zdn8c519UtT3BRRKnsWWw2jRQIL1DA/view?usp=sharing" TargetMode="External"/><Relationship Id="rId732" Type="http://schemas.openxmlformats.org/officeDocument/2006/relationships/hyperlink" Target="https://drive.google.com/file/d/1HdI7G68F2PHJI3zDmQmILjXAGAUhPOP9/view?usp=sharing" TargetMode="External"/><Relationship Id="rId974" Type="http://schemas.openxmlformats.org/officeDocument/2006/relationships/hyperlink" Target="https://drive.google.com/file/d/1zbxonpBX7Tlp2jLvToEn6CVh5kBRHbq2/view?usp=sharing" TargetMode="External"/><Relationship Id="rId731" Type="http://schemas.openxmlformats.org/officeDocument/2006/relationships/hyperlink" Target="https://drive.google.com/file/d/1MWhQuYtlEBtQ8PbRi2nP__JYRx_qNF_A/view?usp=sharing" TargetMode="External"/><Relationship Id="rId973" Type="http://schemas.openxmlformats.org/officeDocument/2006/relationships/hyperlink" Target="https://drive.google.com/file/d/1BCmg-H0kAVk4wh1QZ19qOwzxmP4Ue6Zp/view?usp=sharing" TargetMode="External"/><Relationship Id="rId738" Type="http://schemas.openxmlformats.org/officeDocument/2006/relationships/hyperlink" Target="https://docs.google.com/document/d/1jk4gaS_YHjVHJEIaDuz428VarCs-RdsNsA_f2A-s1tI/edit?tab=t.0" TargetMode="External"/><Relationship Id="rId737" Type="http://schemas.openxmlformats.org/officeDocument/2006/relationships/hyperlink" Target="https://drive.google.com/file/d/1ivsoo6mQZth9aAmpJsMk9GYEN9SVssw8/view?usp=sharing" TargetMode="External"/><Relationship Id="rId979" Type="http://schemas.openxmlformats.org/officeDocument/2006/relationships/hyperlink" Target="https://drive.google.com/file/d/1uXog09ZL6Pz--5ZQyX17_y6ECJpS9ys3/view?usp=sharing" TargetMode="External"/><Relationship Id="rId736" Type="http://schemas.openxmlformats.org/officeDocument/2006/relationships/hyperlink" Target="https://drive.google.com/file/d/1dHDrcPUcVWEMXe-AoMp8BytRuDLRnFUc/view?usp=sharing" TargetMode="External"/><Relationship Id="rId978" Type="http://schemas.openxmlformats.org/officeDocument/2006/relationships/hyperlink" Target="https://docs.google.com/document/d/1-SwXojMVERY_1vkO-M-oNcoSejpObNzGXqLBZ_F6FqE/edit?tab=t.0" TargetMode="External"/><Relationship Id="rId735" Type="http://schemas.openxmlformats.org/officeDocument/2006/relationships/hyperlink" Target="https://drive.google.com/file/d/1oK1FxAyxN-acR8Hl5obwTwRzOQj5GAZ5/view?usp=sharing" TargetMode="External"/><Relationship Id="rId977" Type="http://schemas.openxmlformats.org/officeDocument/2006/relationships/hyperlink" Target="https://drive.google.com/file/d/1Bqmb7e6CLYsR987eZ6SnoDNxQQedGBI6/view?usp=sharing" TargetMode="External"/><Relationship Id="rId37" Type="http://schemas.openxmlformats.org/officeDocument/2006/relationships/hyperlink" Target="https://drive.google.com/file/d/1dGuw1cfDexjvPXd48fbGs5zNbcK2A_tN/view?usp=drive_link" TargetMode="External"/><Relationship Id="rId36" Type="http://schemas.openxmlformats.org/officeDocument/2006/relationships/hyperlink" Target="https://docs.google.com/document/d/1ODzLFvop84QPYbscbFvpXVErR_7XfW8D2YVi6onrwVc/edit?usp=share_link" TargetMode="External"/><Relationship Id="rId39" Type="http://schemas.openxmlformats.org/officeDocument/2006/relationships/hyperlink" Target="https://drive.google.com/file/d/1O_GDwJ8r0t-PL3d3Ow_InY2A80-nGLdz/view?usp=drive_link" TargetMode="External"/><Relationship Id="rId38" Type="http://schemas.openxmlformats.org/officeDocument/2006/relationships/hyperlink" Target="https://docs.google.com/document/d/1a5wFScDwBsoIIykKHOPc7LQMrCQEltU_WokUw--OvPk/edit?tab=t.0" TargetMode="External"/><Relationship Id="rId730" Type="http://schemas.openxmlformats.org/officeDocument/2006/relationships/hyperlink" Target="https://drive.google.com/file/d/1roqyQ7McSgk4PR85ccO_37jsnFTq9m9K/view?usp=drive_link" TargetMode="External"/><Relationship Id="rId972" Type="http://schemas.openxmlformats.org/officeDocument/2006/relationships/hyperlink" Target="https://drive.google.com/file/d/1oD1H059CV6lBGkxQi_6p_CkH3Kf45jGe/view?usp=sharing" TargetMode="External"/><Relationship Id="rId971" Type="http://schemas.openxmlformats.org/officeDocument/2006/relationships/hyperlink" Target="https://drive.google.com/file/d/10ZnqQ4TDtBo9k-gePIlIrmSiC4htb43l/view?usp=sharing" TargetMode="External"/><Relationship Id="rId970" Type="http://schemas.openxmlformats.org/officeDocument/2006/relationships/hyperlink" Target="https://drive.google.com/file/d/1ZmGPCFv-I6ViTumB0A-KFoDWhk9719zs/view?usp=sharing" TargetMode="External"/><Relationship Id="rId20" Type="http://schemas.openxmlformats.org/officeDocument/2006/relationships/hyperlink" Target="https://drive.google.com/file/d/11XreqyBSu32OzNZoG2gq94rp8_qa4IZ4/view?usp=sharing" TargetMode="External"/><Relationship Id="rId22" Type="http://schemas.openxmlformats.org/officeDocument/2006/relationships/hyperlink" Target="https://drive.google.com/file/d/1uEcetgu5HyIG6M2B3wDIcagvXu22e6kP/view?usp=sharing" TargetMode="External"/><Relationship Id="rId21" Type="http://schemas.openxmlformats.org/officeDocument/2006/relationships/hyperlink" Target="https://docs.google.com/document/d/124YnMaLMHBFPN2aMymgW3U4QQ4lGmo72iQme2BN3hsQ/edit?usp=sharing" TargetMode="External"/><Relationship Id="rId24" Type="http://schemas.openxmlformats.org/officeDocument/2006/relationships/hyperlink" Target="https://drive.google.com/file/d/1CK5DO-F3M2jGrKl_v406H__VuOmmtHR6/view?usp=sharing" TargetMode="External"/><Relationship Id="rId23" Type="http://schemas.openxmlformats.org/officeDocument/2006/relationships/hyperlink" Target="https://drive.google.com/file/d/1ITlFKh9Wu4uQi9KZQ9oIK43BNkyJK1ZP/view?usp=sharing" TargetMode="External"/><Relationship Id="rId525" Type="http://schemas.openxmlformats.org/officeDocument/2006/relationships/hyperlink" Target="https://drive.google.com/file/d/1wKC37yRLFDqVqTIGBLGX3zl1JGPKzhH_/view?usp=sharing" TargetMode="External"/><Relationship Id="rId767" Type="http://schemas.openxmlformats.org/officeDocument/2006/relationships/hyperlink" Target="https://docs.google.com/document/d/1rTD3SBw-ulDse_qnIRd4lsROOH0Z4ClsCGm0eZCE26Y/edit?usp=drive_link" TargetMode="External"/><Relationship Id="rId524" Type="http://schemas.openxmlformats.org/officeDocument/2006/relationships/hyperlink" Target="https://drive.google.com/file/d/1y6_7TZ6mj6xptl3FdbuZ42eKJGrmi1nH/view?usp=sharing" TargetMode="External"/><Relationship Id="rId766" Type="http://schemas.openxmlformats.org/officeDocument/2006/relationships/hyperlink" Target="https://drive.google.com/file/d/1uuTokfgzcbK5RccXJEJqeXOlyl1_tmRN/view?usp=drive_link" TargetMode="External"/><Relationship Id="rId523" Type="http://schemas.openxmlformats.org/officeDocument/2006/relationships/hyperlink" Target="https://drive.google.com/file/d/1K8R6IV75kxKdiAOcLf_bScxvn-xYox_2/view?usp=sharing" TargetMode="External"/><Relationship Id="rId765" Type="http://schemas.openxmlformats.org/officeDocument/2006/relationships/hyperlink" Target="https://drive.google.com/file/d/1V3nNp2UGjU7Xu2qfJFcDagxfvP9-MQ1C/view?usp=drive_link" TargetMode="External"/><Relationship Id="rId522" Type="http://schemas.openxmlformats.org/officeDocument/2006/relationships/hyperlink" Target="https://drive.google.com/file/d/15rPK61t_bRVDF_OyteDp2jm-sGYMO9ZS/view?usp=sharing" TargetMode="External"/><Relationship Id="rId764" Type="http://schemas.openxmlformats.org/officeDocument/2006/relationships/hyperlink" Target="https://drive.google.com/file/d/1-l9qe7tGMm5dIuQawmlm0F78xeso3GCU/view?usp=drive_link" TargetMode="External"/><Relationship Id="rId529" Type="http://schemas.openxmlformats.org/officeDocument/2006/relationships/hyperlink" Target="https://drive.google.com/file/d/1EwcKlMo6uij-IlEYftqSvQSm1heYYrwJ/view?usp=sharing" TargetMode="External"/><Relationship Id="rId528" Type="http://schemas.openxmlformats.org/officeDocument/2006/relationships/hyperlink" Target="https://drive.google.com/file/d/1lVUu-s7JJcOSVRQ32dTNMq_F_klhSXCS/view?usp=sharing" TargetMode="External"/><Relationship Id="rId527" Type="http://schemas.openxmlformats.org/officeDocument/2006/relationships/hyperlink" Target="https://drive.google.com/file/d/17VUOBnH8HodamIGDCY3jbJfJe0r3uTyU/view?usp=sharing" TargetMode="External"/><Relationship Id="rId769" Type="http://schemas.openxmlformats.org/officeDocument/2006/relationships/hyperlink" Target="https://drive.google.com/file/d/1VXjUroD3D3pOH-_xKcKG92wAe86kEk0C/view?usp=sharing" TargetMode="External"/><Relationship Id="rId526" Type="http://schemas.openxmlformats.org/officeDocument/2006/relationships/hyperlink" Target="https://drive.google.com/file/d/1q8k8K4muEvvZyh1NFtPXEgRF218grxbw/view?usp=sharing" TargetMode="External"/><Relationship Id="rId768" Type="http://schemas.openxmlformats.org/officeDocument/2006/relationships/hyperlink" Target="https://drive.google.com/file/d/1U4QgI22sV_aWfGTkBQxVNgecY9zxVCWn/view?usp=drive_link" TargetMode="External"/><Relationship Id="rId26" Type="http://schemas.openxmlformats.org/officeDocument/2006/relationships/hyperlink" Target="https://drive.google.com/file/d/1TZ9RKyIW0wvYbxMkReBFgouPE1B7H6qS/view?usp=drive_link" TargetMode="External"/><Relationship Id="rId25" Type="http://schemas.openxmlformats.org/officeDocument/2006/relationships/hyperlink" Target="https://docs.google.com/document/d/1gCTXLYxFhNjw6BzK_7pgOKeElP1uaZ12yrepKOkVwzA/edit?tab=t.0" TargetMode="External"/><Relationship Id="rId28" Type="http://schemas.openxmlformats.org/officeDocument/2006/relationships/hyperlink" Target="https://drive.google.com/file/d/1w8bOc9981gozEdZdtNAo2oqwFGTgSSUi/view?usp=drive_link" TargetMode="External"/><Relationship Id="rId27" Type="http://schemas.openxmlformats.org/officeDocument/2006/relationships/hyperlink" Target="https://docs.google.com/document/d/1yLjB1WnjbUZ7XwgER8nsycTNoEyre_OzF0C83FtitTk/edit?usp=drive_link" TargetMode="External"/><Relationship Id="rId521" Type="http://schemas.openxmlformats.org/officeDocument/2006/relationships/hyperlink" Target="https://drive.google.com/file/d/1Zci8GfziIZd2tfMHQ0YJr33K_FEK2Ule/view?usp=sharing" TargetMode="External"/><Relationship Id="rId763" Type="http://schemas.openxmlformats.org/officeDocument/2006/relationships/hyperlink" Target="https://drive.google.com/file/d/18s3YI0p5oO4gX_FMjVi4r6tB5JtISe8Q/view?usp=drive_link" TargetMode="External"/><Relationship Id="rId29" Type="http://schemas.openxmlformats.org/officeDocument/2006/relationships/hyperlink" Target="https://drive.google.com/file/d/1arxdLNzA20O1loFjcVXacZiIOgol-DrG/view?usp=drive_link" TargetMode="External"/><Relationship Id="rId520" Type="http://schemas.openxmlformats.org/officeDocument/2006/relationships/hyperlink" Target="https://drive.google.com/file/d/1qFOXhsUVbHy0P1lSEU_Q6AfHypWNZJkD/view?usp=sharing" TargetMode="External"/><Relationship Id="rId762" Type="http://schemas.openxmlformats.org/officeDocument/2006/relationships/hyperlink" Target="https://docs.google.com/document/d/1uYe8GtvzkDQP61-PcTSLHViXed6m3LHAoTBoe222BDE/edit?usp=drive_link" TargetMode="External"/><Relationship Id="rId761" Type="http://schemas.openxmlformats.org/officeDocument/2006/relationships/hyperlink" Target="https://drive.google.com/file/d/1y4dANY_ApwBs8vKbpXtxGykSwE6EQC05/view?usp=sharing" TargetMode="External"/><Relationship Id="rId760" Type="http://schemas.openxmlformats.org/officeDocument/2006/relationships/hyperlink" Target="https://drive.google.com/file/d/1j0Yw7wS5VlDzBTKjPbmuHibB1OOU6ess/view?usp=sharing" TargetMode="External"/><Relationship Id="rId11" Type="http://schemas.openxmlformats.org/officeDocument/2006/relationships/hyperlink" Target="https://drive.google.com/file/d/1DRB4gIWC2XHBW7L4-2N7s3GgVo21saSd/view?usp=drive_link" TargetMode="External"/><Relationship Id="rId10" Type="http://schemas.openxmlformats.org/officeDocument/2006/relationships/hyperlink" Target="https://drive.google.com/file/d/1kdMRc_00T_cVT6WqdinKi03MyVOEz_Tw/view?usp=drive_link" TargetMode="External"/><Relationship Id="rId13" Type="http://schemas.openxmlformats.org/officeDocument/2006/relationships/hyperlink" Target="https://drive.google.com/file/d/1_pcmO_Sz92gzgt_nTZNpDPEvVW9alnOB/view?usp=drive_link" TargetMode="External"/><Relationship Id="rId12" Type="http://schemas.openxmlformats.org/officeDocument/2006/relationships/hyperlink" Target="https://docs.google.com/document/d/1_3TCXmJhcSUYQeMZiY7Mw9sQf-HSOYNKg98xeAjOnaY/edit?usp=share_link" TargetMode="External"/><Relationship Id="rId519" Type="http://schemas.openxmlformats.org/officeDocument/2006/relationships/hyperlink" Target="https://drive.google.com/file/d/1Ojdit5ICmMRENoLqz2lbhHHvzzYO7u-7/view?usp=sharing" TargetMode="External"/><Relationship Id="rId514" Type="http://schemas.openxmlformats.org/officeDocument/2006/relationships/hyperlink" Target="https://drive.google.com/file/d/1sXkwRL2Q2-G1A3EgL_ScqM_soBjYFJct/view?usp=sharing" TargetMode="External"/><Relationship Id="rId756" Type="http://schemas.openxmlformats.org/officeDocument/2006/relationships/hyperlink" Target="https://drive.google.com/file/d/1_ji0yclxU4Y9cgjVGFW-dUi4tf2Gf91X/view?usp=sharing" TargetMode="External"/><Relationship Id="rId998" Type="http://schemas.openxmlformats.org/officeDocument/2006/relationships/hyperlink" Target="https://drive.google.com/file/d/15LTEy96lWs28PnNNmUWATP8SqSlc2wkQ/view?usp=share_link" TargetMode="External"/><Relationship Id="rId513" Type="http://schemas.openxmlformats.org/officeDocument/2006/relationships/hyperlink" Target="https://drive.google.com/file/d/1ZpSY9VVXAx-guPRaTsHUab6AmgnDeEiV/view?usp=sharing" TargetMode="External"/><Relationship Id="rId755" Type="http://schemas.openxmlformats.org/officeDocument/2006/relationships/hyperlink" Target="https://drive.google.com/file/d/13UdqyRm_8NtR20a8f8hH4oIghOA997cN/view?usp=sharing" TargetMode="External"/><Relationship Id="rId997" Type="http://schemas.openxmlformats.org/officeDocument/2006/relationships/hyperlink" Target="https://drive.google.com/file/d/1STk9KTseZiNbFiG54mfKIxhuUCpKp71Z/view?usp=sharing" TargetMode="External"/><Relationship Id="rId512" Type="http://schemas.openxmlformats.org/officeDocument/2006/relationships/hyperlink" Target="https://drive.google.com/file/d/1K_myFw6CUcZ75hCt_6icP_SjH76a7MRF/view?usp=sharing" TargetMode="External"/><Relationship Id="rId754" Type="http://schemas.openxmlformats.org/officeDocument/2006/relationships/hyperlink" Target="https://drive.google.com/file/d/1s0QmrYp9Y9miUO5tmqK1PUeBy6dzJDUP/view?usp=sharing" TargetMode="External"/><Relationship Id="rId996" Type="http://schemas.openxmlformats.org/officeDocument/2006/relationships/hyperlink" Target="https://docs.google.com/document/d/1Rn5h4QR-KO_cB0cI9NxjeC5WaTEO0_8fJKPO_QCUIJw/edit?tab=t.0" TargetMode="External"/><Relationship Id="rId511" Type="http://schemas.openxmlformats.org/officeDocument/2006/relationships/hyperlink" Target="https://drive.google.com/file/d/1Sa5c_JsANWTtylmSuh8L-99Lv3r30rXp/view?usp=sharing" TargetMode="External"/><Relationship Id="rId753" Type="http://schemas.openxmlformats.org/officeDocument/2006/relationships/hyperlink" Target="https://drive.google.com/file/d/1uNyJ4MvoBrTOW_9qqX5a28a9IpSXftER/view?usp=sharing" TargetMode="External"/><Relationship Id="rId995" Type="http://schemas.openxmlformats.org/officeDocument/2006/relationships/hyperlink" Target="https://drive.google.com/file/d/1vMm93ngGHV_pKed2MLaEF6S9rUOmbNMj/view?usp=sharing" TargetMode="External"/><Relationship Id="rId518" Type="http://schemas.openxmlformats.org/officeDocument/2006/relationships/hyperlink" Target="https://drive.google.com/file/d/1hr2wxxSk_2LbdFOE8uq4QiB3PrCWuuV0/view?usp=sharing" TargetMode="External"/><Relationship Id="rId517" Type="http://schemas.openxmlformats.org/officeDocument/2006/relationships/hyperlink" Target="https://docs.google.com/document/d/1TnNwpYVWli9xkFVofI1zQfpat2j7ssZ6ygUSbyiO0yE/edit?tab=t.0" TargetMode="External"/><Relationship Id="rId759" Type="http://schemas.openxmlformats.org/officeDocument/2006/relationships/hyperlink" Target="https://drive.google.com/file/d/1VHsvutZC81VKQoORc1Fuv1do91Kn-klP/view?usp=sharing" TargetMode="External"/><Relationship Id="rId516" Type="http://schemas.openxmlformats.org/officeDocument/2006/relationships/hyperlink" Target="https://drive.google.com/file/d/11DkGBYA5nxBaCCiGPwmXMMo7zW6qBl22/view?usp=sharing" TargetMode="External"/><Relationship Id="rId758" Type="http://schemas.openxmlformats.org/officeDocument/2006/relationships/hyperlink" Target="https://drive.google.com/file/d/1Oo6jKj0spGA9RwpvOlGGO52t9mG2kvVv/view?usp=sharing" TargetMode="External"/><Relationship Id="rId515" Type="http://schemas.openxmlformats.org/officeDocument/2006/relationships/hyperlink" Target="https://docs.google.com/document/d/1JWGBntO_lYwZ01yQsWNPCdIAI1uJDL9Gcb5wyhbHmJ4/edit?tab=t.0" TargetMode="External"/><Relationship Id="rId757" Type="http://schemas.openxmlformats.org/officeDocument/2006/relationships/hyperlink" Target="https://drive.google.com/file/d/1rErrZJLO9BGqkPGwvwTKfygouNBwSdXW/view?usp=sharing" TargetMode="External"/><Relationship Id="rId999" Type="http://schemas.openxmlformats.org/officeDocument/2006/relationships/hyperlink" Target="https://docs.google.com/document/u/0/d/1zIbu7dEWoqyUFWjwpMv_UsE_-1OAwCGbPolB4pF3EwI/edit" TargetMode="External"/><Relationship Id="rId15" Type="http://schemas.openxmlformats.org/officeDocument/2006/relationships/hyperlink" Target="https://docs.google.com/document/d/1OxTwpfiS-N6zZ81foxRYwUueo5BbIsVOmA9gBDKqkDc/edit?usp=share_link" TargetMode="External"/><Relationship Id="rId990" Type="http://schemas.openxmlformats.org/officeDocument/2006/relationships/hyperlink" Target="https://drive.google.com/file/d/1tk6UZ4QGJXmEG1E5R4tK69Bx2prca11z/view?usp=sharing" TargetMode="External"/><Relationship Id="rId14" Type="http://schemas.openxmlformats.org/officeDocument/2006/relationships/hyperlink" Target="https://drive.google.com/file/d/1e7HzdXBlckc65H3lFlAZpfWkhDOIBMvL/view?usp=drive_link" TargetMode="External"/><Relationship Id="rId17" Type="http://schemas.openxmlformats.org/officeDocument/2006/relationships/hyperlink" Target="https://docs.google.com/document/d/1JBpoTWSg6GBtPWEqI7GJUxFqvTQxcwEeC7ww8qTsVu8/edit?usp=drive_link" TargetMode="External"/><Relationship Id="rId16" Type="http://schemas.openxmlformats.org/officeDocument/2006/relationships/hyperlink" Target="https://drive.google.com/file/d/1tcuboAsm5zjXDPCNsBwFEQYaEFakkROT/view?usp=drive_link" TargetMode="External"/><Relationship Id="rId19" Type="http://schemas.openxmlformats.org/officeDocument/2006/relationships/hyperlink" Target="https://docs.google.com/document/d/1oy2GKm_p5Z_3IdhLPdaY_dOP0C-7_4TBGhTRYXJiUo8/edit?usp=sharing" TargetMode="External"/><Relationship Id="rId510" Type="http://schemas.openxmlformats.org/officeDocument/2006/relationships/hyperlink" Target="https://drive.google.com/file/d/17eL6gi681qRDV7JgIV3rVZfdFR23PaTk/view?usp=sharing" TargetMode="External"/><Relationship Id="rId752" Type="http://schemas.openxmlformats.org/officeDocument/2006/relationships/hyperlink" Target="https://drive.google.com/file/d/1MM8OkjF0axrXyhv2Ov8xEq3XgZtlmEXv/view?usp=sharing" TargetMode="External"/><Relationship Id="rId994" Type="http://schemas.openxmlformats.org/officeDocument/2006/relationships/hyperlink" Target="https://drive.google.com/file/d/1aB9_dyiC1Vv-Mmnl2SnGOrIlcU_Vai2V/view?usp=sharing" TargetMode="External"/><Relationship Id="rId18" Type="http://schemas.openxmlformats.org/officeDocument/2006/relationships/hyperlink" Target="https://drive.google.com/file/d/171jy7vYKJYB-XHsdEkeHNA5vU1q3hy1_/view?usp=sharing" TargetMode="External"/><Relationship Id="rId751" Type="http://schemas.openxmlformats.org/officeDocument/2006/relationships/hyperlink" Target="https://drive.google.com/file/d/17uH5RKmdKao0djVl4GOy4DDDl6qeB_Bo/view?usp=sharing" TargetMode="External"/><Relationship Id="rId993" Type="http://schemas.openxmlformats.org/officeDocument/2006/relationships/hyperlink" Target="https://drive.google.com/file/d/11qS3t793WnSvyjD2uqrfTE_qbHHlgjHX/view?usp=sharing" TargetMode="External"/><Relationship Id="rId750" Type="http://schemas.openxmlformats.org/officeDocument/2006/relationships/hyperlink" Target="https://docs.google.com/document/d/1ppFLe7uB3wtT6f0pRZm3-3q4fyU-jt8XcwCh3OPlTgo/edit?tab=t.0" TargetMode="External"/><Relationship Id="rId992" Type="http://schemas.openxmlformats.org/officeDocument/2006/relationships/hyperlink" Target="https://docs.google.com/document/d/1xyNPiVqhxK_ypqfVCON9fooqhAAZGQ8EsBraxG7_giQ/edit?tab=t.0" TargetMode="External"/><Relationship Id="rId991" Type="http://schemas.openxmlformats.org/officeDocument/2006/relationships/hyperlink" Target="https://drive.google.com/file/d/1gL0t46jSwLZUae-vKnV-CKwVVihcrpzr/view?usp=sharing" TargetMode="External"/><Relationship Id="rId84" Type="http://schemas.openxmlformats.org/officeDocument/2006/relationships/hyperlink" Target="https://drive.google.com/file/d/16pjcrr1kl4DcBme5uuzYOmG2xfb_HEMZ/view?usp=sharing" TargetMode="External"/><Relationship Id="rId83" Type="http://schemas.openxmlformats.org/officeDocument/2006/relationships/hyperlink" Target="https://docs.google.com/document/d/1awVrN1I3ri9_QDRdJTi48MlJL5wDcd0Yr3EfA3nRGXo/edit?usp=sharing" TargetMode="External"/><Relationship Id="rId86" Type="http://schemas.openxmlformats.org/officeDocument/2006/relationships/hyperlink" Target="https://drive.google.com/file/d/1v4hH0I3yVf3QGVGeZ3l61TqwSYmWGYu9/view?usp=sharing" TargetMode="External"/><Relationship Id="rId85" Type="http://schemas.openxmlformats.org/officeDocument/2006/relationships/hyperlink" Target="https://drive.google.com/file/d/1BrKJuLqMlJ1Pgs-IHfcRtMDjEgWGyN57/view?usp=sharing" TargetMode="External"/><Relationship Id="rId88" Type="http://schemas.openxmlformats.org/officeDocument/2006/relationships/hyperlink" Target="https://drive.google.com/file/d/1NiDbjH-2canma7Sx8ZQzbUrRUXEABgdV/view?usp=sharing" TargetMode="External"/><Relationship Id="rId87" Type="http://schemas.openxmlformats.org/officeDocument/2006/relationships/hyperlink" Target="https://drive.google.com/file/d/15gpdKAtbclUtp5fUvxVW5HIGQnTuXAjN/view?usp=sharing" TargetMode="External"/><Relationship Id="rId89" Type="http://schemas.openxmlformats.org/officeDocument/2006/relationships/hyperlink" Target="https://drive.google.com/file/d/1XEGAx3N-TpwgTri7BSPaAGqtxt0pPc2_/view?usp=sharing" TargetMode="External"/><Relationship Id="rId709" Type="http://schemas.openxmlformats.org/officeDocument/2006/relationships/hyperlink" Target="https://drive.google.com/file/d/1_tK5PnA6j1LmDzg7-6C096-2CxtsheNe/view?usp=sharing" TargetMode="External"/><Relationship Id="rId708" Type="http://schemas.openxmlformats.org/officeDocument/2006/relationships/hyperlink" Target="https://drive.google.com/file/d/111zXSTyZxwQAgQKWLqBKCJxSKvZGFDWO/view?usp=sharing" TargetMode="External"/><Relationship Id="rId707" Type="http://schemas.openxmlformats.org/officeDocument/2006/relationships/hyperlink" Target="https://docs.google.com/document/d/1MKlbYXxD74M8z5FMHaiUccWWvNcOv1z6hZgwn1-QjrU/edit?usp=sharing" TargetMode="External"/><Relationship Id="rId949" Type="http://schemas.openxmlformats.org/officeDocument/2006/relationships/hyperlink" Target="https://drive.google.com/file/d/1iRCpbEV9GNmjRFJc5QD0Ij5whDRGekPh/view?usp=sharing" TargetMode="External"/><Relationship Id="rId706" Type="http://schemas.openxmlformats.org/officeDocument/2006/relationships/hyperlink" Target="https://drive.google.com/file/d/1H1s4nrIbYtnVDglkZIBxjbbCgzYhpWSt/view?usp=sharing" TargetMode="External"/><Relationship Id="rId948" Type="http://schemas.openxmlformats.org/officeDocument/2006/relationships/hyperlink" Target="https://docs.google.com/document/d/1uWnz5p-8L1kVvGXZrUNdKtMiwOdHVZo9MAjBkE-KA2g/edit?tab=t.0" TargetMode="External"/><Relationship Id="rId80" Type="http://schemas.openxmlformats.org/officeDocument/2006/relationships/hyperlink" Target="https://docs.google.com/document/d/1Xd9mg5F0IIGG4WbzDnHmy0GJCVuJtvcCwAXqH15XQXA/edit?usp=sharing" TargetMode="External"/><Relationship Id="rId82" Type="http://schemas.openxmlformats.org/officeDocument/2006/relationships/hyperlink" Target="https://drive.google.com/file/d/1i0FKQ-QRLq_OpbzqzSN3O_kUfcO6nvjg/view?usp=drive_link" TargetMode="External"/><Relationship Id="rId81" Type="http://schemas.openxmlformats.org/officeDocument/2006/relationships/hyperlink" Target="https://drive.google.com/file/d/1q-1mH7EDkO0pLmbZWn66FYlN4H6E8hRa/view?usp=sharing" TargetMode="External"/><Relationship Id="rId701" Type="http://schemas.openxmlformats.org/officeDocument/2006/relationships/hyperlink" Target="https://drive.google.com/file/d/1hBY174BfkyvIS3-QAe0nq1eKbqIeEpiy/view?usp=drive_link" TargetMode="External"/><Relationship Id="rId943" Type="http://schemas.openxmlformats.org/officeDocument/2006/relationships/hyperlink" Target="https://drive.google.com/file/d/1clmDUs4DTg7_5j8J1PcQ0sjXbo6tWnk8/view?usp=sharing" TargetMode="External"/><Relationship Id="rId700" Type="http://schemas.openxmlformats.org/officeDocument/2006/relationships/hyperlink" Target="https://drive.google.com/file/d/1NbuP1PyB4QlwI8nuXnPWUP6Mbuwz6KF7/view?usp=drive_link" TargetMode="External"/><Relationship Id="rId942" Type="http://schemas.openxmlformats.org/officeDocument/2006/relationships/hyperlink" Target="https://drive.google.com/file/d/12B62FAEC8ZYqE7FIj8ddAsDZVX5IiiC5/view?usp=sharing" TargetMode="External"/><Relationship Id="rId941" Type="http://schemas.openxmlformats.org/officeDocument/2006/relationships/hyperlink" Target="https://drive.google.com/file/d/1xQJu6FmZdy6arQnhdWB-66IhdBxUrhns/view?usp=sharing" TargetMode="External"/><Relationship Id="rId940" Type="http://schemas.openxmlformats.org/officeDocument/2006/relationships/hyperlink" Target="https://drive.google.com/file/d/14ss1jkflPRRFHrC3KFND5SKSCWF-VU_P/view?usp=sharing" TargetMode="External"/><Relationship Id="rId705" Type="http://schemas.openxmlformats.org/officeDocument/2006/relationships/hyperlink" Target="https://docs.google.com/document/d/1XzzCdo6qsXXW87jMGx7M3K99qfr1XwtlHsZgz8PflYg/edit?usp=drive_link" TargetMode="External"/><Relationship Id="rId947" Type="http://schemas.openxmlformats.org/officeDocument/2006/relationships/hyperlink" Target="https://drive.google.com/file/d/1xLD7B0jBm3pAmv_2UuZNLrRUzj5cW5__/view?usp=sharing" TargetMode="External"/><Relationship Id="rId704" Type="http://schemas.openxmlformats.org/officeDocument/2006/relationships/hyperlink" Target="https://drive.google.com/file/d/1u2QeL4geCh3QFVvK5W2YK_fBdWqQYm2T/view?usp=drive_link" TargetMode="External"/><Relationship Id="rId946" Type="http://schemas.openxmlformats.org/officeDocument/2006/relationships/hyperlink" Target="https://drive.google.com/file/d/1MSgz6mzqFeGcMhMyzdZgy7_jPFzEh0SV/view?usp=sharing" TargetMode="External"/><Relationship Id="rId703" Type="http://schemas.openxmlformats.org/officeDocument/2006/relationships/hyperlink" Target="https://drive.google.com/file/d/1f5eJxOrb_W_htkdK6UQRuofOZoGFevLU/view?usp=drive_link" TargetMode="External"/><Relationship Id="rId945" Type="http://schemas.openxmlformats.org/officeDocument/2006/relationships/hyperlink" Target="https://drive.google.com/file/d/1c00Uv51eTr7hSl4uIq9gq5JeP6hbE9lq/view?usp=sharing" TargetMode="External"/><Relationship Id="rId702" Type="http://schemas.openxmlformats.org/officeDocument/2006/relationships/hyperlink" Target="https://drive.google.com/file/d/1aM6qOyRpUUb3yqdcWTxNqKS0_CeRso8g/view?usp=drive_link" TargetMode="External"/><Relationship Id="rId944" Type="http://schemas.openxmlformats.org/officeDocument/2006/relationships/hyperlink" Target="https://drive.google.com/file/d/1CjkDqgadE2EJw6AcZ6toFpS-JeduCD-3/view?usp=sharing" TargetMode="External"/><Relationship Id="rId73" Type="http://schemas.openxmlformats.org/officeDocument/2006/relationships/hyperlink" Target="https://drive.google.com/file/d/1BzK3_SgwzijSNygn0sxdLH-O10HiWI4j/view?usp=sharing" TargetMode="External"/><Relationship Id="rId72" Type="http://schemas.openxmlformats.org/officeDocument/2006/relationships/hyperlink" Target="https://drive.google.com/file/d/1QUuyhlJFDmae5k5-zunyA_ePtS-VssKe/view?usp=sharing" TargetMode="External"/><Relationship Id="rId75" Type="http://schemas.openxmlformats.org/officeDocument/2006/relationships/hyperlink" Target="https://drive.google.com/file/d/1WsVeGZ5Vx1oZwn-lCjOx4DYZa-Vac59H/view?usp=sharing" TargetMode="External"/><Relationship Id="rId74" Type="http://schemas.openxmlformats.org/officeDocument/2006/relationships/hyperlink" Target="https://docs.google.com/document/d/1EvNbZu4uiKzaxr0sT4i2hZ7wohqedFKPp2jp6CNFbx4/edit?usp=sharing" TargetMode="External"/><Relationship Id="rId77" Type="http://schemas.openxmlformats.org/officeDocument/2006/relationships/hyperlink" Target="https://drive.google.com/file/d/1EGurgx5EHToMB5DrYgHTgnkelvebOzSg/view?usp=drive_link" TargetMode="External"/><Relationship Id="rId76" Type="http://schemas.openxmlformats.org/officeDocument/2006/relationships/hyperlink" Target="https://docs.google.com/document/d/1DnSQB6WcrzEXmWA-zhYaMEku23_PaQtQfWhNJriFueM/edit?tab=t.0" TargetMode="External"/><Relationship Id="rId79" Type="http://schemas.openxmlformats.org/officeDocument/2006/relationships/hyperlink" Target="https://drive.google.com/file/d/1UWaCPsuNgTQEOgmskIBnYKV4CCKBUbFA/view?usp=sharing" TargetMode="External"/><Relationship Id="rId78" Type="http://schemas.openxmlformats.org/officeDocument/2006/relationships/hyperlink" Target="https://docs.google.com/document/d/1wB8-X1-RZgSV1ubpmH1EdkLbgyrlly98Z8TlZBq0uNE/edit?usp=sharing" TargetMode="External"/><Relationship Id="rId939" Type="http://schemas.openxmlformats.org/officeDocument/2006/relationships/hyperlink" Target="https://drive.google.com/file/d/1ypFXQ2PUDFOtOhQjT47BBhAlhRpGTahA/view?usp=sharing" TargetMode="External"/><Relationship Id="rId938" Type="http://schemas.openxmlformats.org/officeDocument/2006/relationships/hyperlink" Target="https://drive.google.com/file/d/1gZkR_WKbI99a1AJiqZPYIMo0vH3MYsDZ/view?usp=sharing" TargetMode="External"/><Relationship Id="rId937" Type="http://schemas.openxmlformats.org/officeDocument/2006/relationships/hyperlink" Target="https://drive.google.com/file/d/16lR-qAdk8NVipnXivoJS8Usyr6lK_0Na/view?usp=sharing" TargetMode="External"/><Relationship Id="rId71" Type="http://schemas.openxmlformats.org/officeDocument/2006/relationships/hyperlink" Target="https://docs.google.com/document/d/12dxO4f5sLnpGpIK5ClhDdgVS-sfhGFSbEkiS-1i3a1M/edit?usp=sharing" TargetMode="External"/><Relationship Id="rId70" Type="http://schemas.openxmlformats.org/officeDocument/2006/relationships/hyperlink" Target="https://drive.google.com/file/d/1AmaKRmayZ6c_2a33XGy5mCKlGiMHqKG6/view?usp=sharing" TargetMode="External"/><Relationship Id="rId932" Type="http://schemas.openxmlformats.org/officeDocument/2006/relationships/hyperlink" Target="https://drive.google.com/file/d/1zKtVDJyuJrWJPi37528HQkS5GBLT1BZY/view?usp=sharing" TargetMode="External"/><Relationship Id="rId931" Type="http://schemas.openxmlformats.org/officeDocument/2006/relationships/hyperlink" Target="https://docs.google.com/document/d/1cTxdzOH4kMcZEfNXysfsoASKZfoxL6GfKnqwqoZ9Zgo/edit?tab=t.0" TargetMode="External"/><Relationship Id="rId930" Type="http://schemas.openxmlformats.org/officeDocument/2006/relationships/hyperlink" Target="https://drive.google.com/file/d/1HLOJ1NpTVFk8yc3_3gQzWL_FqfcT--Rd/view?usp=sharing" TargetMode="External"/><Relationship Id="rId936" Type="http://schemas.openxmlformats.org/officeDocument/2006/relationships/hyperlink" Target="https://drive.google.com/file/d/1fJcnXdW15GQBML8rbkzpQ_bMPWEf8_7r/view?usp=sharing" TargetMode="External"/><Relationship Id="rId935" Type="http://schemas.openxmlformats.org/officeDocument/2006/relationships/hyperlink" Target="https://drive.google.com/file/d/1nrw0a2mAibshULWNiJvIQcfD74qPsf5c/view?usp=sharing" TargetMode="External"/><Relationship Id="rId934" Type="http://schemas.openxmlformats.org/officeDocument/2006/relationships/hyperlink" Target="https://drive.google.com/file/d/1kDgLnF_AlfAERLhsdXtREOSQgceCPLlA/view?usp=sharing" TargetMode="External"/><Relationship Id="rId933" Type="http://schemas.openxmlformats.org/officeDocument/2006/relationships/hyperlink" Target="https://drive.google.com/file/d/1U7rNSYMHHAz3VZgFo9Gd3cojAgey0M7I/view?usp=sharing" TargetMode="External"/><Relationship Id="rId62" Type="http://schemas.openxmlformats.org/officeDocument/2006/relationships/hyperlink" Target="https://drive.google.com/file/d/1yLEzyG-2nAo4mQWAytq_s2WY_EeG3041/view?usp=drive_link" TargetMode="External"/><Relationship Id="rId61" Type="http://schemas.openxmlformats.org/officeDocument/2006/relationships/hyperlink" Target="https://docs.google.com/document/d/1xbhDFKXVS65ZjdaOt4EoJPklwgqnSx_zxMqgBOwcpio/edit?usp=drive_link" TargetMode="External"/><Relationship Id="rId64" Type="http://schemas.openxmlformats.org/officeDocument/2006/relationships/hyperlink" Target="https://drive.google.com/file/d/1aYNtld79aCEV9J4DmGJGUtaPbRFf3jOV/view?usp=drive_link" TargetMode="External"/><Relationship Id="rId63" Type="http://schemas.openxmlformats.org/officeDocument/2006/relationships/hyperlink" Target="https://docs.google.com/document/d/1EPtvEqZ7Lz0dJ0wEjPuPY2PtebmQnijvKPXxlC1wMM4/edit?usp=drive_link" TargetMode="External"/><Relationship Id="rId66" Type="http://schemas.openxmlformats.org/officeDocument/2006/relationships/hyperlink" Target="https://drive.google.com/file/d/1ftHFmzJ-XEpOp2smU0ghMoCu2J7pKVLQ/view?usp=drive_link" TargetMode="External"/><Relationship Id="rId65" Type="http://schemas.openxmlformats.org/officeDocument/2006/relationships/hyperlink" Target="https://docs.google.com/document/d/1IcbnsBHo64es5HOxzEb6H4WimcdZB2usf7_FHJuT9s8/edit?usp=drive_link" TargetMode="External"/><Relationship Id="rId68" Type="http://schemas.openxmlformats.org/officeDocument/2006/relationships/hyperlink" Target="https://drive.google.com/file/d/1HdaVjRzOM3mFuKFQ029ZMuRnP3hH2Zbr/view?usp=drive_link" TargetMode="External"/><Relationship Id="rId67" Type="http://schemas.openxmlformats.org/officeDocument/2006/relationships/hyperlink" Target="https://docs.google.com/document/d/1DnSQB6WcrzEXmWA-zhYaMEku23_PaQtQfWhNJriFueM/edit?tab=t.0" TargetMode="External"/><Relationship Id="rId729" Type="http://schemas.openxmlformats.org/officeDocument/2006/relationships/hyperlink" Target="https://drive.google.com/file/d/1wiNjQp4c9ngb49R74SHGr9vodBb3d2Dl/view?usp=sharing" TargetMode="External"/><Relationship Id="rId728" Type="http://schemas.openxmlformats.org/officeDocument/2006/relationships/hyperlink" Target="https://drive.google.com/file/d/1HR0Y3SFW3HdzhFyMlZjcVVbR0Fipjtjq/view?usp=sharing" TargetMode="External"/><Relationship Id="rId60" Type="http://schemas.openxmlformats.org/officeDocument/2006/relationships/hyperlink" Target="https://drive.google.com/file/d/1fUr7Jq7qV4h4uKvw_THdRucQzGCHkgIL/view?usp=drive_link" TargetMode="External"/><Relationship Id="rId723" Type="http://schemas.openxmlformats.org/officeDocument/2006/relationships/hyperlink" Target="https://drive.google.com/file/d/1xqOQmTUGgHxTFBSqPyrlatXO59NK0XLt/view?usp=sharing" TargetMode="External"/><Relationship Id="rId965" Type="http://schemas.openxmlformats.org/officeDocument/2006/relationships/hyperlink" Target="https://docs.google.com/document/d/1F3H0GrW6UIguwpUrmAQ_bz3w24Iq7cOYAdhYWQmwVnE/edit?tab=t.0" TargetMode="External"/><Relationship Id="rId722" Type="http://schemas.openxmlformats.org/officeDocument/2006/relationships/hyperlink" Target="https://drive.google.com/file/d/1ILzLRGuKUCMI1Bib_Jn91PLOs-_IKdDw/view?usp=sharing" TargetMode="External"/><Relationship Id="rId964" Type="http://schemas.openxmlformats.org/officeDocument/2006/relationships/hyperlink" Target="https://drive.google.com/file/d/1SdMhVjtYVMEK1yZJcmm1FYyvpsBaqDqo/view?usp=sharing" TargetMode="External"/><Relationship Id="rId721" Type="http://schemas.openxmlformats.org/officeDocument/2006/relationships/hyperlink" Target="https://drive.google.com/file/d/1jMldObz-5QREc5U5sQnHZ_OQY_0DCPxS/view?usp=sharing" TargetMode="External"/><Relationship Id="rId963" Type="http://schemas.openxmlformats.org/officeDocument/2006/relationships/hyperlink" Target="https://drive.google.com/file/d/1YZPNAg8L-h0sqot47hX2Um3vUkAuGaSI/view?usp=sharing" TargetMode="External"/><Relationship Id="rId720" Type="http://schemas.openxmlformats.org/officeDocument/2006/relationships/hyperlink" Target="https://docs.google.com/document/d/16_LE1Omv6m-TOe8iGQ6CgMVh7DWNn7LvQ6qPwOBeENQ/edit?tab=t.0" TargetMode="External"/><Relationship Id="rId962" Type="http://schemas.openxmlformats.org/officeDocument/2006/relationships/hyperlink" Target="https://drive.google.com/file/d/1OtdnGnBy7_zHSqsUluyYwG7Z1O1uJIvA/view?usp=sharing" TargetMode="External"/><Relationship Id="rId727" Type="http://schemas.openxmlformats.org/officeDocument/2006/relationships/hyperlink" Target="https://drive.google.com/file/d/1SqDKez1Q3Rs0niM7R2g-jYP8Pm-rTpbf/view?usp=drive_link" TargetMode="External"/><Relationship Id="rId969" Type="http://schemas.openxmlformats.org/officeDocument/2006/relationships/hyperlink" Target="https://drive.google.com/file/d/1Ddylmn7XWtF50WLoO02CsmyeEfNxtw9q/view?usp=sharing" TargetMode="External"/><Relationship Id="rId726" Type="http://schemas.openxmlformats.org/officeDocument/2006/relationships/hyperlink" Target="https://drive.google.com/file/d/1qJrj7YqQ9Wy_RPQxY5_owWi5xtvu1jFr/view?usp=drive_link" TargetMode="External"/><Relationship Id="rId968" Type="http://schemas.openxmlformats.org/officeDocument/2006/relationships/hyperlink" Target="https://drive.google.com/file/d/1bodcE_O0LbmUuicaHlMA2-atrBuA2_uf/view?usp=sharing" TargetMode="External"/><Relationship Id="rId725" Type="http://schemas.openxmlformats.org/officeDocument/2006/relationships/hyperlink" Target="https://drive.google.com/file/d/1p25D4FdaXqDrk_o5JCx3gDQ0tO1w6sl-/view?usp=drive_link" TargetMode="External"/><Relationship Id="rId967" Type="http://schemas.openxmlformats.org/officeDocument/2006/relationships/hyperlink" Target="https://docs.google.com/document/d/1yMo1yQNl4FFrJoLm9z89plWvfq2pcOtTXvQf66hANU4/edit?tab=t.0" TargetMode="External"/><Relationship Id="rId724" Type="http://schemas.openxmlformats.org/officeDocument/2006/relationships/hyperlink" Target="https://drive.google.com/file/d/1Q2yzrvDi3uB54VQShNKIfw5AlYUshUEQ/view?usp=sharing" TargetMode="External"/><Relationship Id="rId966" Type="http://schemas.openxmlformats.org/officeDocument/2006/relationships/hyperlink" Target="https://drive.google.com/file/d/1ZXPb5B0G7wWFS5sy7aJu4hvvtn-1112_/view?usp=sharing" TargetMode="External"/><Relationship Id="rId69" Type="http://schemas.openxmlformats.org/officeDocument/2006/relationships/hyperlink" Target="https://docs.google.com/document/d/1jJfId0hovU7tBh6OTDtyjrQ1B8gbmTuuB5WG3TGAJa4/edit?tab=t.0" TargetMode="External"/><Relationship Id="rId961" Type="http://schemas.openxmlformats.org/officeDocument/2006/relationships/hyperlink" Target="https://drive.google.com/file/d/1tTsGwCZSV2BWwv_m6sCqGmVqP84UOdWy/view?usp=sharing" TargetMode="External"/><Relationship Id="rId960" Type="http://schemas.openxmlformats.org/officeDocument/2006/relationships/hyperlink" Target="https://drive.google.com/file/d/16tt3GonGAemrllI5D4v4wSnoAush1Rvy/view?usp=sharing" TargetMode="External"/><Relationship Id="rId51" Type="http://schemas.openxmlformats.org/officeDocument/2006/relationships/hyperlink" Target="https://docs.google.com/document/d/1tq2E_KSqM2pmGi-sASeHYbvjSJMvHkgYV5lLaKbEdAk/edit?usp=drive_link" TargetMode="External"/><Relationship Id="rId50" Type="http://schemas.openxmlformats.org/officeDocument/2006/relationships/hyperlink" Target="https://drive.google.com/file/d/1hOYF665UGLiVhz8OgY1SD-a0tvnM9XIz/view?usp=drive_link" TargetMode="External"/><Relationship Id="rId53" Type="http://schemas.openxmlformats.org/officeDocument/2006/relationships/hyperlink" Target="https://docs.google.com/document/d/1vRDJUwOdlz919dDJpz1V45gGzgIJyUJMHYTFtHkRbTs/edit?usp=drive_link" TargetMode="External"/><Relationship Id="rId52" Type="http://schemas.openxmlformats.org/officeDocument/2006/relationships/hyperlink" Target="https://drive.google.com/file/d/1mr7SBATSV7oZ3-ft8DfTfLEUp7UILe6w/view?usp=drive_link" TargetMode="External"/><Relationship Id="rId55" Type="http://schemas.openxmlformats.org/officeDocument/2006/relationships/hyperlink" Target="https://docs.google.com/document/d/1FH2_7uG4NF8RARfT-zO8A8cdDVPk7nrMgbASxfs_9ec/edit?usp=drive_link" TargetMode="External"/><Relationship Id="rId54" Type="http://schemas.openxmlformats.org/officeDocument/2006/relationships/hyperlink" Target="https://drive.google.com/file/d/1F_Bhoq3_CHx-8wb18UzSeVyx3lgtsxEK/view?usp=drive_link" TargetMode="External"/><Relationship Id="rId57" Type="http://schemas.openxmlformats.org/officeDocument/2006/relationships/hyperlink" Target="https://docs.google.com/document/d/1Wdhj7Qn8wLFCfllYYRWjf0I7o8E9MukWp6bCxcvAjKY/edit?usp=drive_link" TargetMode="External"/><Relationship Id="rId56" Type="http://schemas.openxmlformats.org/officeDocument/2006/relationships/hyperlink" Target="https://drive.google.com/file/d/1MM0hDppJefavDNjGyb2KOVLUYacHAY6l/view?usp=drive_link" TargetMode="External"/><Relationship Id="rId719" Type="http://schemas.openxmlformats.org/officeDocument/2006/relationships/hyperlink" Target="https://drive.google.com/file/d/1cmNi6fkk5maTStj1FCwbc-zt6g5mtCLw/view?usp=sharing" TargetMode="External"/><Relationship Id="rId718" Type="http://schemas.openxmlformats.org/officeDocument/2006/relationships/hyperlink" Target="https://drive.google.com/drive/folders/1QOWk2XzoGHkt-D3slP19-hV27bTTxdP8" TargetMode="External"/><Relationship Id="rId717" Type="http://schemas.openxmlformats.org/officeDocument/2006/relationships/hyperlink" Target="https://drive.google.com/file/d/1mhEnSPZxwGGyB-t-6XuXFYyehAIil-Ay/view?usp=sharing" TargetMode="External"/><Relationship Id="rId959" Type="http://schemas.openxmlformats.org/officeDocument/2006/relationships/hyperlink" Target="https://drive.google.com/file/d/1Pl6RJmsmCbVNc0w3Ed_iAe0YHDbJFMOP/view?usp=sharing" TargetMode="External"/><Relationship Id="rId712" Type="http://schemas.openxmlformats.org/officeDocument/2006/relationships/hyperlink" Target="https://drive.google.com/file/d/1bYGBnPZPK8xRdsafJnZLPxaw3TJHgExU/view?usp=sharing" TargetMode="External"/><Relationship Id="rId954" Type="http://schemas.openxmlformats.org/officeDocument/2006/relationships/hyperlink" Target="https://drive.google.com/file/d/1xIHxFFgtfE8ieOFqnBdFzbkg7Chs4a6l/view?usp=sharing" TargetMode="External"/><Relationship Id="rId711" Type="http://schemas.openxmlformats.org/officeDocument/2006/relationships/hyperlink" Target="https://docs.google.com/document/d/1kDQMcQwyomtAJEsMyRb8oXjorDE95R07_SIMuB8xMIg/edit?usp=sharing" TargetMode="External"/><Relationship Id="rId953" Type="http://schemas.openxmlformats.org/officeDocument/2006/relationships/hyperlink" Target="https://drive.google.com/file/d/1moNgGNKXn5yx5ugoWlY4Av1MyMr-zREH/view?usp=sharing" TargetMode="External"/><Relationship Id="rId710" Type="http://schemas.openxmlformats.org/officeDocument/2006/relationships/hyperlink" Target="https://drive.google.com/file/d/1fkABCfUX0aXf5bfjQNGmZbyGixdpOD4s/view?usp=sharing" TargetMode="External"/><Relationship Id="rId952" Type="http://schemas.openxmlformats.org/officeDocument/2006/relationships/hyperlink" Target="https://drive.google.com/file/d/1moNgGNKXn5yx5ugoWlY4Av1MyMr-zREH/view?usp=sharing" TargetMode="External"/><Relationship Id="rId951" Type="http://schemas.openxmlformats.org/officeDocument/2006/relationships/hyperlink" Target="https://drive.google.com/file/d/1PA2DHHPqOyka7c6K_Gatuj5tWhs-RlR2/view?usp=sharing" TargetMode="External"/><Relationship Id="rId716" Type="http://schemas.openxmlformats.org/officeDocument/2006/relationships/hyperlink" Target="https://docs.google.com/document/d/1HeVkp7HtBWDRaScUywikSQCSRqPhNSo54i7312abhpc/edit?tab=t.0" TargetMode="External"/><Relationship Id="rId958" Type="http://schemas.openxmlformats.org/officeDocument/2006/relationships/hyperlink" Target="https://drive.google.com/file/d/1B9Y1PYRJCvJDoVVWz8FZ8mou0YJiUgRq/view?usp=sharing" TargetMode="External"/><Relationship Id="rId715" Type="http://schemas.openxmlformats.org/officeDocument/2006/relationships/hyperlink" Target="https://drive.google.com/file/d/12LdI61FDeHQ2Xbuh9-kehZZIUoi40E3E/view?usp=sharing" TargetMode="External"/><Relationship Id="rId957" Type="http://schemas.openxmlformats.org/officeDocument/2006/relationships/hyperlink" Target="https://drive.google.com/file/d/1o9gH6WRuZYm_htyjwRgcYEut47iF7cGR/view?usp=sharing" TargetMode="External"/><Relationship Id="rId714" Type="http://schemas.openxmlformats.org/officeDocument/2006/relationships/hyperlink" Target="https://docs.google.com/document/d/1AOP8WwrPyTjy7U-gDbyY07fgCVFqyVrrNL-s6imSJis/edit?tab=t.0" TargetMode="External"/><Relationship Id="rId956" Type="http://schemas.openxmlformats.org/officeDocument/2006/relationships/hyperlink" Target="https://docs.google.com/document/d/1RcS_IDAIamVcp3lfCk94h-hWEs36GRP4nctXUe_-Q1M/edit?tab=t.0" TargetMode="External"/><Relationship Id="rId713" Type="http://schemas.openxmlformats.org/officeDocument/2006/relationships/hyperlink" Target="https://drive.google.com/file/d/1bYGBnPZPK8xRdsafJnZLPxaw3TJHgExU/view?usp=sharing" TargetMode="External"/><Relationship Id="rId955" Type="http://schemas.openxmlformats.org/officeDocument/2006/relationships/hyperlink" Target="https://drive.google.com/file/d/1eA-V16qfrsluKhVwIqIrWdZ5KkpvICvy/view?usp=sharing" TargetMode="External"/><Relationship Id="rId59" Type="http://schemas.openxmlformats.org/officeDocument/2006/relationships/hyperlink" Target="https://docs.google.com/document/d/1M09enZAvZcdU_bs1a8MAOPWqPPdEQV3uGZTi69rsWs8/edit?tab=t.0" TargetMode="External"/><Relationship Id="rId58" Type="http://schemas.openxmlformats.org/officeDocument/2006/relationships/hyperlink" Target="https://drive.google.com/file/d/1K5-6tpYDTKpzUNwHtuvXeR3QBxye_uCI/view?usp=drive_link" TargetMode="External"/><Relationship Id="rId950" Type="http://schemas.openxmlformats.org/officeDocument/2006/relationships/hyperlink" Target="https://docs.google.com/document/d/1PBGAZZuTT9qhXxtfqhcY84x7nsfcKOOwRTaDg-L9k3M/edit?tab=t.0" TargetMode="External"/><Relationship Id="rId590" Type="http://schemas.openxmlformats.org/officeDocument/2006/relationships/hyperlink" Target="https://drive.google.com/file/d/1nENABCIvMFlkAZCblfWQrW6R00Y0Jxym/view?usp=sharing" TargetMode="External"/><Relationship Id="rId107" Type="http://schemas.openxmlformats.org/officeDocument/2006/relationships/hyperlink" Target="https://drive.google.com/file/d/1cfwsiG4Mt5borw-WGOrET4X91CJy5fF5/view?usp=sharing" TargetMode="External"/><Relationship Id="rId349" Type="http://schemas.openxmlformats.org/officeDocument/2006/relationships/hyperlink" Target="https://drive.google.com/file/d/1AmvK9vfpq4GNv-DOscWvPoykq1ex3kSq/view?usp=sharing" TargetMode="External"/><Relationship Id="rId106" Type="http://schemas.openxmlformats.org/officeDocument/2006/relationships/hyperlink" Target="https://drive.google.com/file/d/1Dm-H4nsaVxcZ8u7GZ5kLQpGQsk0C-CM6/view?usp=sharing" TargetMode="External"/><Relationship Id="rId348" Type="http://schemas.openxmlformats.org/officeDocument/2006/relationships/hyperlink" Target="https://drive.google.com/file/d/1cWbuZgc1zToNy8rXyu8kw4eMT7b6-r9U/view?usp=sharing" TargetMode="External"/><Relationship Id="rId105" Type="http://schemas.openxmlformats.org/officeDocument/2006/relationships/hyperlink" Target="https://drive.google.com/file/d/1BycUcTdBuJXL6umPuq9pr34MrB5q_mNB/view?usp=sharing" TargetMode="External"/><Relationship Id="rId347" Type="http://schemas.openxmlformats.org/officeDocument/2006/relationships/hyperlink" Target="https://drive.google.com/file/d/19GQtsUlr8XmuLbDAJaG78aqzTvF4jT4V/view?usp=sharing" TargetMode="External"/><Relationship Id="rId589" Type="http://schemas.openxmlformats.org/officeDocument/2006/relationships/hyperlink" Target="https://docs.google.com/document/d/14W0akZcFZCmYtm0_79yNXQF70pGSqhX9vPDqSfUJdIk/edit?tab=t.0" TargetMode="External"/><Relationship Id="rId104" Type="http://schemas.openxmlformats.org/officeDocument/2006/relationships/hyperlink" Target="https://drive.google.com/file/d/1BycUcTdBuJXL6umPuq9pr34MrB5q_mNB/view?usp=sharing" TargetMode="External"/><Relationship Id="rId346" Type="http://schemas.openxmlformats.org/officeDocument/2006/relationships/hyperlink" Target="https://drive.google.com/file/d/1Num3x3UyP9GA6E6JYZFUaTtHMs9aQEQN/view?usp=sharing" TargetMode="External"/><Relationship Id="rId588" Type="http://schemas.openxmlformats.org/officeDocument/2006/relationships/hyperlink" Target="https://drive.google.com/file/d/1R_aV4pOLBLU-HGL-p9O02kfaahNFL8Rn/view?usp=sharing" TargetMode="External"/><Relationship Id="rId109" Type="http://schemas.openxmlformats.org/officeDocument/2006/relationships/hyperlink" Target="https://drive.google.com/file/d/12VbpFmvahZFZBsU_UqcPwzahvhkmv1eb/view?usp=sharing" TargetMode="External"/><Relationship Id="rId108" Type="http://schemas.openxmlformats.org/officeDocument/2006/relationships/hyperlink" Target="https://docs.google.com/document/d/1KH1N21vjMMVYFuXfgiHSqlT2G830YTl0i59olq0FPiE/edit?tab=t.0" TargetMode="External"/><Relationship Id="rId341" Type="http://schemas.openxmlformats.org/officeDocument/2006/relationships/hyperlink" Target="https://drive.google.com/file/d/1jIVgzQLCIJcV3btlm7_h7UwaFZjNYQqs/view?usp=sharing" TargetMode="External"/><Relationship Id="rId583" Type="http://schemas.openxmlformats.org/officeDocument/2006/relationships/hyperlink" Target="https://drive.google.com/file/d/10arAD1xdFx7yhWl0LwHKBBRo9hhBFpLy/view?usp=sharing" TargetMode="External"/><Relationship Id="rId340" Type="http://schemas.openxmlformats.org/officeDocument/2006/relationships/hyperlink" Target="https://drive.google.com/file/d/19n8wlbn4EmpLs-R84ymhwikrZo1nE7wa/view?usp=sharing" TargetMode="External"/><Relationship Id="rId582" Type="http://schemas.openxmlformats.org/officeDocument/2006/relationships/hyperlink" Target="https://drive.google.com/file/d/1R_wYWMvGCZzOriKF89Q_qggRn9Pdp4dl/view?usp=sharing" TargetMode="External"/><Relationship Id="rId581" Type="http://schemas.openxmlformats.org/officeDocument/2006/relationships/hyperlink" Target="https://docs.google.com/document/d/1Zd104qdfMSizcYKbQz_aEYgPxWw0lev3GpZJ7gGFhKc/edit?tab=t.0" TargetMode="External"/><Relationship Id="rId580" Type="http://schemas.openxmlformats.org/officeDocument/2006/relationships/hyperlink" Target="https://drive.google.com/file/d/1GMfvm2eEZtrMLHc8-SsUkb5BtX3Ds_j7/view?usp=sharing" TargetMode="External"/><Relationship Id="rId103" Type="http://schemas.openxmlformats.org/officeDocument/2006/relationships/hyperlink" Target="https://docs.google.com/document/d/1ZB4ao8AD_0NqFDVQz3L3_Za-BmLh5V2qwxz2cC-pb6E/edit?usp=sharing" TargetMode="External"/><Relationship Id="rId345" Type="http://schemas.openxmlformats.org/officeDocument/2006/relationships/hyperlink" Target="https://drive.google.com/file/d/1CXGe_-r5Jzymm2IcRhva12OOLBeLRXKc/view?usp=sharing" TargetMode="External"/><Relationship Id="rId587" Type="http://schemas.openxmlformats.org/officeDocument/2006/relationships/hyperlink" Target="https://drive.google.com/file/d/15HKUGRpIG2tfcNcO4yPA9kxDIbAYRYfS/view?usp=sharing" TargetMode="External"/><Relationship Id="rId102" Type="http://schemas.openxmlformats.org/officeDocument/2006/relationships/hyperlink" Target="https://drive.google.com/file/d/1JK2bASKxqCf9O207SV4TKfPjiFu-vQTy/view?usp=sharing" TargetMode="External"/><Relationship Id="rId344" Type="http://schemas.openxmlformats.org/officeDocument/2006/relationships/hyperlink" Target="https://drive.google.com/file/d/1ITqD08CWAkOtv4EMKnfpmPYFROgRz8g_/view?usp=sharing" TargetMode="External"/><Relationship Id="rId586" Type="http://schemas.openxmlformats.org/officeDocument/2006/relationships/hyperlink" Target="https://docs.google.com/document/d/14oKyrPNQB8Pnmm0ChAmA7qkMsucJ0xrbRha9mQNdOg4/edit?tab=t.0" TargetMode="External"/><Relationship Id="rId101" Type="http://schemas.openxmlformats.org/officeDocument/2006/relationships/hyperlink" Target="https://drive.google.com/file/d/1yP4xuRcR5kb7XyIWDZbUHt8Ts7aP9g4J/view?usp=sharing" TargetMode="External"/><Relationship Id="rId343" Type="http://schemas.openxmlformats.org/officeDocument/2006/relationships/hyperlink" Target="https://docs.google.com/document/d/13qZQZZtqi3urKoi3uNFsGLgMioh8qion1vpX5eykJCw/edit?tab=t.0" TargetMode="External"/><Relationship Id="rId585" Type="http://schemas.openxmlformats.org/officeDocument/2006/relationships/hyperlink" Target="https://drive.google.com/file/d/1c7aL96stpSFtli8Kxw_dHZTaQTRGA6eh/view?usp=sharing" TargetMode="External"/><Relationship Id="rId100" Type="http://schemas.openxmlformats.org/officeDocument/2006/relationships/hyperlink" Target="https://drive.google.com/file/d/1qjHePmYkuCYgzIPbI8-VV8xz7Okg5w_z/view?usp=sharing" TargetMode="External"/><Relationship Id="rId342" Type="http://schemas.openxmlformats.org/officeDocument/2006/relationships/hyperlink" Target="https://docs.google.com/document/d/1UQuvXtOnndRXh3yf4BLa2BiECh5rBs214kEQsXIN2NQ/edit?tab=t.0" TargetMode="External"/><Relationship Id="rId584" Type="http://schemas.openxmlformats.org/officeDocument/2006/relationships/hyperlink" Target="https://docs.google.com/document/d/1qMCLmKbu-Zur1GPSl7eJfyV06o2cWJzCwIbG_FJRojU/edit?tab=t.0" TargetMode="External"/><Relationship Id="rId338" Type="http://schemas.openxmlformats.org/officeDocument/2006/relationships/hyperlink" Target="https://drive.google.com/file/d/1ZhoOhbLs1EnNYpOC4gQO42ynwwq5O8O6/view?usp=sharing" TargetMode="External"/><Relationship Id="rId337" Type="http://schemas.openxmlformats.org/officeDocument/2006/relationships/hyperlink" Target="https://drive.google.com/file/d/104Kc6D4A4RsjGOBrR0zcEfT9u6PYzbA9/view?usp=sharing" TargetMode="External"/><Relationship Id="rId579" Type="http://schemas.openxmlformats.org/officeDocument/2006/relationships/hyperlink" Target="https://docs.google.com/document/d/1G_BHZ-KHYB5f9EBK3UjjoLj_KcXh9gXGREBmNiq53dw/edit?usp=sharing" TargetMode="External"/><Relationship Id="rId336" Type="http://schemas.openxmlformats.org/officeDocument/2006/relationships/hyperlink" Target="https://drive.google.com/file/d/150D1GIoNkiwDv_djlTFr1jeM9jOlPNJR/view?usp=sharing" TargetMode="External"/><Relationship Id="rId578" Type="http://schemas.openxmlformats.org/officeDocument/2006/relationships/hyperlink" Target="https://docs.google.com/document/d/14W0akZcFZCmYtm0_79yNXQF70pGSqhX9vPDqSfUJdIk/edit?tab=t.0" TargetMode="External"/><Relationship Id="rId335" Type="http://schemas.openxmlformats.org/officeDocument/2006/relationships/hyperlink" Target="https://docs.google.com/document/d/16g1NSfOegk-D0zx0WLZPN0O3sCvpHzJZ8XK4OPwkxvc/edit?tab=t.0" TargetMode="External"/><Relationship Id="rId577" Type="http://schemas.openxmlformats.org/officeDocument/2006/relationships/hyperlink" Target="https://docs.google.com/document/d/1FYsH4WNbW6IQgiMtJwzsKDVrKvJBwEKpLGWS05n_LKc/edit?usp=sharing" TargetMode="External"/><Relationship Id="rId339" Type="http://schemas.openxmlformats.org/officeDocument/2006/relationships/hyperlink" Target="https://drive.google.com/file/d/15yBEMmr1-7kow-qyOgVOFjTpIjJWC568/view?usp=sharing" TargetMode="External"/><Relationship Id="rId330" Type="http://schemas.openxmlformats.org/officeDocument/2006/relationships/hyperlink" Target="https://drive.google.com/file/d/1BKPJd2Eq2WSQoHL7BHLLBPm0zgDHE4JR/view?usp=sharing" TargetMode="External"/><Relationship Id="rId572" Type="http://schemas.openxmlformats.org/officeDocument/2006/relationships/hyperlink" Target="https://drive.google.com/file/d/1hJBxS42e9vrziWUScQ9TJuJ2-gCzVNMN/view?usp=sharing" TargetMode="External"/><Relationship Id="rId571" Type="http://schemas.openxmlformats.org/officeDocument/2006/relationships/hyperlink" Target="https://docs.google.com/document/d/1u-seDDUPii-st2YAUQV0T1IyX7oia4dIojJ_02UbH0s/edit?tab=t.0" TargetMode="External"/><Relationship Id="rId570" Type="http://schemas.openxmlformats.org/officeDocument/2006/relationships/hyperlink" Target="https://drive.google.com/file/d/1hJBxS42e9vrziWUScQ9TJuJ2-gCzVNMN/view?usp=sharing" TargetMode="External"/><Relationship Id="rId334" Type="http://schemas.openxmlformats.org/officeDocument/2006/relationships/hyperlink" Target="https://drive.google.com/file/d/1Cn3am1V_d2Fl-L9eKWT32slOD-8jtWIv/view?usp=sharing" TargetMode="External"/><Relationship Id="rId576" Type="http://schemas.openxmlformats.org/officeDocument/2006/relationships/hyperlink" Target="https://drive.google.com/file/d/1IzSqXXW91dco7AycKtFFhsvCZr6OMQvq/view?usp=sharing" TargetMode="External"/><Relationship Id="rId333" Type="http://schemas.openxmlformats.org/officeDocument/2006/relationships/hyperlink" Target="https://drive.google.com/file/d/1iAnsjaoyQpZVzThJmk0DUmQHNqoy6hDs/view?usp=sharing" TargetMode="External"/><Relationship Id="rId575" Type="http://schemas.openxmlformats.org/officeDocument/2006/relationships/hyperlink" Target="https://drive.google.com/file/d/14ux-gHLC3oEMed7eUh5fVE2pMYTgmfJw/view?usp=sharing" TargetMode="External"/><Relationship Id="rId332" Type="http://schemas.openxmlformats.org/officeDocument/2006/relationships/hyperlink" Target="https://drive.google.com/file/d/1lbpC9vVby4A1lskskEpC2LPxgJlOWtni/view?usp=sharing" TargetMode="External"/><Relationship Id="rId574" Type="http://schemas.openxmlformats.org/officeDocument/2006/relationships/hyperlink" Target="https://docs.google.com/document/d/1Mqp_4PkAVc-OzLWHZ2zAWXTGQab5ZwA7U-RbGbLtL40/edit?tab=t.0" TargetMode="External"/><Relationship Id="rId331" Type="http://schemas.openxmlformats.org/officeDocument/2006/relationships/hyperlink" Target="https://drive.google.com/file/d/15CKRs14j3O9QMEzY3LRc6sm6u4qS1Mvh/view?usp=sharing" TargetMode="External"/><Relationship Id="rId573" Type="http://schemas.openxmlformats.org/officeDocument/2006/relationships/hyperlink" Target="https://drive.google.com/file/d/1hJBxS42e9vrziWUScQ9TJuJ2-gCzVNMN/view?usp=sharing" TargetMode="External"/><Relationship Id="rId370" Type="http://schemas.openxmlformats.org/officeDocument/2006/relationships/hyperlink" Target="https://drive.google.com/file/d/1RRhNL8Z68bgSTT0NAGS3W8qjxRCoUe0f/view?usp=sharing" TargetMode="External"/><Relationship Id="rId129" Type="http://schemas.openxmlformats.org/officeDocument/2006/relationships/hyperlink" Target="https://drive.google.com/file/d/1Rd8g8xzfZj9AWLelmfxpzitHDPt8Yi4z/view?usp=sharing" TargetMode="External"/><Relationship Id="rId128" Type="http://schemas.openxmlformats.org/officeDocument/2006/relationships/hyperlink" Target="https://drive.google.com/file/d/1B-M5MPIeNlHapnXcaZFDNJZ5g2fnZxgb/view?usp=drive_link" TargetMode="External"/><Relationship Id="rId127" Type="http://schemas.openxmlformats.org/officeDocument/2006/relationships/hyperlink" Target="https://drive.google.com/file/d/1eh6JIohxtZ-me7WRQZ2g_9uEYu6CBhPF/view?usp=sharing" TargetMode="External"/><Relationship Id="rId369" Type="http://schemas.openxmlformats.org/officeDocument/2006/relationships/hyperlink" Target="https://drive.google.com/file/d/1QR3tn95zCYch-pBNIWBAp44OHJSCm-nn/view?usp=sharing" TargetMode="External"/><Relationship Id="rId126" Type="http://schemas.openxmlformats.org/officeDocument/2006/relationships/hyperlink" Target="https://docs.google.com/document/d/1pQ_wgifMsdlEY2pFhe-jB3VZaGwOZP8_GPFLI-vG-1o/edit?usp=share_link" TargetMode="External"/><Relationship Id="rId368" Type="http://schemas.openxmlformats.org/officeDocument/2006/relationships/hyperlink" Target="https://drive.google.com/file/d/1fq5ThusA3NAwds94RvrtIylaROpv4ySv/view?usp=sharing" TargetMode="External"/><Relationship Id="rId121" Type="http://schemas.openxmlformats.org/officeDocument/2006/relationships/hyperlink" Target="https://drive.google.com/file/d/1fhmMxPIeW__CwIULiyTRSBcQU8TURce-/view?usp=sharing" TargetMode="External"/><Relationship Id="rId363" Type="http://schemas.openxmlformats.org/officeDocument/2006/relationships/hyperlink" Target="https://drive.google.com/file/d/15L-zXDANGGrK1Rm7pC8c7gcW1cEQrHXa/view?usp=sharing" TargetMode="External"/><Relationship Id="rId120" Type="http://schemas.openxmlformats.org/officeDocument/2006/relationships/hyperlink" Target="https://drive.google.com/file/d/1iH8EW52oQtLf0vyCdM2PjwD8bz_kOk_P/view?usp=drive_link" TargetMode="External"/><Relationship Id="rId362" Type="http://schemas.openxmlformats.org/officeDocument/2006/relationships/hyperlink" Target="https://drive.google.com/file/d/1QwxFWobOiuR-M8y25f_bC6WDfxPrbQbt/view?usp=sharing" TargetMode="External"/><Relationship Id="rId361" Type="http://schemas.openxmlformats.org/officeDocument/2006/relationships/hyperlink" Target="https://drive.google.com/file/d/1pq3Ikfa3lMHpaf86rc52PsaAPzeqS84l/view?usp=sharing" TargetMode="External"/><Relationship Id="rId360" Type="http://schemas.openxmlformats.org/officeDocument/2006/relationships/hyperlink" Target="https://drive.google.com/file/d/11Iom_Ca8iupXfNU65OxD9vyrlhsH9wTa/view?usp=sharing" TargetMode="External"/><Relationship Id="rId125" Type="http://schemas.openxmlformats.org/officeDocument/2006/relationships/hyperlink" Target="https://drive.google.com/file/d/1b7vH_CyUMlX8Z7SOmk_eqMJnIgEfSVfm/view?usp=sharing" TargetMode="External"/><Relationship Id="rId367" Type="http://schemas.openxmlformats.org/officeDocument/2006/relationships/hyperlink" Target="https://docs.google.com/document/d/1W5_kOb6ynm5JyoAhP0xgbijMJMRdZdyveLPjncdMMf4/edit?tab=t.0" TargetMode="External"/><Relationship Id="rId124" Type="http://schemas.openxmlformats.org/officeDocument/2006/relationships/hyperlink" Target="https://docs.google.com/document/d/19R7ccxtyj-UiXy3lP2gUFgXB9Zs9cuU40Jp-mYnKR9s/edit?usp=sharing" TargetMode="External"/><Relationship Id="rId366" Type="http://schemas.openxmlformats.org/officeDocument/2006/relationships/hyperlink" Target="https://drive.google.com/file/d/1VlsXIlJPcYPb2D_8bTHBHKBp2WqIsSz3/view?usp=sharing" TargetMode="External"/><Relationship Id="rId123" Type="http://schemas.openxmlformats.org/officeDocument/2006/relationships/hyperlink" Target="https://drive.google.com/file/d/1az-XFUdH0lmbtc1oSfjV-gO6sFi_qMHA/view?usp=sharing" TargetMode="External"/><Relationship Id="rId365" Type="http://schemas.openxmlformats.org/officeDocument/2006/relationships/hyperlink" Target="https://drive.google.com/file/d/1CVHE3auwPxJkW1YmQ5pp84FGCP4ifDGA/view?usp=sharing" TargetMode="External"/><Relationship Id="rId122" Type="http://schemas.openxmlformats.org/officeDocument/2006/relationships/hyperlink" Target="https://docs.google.com/document/d/1sdBoJ79FiQmGdj9j9d8Q1m-fozKAhzUy6fBQ0Tw0hdA/edit?usp=sharing" TargetMode="External"/><Relationship Id="rId364" Type="http://schemas.openxmlformats.org/officeDocument/2006/relationships/hyperlink" Target="https://drive.google.com/file/d/11MnGk4ulIbgY8b85ccoP0ZJ0GLZVBW29/view?usp=sharing" TargetMode="External"/><Relationship Id="rId95" Type="http://schemas.openxmlformats.org/officeDocument/2006/relationships/hyperlink" Target="https://docs.google.com/document/d/1vpFFT2YTViaTQXp_ncgQe7nVNdZ1gKaAMp29nREeZxo/edit?tab=t.0" TargetMode="External"/><Relationship Id="rId94" Type="http://schemas.openxmlformats.org/officeDocument/2006/relationships/hyperlink" Target="https://drive.google.com/file/d/1v6xOpt8js37vUpSmGY7JR0BeQ6iOBjhZ/view?usp=sharing" TargetMode="External"/><Relationship Id="rId97" Type="http://schemas.openxmlformats.org/officeDocument/2006/relationships/hyperlink" Target="https://docs.google.com/document/d/1FoOpcNkew5MaG3iJDx9jdG7Wv2sGBKs72O6qAh-gTDI/edit?usp=sharing" TargetMode="External"/><Relationship Id="rId96" Type="http://schemas.openxmlformats.org/officeDocument/2006/relationships/hyperlink" Target="https://drive.google.com/file/d/1Isjy3aHqrirtOIdxeqRKV5nt_QKrCX5l/view?usp=sharing" TargetMode="External"/><Relationship Id="rId99" Type="http://schemas.openxmlformats.org/officeDocument/2006/relationships/hyperlink" Target="https://drive.google.com/file/d/14w2AR1Nn0RZoXeUWA-oUecOh5tqQWONA/view?usp=sharing" TargetMode="External"/><Relationship Id="rId98" Type="http://schemas.openxmlformats.org/officeDocument/2006/relationships/hyperlink" Target="https://drive.google.com/file/d/1VGbFP4hV3QRavvX0_UQQ6DPLOeExrVz3/view?usp=sharing" TargetMode="External"/><Relationship Id="rId91" Type="http://schemas.openxmlformats.org/officeDocument/2006/relationships/hyperlink" Target="https://drive.google.com/file/d/1dLPxMjfvPlIFeTNgJEsLTRvd0w8I-PW1/view?usp=sharing" TargetMode="External"/><Relationship Id="rId90" Type="http://schemas.openxmlformats.org/officeDocument/2006/relationships/hyperlink" Target="https://drive.google.com/file/d/1L1ePABu6Vhus_DL3WBF8MZD1puJcdUyl/view?usp=sharing" TargetMode="External"/><Relationship Id="rId93" Type="http://schemas.openxmlformats.org/officeDocument/2006/relationships/hyperlink" Target="https://drive.google.com/file/d/1meepqzBDkq8d0AmzD_TE3h_J08CDTbCy/view?usp=sharing" TargetMode="External"/><Relationship Id="rId92" Type="http://schemas.openxmlformats.org/officeDocument/2006/relationships/hyperlink" Target="https://drive.google.com/file/d/1rEcPs00_xjbbmtHlpST4uB44tANFv0UX/view?usp=sharing" TargetMode="External"/><Relationship Id="rId118" Type="http://schemas.openxmlformats.org/officeDocument/2006/relationships/hyperlink" Target="https://docs.google.com/document/d/1M2XmFCsJo1OmVGds6GrNE3P63rQKKs_2J1hLoDAfKeM/edit?usp=sharing" TargetMode="External"/><Relationship Id="rId117" Type="http://schemas.openxmlformats.org/officeDocument/2006/relationships/hyperlink" Target="https://drive.google.com/file/d/1EWBiBaPOcZAiP2J2kOppsZCIl21slG_n/view?usp=drive_link" TargetMode="External"/><Relationship Id="rId359" Type="http://schemas.openxmlformats.org/officeDocument/2006/relationships/hyperlink" Target="https://drive.google.com/file/d/1SFcZhtKX4Qx0m578bzcqOplYjziAZqcH/view?usp=sharingC.XB%E1%B8%A4.I3.R1" TargetMode="External"/><Relationship Id="rId116" Type="http://schemas.openxmlformats.org/officeDocument/2006/relationships/hyperlink" Target="https://docs.google.com/document/d/1YFrziK9vdXyihC9EKgbo69R5x6DpuS8EjdknBwy2LjQ/edit?usp=sharing" TargetMode="External"/><Relationship Id="rId358" Type="http://schemas.openxmlformats.org/officeDocument/2006/relationships/hyperlink" Target="https://drive.google.com/file/d/1umJ7-aVKjqqwRzacH-7mZnq37fuJRbb5/view?usp=sharing" TargetMode="External"/><Relationship Id="rId115" Type="http://schemas.openxmlformats.org/officeDocument/2006/relationships/hyperlink" Target="https://drive.google.com/file/d/1ygs9Us39QM3nroJYG-Y-3fLpbeLivGPT/view?usp=drive_link" TargetMode="External"/><Relationship Id="rId357" Type="http://schemas.openxmlformats.org/officeDocument/2006/relationships/hyperlink" Target="https://drive.google.com/file/d/1RtZiMm5Nl72WEAWwFYFiaB_2eUpgfYkg/view?usp=sharing" TargetMode="External"/><Relationship Id="rId599" Type="http://schemas.openxmlformats.org/officeDocument/2006/relationships/hyperlink" Target="https://docs.google.com/document/d/15iGXpU1VQJ5Nr9E8s9VzfKwMNRPt3eRMmU3I973nh6M/edit?usp=sharing" TargetMode="External"/><Relationship Id="rId119" Type="http://schemas.openxmlformats.org/officeDocument/2006/relationships/hyperlink" Target="https://drive.google.com/file/d/1h9Rjfm2ewMU3VlIGDmjDAQg56Md7FjJx/view?usp=sharing" TargetMode="External"/><Relationship Id="rId110" Type="http://schemas.openxmlformats.org/officeDocument/2006/relationships/hyperlink" Target="https://docs.google.com/document/d/1oYsIyKYMMtpfmnEL2DdDK1DTRc4vVDSc2B5bpl-Vh2s/edit?tab=t.0" TargetMode="External"/><Relationship Id="rId352" Type="http://schemas.openxmlformats.org/officeDocument/2006/relationships/hyperlink" Target="https://docs.google.com/document/d/1wbf_op2Swzs49hiWuPktop7yakYn0A2NlJEE7RNHwgE/edit?tab=t.0" TargetMode="External"/><Relationship Id="rId594" Type="http://schemas.openxmlformats.org/officeDocument/2006/relationships/hyperlink" Target="https://docs.google.com/document/d/1uOUmC-_0aLJqVEP548r41JxBO_dVUkx5qrHd_p6hZ_M/edit?tab=t.0" TargetMode="External"/><Relationship Id="rId351" Type="http://schemas.openxmlformats.org/officeDocument/2006/relationships/hyperlink" Target="https://drive.google.com/file/d/1C2fJ2Qt7KxZnGYVST5cE2Y0Ufg_52RZS/view?usp=sharing" TargetMode="External"/><Relationship Id="rId593" Type="http://schemas.openxmlformats.org/officeDocument/2006/relationships/hyperlink" Target="https://drive.google.com/file/d/1eAtJ51waRF6Q3nkzD_hMp2KLCFCwICXe/view?usp=sharing" TargetMode="External"/><Relationship Id="rId350" Type="http://schemas.openxmlformats.org/officeDocument/2006/relationships/hyperlink" Target="https://docs.google.com/document/d/14NR1L7FzSM28DcX1FAgTcghkhkA08jaQ1o8bxYsdJOs/edit?tab=t.0" TargetMode="External"/><Relationship Id="rId592" Type="http://schemas.openxmlformats.org/officeDocument/2006/relationships/hyperlink" Target="https://docs.google.com/document/d/1bAt7AiXyyazNDYpwrfTo6CfbmPtas2sComWQL2SSuy4/edit?tab=t.0" TargetMode="External"/><Relationship Id="rId591" Type="http://schemas.openxmlformats.org/officeDocument/2006/relationships/hyperlink" Target="https://drive.google.com/file/d/1Ld5RW-aXGMGaZkEzkqlpSVw_CfQ5GWT5/view?usp=sharing" TargetMode="External"/><Relationship Id="rId114" Type="http://schemas.openxmlformats.org/officeDocument/2006/relationships/hyperlink" Target="https://drive.google.com/file/d/1TLKNrlS4vb53iTR_d2PoOXHOhC_qSfHd/view?usp=sharing" TargetMode="External"/><Relationship Id="rId356" Type="http://schemas.openxmlformats.org/officeDocument/2006/relationships/hyperlink" Target="https://docs.google.com/document/d/14NR1L7FzSM28DcX1FAgTcghkhkA08jaQ1o8bxYsdJOs/edit?tab=t.0" TargetMode="External"/><Relationship Id="rId598" Type="http://schemas.openxmlformats.org/officeDocument/2006/relationships/hyperlink" Target="https://drive.google.com/file/d/1UrsnCHfADp22W7KZZO_pyQHYbRUWv2GP/view?usp=sharing" TargetMode="External"/><Relationship Id="rId113" Type="http://schemas.openxmlformats.org/officeDocument/2006/relationships/hyperlink" Target="https://drive.google.com/drive/folders/1oPzGM6ZBP_EJ0zfufxRiiP71fIu4U3XH" TargetMode="External"/><Relationship Id="rId355" Type="http://schemas.openxmlformats.org/officeDocument/2006/relationships/hyperlink" Target="https://drive.google.com/file/d/1QZfByqSFAsbmbMKpcFEo1w9C6otttQdT/view?usp=sharing" TargetMode="External"/><Relationship Id="rId597" Type="http://schemas.openxmlformats.org/officeDocument/2006/relationships/hyperlink" Target="https://drive.google.com/file/d/1y6K8YKTCPi-IWjjVvsSXPEB3ClcaR12V/view?usp=sharing" TargetMode="External"/><Relationship Id="rId112" Type="http://schemas.openxmlformats.org/officeDocument/2006/relationships/hyperlink" Target="https://drive.google.com/file/d/1UDuABibpl17cBuqNG3otIj-XjAvHHc2K/view?usp=sharing" TargetMode="External"/><Relationship Id="rId354" Type="http://schemas.openxmlformats.org/officeDocument/2006/relationships/hyperlink" Target="https://docs.google.com/document/d/1PwQwjbRyFW3nyH9JamvlZZUYBE3SqMGAVF-wT2flkqA/edit?usp=sharing" TargetMode="External"/><Relationship Id="rId596" Type="http://schemas.openxmlformats.org/officeDocument/2006/relationships/hyperlink" Target="https://drive.google.com/file/d/1EWkJ9FqA9VBjOvADy_XXLP2TBUyowPCr/view?usp=sharing" TargetMode="External"/><Relationship Id="rId111" Type="http://schemas.openxmlformats.org/officeDocument/2006/relationships/hyperlink" Target="https://docs.google.com/document/d/1wQ2GdGign1KsBHYuZoK39HbE-4kPk_Zn77n4hLEj-d0/edit?tab=t.0" TargetMode="External"/><Relationship Id="rId353" Type="http://schemas.openxmlformats.org/officeDocument/2006/relationships/hyperlink" Target="https://drive.google.com/file/d/1FBFsV10BKI-D8_9qT4mYSqkWJbbkF2G1/view?usp=sharing" TargetMode="External"/><Relationship Id="rId595" Type="http://schemas.openxmlformats.org/officeDocument/2006/relationships/hyperlink" Target="https://drive.google.com/file/d/1dDFrd0PiZEYSBPi_rGlVbZGIik2AeDcr/view?usp=sharing" TargetMode="External"/><Relationship Id="rId305" Type="http://schemas.openxmlformats.org/officeDocument/2006/relationships/hyperlink" Target="https://drive.google.com/file/d/1Lgc1ERj55lppwZj8At78ePgd982iDA4w/view?usp=sharing" TargetMode="External"/><Relationship Id="rId547" Type="http://schemas.openxmlformats.org/officeDocument/2006/relationships/hyperlink" Target="https://drive.google.com/file/d/1i-ZzCqM8_0Cb-iw1ONUJ2Czr4IblwT_q/view?usp=sharing" TargetMode="External"/><Relationship Id="rId789" Type="http://schemas.openxmlformats.org/officeDocument/2006/relationships/hyperlink" Target="https://drive.google.com/file/d/1xPtK9x7eM_BoSLcNSHCDV1fM63ZTfvOw/view?usp=sharing" TargetMode="External"/><Relationship Id="rId304" Type="http://schemas.openxmlformats.org/officeDocument/2006/relationships/hyperlink" Target="https://drive.google.com/file/d/1WWV9VuYaWf26hMEzPk-Fvg5uvYsP_j7M/view?usp=sharing" TargetMode="External"/><Relationship Id="rId546" Type="http://schemas.openxmlformats.org/officeDocument/2006/relationships/hyperlink" Target="https://docs.google.com/document/d/1IYpy-4SnQ_Ar3k_8cGHm0gPNKnIVJFkTSt-PPdpZQMs/edit?tab=t.0" TargetMode="External"/><Relationship Id="rId788" Type="http://schemas.openxmlformats.org/officeDocument/2006/relationships/hyperlink" Target="https://drive.google.com/file/d/1gaMiTbiJef2Iy-cGLFYN39Q93UvvS1b5/view?usp=sharing" TargetMode="External"/><Relationship Id="rId303" Type="http://schemas.openxmlformats.org/officeDocument/2006/relationships/hyperlink" Target="https://drive.google.com/file/d/1T8n-jZSC52Lyv7svUjpi4VVOTsmzV29N/view?usp=sharing" TargetMode="External"/><Relationship Id="rId545" Type="http://schemas.openxmlformats.org/officeDocument/2006/relationships/hyperlink" Target="https://drive.google.com/file/d/11GeO8szRWY1SFRd5VbBfX4DukGEIwy37/view?usp=sharing" TargetMode="External"/><Relationship Id="rId787" Type="http://schemas.openxmlformats.org/officeDocument/2006/relationships/hyperlink" Target="https://drive.google.com/file/d/1UKIY-OaNs7UWw9NzfmGD0RrUn7ofuimf/view?usp=drive_link" TargetMode="External"/><Relationship Id="rId302" Type="http://schemas.openxmlformats.org/officeDocument/2006/relationships/hyperlink" Target="https://drive.google.com/file/d/1-0DqJZVro2Z3N4rNV8VxV_LT-bPab7CZ/view?usp=sharing" TargetMode="External"/><Relationship Id="rId544" Type="http://schemas.openxmlformats.org/officeDocument/2006/relationships/hyperlink" Target="https://drive.google.com/file/d/1AJKYAr1LDOwjijz6UnsJk-UL-xmUw5GA/view?usp=drive_link" TargetMode="External"/><Relationship Id="rId786" Type="http://schemas.openxmlformats.org/officeDocument/2006/relationships/hyperlink" Target="https://drive.google.com/file/d/1GmoRSBP_zSwX_kjaBiTIYvFZKRQyCuuX/view?usp=sharing" TargetMode="External"/><Relationship Id="rId309" Type="http://schemas.openxmlformats.org/officeDocument/2006/relationships/hyperlink" Target="https://docs.google.com/document/d/1aW1thDXKDmIgWJz3pTWBJ4pv3rdfrFyrqaSYCX2D5ys/edit?tab=t.0" TargetMode="External"/><Relationship Id="rId308" Type="http://schemas.openxmlformats.org/officeDocument/2006/relationships/hyperlink" Target="https://drive.google.com/file/d/1xe9_PDJKKkm4qi0SY5Lv_ayZFQVqlPmv/view?usp=sharing" TargetMode="External"/><Relationship Id="rId307" Type="http://schemas.openxmlformats.org/officeDocument/2006/relationships/hyperlink" Target="https://drive.google.com/file/d/1HNhKpacd5t9-HdhBMIxkHMG-bXbnPMgf/view?usp=sharing" TargetMode="External"/><Relationship Id="rId549" Type="http://schemas.openxmlformats.org/officeDocument/2006/relationships/hyperlink" Target="https://drive.google.com/file/d/1HDa68VtyjSK7POw9HETH-SPLw4xkkowK/view?usp=sharing" TargetMode="External"/><Relationship Id="rId306" Type="http://schemas.openxmlformats.org/officeDocument/2006/relationships/hyperlink" Target="https://drive.google.com/file/d/1SilK_XRxbheg8ly1uJOLzmbpH_Q0gVxo/view?usp=sharing" TargetMode="External"/><Relationship Id="rId548" Type="http://schemas.openxmlformats.org/officeDocument/2006/relationships/hyperlink" Target="https://docs.google.com/document/d/1DLY-LvSgC77fH5P9CC3G8KyemqXJoQF-dQHbwYEMEEM/edit?tab=t.0" TargetMode="External"/><Relationship Id="rId781" Type="http://schemas.openxmlformats.org/officeDocument/2006/relationships/hyperlink" Target="https://drive.google.com/file/d/1s6sbFzDnfEgrU23Ufscz4xTMmxupKKJg/view?usp=sharing" TargetMode="External"/><Relationship Id="rId780" Type="http://schemas.openxmlformats.org/officeDocument/2006/relationships/hyperlink" Target="https://drive.google.com/file/d/1fxyMs84KEum78KFP8eHfij7d4buHyfbV/view?usp=drive_link" TargetMode="External"/><Relationship Id="rId301" Type="http://schemas.openxmlformats.org/officeDocument/2006/relationships/hyperlink" Target="https://docs.google.com/document/d/1nrl6lKZ3SAStJEu99hgIcNYU2YCrJ_XLvi18cysRVm8/edit?tab=t.0" TargetMode="External"/><Relationship Id="rId543" Type="http://schemas.openxmlformats.org/officeDocument/2006/relationships/hyperlink" Target="https://drive.google.com/file/d/12cY0hAODMOprrCs836HpppMvGq1ArJ_U/view?usp=drive_link" TargetMode="External"/><Relationship Id="rId785" Type="http://schemas.openxmlformats.org/officeDocument/2006/relationships/hyperlink" Target="https://drive.google.com/file/d/1_LQ6MuVc5mU_0BnUc9bzBGKhH1CEaCf3/view?usp=sharing" TargetMode="External"/><Relationship Id="rId300" Type="http://schemas.openxmlformats.org/officeDocument/2006/relationships/hyperlink" Target="https://drive.google.com/file/d/1FlboQTnYAVxxR7jOMcfMb8B4_t1LbFit/view?usp=sharing" TargetMode="External"/><Relationship Id="rId542" Type="http://schemas.openxmlformats.org/officeDocument/2006/relationships/hyperlink" Target="https://docs.google.com/document/d/1FlSFzNWASzGKf6tWmTjWd3HzOh1pX1Gij1gNJcx9wH4/edit?usp=drive_link" TargetMode="External"/><Relationship Id="rId784" Type="http://schemas.openxmlformats.org/officeDocument/2006/relationships/hyperlink" Target="https://drive.google.com/file/d/1lzJg3D1Xx_kLbJ2XEEfKpIM1SnIeK126/view?usp=sharing" TargetMode="External"/><Relationship Id="rId541" Type="http://schemas.openxmlformats.org/officeDocument/2006/relationships/hyperlink" Target="https://drive.google.com/file/d/1si-AS2S5Lw-aLaAm1ZPZc6YTW6IwubKE/view?usp=drive_link" TargetMode="External"/><Relationship Id="rId783" Type="http://schemas.openxmlformats.org/officeDocument/2006/relationships/hyperlink" Target="https://drive.google.com/file/d/1aZee4gcRJN4bVp41kQKIfr8kcGG9Lz3K/view?usp=sharing" TargetMode="External"/><Relationship Id="rId540" Type="http://schemas.openxmlformats.org/officeDocument/2006/relationships/hyperlink" Target="https://drive.google.com/file/d/17S2SqB8MO1CnKuc7zmFr8WsTo3SnpC9K/view?usp=drive_link" TargetMode="External"/><Relationship Id="rId782" Type="http://schemas.openxmlformats.org/officeDocument/2006/relationships/hyperlink" Target="https://drive.google.com/file/d/1Gx2Nt5VUV7iK2f2J1i6Jx7l5HeANQWFT/view?usp=sharing" TargetMode="External"/><Relationship Id="rId536" Type="http://schemas.openxmlformats.org/officeDocument/2006/relationships/hyperlink" Target="https://drive.google.com/file/d/1Bji5-1TdFbqtAh8cAUXRSqrmcFuM-fnl/view?usp=sharing" TargetMode="External"/><Relationship Id="rId778" Type="http://schemas.openxmlformats.org/officeDocument/2006/relationships/hyperlink" Target="https://drive.google.com/file/d/1fxyMs84KEum78KFP8eHfij7d4buHyfbV/view?usp=drive_link" TargetMode="External"/><Relationship Id="rId535" Type="http://schemas.openxmlformats.org/officeDocument/2006/relationships/hyperlink" Target="https://docs.google.com/document/d/1QfyiHJ5PsYZH7VbdFhG_HDozRvxPQcFIYcTrGVcM59w/edit?tab=t.0" TargetMode="External"/><Relationship Id="rId777" Type="http://schemas.openxmlformats.org/officeDocument/2006/relationships/hyperlink" Target="https://drive.google.com/file/d/17XSZCQXbhyqp0ISPpvAUvtDUk9YZf4b7/view?usp=drive_link" TargetMode="External"/><Relationship Id="rId534" Type="http://schemas.openxmlformats.org/officeDocument/2006/relationships/hyperlink" Target="https://drive.google.com/file/d/1vArJji1YAWurg_Dlp9zj-KSwCBV0DO4N/view?usp=sharing" TargetMode="External"/><Relationship Id="rId776" Type="http://schemas.openxmlformats.org/officeDocument/2006/relationships/hyperlink" Target="https://drive.google.com/file/d/1hRhuFdwlRgKcXzb2Fq02LeNXh6_yarME/view?usp=drive_link" TargetMode="External"/><Relationship Id="rId533" Type="http://schemas.openxmlformats.org/officeDocument/2006/relationships/hyperlink" Target="https://drive.google.com/file/d/1QD4DWqt3i8_AA91Y8j0ChqTG76kdOZ8T/view?usp=sharing" TargetMode="External"/><Relationship Id="rId775" Type="http://schemas.openxmlformats.org/officeDocument/2006/relationships/hyperlink" Target="https://drive.google.com/file/d/104UOmhAWy6uvko1m8wDHjguliqJcAyrQ/view?usp=drive_link" TargetMode="External"/><Relationship Id="rId539" Type="http://schemas.openxmlformats.org/officeDocument/2006/relationships/hyperlink" Target="https://docs.google.com/document/d/1I7ontuU_7vroe8kJaDSjGVjnvU2lNQkl3y5D8EUzp9M/edit?tab=t.0" TargetMode="External"/><Relationship Id="rId538" Type="http://schemas.openxmlformats.org/officeDocument/2006/relationships/hyperlink" Target="https://drive.google.com/file/d/1nE-drVKGUCZVLdbI1zC4oux1PkO5ek6M/view?usp=sharing" TargetMode="External"/><Relationship Id="rId537" Type="http://schemas.openxmlformats.org/officeDocument/2006/relationships/hyperlink" Target="https://docs.google.com/document/d/1-1QV8OIcK1QcoQC08nJ4sKoJIDf11qPJdWBpGX3smc8/edit?tab=t.0" TargetMode="External"/><Relationship Id="rId779" Type="http://schemas.openxmlformats.org/officeDocument/2006/relationships/hyperlink" Target="https://docs.google.com/document/d/1X7ciYnP0BB7KRgmsWmUeFp6QrSVwbHJ4iVKsJEfzVpI/edit?tab=t.0" TargetMode="External"/><Relationship Id="rId770" Type="http://schemas.openxmlformats.org/officeDocument/2006/relationships/hyperlink" Target="https://docs.google.com/document/d/1ZdUKR3K7CTT1A_tL3oV_N6pBTaK8QksS-hO7aC0LbiI/edit?usp=drive_link" TargetMode="External"/><Relationship Id="rId532" Type="http://schemas.openxmlformats.org/officeDocument/2006/relationships/hyperlink" Target="https://drive.google.com/file/d/1VTdAjFaUKyo92NQNZWVNuyZgL44mDFvJ/view?usp=sharing" TargetMode="External"/><Relationship Id="rId774" Type="http://schemas.openxmlformats.org/officeDocument/2006/relationships/hyperlink" Target="https://drive.google.com/file/d/1HFaPL1dtuMR6_GnXIp-NxuhwW705efs-/view?usp=sharing" TargetMode="External"/><Relationship Id="rId531" Type="http://schemas.openxmlformats.org/officeDocument/2006/relationships/hyperlink" Target="https://drive.google.com/file/d/1-uHF1r6aadnqRZgQNEqswKfOiLGOnJq3/view?usp=sharing" TargetMode="External"/><Relationship Id="rId773" Type="http://schemas.openxmlformats.org/officeDocument/2006/relationships/hyperlink" Target="https://drive.google.com/file/d/1jhMO-7qJ04Onr0iKOfo2glZzfz4c--sT/view?usp=drive_link" TargetMode="External"/><Relationship Id="rId530" Type="http://schemas.openxmlformats.org/officeDocument/2006/relationships/hyperlink" Target="https://drive.google.com/file/d/1faWcW-L96-ndaARcsVm6WhMphICanC5g/view?usp=sharing" TargetMode="External"/><Relationship Id="rId772" Type="http://schemas.openxmlformats.org/officeDocument/2006/relationships/hyperlink" Target="https://drive.google.com/file/d/1mcZF6wMSpDpGs6_Qpox-ygauHyCrN8-W/view?usp=drive_link" TargetMode="External"/><Relationship Id="rId771" Type="http://schemas.openxmlformats.org/officeDocument/2006/relationships/hyperlink" Target="https://drive.google.com/file/d/1wt4dyVKQJnIDt06JMSCL6PgpbV8s6wkx/view?usp=sharing" TargetMode="External"/><Relationship Id="rId327" Type="http://schemas.openxmlformats.org/officeDocument/2006/relationships/hyperlink" Target="https://docs.google.com/document/d/1Pas4W5XJkCXvmgZLhu5bUnDTYaFNcVaf4B_F8ylW5GA/edit?tab=t.0" TargetMode="External"/><Relationship Id="rId569" Type="http://schemas.openxmlformats.org/officeDocument/2006/relationships/hyperlink" Target="https://docs.google.com/document/d/1bFDTtcT3Dqv8Sq0YTtJfqwoAtuVSHbG83Iobswgtexg/edit?usp=sharing" TargetMode="External"/><Relationship Id="rId326" Type="http://schemas.openxmlformats.org/officeDocument/2006/relationships/hyperlink" Target="https://drive.google.com/file/d/1IyFLIXpKNI1anR6_SYkDyegKIXVdpFDl/view?usp=sharing" TargetMode="External"/><Relationship Id="rId568" Type="http://schemas.openxmlformats.org/officeDocument/2006/relationships/hyperlink" Target="https://drive.google.com/file/d/1DyIRrBqazRM7MPLHj-3WboAbLxm-XRZE/view?usp=sharing" TargetMode="External"/><Relationship Id="rId325" Type="http://schemas.openxmlformats.org/officeDocument/2006/relationships/hyperlink" Target="https://docs.google.com/document/d/11-ZNPwP9vD1NJ92VA5jdO0wkT0VDPNNTGy9-BJLZlwg/edit?tab=t.0" TargetMode="External"/><Relationship Id="rId567" Type="http://schemas.openxmlformats.org/officeDocument/2006/relationships/hyperlink" Target="https://drive.google.com/file/d/1tauHXs8HKFTTWFqg7YbU6--V-2VYi6qo/view?usp=sharing" TargetMode="External"/><Relationship Id="rId324" Type="http://schemas.openxmlformats.org/officeDocument/2006/relationships/hyperlink" Target="https://drive.google.com/file/d/1pylNnMwmBAYj3zcFjx1UTMWzCaYuBP_0/view?usp=sharing" TargetMode="External"/><Relationship Id="rId566" Type="http://schemas.openxmlformats.org/officeDocument/2006/relationships/hyperlink" Target="https://drive.google.com/file/d/1Ye-geqUub0-6qygOgwnIgXBFgeT2np7O/view?usp=drive_link" TargetMode="External"/><Relationship Id="rId329" Type="http://schemas.openxmlformats.org/officeDocument/2006/relationships/hyperlink" Target="https://docs.google.com/document/d/1sJs74ysUftndx4_8x52jjApGAZtBFRFDp_P3IhDxwPc/edit?tab=t.0" TargetMode="External"/><Relationship Id="rId328" Type="http://schemas.openxmlformats.org/officeDocument/2006/relationships/hyperlink" Target="https://drive.google.com/file/d/1eb84kyiff1gtzov0eOpOuaK6_zoFy7zT/view?usp=sharing" TargetMode="External"/><Relationship Id="rId561" Type="http://schemas.openxmlformats.org/officeDocument/2006/relationships/hyperlink" Target="https://docs.google.com/document/d/11buyjHTOF9teMz59o7H3HIE6023gGTivJatYtNAb-YA/edit?usp=drive_link" TargetMode="External"/><Relationship Id="rId560" Type="http://schemas.openxmlformats.org/officeDocument/2006/relationships/hyperlink" Target="https://drive.google.com/file/d/1H5SB1HvMZZpDkHYsmTNdDNqWqm1755d2/view?usp=drive_link" TargetMode="External"/><Relationship Id="rId323" Type="http://schemas.openxmlformats.org/officeDocument/2006/relationships/hyperlink" Target="https://drive.google.com/file/d/1J6tgpWPXFci1A5jbo7IBTAcPJk3ZF-GQ/view?usp=sharing" TargetMode="External"/><Relationship Id="rId565" Type="http://schemas.openxmlformats.org/officeDocument/2006/relationships/hyperlink" Target="https://drive.google.com/file/d/1CoA0z49dPUptiZcEQuRbkUA1mR-cuAzl/view?usp=drive_link" TargetMode="External"/><Relationship Id="rId322" Type="http://schemas.openxmlformats.org/officeDocument/2006/relationships/hyperlink" Target="https://drive.google.com/file/d/1mHqDmRrTir-beCTA6Ss0WUJZpKYOa8eQ/view?usp=sharing" TargetMode="External"/><Relationship Id="rId564" Type="http://schemas.openxmlformats.org/officeDocument/2006/relationships/hyperlink" Target="https://drive.google.com/file/d/1lI0cTDH8KcEFUli3JOmRNkLLXy5jv1Dk/view?usp=drive_link" TargetMode="External"/><Relationship Id="rId321" Type="http://schemas.openxmlformats.org/officeDocument/2006/relationships/hyperlink" Target="https://drive.google.com/file/d/1HH3jnSY9ik5RrvTT7VzwxJUoN6C7Hr80/view?usp=sharing" TargetMode="External"/><Relationship Id="rId563" Type="http://schemas.openxmlformats.org/officeDocument/2006/relationships/hyperlink" Target="https://drive.google.com/file/d/1eUOmbR3WFhyRNt5Ynyxr8ruXtZsWdhKi/view?usp=drive_link" TargetMode="External"/><Relationship Id="rId320" Type="http://schemas.openxmlformats.org/officeDocument/2006/relationships/hyperlink" Target="https://docs.google.com/document/d/1w2wimzQHSsW_RxdGyW3SlUoGXYExm_SSDZwcL2nGwNk/edit?tab=t.0" TargetMode="External"/><Relationship Id="rId562" Type="http://schemas.openxmlformats.org/officeDocument/2006/relationships/hyperlink" Target="https://drive.google.com/file/d/1bEnuXq0Dpqd0lu8tVxuTfnmvrrkEp2oB/view?usp=drive_link" TargetMode="External"/><Relationship Id="rId316" Type="http://schemas.openxmlformats.org/officeDocument/2006/relationships/hyperlink" Target="https://drive.google.com/file/d/1QY2GofT4zJBSSsxTnhVZUWiAaymy8nf4/view?usp=sharing" TargetMode="External"/><Relationship Id="rId558" Type="http://schemas.openxmlformats.org/officeDocument/2006/relationships/hyperlink" Target="https://drive.google.com/file/d/1ADDm1Ze8HxXUy6wCuCMkO5Y14ojOZmvV/view?usp=drive_link" TargetMode="External"/><Relationship Id="rId315" Type="http://schemas.openxmlformats.org/officeDocument/2006/relationships/hyperlink" Target="https://drive.google.com/file/d/16xwoer-V0x7r2t9QC6_AIfFo89djbJKP/view?usp=sharing" TargetMode="External"/><Relationship Id="rId557" Type="http://schemas.openxmlformats.org/officeDocument/2006/relationships/hyperlink" Target="https://drive.google.com/file/d/1_rOLUMERY3THG-55B5tlLl9gl18xR0Km/view?usp=sharing" TargetMode="External"/><Relationship Id="rId799" Type="http://schemas.openxmlformats.org/officeDocument/2006/relationships/hyperlink" Target="https://drive.google.com/file/d/1YLvXTeHTYLLTrIe_6uM11GElIWfxFEkl/view?usp=sharing" TargetMode="External"/><Relationship Id="rId314" Type="http://schemas.openxmlformats.org/officeDocument/2006/relationships/hyperlink" Target="https://drive.google.com/file/d/1p74JrFKEsVwbbgxxE4FCWsr7FUHuqggE/view?usp=sharing" TargetMode="External"/><Relationship Id="rId556" Type="http://schemas.openxmlformats.org/officeDocument/2006/relationships/hyperlink" Target="https://docs.google.com/document/d/1NptS2-h0Svvs8t7011JVjYneDw2zopCdBTgtRrJq9vs/edit?tab=t.0" TargetMode="External"/><Relationship Id="rId798" Type="http://schemas.openxmlformats.org/officeDocument/2006/relationships/hyperlink" Target="https://docs.google.com/document/d/1gsqdmd_64ELNzkX0FXcj3fcjSFsESrNs3zR4eLW_dCI/edit?tab=t.0" TargetMode="External"/><Relationship Id="rId313" Type="http://schemas.openxmlformats.org/officeDocument/2006/relationships/hyperlink" Target="https://docs.google.com/document/d/1rJDQaomguP0-RWp-tToen1fZWWL6LNqxnRE-Nds5zYQ/edit?tab=t.0" TargetMode="External"/><Relationship Id="rId555" Type="http://schemas.openxmlformats.org/officeDocument/2006/relationships/hyperlink" Target="https://drive.google.com/file/d/1C0BFflf-Y2Ep27HpTS886pLOtXiMwcxj/view?usp=drive_link" TargetMode="External"/><Relationship Id="rId797" Type="http://schemas.openxmlformats.org/officeDocument/2006/relationships/hyperlink" Target="https://drive.google.com/file/d/1Ulls4_0N4R8JJtZd_wbwywt7SY5GP5D3/view?usp=sharing" TargetMode="External"/><Relationship Id="rId319" Type="http://schemas.openxmlformats.org/officeDocument/2006/relationships/hyperlink" Target="https://drive.google.com/file/d/1XHRn9J-jFj0XKmJDuoiuGYwKKhjhd9-K/view?usp=sharing" TargetMode="External"/><Relationship Id="rId318" Type="http://schemas.openxmlformats.org/officeDocument/2006/relationships/hyperlink" Target="https://drive.google.com/file/d/1INAIuj9RUGZrAj82v46E9S2m_grdVfuj/view?usp=sharing" TargetMode="External"/><Relationship Id="rId317" Type="http://schemas.openxmlformats.org/officeDocument/2006/relationships/hyperlink" Target="https://drive.google.com/file/d/1inIjOfanF7wBaurAGw84uAbC6er0Gw9i/view?usp=sharing" TargetMode="External"/><Relationship Id="rId559" Type="http://schemas.openxmlformats.org/officeDocument/2006/relationships/hyperlink" Target="https://docs.google.com/document/d/1R9CIkdTL3nyIW7rzUHjmnNaiyQ2AxvOnAdIVk-TYCOI/edit?usp=drive_link" TargetMode="External"/><Relationship Id="rId550" Type="http://schemas.openxmlformats.org/officeDocument/2006/relationships/hyperlink" Target="https://docs.google.com/document/d/1F3FV3ySW1sifH2g5vTnrD6oKvFvQAxjFOCQEwMKq0hU/edit?tab=t.0" TargetMode="External"/><Relationship Id="rId792" Type="http://schemas.openxmlformats.org/officeDocument/2006/relationships/hyperlink" Target="https://drive.google.com/file/d/1LiQE0oOSzrRM3conBn4_G85OQN8bitKw/view?usp=sharing" TargetMode="External"/><Relationship Id="rId791" Type="http://schemas.openxmlformats.org/officeDocument/2006/relationships/hyperlink" Target="https://drive.google.com/drive/folders/145nR06Go841m-5slbAAaTRXUTeV4F3wL" TargetMode="External"/><Relationship Id="rId790" Type="http://schemas.openxmlformats.org/officeDocument/2006/relationships/hyperlink" Target="https://drive.google.com/file/d/1BCccALYo-0egQbfR70ESujGPGtlqZHPF/view?usp=sharing" TargetMode="External"/><Relationship Id="rId312" Type="http://schemas.openxmlformats.org/officeDocument/2006/relationships/hyperlink" Target="https://drive.google.com/file/d/1CVbJX27uoVHZ0oyldkias5h-LLgp7olo/view?usp=sharing" TargetMode="External"/><Relationship Id="rId554" Type="http://schemas.openxmlformats.org/officeDocument/2006/relationships/hyperlink" Target="https://drive.google.com/file/d/1JKXA1Io0Rs5dXXAez_EUl__1a-gU08uY/view?usp=drive_link" TargetMode="External"/><Relationship Id="rId796" Type="http://schemas.openxmlformats.org/officeDocument/2006/relationships/hyperlink" Target="https://drive.google.com/file/d/1ipaM_a3FG5yi7uyX8GcrCiyf_lEPDNrl/view?usp=sharing" TargetMode="External"/><Relationship Id="rId311" Type="http://schemas.openxmlformats.org/officeDocument/2006/relationships/hyperlink" Target="https://docs.google.com/document/d/1mBXb96KxqODmKKX-ONsx1RwEFPhn1Ciy1U2qZxnfQag/edit?tab=t.0" TargetMode="External"/><Relationship Id="rId553" Type="http://schemas.openxmlformats.org/officeDocument/2006/relationships/hyperlink" Target="https://docs.google.com/document/d/1UIPKB27Z64lusmhscDZMPoA4XUTym8Omg3lo33ThMnQ/edit?usp=drive_link" TargetMode="External"/><Relationship Id="rId795" Type="http://schemas.openxmlformats.org/officeDocument/2006/relationships/hyperlink" Target="https://drive.google.com/file/d/1WCHmpsRUXwqjqskvIZIbGkYpu8M-c2An/view?usp=sharing" TargetMode="External"/><Relationship Id="rId310" Type="http://schemas.openxmlformats.org/officeDocument/2006/relationships/hyperlink" Target="https://drive.google.com/file/d/1tqQ8Zvg2wVBpz2fyUb6-aVumsVvn67Lv/view?usp=sharing" TargetMode="External"/><Relationship Id="rId552" Type="http://schemas.openxmlformats.org/officeDocument/2006/relationships/hyperlink" Target="https://drive.google.com/file/d/1BZ0WnBVM1LxUDM9rboTdM21iDnHFac4V/view?usp=drive_link" TargetMode="External"/><Relationship Id="rId794" Type="http://schemas.openxmlformats.org/officeDocument/2006/relationships/hyperlink" Target="https://drive.google.com/file/d/1-H8w99IxdEldEA40NswDCkgSTt9en-Nd/view?usp=sharing" TargetMode="External"/><Relationship Id="rId551" Type="http://schemas.openxmlformats.org/officeDocument/2006/relationships/hyperlink" Target="https://drive.google.com/file/d/12S4TVh4WRWPU_9cpj-I7b56AONMEci7Y/view?usp=drive_link" TargetMode="External"/><Relationship Id="rId793" Type="http://schemas.openxmlformats.org/officeDocument/2006/relationships/hyperlink" Target="https://docs.google.com/document/d/1HT3FN7rzvz1UFwyIGJ7IBj9yfWnKwJpGdP0CWFrQrhA/edit?tab=t.0" TargetMode="External"/><Relationship Id="rId297" Type="http://schemas.openxmlformats.org/officeDocument/2006/relationships/hyperlink" Target="https://docs.google.com/document/d/1w1vwAjGf7743VM9aILzHxUDQr_gpWS5S6AXgISr4CFg/edit?tab=t.0" TargetMode="External"/><Relationship Id="rId296" Type="http://schemas.openxmlformats.org/officeDocument/2006/relationships/hyperlink" Target="https://drive.google.com/file/d/1CPYEaRS4TcLcxZvEPcPtu1gUn-Rp4p7q/view?usp=sharing" TargetMode="External"/><Relationship Id="rId295" Type="http://schemas.openxmlformats.org/officeDocument/2006/relationships/hyperlink" Target="https://drive.google.com/file/d/11DvLqm468kOhqHydAQlhlRIS0v5Ndnu_/view?usp=sharing" TargetMode="External"/><Relationship Id="rId294" Type="http://schemas.openxmlformats.org/officeDocument/2006/relationships/hyperlink" Target="https://drive.google.com/file/d/1cyAwP15rwK93EqiFp9NbQMs_Yu0b59os/view?usp=sharing" TargetMode="External"/><Relationship Id="rId299" Type="http://schemas.openxmlformats.org/officeDocument/2006/relationships/hyperlink" Target="https://drive.google.com/file/d/1sj-lC-mSofc3DYuuQ_XZn52a08osqoy6/view?usp=sharing" TargetMode="External"/><Relationship Id="rId298" Type="http://schemas.openxmlformats.org/officeDocument/2006/relationships/hyperlink" Target="https://drive.google.com/file/d/1sJFU-D6jTHefXGQFGr6Xbz6VOHV5IWCa/view?usp=sharing" TargetMode="External"/><Relationship Id="rId271" Type="http://schemas.openxmlformats.org/officeDocument/2006/relationships/hyperlink" Target="https://drive.google.com/file/d/1fvEZNtJKdAB9kk8ry_jXlwqv4uxxKdP8/view?usp=sharing" TargetMode="External"/><Relationship Id="rId270" Type="http://schemas.openxmlformats.org/officeDocument/2006/relationships/hyperlink" Target="https://docs.google.com/document/d/1nD_u4rDv_GYvin-pW6Z9gYbcGc0iuvf-1p4dBbz94jk/edit?tab=t.0" TargetMode="External"/><Relationship Id="rId269" Type="http://schemas.openxmlformats.org/officeDocument/2006/relationships/hyperlink" Target="https://drive.google.com/file/d/1PZI1eDrczKLurJ_5_mYJqlDbmSAFzcgm/view?usp=sharing" TargetMode="External"/><Relationship Id="rId264" Type="http://schemas.openxmlformats.org/officeDocument/2006/relationships/hyperlink" Target="https://drive.google.com/file/d/1-DGWqhAM2cLsTQpOaDXP48l4SOd6DqLR/view?usp=sharing" TargetMode="External"/><Relationship Id="rId263" Type="http://schemas.openxmlformats.org/officeDocument/2006/relationships/hyperlink" Target="https://drive.google.com/file/d/1VyKTuFBRdlwfXe1ijs9LkNW84dknWFKU/view?usp=sharing" TargetMode="External"/><Relationship Id="rId262" Type="http://schemas.openxmlformats.org/officeDocument/2006/relationships/hyperlink" Target="https://drive.google.com/file/d/13ALcROnD5Qadp-7zgIVzozFeevgNfEXE/view?usp=sharing" TargetMode="External"/><Relationship Id="rId261" Type="http://schemas.openxmlformats.org/officeDocument/2006/relationships/hyperlink" Target="http://nb.6f.sm" TargetMode="External"/><Relationship Id="rId268" Type="http://schemas.openxmlformats.org/officeDocument/2006/relationships/hyperlink" Target="https://drive.google.com/file/d/1DF2wylZc89v9xKoWb8hnas6ef6Kl__oH/view?usp=sharing" TargetMode="External"/><Relationship Id="rId267" Type="http://schemas.openxmlformats.org/officeDocument/2006/relationships/hyperlink" Target="https://drive.google.com/file/d/1f30Fd-A4AvO5QSdiY-iWId0JcJ6c6iDy/view?usp=sharing" TargetMode="External"/><Relationship Id="rId266" Type="http://schemas.openxmlformats.org/officeDocument/2006/relationships/hyperlink" Target="https://docs.google.com/document/d/1lbUIvpg60RRa4LGySfd-CHwRSvkWW5s-0dLYvpPO93A/edit?usp=sharing" TargetMode="External"/><Relationship Id="rId265" Type="http://schemas.openxmlformats.org/officeDocument/2006/relationships/hyperlink" Target="https://drive.google.com/file/d/1_OeAyK8-6x_WAfYvtCi3-GNUz2xrxrsi/view?usp=sharing" TargetMode="External"/><Relationship Id="rId260" Type="http://schemas.openxmlformats.org/officeDocument/2006/relationships/hyperlink" Target="https://drive.google.com/file/d/1ECDY-pg4F1qWSGjuR8a5ek6yQf2LRZUG/view?usp=sharing" TargetMode="External"/><Relationship Id="rId259" Type="http://schemas.openxmlformats.org/officeDocument/2006/relationships/hyperlink" Target="https://docs.google.com/document/d/19Z4kZ-_lEgkbnwXHp312NjCQik1lWj8b2mqG-xy4GDE/edit?tab=t.0" TargetMode="External"/><Relationship Id="rId258" Type="http://schemas.openxmlformats.org/officeDocument/2006/relationships/hyperlink" Target="https://drive.google.com/file/d/10-tBQucggfWDdMuWHkhGslrTuQNobHJP/view?usp=sharing" TargetMode="External"/><Relationship Id="rId253" Type="http://schemas.openxmlformats.org/officeDocument/2006/relationships/hyperlink" Target="https://drive.google.com/file/d/10qD04aPvLGy5ohp7xF79bM9gmXwHHU6-/view?usp=drive_link" TargetMode="External"/><Relationship Id="rId495" Type="http://schemas.openxmlformats.org/officeDocument/2006/relationships/hyperlink" Target="https://docs.google.com/document/d/1_1iOHMCWBLbkaBfgsmG6n5OznDugGLTdfd1pxnqe9Yg/edit?tab=t.0" TargetMode="External"/><Relationship Id="rId252" Type="http://schemas.openxmlformats.org/officeDocument/2006/relationships/hyperlink" Target="https://drive.google.com/file/d/1zs2NGOWg4xRKHqMihtNzuV1TnTh9jMeK/view?usp=drive_link" TargetMode="External"/><Relationship Id="rId494" Type="http://schemas.openxmlformats.org/officeDocument/2006/relationships/hyperlink" Target="https://drive.google.com/file/d/1v0uBSxukISFrjssPqxqnSJvrMggJj33k/view?usp=sharing" TargetMode="External"/><Relationship Id="rId251" Type="http://schemas.openxmlformats.org/officeDocument/2006/relationships/hyperlink" Target="https://docs.google.com/document/d/1ya2WKdGC1hCz4VUJ39Dux3sfvWnFZKDFFWwJ3MvRd4g/edit?usp=sharing" TargetMode="External"/><Relationship Id="rId493" Type="http://schemas.openxmlformats.org/officeDocument/2006/relationships/hyperlink" Target="https://docs.google.com/document/d/1KQv-V26t2O4d7YIH6H0sJfDCEimSSpHChe8OEQwGzo8/edit?tab=t.0" TargetMode="External"/><Relationship Id="rId250" Type="http://schemas.openxmlformats.org/officeDocument/2006/relationships/hyperlink" Target="https://drive.google.com/file/d/1Te0onztaSJYh-arwqpSQGSizBG6ePvKe/view?usp=drive_link" TargetMode="External"/><Relationship Id="rId492" Type="http://schemas.openxmlformats.org/officeDocument/2006/relationships/hyperlink" Target="https://drive.google.com/file/d/1_UpMLJsYoIFnLeNGyxoNKirDdj4e_nhH/view?usp=sharing" TargetMode="External"/><Relationship Id="rId257" Type="http://schemas.openxmlformats.org/officeDocument/2006/relationships/hyperlink" Target="https://drive.google.com/file/d/1gcV3OYd3sr-KIi2flv1rs3SX8068Yx6g/view?usp=sharing" TargetMode="External"/><Relationship Id="rId499" Type="http://schemas.openxmlformats.org/officeDocument/2006/relationships/hyperlink" Target="https://docs.google.com/document/d/1_1iOHMCWBLbkaBfgsmG6n5OznDugGLTdfd1pxnqe9Yg/edit?tab=t.0" TargetMode="External"/><Relationship Id="rId256" Type="http://schemas.openxmlformats.org/officeDocument/2006/relationships/hyperlink" Target="https://drive.google.com/file/d/12ABDpPE-A92XoxxGUexInrmrvo6mOSZJ/view?usp=sharing" TargetMode="External"/><Relationship Id="rId498" Type="http://schemas.openxmlformats.org/officeDocument/2006/relationships/hyperlink" Target="https://drive.google.com/file/d/1Xw3qURc6poemWhR0LRJtc2O9MZvDZVmm/view?usp=sharing" TargetMode="External"/><Relationship Id="rId255" Type="http://schemas.openxmlformats.org/officeDocument/2006/relationships/hyperlink" Target="http://nb.1m.sm/" TargetMode="External"/><Relationship Id="rId497" Type="http://schemas.openxmlformats.org/officeDocument/2006/relationships/hyperlink" Target="https://docs.google.com/document/d/1_1iOHMCWBLbkaBfgsmG6n5OznDugGLTdfd1pxnqe9Yg/edit?tab=t.0" TargetMode="External"/><Relationship Id="rId254" Type="http://schemas.openxmlformats.org/officeDocument/2006/relationships/hyperlink" Target="https://docs.google.com/document/d/104lrVYnZIrBp98cGqoGbnU85O3-pIMiHvajRuEVCCCY/edit?usp=share_link" TargetMode="External"/><Relationship Id="rId496" Type="http://schemas.openxmlformats.org/officeDocument/2006/relationships/hyperlink" Target="https://drive.google.com/file/d/1jyQIiwxlMfoJZgeBzl1c_xh7blRLd699/view?usp=sharing" TargetMode="External"/><Relationship Id="rId293" Type="http://schemas.openxmlformats.org/officeDocument/2006/relationships/hyperlink" Target="https://docs.google.com/document/d/1DaIh7hQd5vgQsjIcqUWX82w0ZvU0B7oagut1sqL1QvU/edit?tab=t.0" TargetMode="External"/><Relationship Id="rId292" Type="http://schemas.openxmlformats.org/officeDocument/2006/relationships/hyperlink" Target="https://drive.google.com/file/d/1_p0GIT-EUcfs8Gf2eolyuVWaUvyovLpA/view?usp=sharing" TargetMode="External"/><Relationship Id="rId291" Type="http://schemas.openxmlformats.org/officeDocument/2006/relationships/hyperlink" Target="https://drive.google.com/file/d/19mZvSYrJJ46yFSnjnm13EO3ou2ItGh-C/view?usp=sharing" TargetMode="External"/><Relationship Id="rId290" Type="http://schemas.openxmlformats.org/officeDocument/2006/relationships/hyperlink" Target="https://drive.google.com/file/d/1YsC2yjYg8dqP2vLuKSAhohKqUGxOwaMy/view?usp=sharing" TargetMode="External"/><Relationship Id="rId286" Type="http://schemas.openxmlformats.org/officeDocument/2006/relationships/hyperlink" Target="https://drive.google.com/file/d/1yzl8DPaHKNde-p3hY5gMHHOfUiiDlGT1/view?usp=sharing" TargetMode="External"/><Relationship Id="rId285" Type="http://schemas.openxmlformats.org/officeDocument/2006/relationships/hyperlink" Target="https://drive.google.com/file/d/1qGNp3T7pgxaJskvvo-_EG536XXC5Q8zU/view?usp=sharing" TargetMode="External"/><Relationship Id="rId284" Type="http://schemas.openxmlformats.org/officeDocument/2006/relationships/hyperlink" Target="https://drive.google.com/file/d/17SfsVx-ZgtHrP1AOuYJV99kE28LcG6z5/view?usp=sharing" TargetMode="External"/><Relationship Id="rId283" Type="http://schemas.openxmlformats.org/officeDocument/2006/relationships/hyperlink" Target="https://docs.google.com/document/d/1miuGoSnzBxjPD7w-_yCnnTMoynfy26KOPSX0lzkh2PU/edit?tab=t.0" TargetMode="External"/><Relationship Id="rId289" Type="http://schemas.openxmlformats.org/officeDocument/2006/relationships/hyperlink" Target="https://drive.google.com/file/d/1Y8X89JVaROhPurydhLSc85DNV1n8B7qv/view?usp=sharing" TargetMode="External"/><Relationship Id="rId288" Type="http://schemas.openxmlformats.org/officeDocument/2006/relationships/hyperlink" Target="https://docs.google.com/document/d/1h9xn7m7hvonV7Dm7pP3st5qaQ4vQZvBKp8TauaT-Ess/edit?tab=t.0" TargetMode="External"/><Relationship Id="rId287" Type="http://schemas.openxmlformats.org/officeDocument/2006/relationships/hyperlink" Target="https://drive.google.com/file/d/1UixFT9Udgk1ltxcGITz4Zdym_sgOg1H5/view?usp=sharing" TargetMode="External"/><Relationship Id="rId282" Type="http://schemas.openxmlformats.org/officeDocument/2006/relationships/hyperlink" Target="https://drive.google.com/file/d/1IpN1iR4o7YwvR-QvxIU_Tm8QF66qWgXL/view?usp=sharing" TargetMode="External"/><Relationship Id="rId281" Type="http://schemas.openxmlformats.org/officeDocument/2006/relationships/hyperlink" Target="https://drive.google.com/file/d/1u2D9FEHLZ_8e8gQiXd8VZCPHktJ4Xxnc/view?usp=sharing" TargetMode="External"/><Relationship Id="rId280" Type="http://schemas.openxmlformats.org/officeDocument/2006/relationships/hyperlink" Target="https://drive.google.com/file/d/1QELgJGn_SeCYwi_QtgVCDSLVyOpY-d9r/view?usp=sharing" TargetMode="External"/><Relationship Id="rId275" Type="http://schemas.openxmlformats.org/officeDocument/2006/relationships/hyperlink" Target="https://drive.google.com/file/d/1y3H3Sx0pjgMkeKKkRGbCjYIvybafEMew/view?usp=sharing" TargetMode="External"/><Relationship Id="rId274" Type="http://schemas.openxmlformats.org/officeDocument/2006/relationships/hyperlink" Target="https://docs.google.com/document/d/1PDRRWBeyfBoALxjzpFAGbkOAD838XfZVUoj2ugTGPV4/edit?tab=t.0" TargetMode="External"/><Relationship Id="rId273" Type="http://schemas.openxmlformats.org/officeDocument/2006/relationships/hyperlink" Target="https://drive.google.com/file/d/1doEUOKB78Bu2psvH0Bdv2_F-Kn723xE_/view?usp=sharing" TargetMode="External"/><Relationship Id="rId272" Type="http://schemas.openxmlformats.org/officeDocument/2006/relationships/hyperlink" Target="https://docs.google.com/document/d/1gzuNbnqH4DfVcxoh6oTPwYfIdzLHlda4L4QvV9Unjoo/edit?tab=t.0" TargetMode="External"/><Relationship Id="rId279" Type="http://schemas.openxmlformats.org/officeDocument/2006/relationships/hyperlink" Target="https://drive.google.com/file/d/1UIj38oamH2veRuC4X967MqNYq10sbmlU/view?usp=sharing" TargetMode="External"/><Relationship Id="rId278" Type="http://schemas.openxmlformats.org/officeDocument/2006/relationships/hyperlink" Target="https://docs.google.com/document/d/1YP3FH4-ygy0zbIpb9rpq78O_BxVlBZz3Pt7tvQYrDZc/edit?usp=drive_link" TargetMode="External"/><Relationship Id="rId277" Type="http://schemas.openxmlformats.org/officeDocument/2006/relationships/hyperlink" Target="https://drive.google.com/file/d/1Zcl-NUHWYPKCKzee7yYhvmnL44-l56QQ/view?usp=sharing" TargetMode="External"/><Relationship Id="rId276" Type="http://schemas.openxmlformats.org/officeDocument/2006/relationships/hyperlink" Target="https://docs.google.com/document/d/1iBY7r9tyJT1i0KqTJJ29FFG7kOmblZcdvPfySBhkRi0/edit?tab=t.0" TargetMode="External"/><Relationship Id="rId907" Type="http://schemas.openxmlformats.org/officeDocument/2006/relationships/hyperlink" Target="https://drive.google.com/file/d/1SyxEzGbgELtNbHp7CIjjnRsr070sE5ZZ/view?usp=sharing" TargetMode="External"/><Relationship Id="rId906" Type="http://schemas.openxmlformats.org/officeDocument/2006/relationships/hyperlink" Target="https://drive.google.com/file/d/1XcYKEwbq8TDFhI6GtTauyvx4idHkZTzN/view?usp=sharing" TargetMode="External"/><Relationship Id="rId905" Type="http://schemas.openxmlformats.org/officeDocument/2006/relationships/hyperlink" Target="https://docs.google.com/document/d/1f4bR44NaPnnWvCzr9a7ANlZOTQeY3jBC5armL1dBLj8/edit?tab=t.0" TargetMode="External"/><Relationship Id="rId904" Type="http://schemas.openxmlformats.org/officeDocument/2006/relationships/hyperlink" Target="https://drive.google.com/file/d/1RinUEhE5Mx-rNI597_BUYtG3-4ESfPB4/view?usp=sharing" TargetMode="External"/><Relationship Id="rId909" Type="http://schemas.openxmlformats.org/officeDocument/2006/relationships/hyperlink" Target="https://docs.google.com/document/d/1WdPo9HdIJt0GhYAi9SSee8Zp6caVYQNYE-YmLhjOrOA/edit?tab=t.0" TargetMode="External"/><Relationship Id="rId908" Type="http://schemas.openxmlformats.org/officeDocument/2006/relationships/hyperlink" Target="https://drive.google.com/file/d/1lPlbOPWZFVrcM3jCD8ykuGMx6uI_vHyL/view?usp=sharing" TargetMode="External"/><Relationship Id="rId903" Type="http://schemas.openxmlformats.org/officeDocument/2006/relationships/hyperlink" Target="https://docs.google.com/document/d/1n1jqUPHPEI8ACJuPbLI5Ri-XooMafbphNE5Z2S_vQZA/edit?tab=t.0" TargetMode="External"/><Relationship Id="rId902" Type="http://schemas.openxmlformats.org/officeDocument/2006/relationships/hyperlink" Target="https://drive.google.com/file/d/1fpbYBdy0e4BpWofJQKyDYHcXZWhK5ErB/view?usp=sharing" TargetMode="External"/><Relationship Id="rId901" Type="http://schemas.openxmlformats.org/officeDocument/2006/relationships/hyperlink" Target="https://drive.google.com/file/d/1muD3THy7V9SN7ZTpIOeI-6VwcDijh1cF/view?usp=sharing" TargetMode="External"/><Relationship Id="rId900" Type="http://schemas.openxmlformats.org/officeDocument/2006/relationships/hyperlink" Target="https://drive.google.com/file/d/1x-EVmIz9sRDwsqiJlTDfIypWD35IumdV/view?usp=sharing" TargetMode="External"/><Relationship Id="rId929" Type="http://schemas.openxmlformats.org/officeDocument/2006/relationships/hyperlink" Target="https://drive.google.com/file/d/1eZMq67PoS4hXVFe_-_kDlXiZ5_T-VEg-/view?usp=sharing" TargetMode="External"/><Relationship Id="rId928" Type="http://schemas.openxmlformats.org/officeDocument/2006/relationships/hyperlink" Target="https://drive.google.com/file/d/14TmoKB44lmYBjjIP-h97dolobPM9rIDU/view?usp=sharing" TargetMode="External"/><Relationship Id="rId927" Type="http://schemas.openxmlformats.org/officeDocument/2006/relationships/hyperlink" Target="https://drive.google.com/file/d/1WX5AX77TyaQk11jv9i7tOhL5D5a50K0F/view?usp=sharing" TargetMode="External"/><Relationship Id="rId926" Type="http://schemas.openxmlformats.org/officeDocument/2006/relationships/hyperlink" Target="https://drive.google.com/file/d/1bH_P0q07HLFkvuFCim0fvako_R__EPzm/view?usp=sharing" TargetMode="External"/><Relationship Id="rId921" Type="http://schemas.openxmlformats.org/officeDocument/2006/relationships/hyperlink" Target="https://drive.google.com/file/d/1TV_X59aAYG3iXoe_RA3dqbyhSs9AEJJP/view?usp=sharing" TargetMode="External"/><Relationship Id="rId920" Type="http://schemas.openxmlformats.org/officeDocument/2006/relationships/hyperlink" Target="https://drive.google.com/file/d/1gj8rhUEKtSvquh35Q5qn5B-sRcXqp1AW/view?usp=sharing" TargetMode="External"/><Relationship Id="rId925" Type="http://schemas.openxmlformats.org/officeDocument/2006/relationships/hyperlink" Target="https://docs.google.com/document/d/1zHrLTU4VN8bpfMnOkFvoWQoC_GQxaOF9M7gn40BxunY/edit?tab=t.0" TargetMode="External"/><Relationship Id="rId924" Type="http://schemas.openxmlformats.org/officeDocument/2006/relationships/hyperlink" Target="https://docs.google.com/document/d/1mzVEd2FvchkZEWZMiCv9fpcrXIapYYD4m3JLYR9Mehg/edit?tab=t.0" TargetMode="External"/><Relationship Id="rId923" Type="http://schemas.openxmlformats.org/officeDocument/2006/relationships/hyperlink" Target="https://drive.google.com/file/d/1sp-795OQCqHAs4fdLUqOqzEaYCnwNpds/view?usp=sharing" TargetMode="External"/><Relationship Id="rId922" Type="http://schemas.openxmlformats.org/officeDocument/2006/relationships/hyperlink" Target="https://docs.google.com/document/d/1MZ2need9M5Vb-RVo-XOeDBU4YgV9p4fqYzg-I5jluaE/edit?tab=t.0" TargetMode="External"/><Relationship Id="rId918" Type="http://schemas.openxmlformats.org/officeDocument/2006/relationships/hyperlink" Target="https://drive.google.com/file/d/1QAN6W-euHPdNc4uL1R3fKPCCwiudH5EW/view?usp=sharing" TargetMode="External"/><Relationship Id="rId917" Type="http://schemas.openxmlformats.org/officeDocument/2006/relationships/hyperlink" Target="https://docs.google.com/document/d/1wlZjtWhc7MpK0XxyQONlis1lbTR4FqA7fH3K7vpdYiY/edit?tab=t.0" TargetMode="External"/><Relationship Id="rId916" Type="http://schemas.openxmlformats.org/officeDocument/2006/relationships/hyperlink" Target="https://drive.google.com/file/d/1jKbLOzictWBTPDwrctkOo9CLJe0qEnR9/view?usp=sharing" TargetMode="External"/><Relationship Id="rId915" Type="http://schemas.openxmlformats.org/officeDocument/2006/relationships/hyperlink" Target="https://docs.google.com/document/d/14E3YfRx52A7pV_dQuHZgQ6KH-GIzCqtgB_Sr61BTR6U/edit?tab=t.0" TargetMode="External"/><Relationship Id="rId919" Type="http://schemas.openxmlformats.org/officeDocument/2006/relationships/hyperlink" Target="https://docs.google.com/document/d/1iqDL6_2ABd-sS7oThmPXm4ZIr_y3_NUrSLC3eAbLC7Y/edit?tab=t.0" TargetMode="External"/><Relationship Id="rId910" Type="http://schemas.openxmlformats.org/officeDocument/2006/relationships/hyperlink" Target="https://drive.google.com/file/d/1g58iHWhtFS4iZpl-Mo9Eq38O02o-9LrY/view?usp=sharing" TargetMode="External"/><Relationship Id="rId914" Type="http://schemas.openxmlformats.org/officeDocument/2006/relationships/hyperlink" Target="https://drive.google.com/file/d/1ANhQbsimBAcbKQud93RRPMTQHsi37RtT/view?usp=sharing" TargetMode="External"/><Relationship Id="rId913" Type="http://schemas.openxmlformats.org/officeDocument/2006/relationships/hyperlink" Target="https://docs.google.com/document/d/1UxAuHEfWiu7YUOL5z7OKMpgxEjH8bw9UYL6nRbQVy30/edit?tab=t.0" TargetMode="External"/><Relationship Id="rId912" Type="http://schemas.openxmlformats.org/officeDocument/2006/relationships/hyperlink" Target="https://drive.google.com/file/d/1OR8hIMoD0zrA6aJr8P_Vy-g0p1tF6pBo/view?usp=sharing" TargetMode="External"/><Relationship Id="rId911" Type="http://schemas.openxmlformats.org/officeDocument/2006/relationships/hyperlink" Target="https://docs.google.com/document/d/1OCKvOhxtd-U2dJZ1yw83e7jU9TxuzpTYcLYxSRduG10/edit?usp=sharing" TargetMode="External"/><Relationship Id="rId629" Type="http://schemas.openxmlformats.org/officeDocument/2006/relationships/hyperlink" Target="https://drive.google.com/file/d/1WUzgJ4rjhOOBz1fChjw8kjND-WcYB9nm/view?usp=sharing" TargetMode="External"/><Relationship Id="rId624" Type="http://schemas.openxmlformats.org/officeDocument/2006/relationships/hyperlink" Target="https://drive.google.com/file/d/1lBca953gpkyc1s1VBlj85_HZ9lZ98Hd6/view?usp=sharing" TargetMode="External"/><Relationship Id="rId866" Type="http://schemas.openxmlformats.org/officeDocument/2006/relationships/hyperlink" Target="https://drive.google.com/file/d/1G2AUxeGhwBIw6V8lycZylhN88A6aeC0i/view?usp=sharing" TargetMode="External"/><Relationship Id="rId623" Type="http://schemas.openxmlformats.org/officeDocument/2006/relationships/hyperlink" Target="https://drive.google.com/file/d/15kzCkvhGKcAtTi1a7V5wjlXO1mTD9rJw/view?usp=sharing" TargetMode="External"/><Relationship Id="rId865" Type="http://schemas.openxmlformats.org/officeDocument/2006/relationships/hyperlink" Target="https://drive.google.com/file/d/1Gzeib_PG0w4Pc-UrQnTeT5kOgzuqeWlJ/view?usp=sharing" TargetMode="External"/><Relationship Id="rId622" Type="http://schemas.openxmlformats.org/officeDocument/2006/relationships/hyperlink" Target="https://drive.google.com/file/d/15kzCkvhGKcAtTi1a7V5wjlXO1mTD9rJw/view?usp=sharing" TargetMode="External"/><Relationship Id="rId864" Type="http://schemas.openxmlformats.org/officeDocument/2006/relationships/hyperlink" Target="https://drive.google.com/file/d/123diJcrwHR4_zv9k1yh28GvUL7Yaxh9I/view?usp=sharing" TargetMode="External"/><Relationship Id="rId621" Type="http://schemas.openxmlformats.org/officeDocument/2006/relationships/hyperlink" Target="https://docs.google.com/document/d/1h2nibbsWBB8JwxQdd8aAJ7lay_LdtvHdzMmF-QHNZ8E/edit?tab=t.0" TargetMode="External"/><Relationship Id="rId863" Type="http://schemas.openxmlformats.org/officeDocument/2006/relationships/hyperlink" Target="https://drive.google.com/file/d/1jNShbjHOtihgX1k65xe70Xjh7T2v0UgP/view?usp=sharing" TargetMode="External"/><Relationship Id="rId628" Type="http://schemas.openxmlformats.org/officeDocument/2006/relationships/hyperlink" Target="https://drive.google.com/file/d/1Ps5wQNqT9B2hooEnckhxQDZHxEZmK4a7/view?usp=sharing" TargetMode="External"/><Relationship Id="rId627" Type="http://schemas.openxmlformats.org/officeDocument/2006/relationships/hyperlink" Target="https://drive.google.com/file/d/1A1d57AxstFwsTL-UVF7e2CtOWNyHz70J/view?usp=sharing" TargetMode="External"/><Relationship Id="rId869" Type="http://schemas.openxmlformats.org/officeDocument/2006/relationships/hyperlink" Target="https://drive.google.com/file/d/1VyM1Hm-iB18ZVtH8shOXRrbbY2CFh200/view?usp=sharing" TargetMode="External"/><Relationship Id="rId626" Type="http://schemas.openxmlformats.org/officeDocument/2006/relationships/hyperlink" Target="https://drive.google.com/file/d/1W4goxJHUz6rYaXU5_wQfLDisu2exCsmv/view?usp=sharing" TargetMode="External"/><Relationship Id="rId868" Type="http://schemas.openxmlformats.org/officeDocument/2006/relationships/hyperlink" Target="https://drive.google.com/file/d/1jNShbjHOtihgX1k65xe70Xjh7T2v0UgP/view?usp=sharing" TargetMode="External"/><Relationship Id="rId625" Type="http://schemas.openxmlformats.org/officeDocument/2006/relationships/hyperlink" Target="https://docs.google.com/document/d/1qkU2u3Vj82OZ2T6oThfGuSm08tiMrUpIbHUOK-NJIt0/edit?tab=t.0" TargetMode="External"/><Relationship Id="rId867" Type="http://schemas.openxmlformats.org/officeDocument/2006/relationships/hyperlink" Target="https://drive.google.com/file/d/1e4Q2ovQOEf3qmc147g8nAkZbnUB6SD9d/view?usp=sharing" TargetMode="External"/><Relationship Id="rId620" Type="http://schemas.openxmlformats.org/officeDocument/2006/relationships/hyperlink" Target="https://drive.google.com/file/d/15kzCkvhGKcAtTi1a7V5wjlXO1mTD9rJw/view?usp=sharing" TargetMode="External"/><Relationship Id="rId862" Type="http://schemas.openxmlformats.org/officeDocument/2006/relationships/hyperlink" Target="https://docs.google.com/document/d/1isnnx4HwrTJrPC0hikxEUDOWZ_OkU_weOeeeOnLI93g/edit?tab=t.0" TargetMode="External"/><Relationship Id="rId861" Type="http://schemas.openxmlformats.org/officeDocument/2006/relationships/hyperlink" Target="https://drive.google.com/file/d/145Inczhk1No78f8ocLI-qKKZ-ZH4ulN8/view?usp=sharing" TargetMode="External"/><Relationship Id="rId860" Type="http://schemas.openxmlformats.org/officeDocument/2006/relationships/hyperlink" Target="https://drive.google.com/file/d/1Lp2d0B7zB2nnQKoaYnVGjzHKSS2FBJ9t/view?usp=sharing" TargetMode="External"/><Relationship Id="rId619" Type="http://schemas.openxmlformats.org/officeDocument/2006/relationships/hyperlink" Target="https://docs.google.com/document/d/1XUZZNtoSOPshj-QXJuUmQtFtPXvr_7j8iWKQaGzNUFg/edit?tab=t.0" TargetMode="External"/><Relationship Id="rId618" Type="http://schemas.openxmlformats.org/officeDocument/2006/relationships/hyperlink" Target="https://drive.google.com/file/d/1VgQSHTFjChL88QmSwt-lgAWLx8QsYpda/view?usp=sharing" TargetMode="External"/><Relationship Id="rId613" Type="http://schemas.openxmlformats.org/officeDocument/2006/relationships/hyperlink" Target="https://docs.google.com/document/d/1rFh3tt5Sj3ZL410Zh-jitOr1POITxvFFtBceG_wTwPE/edit?usp=sharing" TargetMode="External"/><Relationship Id="rId855" Type="http://schemas.openxmlformats.org/officeDocument/2006/relationships/hyperlink" Target="https://docs.google.com/document/d/1u2tjpelD2JQZcOAO0BfQd0Lo3DavgIeyVEb1YbSqnCI/edit?tab=t.0" TargetMode="External"/><Relationship Id="rId612" Type="http://schemas.openxmlformats.org/officeDocument/2006/relationships/hyperlink" Target="https://drive.google.com/file/d/1qtfhsQ2zLak2ISAdjdYfKD1OkMU8Q9Yx/view?usp=sharing" TargetMode="External"/><Relationship Id="rId854" Type="http://schemas.openxmlformats.org/officeDocument/2006/relationships/hyperlink" Target="https://drive.google.com/file/d/1Hp1O5jgG7vhUPIngkC70uWqzE6hM1t6G/view?usp=sharing" TargetMode="External"/><Relationship Id="rId611" Type="http://schemas.openxmlformats.org/officeDocument/2006/relationships/hyperlink" Target="https://docs.google.com/document/d/1yVW3XzFZbrrqQS0DTTzLZUtKzSSPGzkL83qNSvxqw6o/edit?usp=sharing" TargetMode="External"/><Relationship Id="rId853" Type="http://schemas.openxmlformats.org/officeDocument/2006/relationships/hyperlink" Target="https://drive.google.com/file/d/1E02HOHK3-zDu106nJoCc66MR0ktYnzxu/view?usp=sharing" TargetMode="External"/><Relationship Id="rId610" Type="http://schemas.openxmlformats.org/officeDocument/2006/relationships/hyperlink" Target="https://drive.google.com/file/d/1gsFpk4bhC3xtG4gSPjFT1YMPdKG-fbyN/view?usp=sharing" TargetMode="External"/><Relationship Id="rId852" Type="http://schemas.openxmlformats.org/officeDocument/2006/relationships/hyperlink" Target="https://drive.google.com/file/d/1Z4XUmPbqYqlxywlgRPMGrKQLnCOEwm9A/view?usp=sharing" TargetMode="External"/><Relationship Id="rId617" Type="http://schemas.openxmlformats.org/officeDocument/2006/relationships/hyperlink" Target="https://docs.google.com/document/d/1n9TyzHfRrISA_y1AXvKA2Uq7M6xnren0uSnVkadT7ds/edit?usp=sharing" TargetMode="External"/><Relationship Id="rId859" Type="http://schemas.openxmlformats.org/officeDocument/2006/relationships/hyperlink" Target="https://drive.google.com/file/d/11KZGpFEprYPHguH2KhtkPrGDaYYnaZUf/view?usp=sharing" TargetMode="External"/><Relationship Id="rId616" Type="http://schemas.openxmlformats.org/officeDocument/2006/relationships/hyperlink" Target="https://drive.google.com/file/d/13v1XZxAxdCzo5dAjPpgAqtyXjkfQo5ul/view?usp=sharing" TargetMode="External"/><Relationship Id="rId858" Type="http://schemas.openxmlformats.org/officeDocument/2006/relationships/hyperlink" Target="https://drive.google.com/file/d/1ZoMkg63CpKNbHCy329oM3VVsr2oaHh7A/view?usp=sharing" TargetMode="External"/><Relationship Id="rId615" Type="http://schemas.openxmlformats.org/officeDocument/2006/relationships/hyperlink" Target="https://docs.google.com/document/d/1neZRDvOxdmFLSks-AGLtjslJqFaf93m8BvhT3i49A9Y/edit?usp=sharing" TargetMode="External"/><Relationship Id="rId857" Type="http://schemas.openxmlformats.org/officeDocument/2006/relationships/hyperlink" Target="https://drive.google.com/file/d/107OGQprqiAW72tQtjBSL0aVF-_EF4xNN/view?usp=sharing" TargetMode="External"/><Relationship Id="rId614" Type="http://schemas.openxmlformats.org/officeDocument/2006/relationships/hyperlink" Target="https://drive.google.com/file/d/16Fa3ErP7j-9Anh9ZKjOexHyYK9bXDP6S/view?usp=sharing" TargetMode="External"/><Relationship Id="rId856" Type="http://schemas.openxmlformats.org/officeDocument/2006/relationships/hyperlink" Target="https://drive.google.com/file/d/1buOsLtNIULIrn3B21Ash6PHe1XNNqexF/view?usp=sharing" TargetMode="External"/><Relationship Id="rId851" Type="http://schemas.openxmlformats.org/officeDocument/2006/relationships/hyperlink" Target="https://drive.google.com/file/d/1YNXtCtFKAv41aRkEpD96x3DggmtZFAfy/view?usp=sharing" TargetMode="External"/><Relationship Id="rId850" Type="http://schemas.openxmlformats.org/officeDocument/2006/relationships/hyperlink" Target="https://drive.google.com/file/d/1We0AiA1iYwDmu9vaSsQizF3Z_S2WKH_P/view?usp=sharing" TargetMode="External"/><Relationship Id="rId409" Type="http://schemas.openxmlformats.org/officeDocument/2006/relationships/hyperlink" Target="https://drive.google.com/file/d/1XDidufko4TuSSl1bCsakHv4XfaA1aL3S/view?usp=sharing" TargetMode="External"/><Relationship Id="rId404" Type="http://schemas.openxmlformats.org/officeDocument/2006/relationships/hyperlink" Target="https://drive.google.com/file/d/1Hmj0JTgVKZgufT2IeebFz2ykqX6I-_2f/view?usp=sharing" TargetMode="External"/><Relationship Id="rId646" Type="http://schemas.openxmlformats.org/officeDocument/2006/relationships/hyperlink" Target="https://drive.google.com/file/d/1pZy7EjrZm_zA6DcowjmifxXyBxfcjdkC/view?usp=sharing" TargetMode="External"/><Relationship Id="rId888" Type="http://schemas.openxmlformats.org/officeDocument/2006/relationships/hyperlink" Target="https://drive.google.com/file/d/1tzt-LPBRa435PbdR-0Uj2mQm-OsQbRe-/view?usp=sharing" TargetMode="External"/><Relationship Id="rId403" Type="http://schemas.openxmlformats.org/officeDocument/2006/relationships/hyperlink" Target="https://docs.google.com/document/d/1bTkhCvvmqtZYRXnk9-EOTRiTemqaqN-M2ded88Ab2lk/edit?tab=t.0" TargetMode="External"/><Relationship Id="rId645" Type="http://schemas.openxmlformats.org/officeDocument/2006/relationships/hyperlink" Target="https://drive.google.com/file/d/1XHtvp2eU5Sk-Ly_ESvgqnILAxUTTbDpG/view?usp=sharing" TargetMode="External"/><Relationship Id="rId887" Type="http://schemas.openxmlformats.org/officeDocument/2006/relationships/hyperlink" Target="https://drive.google.com/file/d/1yEsotvFJX00xDaHqDbYyT2OCvsInZL2t/view?usp=sharing" TargetMode="External"/><Relationship Id="rId402" Type="http://schemas.openxmlformats.org/officeDocument/2006/relationships/hyperlink" Target="https://drive.google.com/file/d/13s40p0Fxcsow-29lTd6pWB__0-ii0-8t/view?usp=sharing" TargetMode="External"/><Relationship Id="rId644" Type="http://schemas.openxmlformats.org/officeDocument/2006/relationships/hyperlink" Target="https://docs.google.com/document/d/1E4DmkRCUeq2B_UihprWLUHDw9vwxII-hbDbhJ78FBBE/edit?usp=sharing" TargetMode="External"/><Relationship Id="rId886" Type="http://schemas.openxmlformats.org/officeDocument/2006/relationships/hyperlink" Target="https://docs.google.com/document/d/1K8SwTyjMEWrrvSyb6qlw-Mz0ktphzQVSh2iL7Y42mtU/edit?tab=t.0" TargetMode="External"/><Relationship Id="rId401" Type="http://schemas.openxmlformats.org/officeDocument/2006/relationships/hyperlink" Target="https://drive.google.com/file/d/18pOwYTqFlSsXmqpjIi55z46xoorP6EJK/view?usp=sharing" TargetMode="External"/><Relationship Id="rId643" Type="http://schemas.openxmlformats.org/officeDocument/2006/relationships/hyperlink" Target="https://drive.google.com/file/d/1ajeHYeuW_ehoid_Kff-uvTNXQSZ3_b7-/view?usp=sharing" TargetMode="External"/><Relationship Id="rId885" Type="http://schemas.openxmlformats.org/officeDocument/2006/relationships/hyperlink" Target="https://drive.google.com/file/d/1phcqEZ2FRznxy9KQkv0P1p2JkV75qV4f/view?usp=sharing" TargetMode="External"/><Relationship Id="rId408" Type="http://schemas.openxmlformats.org/officeDocument/2006/relationships/hyperlink" Target="https://drive.google.com/file/d/1aOzO0vyUNa2qIHFhYCwZV0r3Jx1aIYAs/view?usp=sharing" TargetMode="External"/><Relationship Id="rId407" Type="http://schemas.openxmlformats.org/officeDocument/2006/relationships/hyperlink" Target="https://drive.google.com/file/d/1OLg-rOPx-u6e6dC1fsBlRl87q6NwbXSb/view?usp=sharing" TargetMode="External"/><Relationship Id="rId649" Type="http://schemas.openxmlformats.org/officeDocument/2006/relationships/hyperlink" Target="https://drive.google.com/file/d/1FYD5J60NLbHHr0Sar6xikgLciUrdrP8D/view?usp=sharing" TargetMode="External"/><Relationship Id="rId406" Type="http://schemas.openxmlformats.org/officeDocument/2006/relationships/hyperlink" Target="https://drive.google.com/file/d/1VeKT3xHD-7p3SfsAre2UsMZfbRttW7pn/view?usp=sharing" TargetMode="External"/><Relationship Id="rId648" Type="http://schemas.openxmlformats.org/officeDocument/2006/relationships/hyperlink" Target="https://drive.google.com/file/d/1B1sAzJJ8i255riYpje5rTTr3-nTgpJyg/view?usp=sharing" TargetMode="External"/><Relationship Id="rId405" Type="http://schemas.openxmlformats.org/officeDocument/2006/relationships/hyperlink" Target="https://drive.google.com/file/d/15BbpBwdH-6y2O1dW32Vwq5pNCov48puV/view?usp=sharing" TargetMode="External"/><Relationship Id="rId647" Type="http://schemas.openxmlformats.org/officeDocument/2006/relationships/hyperlink" Target="https://docs.google.com/document/d/13hsEY8Yra3imXPPfb6OllQUSmwMRgsd_zoszmxDw_60/edit?usp=sharing" TargetMode="External"/><Relationship Id="rId889" Type="http://schemas.openxmlformats.org/officeDocument/2006/relationships/hyperlink" Target="https://drive.google.com/file/d/1852LKiucmtnZFutKKa21pNJH-ffzU1Zr/view?usp=sharing" TargetMode="External"/><Relationship Id="rId880" Type="http://schemas.openxmlformats.org/officeDocument/2006/relationships/hyperlink" Target="https://drive.google.com/file/d/1u5i6uWO0NOCOptf7oPLaBFM2rSLGy0I-/view?usp=sharing" TargetMode="External"/><Relationship Id="rId400" Type="http://schemas.openxmlformats.org/officeDocument/2006/relationships/hyperlink" Target="https://drive.google.com/file/d/1OiC3IZNTNJzVcvwnto1HkKCwOQbatkUX/view?usp=sharing" TargetMode="External"/><Relationship Id="rId642" Type="http://schemas.openxmlformats.org/officeDocument/2006/relationships/hyperlink" Target="https://drive.google.com/file/d/1_Ep6XZO3MkmE1wa0cUSaZBpHR8TIZMqc/view?usp=sharing" TargetMode="External"/><Relationship Id="rId884" Type="http://schemas.openxmlformats.org/officeDocument/2006/relationships/hyperlink" Target="https://docs.google.com/document/d/1Q8KO-yi_qcedvU00vL3o-_vsAKzPXylTkMNURBQXKls/edit?tab=t.0" TargetMode="External"/><Relationship Id="rId641" Type="http://schemas.openxmlformats.org/officeDocument/2006/relationships/hyperlink" Target="https://drive.google.com/file/d/1Dgre1AmOYs1dgJ3-rBHbOJRXjwM-AlyH/view?usp=sharing" TargetMode="External"/><Relationship Id="rId883" Type="http://schemas.openxmlformats.org/officeDocument/2006/relationships/hyperlink" Target="https://drive.google.com/file/d/1yyg869sjX-lCuN2CX9eV4dHl44klO_pk/view?usp=sharing" TargetMode="External"/><Relationship Id="rId640" Type="http://schemas.openxmlformats.org/officeDocument/2006/relationships/hyperlink" Target="https://docs.google.com/document/d/10ioKtuLxvttdY3QbdbGccpc60xXsadg6xOhauiTG7O8/edit?usp=sharing" TargetMode="External"/><Relationship Id="rId882" Type="http://schemas.openxmlformats.org/officeDocument/2006/relationships/hyperlink" Target="https://drive.google.com/file/d/1CMazg8SYglS2B4yq_DQJYWdXjXOZNsT4/view?usp=sharing" TargetMode="External"/><Relationship Id="rId881" Type="http://schemas.openxmlformats.org/officeDocument/2006/relationships/hyperlink" Target="https://drive.google.com/file/d/1l396tdM4mqMeagU-rnfni2-a-aXYyOaX/view?usp=sharing" TargetMode="External"/><Relationship Id="rId635" Type="http://schemas.openxmlformats.org/officeDocument/2006/relationships/hyperlink" Target="https://drive.google.com/file/d/1rqFDYxbVPyNVFX_VRinIlCLyl_vgnxfZ/view?usp=sharing" TargetMode="External"/><Relationship Id="rId877" Type="http://schemas.openxmlformats.org/officeDocument/2006/relationships/hyperlink" Target="https://drive.google.com/file/d/1HFXQoePM7pRkRvRlQNNAaWVZudGx0ERI/view?usp=sharing" TargetMode="External"/><Relationship Id="rId634" Type="http://schemas.openxmlformats.org/officeDocument/2006/relationships/hyperlink" Target="https://docs.google.com/document/d/1YQTinDiTqphOabE624SrngWetiqq17QT6xCyHRcZuxQ/edit?usp=sharing" TargetMode="External"/><Relationship Id="rId876" Type="http://schemas.openxmlformats.org/officeDocument/2006/relationships/hyperlink" Target="https://docs.google.com/document/d/17PM6ijXkkBiO8jupL2cQCIatbYYMDgT9j_qkLOUXkP0/edit?tab=t.0" TargetMode="External"/><Relationship Id="rId633" Type="http://schemas.openxmlformats.org/officeDocument/2006/relationships/hyperlink" Target="https://drive.google.com/file/d/1U838LMs1vyM99WxGM2JRRM5ZZSi6yXts/view?usp=sharing" TargetMode="External"/><Relationship Id="rId875" Type="http://schemas.openxmlformats.org/officeDocument/2006/relationships/hyperlink" Target="https://drive.google.com/file/d/1HFXQoePM7pRkRvRlQNNAaWVZudGx0ERI/view?usp=sharing" TargetMode="External"/><Relationship Id="rId632" Type="http://schemas.openxmlformats.org/officeDocument/2006/relationships/hyperlink" Target="https://docs.google.com/document/d/1aqYgLo3eCIyxP-TjeWVwXECBp0eti6uyeB-4UEVEtF4/edit?tab=t.0" TargetMode="External"/><Relationship Id="rId874" Type="http://schemas.openxmlformats.org/officeDocument/2006/relationships/hyperlink" Target="https://docs.google.com/document/d/1mXJusW0MicgPFNcE4r0PXOlHUDpL1TLp3mdq-p_arY0/edit?tab=t.0" TargetMode="External"/><Relationship Id="rId639" Type="http://schemas.openxmlformats.org/officeDocument/2006/relationships/hyperlink" Target="https://drive.google.com/file/d/1rS9MY0WQ2qa8qRUNaJgAjZQF5VHMSo8o/view?usp=sharing" TargetMode="External"/><Relationship Id="rId638" Type="http://schemas.openxmlformats.org/officeDocument/2006/relationships/hyperlink" Target="https://docs.google.com/document/d/1GaNJl9wnZLvO7eS-RD-UExsKkE27xXdQTE86KJ8jjiw/edit?usp=sharing" TargetMode="External"/><Relationship Id="rId637" Type="http://schemas.openxmlformats.org/officeDocument/2006/relationships/hyperlink" Target="https://drive.google.com/file/d/1CGaayIL7PCnpnx4v5Jxx5h7KJIA82fTv/view?usp=sharing" TargetMode="External"/><Relationship Id="rId879" Type="http://schemas.openxmlformats.org/officeDocument/2006/relationships/hyperlink" Target="https://drive.google.com/file/d/1hHo1BqnlvBAE-WtQvqarX29ghpR9kjqi/view?usp=sharing" TargetMode="External"/><Relationship Id="rId636" Type="http://schemas.openxmlformats.org/officeDocument/2006/relationships/hyperlink" Target="https://docs.google.com/document/d/13kOe5k4FpOBePZPWPKRwTPVOV5VDk14WDzUcqtebiAc/edit?usp=sharing" TargetMode="External"/><Relationship Id="rId878" Type="http://schemas.openxmlformats.org/officeDocument/2006/relationships/hyperlink" Target="https://drive.google.com/file/d/1ryGtWBTi0bgei2NmjRi3meqv0Amm-OgL/view?usp=sharing" TargetMode="External"/><Relationship Id="rId631" Type="http://schemas.openxmlformats.org/officeDocument/2006/relationships/hyperlink" Target="https://drive.google.com/file/d/11k_rjcJvQVL4dmfG4Uq2ujTllnbZmrFJ/view?usp=sharing" TargetMode="External"/><Relationship Id="rId873" Type="http://schemas.openxmlformats.org/officeDocument/2006/relationships/hyperlink" Target="https://drive.google.com/file/d/1yuXb0jZMfn0_4LZ6uB_8lkiXPyO_cwMJ/view?usp=sharing" TargetMode="External"/><Relationship Id="rId630" Type="http://schemas.openxmlformats.org/officeDocument/2006/relationships/hyperlink" Target="https://drive.google.com/file/d/1PyUPeafzbq9FH_7WAmBQn78rOqXMyZ-x/view?usp=sharing" TargetMode="External"/><Relationship Id="rId872" Type="http://schemas.openxmlformats.org/officeDocument/2006/relationships/hyperlink" Target="https://docs.google.com/document/d/1mXJusW0MicgPFNcE4r0PXOlHUDpL1TLp3mdq-p_arY0/edit?tab=t.0" TargetMode="External"/><Relationship Id="rId871" Type="http://schemas.openxmlformats.org/officeDocument/2006/relationships/hyperlink" Target="https://drive.google.com/file/d/1BNrz8BvS3fPtOPf4IlrOUR6OYWPtbY7i/view?usp=sharing" TargetMode="External"/><Relationship Id="rId870" Type="http://schemas.openxmlformats.org/officeDocument/2006/relationships/hyperlink" Target="https://drive.google.com/file/d/1Tk2rw1tQcN__ufESEqrfZORyZjELTIGd/view?usp=sharing" TargetMode="External"/><Relationship Id="rId829" Type="http://schemas.openxmlformats.org/officeDocument/2006/relationships/hyperlink" Target="https://docs.google.com/document/d/1uytQXcge3HMnqmGwSsVdrDPvyZYPe1fjvEyhcQM3Uhk/edit?tab=t.0" TargetMode="External"/><Relationship Id="rId828" Type="http://schemas.openxmlformats.org/officeDocument/2006/relationships/hyperlink" Target="https://drive.google.com/file/d/1zzvLCLULaPLE43xe99YhqEj_AC47KK3T/view?usp=sharing" TargetMode="External"/><Relationship Id="rId827" Type="http://schemas.openxmlformats.org/officeDocument/2006/relationships/hyperlink" Target="https://docs.google.com/document/d/1CijTyJkJzUXMqdX_Ft_APLzMZJv7ticI88mJSmsfxBk/edit?tab=t.0" TargetMode="External"/><Relationship Id="rId822" Type="http://schemas.openxmlformats.org/officeDocument/2006/relationships/hyperlink" Target="https://drive.google.com/file/d/1cOPjZcuUWC5L0IqRPT1BdfKbXsmuD7mg/view?usp=sharing" TargetMode="External"/><Relationship Id="rId821" Type="http://schemas.openxmlformats.org/officeDocument/2006/relationships/hyperlink" Target="https://drive.google.com/file/d/1cOPjZcuUWC5L0IqRPT1BdfKbXsmuD7mg/view?usp=sharing" TargetMode="External"/><Relationship Id="rId820" Type="http://schemas.openxmlformats.org/officeDocument/2006/relationships/hyperlink" Target="https://drive.google.com/file/d/1pH9f9O1XzRCYN0RGlWoZDT10nBj0-CBU/view?usp=sharing" TargetMode="External"/><Relationship Id="rId826" Type="http://schemas.openxmlformats.org/officeDocument/2006/relationships/hyperlink" Target="https://drive.google.com/file/d/1nZ3SqsUXcwL8fiXGMnsLoAPYs-fDxb4S/view?usp=sharing" TargetMode="External"/><Relationship Id="rId825" Type="http://schemas.openxmlformats.org/officeDocument/2006/relationships/hyperlink" Target="https://drive.google.com/file/d/1_bmNKf-arD1lZlO22zFBoAs7Elk4f7cG/view?usp=sharing" TargetMode="External"/><Relationship Id="rId824" Type="http://schemas.openxmlformats.org/officeDocument/2006/relationships/hyperlink" Target="https://drive.google.com/file/d/1bfFNmVEIhpq3kjAhXPJ65MSe8xbWJOs0/view?usp=sharing" TargetMode="External"/><Relationship Id="rId823" Type="http://schemas.openxmlformats.org/officeDocument/2006/relationships/hyperlink" Target="https://drive.google.com/file/d/1OaDEh4GLJp7MzFaTFH0DGQJUp95OquSw/view?usp=sharing" TargetMode="External"/><Relationship Id="rId819" Type="http://schemas.openxmlformats.org/officeDocument/2006/relationships/hyperlink" Target="https://drive.google.com/file/d/1r98LTU_S4ODHkZaUcZ3xQ_nC8FoYIiEN/view?usp=sharing" TargetMode="External"/><Relationship Id="rId818" Type="http://schemas.openxmlformats.org/officeDocument/2006/relationships/hyperlink" Target="https://drive.google.com/file/d/1Z1uhnXaezDu1eBmlH9jc6MBGfEzHGeMR/view?usp=sharing" TargetMode="External"/><Relationship Id="rId817" Type="http://schemas.openxmlformats.org/officeDocument/2006/relationships/hyperlink" Target="https://drive.google.com/file/d/1lc7Q9cmZ7eYmjWfpFUpDcAphiQigTqd-/view?usp=sharing" TargetMode="External"/><Relationship Id="rId816" Type="http://schemas.openxmlformats.org/officeDocument/2006/relationships/hyperlink" Target="https://drive.google.com/file/d/1Uf8nujY4FaelL9E_k-HAF3Uu5MPoRkkW/view?usp=sharing" TargetMode="External"/><Relationship Id="rId811" Type="http://schemas.openxmlformats.org/officeDocument/2006/relationships/hyperlink" Target="https://drive.google.com/file/d/1JhGG7hsQZHmTXyg5vB8M_kBkAmFgwuOT/view?usp=sharing" TargetMode="External"/><Relationship Id="rId810" Type="http://schemas.openxmlformats.org/officeDocument/2006/relationships/hyperlink" Target="https://drive.google.com/file/d/1dIpclC-Mxu6ZR2izUq6hYTcK14T43qIs/view?usp=sharing" TargetMode="External"/><Relationship Id="rId815" Type="http://schemas.openxmlformats.org/officeDocument/2006/relationships/hyperlink" Target="https://drive.google.com/file/d/1yWbwQUxzwmRF_vuRY6uNFTPrpRlbhl04/view?usp=sharing" TargetMode="External"/><Relationship Id="rId814" Type="http://schemas.openxmlformats.org/officeDocument/2006/relationships/hyperlink" Target="https://docs.google.com/document/d/1ulW-63Ar733nRa5AI66h31-qVln9GcJEZz7ezTHaDu4/edit?tab=t.0" TargetMode="External"/><Relationship Id="rId813" Type="http://schemas.openxmlformats.org/officeDocument/2006/relationships/hyperlink" Target="https://drive.google.com/file/d/1xJLFEpNR9kvXWxm_Ku4Ko_-bF0kGGMPK/view?usp=sharing" TargetMode="External"/><Relationship Id="rId812" Type="http://schemas.openxmlformats.org/officeDocument/2006/relationships/hyperlink" Target="https://drive.google.com/file/d/1BdSIhvQ0LagfJwZZKDLwL6EgM4S_GDix/view?usp=sharing" TargetMode="External"/><Relationship Id="rId609" Type="http://schemas.openxmlformats.org/officeDocument/2006/relationships/hyperlink" Target="https://drive.google.com/file/d/1mzi1qlMXgJoYcEVxMde9BgJ3Rqqa2sdv/view?usp=drive_link" TargetMode="External"/><Relationship Id="rId608" Type="http://schemas.openxmlformats.org/officeDocument/2006/relationships/hyperlink" Target="https://drive.google.com/file/d/10ONHTPzVAt4-2-RVOcWM87BkZoRHN1TF/view?usp=sharing" TargetMode="External"/><Relationship Id="rId607" Type="http://schemas.openxmlformats.org/officeDocument/2006/relationships/hyperlink" Target="https://docs.google.com/document/d/1A_kl5D2irip6CYs0XciWYTMytNmuX5AxBPVD7YRdXeo/edit?usp=sharing" TargetMode="External"/><Relationship Id="rId849" Type="http://schemas.openxmlformats.org/officeDocument/2006/relationships/hyperlink" Target="https://drive.google.com/file/d/1n85V_Ej2UwFEVN-vuvl3OMiyYLDrU6kU/view?usp=sharing" TargetMode="External"/><Relationship Id="rId602" Type="http://schemas.openxmlformats.org/officeDocument/2006/relationships/hyperlink" Target="https://drive.google.com/file/d/1ZAQfI6DqzAc8kgYr_ElMfiS4Rf5mLQuh/view?usp=drive_link" TargetMode="External"/><Relationship Id="rId844" Type="http://schemas.openxmlformats.org/officeDocument/2006/relationships/hyperlink" Target="https://drive.google.com/file/d/1M_5d0-xnsKtJt8pEsgqVijhmXwkCVMAH/view?usp=sharing" TargetMode="External"/><Relationship Id="rId601" Type="http://schemas.openxmlformats.org/officeDocument/2006/relationships/hyperlink" Target="https://docs.google.com/document/d/1pBh4vrFnl2NuvyQ0taygfYm03S_Jrlwu_JvQw7F70KY/edit?usp=sharing" TargetMode="External"/><Relationship Id="rId843" Type="http://schemas.openxmlformats.org/officeDocument/2006/relationships/hyperlink" Target="https://docs.google.com/document/d/1uLW0xlF9ZY4r1m3FqfnXWQxD8CGLmvn0Z8XNCDaCjis/edit?tab=t.0" TargetMode="External"/><Relationship Id="rId600" Type="http://schemas.openxmlformats.org/officeDocument/2006/relationships/hyperlink" Target="https://drive.google.com/file/d/16i8XCWIOutjH2QjCR2kHYaRYwy-yT__W/view?usp=sharing" TargetMode="External"/><Relationship Id="rId842" Type="http://schemas.openxmlformats.org/officeDocument/2006/relationships/hyperlink" Target="https://drive.google.com/file/d/1M_5d0-xnsKtJt8pEsgqVijhmXwkCVMAH/view?usp=sharing" TargetMode="External"/><Relationship Id="rId841" Type="http://schemas.openxmlformats.org/officeDocument/2006/relationships/hyperlink" Target="https://drive.google.com/file/d/1Wc2Z4WcImHDMY2HEvntYr5oQ65puafnZ/view?usp=sharing" TargetMode="External"/><Relationship Id="rId606" Type="http://schemas.openxmlformats.org/officeDocument/2006/relationships/hyperlink" Target="https://drive.google.com/file/d/1jJTWFAtXoW-rj5oC3yNM65rPiHI6wTx-/view?usp=sharing" TargetMode="External"/><Relationship Id="rId848" Type="http://schemas.openxmlformats.org/officeDocument/2006/relationships/hyperlink" Target="https://docs.google.com/document/d/19NyFUwiAIUgGVFbpzi_8YbvNCn6y8exHaJwfe1hQHFY/edit?tab=t.0" TargetMode="External"/><Relationship Id="rId605" Type="http://schemas.openxmlformats.org/officeDocument/2006/relationships/hyperlink" Target="https://docs.google.com/document/d/1i0s6p24UxO8rhcc5FLwe2EuReYhIhScENYMxS9yjsP0/edit?usp=sharing" TargetMode="External"/><Relationship Id="rId847" Type="http://schemas.openxmlformats.org/officeDocument/2006/relationships/hyperlink" Target="https://drive.google.com/file/d/110wW2dyH3LHwSDn_u9aNtl9VlNyVz8dv/view?usp=sharing" TargetMode="External"/><Relationship Id="rId604" Type="http://schemas.openxmlformats.org/officeDocument/2006/relationships/hyperlink" Target="https://drive.google.com/file/d/1I4XlNk7pwSz0qX2dT10Ca7sJgHx_5fDB/view?usp=sharing" TargetMode="External"/><Relationship Id="rId846" Type="http://schemas.openxmlformats.org/officeDocument/2006/relationships/hyperlink" Target="https://drive.google.com/file/d/1vsaALx_UqMoQNOgKVW169rUqlIlPKZT8/view?usp=sharing" TargetMode="External"/><Relationship Id="rId603" Type="http://schemas.openxmlformats.org/officeDocument/2006/relationships/hyperlink" Target="https://drive.google.com/file/d/1mJIGjwYEaJbQIVblI_1tQPY3nuPIOhyp/view?usp=drive_link" TargetMode="External"/><Relationship Id="rId845" Type="http://schemas.openxmlformats.org/officeDocument/2006/relationships/hyperlink" Target="https://docs.google.com/document/d/1YmgKfvIUJmXOC-CyEASvgj5TCFaVRZfWWt-whov1ZrE/edit?tab=t.0" TargetMode="External"/><Relationship Id="rId840" Type="http://schemas.openxmlformats.org/officeDocument/2006/relationships/hyperlink" Target="https://drive.google.com/file/d/1wU3fWDoCWavpGTotIa8Yvkx_vMHRmbAi/view?usp=sharing" TargetMode="External"/><Relationship Id="rId839" Type="http://schemas.openxmlformats.org/officeDocument/2006/relationships/hyperlink" Target="https://drive.google.com/file/d/1bMiP4IY_Z1TYlGKlsbwFhd3f7UH8j6bv/view?usp=sharing" TargetMode="External"/><Relationship Id="rId838" Type="http://schemas.openxmlformats.org/officeDocument/2006/relationships/hyperlink" Target="https://docs.google.com/document/d/1oSu2SutBTIauwK5r3SksGyIJkwTfmjThBe2Dp5NplJQ/edit?tab=t.0" TargetMode="External"/><Relationship Id="rId833" Type="http://schemas.openxmlformats.org/officeDocument/2006/relationships/hyperlink" Target="https://docs.google.com/document/d/1-_bNxLs9Kgz51oAiumX9h-ldnupzAvYxGkOgMZalZos/edit?tab=t.0" TargetMode="External"/><Relationship Id="rId832" Type="http://schemas.openxmlformats.org/officeDocument/2006/relationships/hyperlink" Target="https://drive.google.com/file/d/1S3ig-DtVlWcB3izfIOzVZQVn4OaOiMf5/view?usp=sharing" TargetMode="External"/><Relationship Id="rId831" Type="http://schemas.openxmlformats.org/officeDocument/2006/relationships/hyperlink" Target="https://docs.google.com/document/d/1CqdhE06wEoRHmju_SSgyvpvr7sU--MiFmf5fsJ5wvNY/edit?tab=t.0" TargetMode="External"/><Relationship Id="rId830" Type="http://schemas.openxmlformats.org/officeDocument/2006/relationships/hyperlink" Target="https://drive.google.com/file/d/1ecqSzju9MlBo41MmjxdZPWmXtW4B-OO0/view?usp=sharing" TargetMode="External"/><Relationship Id="rId837" Type="http://schemas.openxmlformats.org/officeDocument/2006/relationships/hyperlink" Target="https://drive.google.com/file/d/1tTFrUvv1x4VYC3W7qZ_-9WdEZiHWzFRe/view?usp=sharing" TargetMode="External"/><Relationship Id="rId836" Type="http://schemas.openxmlformats.org/officeDocument/2006/relationships/hyperlink" Target="https://drive.google.com/file/d/1F_qVDR1voX5oaQgt4xW_SKnmXYUgqCUN/view?usp=sharing" TargetMode="External"/><Relationship Id="rId835" Type="http://schemas.openxmlformats.org/officeDocument/2006/relationships/hyperlink" Target="https://docs.google.com/document/d/1cZx0D-H0mz7YZOYnFjWd9ORgfhsafjKK2KznpQSz_MI/edit?tab=t.0" TargetMode="External"/><Relationship Id="rId834" Type="http://schemas.openxmlformats.org/officeDocument/2006/relationships/hyperlink" Target="https://drive.google.com/file/d/1ZnEJ3itzHd4TORz0bepUwof-1PBLt2Za/view?usp=sharing" TargetMode="External"/><Relationship Id="rId228" Type="http://schemas.openxmlformats.org/officeDocument/2006/relationships/hyperlink" Target="https://drive.google.com/file/d/1hN6Y_PaUEyvSg5QasroA5tEgE8od6UN7/view?usp=sharing" TargetMode="External"/><Relationship Id="rId227" Type="http://schemas.openxmlformats.org/officeDocument/2006/relationships/hyperlink" Target="https://drive.google.com/file/d/1UBsQsXCMWiuwz1NHF7XQi0iAPmOApsnl/view?usp=sharing" TargetMode="External"/><Relationship Id="rId469" Type="http://schemas.openxmlformats.org/officeDocument/2006/relationships/hyperlink" Target="https://drive.google.com/file/d/1byinvNF-mr6KLsioZvaiGeRhJoOkaf5Z/view?usp=sharing" TargetMode="External"/><Relationship Id="rId226" Type="http://schemas.openxmlformats.org/officeDocument/2006/relationships/hyperlink" Target="https://docs.google.com/document/d/1ik6Mu5BurY9CQm3ZV_tzpihYokS0GRHUziEW46NXsyg/edit?usp=sharing" TargetMode="External"/><Relationship Id="rId468" Type="http://schemas.openxmlformats.org/officeDocument/2006/relationships/hyperlink" Target="https://docs.google.com/document/d/11KtgwuVtr2VJSv6UpvET2n1XIJXPh2xk3S-zHOh3Vb0/edit?tab=t.0" TargetMode="External"/><Relationship Id="rId225" Type="http://schemas.openxmlformats.org/officeDocument/2006/relationships/hyperlink" Target="https://drive.google.com/file/d/1TcxHpLeyinsv5z_50gvqLZgMvI56uNq_/view?usp=drive_link" TargetMode="External"/><Relationship Id="rId467" Type="http://schemas.openxmlformats.org/officeDocument/2006/relationships/hyperlink" Target="https://drive.google.com/file/d/1D2gdKlGUqJZRTm93L0lPjXvGCpOuKyeV/view?usp=sharing" TargetMode="External"/><Relationship Id="rId229" Type="http://schemas.openxmlformats.org/officeDocument/2006/relationships/hyperlink" Target="https://drive.google.com/file/d/1R-Q1WZi_aEmRqKrF8VhBW5SIXDxlrBms/view?usp=sharing" TargetMode="External"/><Relationship Id="rId220" Type="http://schemas.openxmlformats.org/officeDocument/2006/relationships/hyperlink" Target="https://drive.google.com/file/d/1GBHAgxfh3FOxFSdaAESqcCm_4Hy_Eu45/view?usp=drive_link" TargetMode="External"/><Relationship Id="rId462" Type="http://schemas.openxmlformats.org/officeDocument/2006/relationships/hyperlink" Target="https://drive.google.com/file/d/1FQmmoX8xsDIbizgTFZOuoqKLztwJLVcK/view?usp=sharing" TargetMode="External"/><Relationship Id="rId461" Type="http://schemas.openxmlformats.org/officeDocument/2006/relationships/hyperlink" Target="https://drive.google.com/file/d/1PU2mwf57meN-NpsdcHorBA6q95WyrwUS/view?usp=sharing" TargetMode="External"/><Relationship Id="rId460" Type="http://schemas.openxmlformats.org/officeDocument/2006/relationships/hyperlink" Target="https://drive.google.com/file/d/16xfmAbUARoSK9kVMb53J1maoZUeiTVMI/view?usp=sharing" TargetMode="External"/><Relationship Id="rId224" Type="http://schemas.openxmlformats.org/officeDocument/2006/relationships/hyperlink" Target="https://drive.google.com/file/d/1AL1kzBD8VXIu0pYZNgIn42dFcM7fRt56/view?usp=drive_link" TargetMode="External"/><Relationship Id="rId466" Type="http://schemas.openxmlformats.org/officeDocument/2006/relationships/hyperlink" Target="https://docs.google.com/document/d/1e1HUJuGaSx4RN3qcD4CWCW_3EkCES-QEQEVr3gnkmfU/edit?tab=t.0" TargetMode="External"/><Relationship Id="rId223" Type="http://schemas.openxmlformats.org/officeDocument/2006/relationships/hyperlink" Target="https://drive.google.com/file/d/1KCBzM1D5AmViq2pAEVJ6PH9leDHFJ1N9/view?usp=drive_link" TargetMode="External"/><Relationship Id="rId465" Type="http://schemas.openxmlformats.org/officeDocument/2006/relationships/hyperlink" Target="https://drive.google.com/file/d/1Ix-07jy59VVG8oXgFjoJWTqDUn2Zqh_i/view?usp=sharing" TargetMode="External"/><Relationship Id="rId222" Type="http://schemas.openxmlformats.org/officeDocument/2006/relationships/hyperlink" Target="https://drive.google.com/file/d/1vPC9Rkoyk4Lh3DsUuDyDlKaPTnQvrBdS/view?usp=sharing" TargetMode="External"/><Relationship Id="rId464" Type="http://schemas.openxmlformats.org/officeDocument/2006/relationships/hyperlink" Target="https://drive.google.com/file/d/1yn96Tr_YVKncudXVR01dUhQHaHzbbG1V/view?usp=sharing" TargetMode="External"/><Relationship Id="rId221" Type="http://schemas.openxmlformats.org/officeDocument/2006/relationships/hyperlink" Target="https://docs.google.com/document/d/1uRSQuxQuFOBjcx4ctMCQ_OB94V0E4fWY4UftjR4epFM/edit?usp=sharing" TargetMode="External"/><Relationship Id="rId463" Type="http://schemas.openxmlformats.org/officeDocument/2006/relationships/hyperlink" Target="https://drive.google.com/file/d/1NiFCKmMFRZDRjIKFtrZBvXEfxGx4E0Oj/view?usp=sharing" TargetMode="External"/><Relationship Id="rId217" Type="http://schemas.openxmlformats.org/officeDocument/2006/relationships/hyperlink" Target="https://drive.google.com/file/d/1CreRinuxllWZ8Q1P3Q5249IIsh2Zl1hy/view?usp=drive_link" TargetMode="External"/><Relationship Id="rId459" Type="http://schemas.openxmlformats.org/officeDocument/2006/relationships/hyperlink" Target="https://drive.google.com/file/d/1LNWs59__GET605jScLoPfji9quqb1wN8/view?usp=sharing" TargetMode="External"/><Relationship Id="rId216" Type="http://schemas.openxmlformats.org/officeDocument/2006/relationships/hyperlink" Target="https://drive.google.com/file/d/1GKPYLzTCM51kQ-b3IemUrI33nXxplnh2/view?usp=sharing" TargetMode="External"/><Relationship Id="rId458" Type="http://schemas.openxmlformats.org/officeDocument/2006/relationships/hyperlink" Target="https://drive.google.com/file/d/1vbWcwrPMXUoFwefKJtvErivoZcQKmbGB/view?usp=sharing" TargetMode="External"/><Relationship Id="rId215" Type="http://schemas.openxmlformats.org/officeDocument/2006/relationships/hyperlink" Target="https://drive.google.com/file/d/1hCccZwpT8sqArqhoRH2cUAtPjje0FTgI/view?usp=sharing" TargetMode="External"/><Relationship Id="rId457" Type="http://schemas.openxmlformats.org/officeDocument/2006/relationships/hyperlink" Target="https://drive.google.com/file/d/1wQOr0cJ_vhBgFWKHcsJ1lN0CYyngekfI/view?usp=sharing" TargetMode="External"/><Relationship Id="rId699" Type="http://schemas.openxmlformats.org/officeDocument/2006/relationships/hyperlink" Target="https://drive.google.com/file/d/13YcGGgjJDLHuGnatiNJqKrHtD_aOsqNg/view?usp=drive_link" TargetMode="External"/><Relationship Id="rId214" Type="http://schemas.openxmlformats.org/officeDocument/2006/relationships/hyperlink" Target="https://drive.google.com/file/d/1xlH6K-azqX3PG0Aw8Jpcj1x3kxugnJiN/view?usp=sharing" TargetMode="External"/><Relationship Id="rId456" Type="http://schemas.openxmlformats.org/officeDocument/2006/relationships/hyperlink" Target="https://drive.google.com/file/d/1o6iTnUpVJB3dPhjHaHSK6OvUENhpqhrC/view?usp=sharing" TargetMode="External"/><Relationship Id="rId698" Type="http://schemas.openxmlformats.org/officeDocument/2006/relationships/hyperlink" Target="https://drive.google.com/file/d/1Kjm_0ss44oaQKYo188iAIWPlYlIv4Hj7/view?usp=drive_link" TargetMode="External"/><Relationship Id="rId219" Type="http://schemas.openxmlformats.org/officeDocument/2006/relationships/hyperlink" Target="https://drive.google.com/file/d/1GYZltgttE5X7m5kUaaNbP-YsY7dGamzP/view?usp=sharing" TargetMode="External"/><Relationship Id="rId218" Type="http://schemas.openxmlformats.org/officeDocument/2006/relationships/hyperlink" Target="https://docs.google.com/document/d/1mvA5rYyqyuqLCHkQUPAWuyJXh5nwROtrjOvYvRfJJ3M/edit?usp=sharing" TargetMode="External"/><Relationship Id="rId451" Type="http://schemas.openxmlformats.org/officeDocument/2006/relationships/hyperlink" Target="https://drive.google.com/file/d/1l_tw8F7tuSeGh5W8P-AbB8O0P8uiEyuK/view?usp=sharing" TargetMode="External"/><Relationship Id="rId693" Type="http://schemas.openxmlformats.org/officeDocument/2006/relationships/hyperlink" Target="https://drive.google.com/file/d/1-M_94blPmdkMDcO_XEhxuaeKuHDmHof3/view?usp=drive_link" TargetMode="External"/><Relationship Id="rId1040" Type="http://schemas.openxmlformats.org/officeDocument/2006/relationships/hyperlink" Target="https://drive.google.com/file/d/1wbrm6jyB9xhpZJVzKgpXq5l0tUt6RVup/view?usp=sharing" TargetMode="External"/><Relationship Id="rId450" Type="http://schemas.openxmlformats.org/officeDocument/2006/relationships/hyperlink" Target="https://drive.google.com/file/d/1qYpFbxQVXZYu_j_ZWfD6YgznSOlFIrdd/view?usp=sharing" TargetMode="External"/><Relationship Id="rId692" Type="http://schemas.openxmlformats.org/officeDocument/2006/relationships/hyperlink" Target="https://drive.google.com/file/d/1gg_uwXeHpJnXFmGdOy_sl8P0RqgfOlac/view?usp=drive_link" TargetMode="External"/><Relationship Id="rId1041" Type="http://schemas.openxmlformats.org/officeDocument/2006/relationships/hyperlink" Target="https://drive.google.com/file/d/15_jbQiwVSlCwIWuHh62RB4jcQGfHm7f5/view?usp=drive_link" TargetMode="External"/><Relationship Id="rId691" Type="http://schemas.openxmlformats.org/officeDocument/2006/relationships/hyperlink" Target="https://drive.google.com/file/d/1Kl7awhAPYD7DpJc5E2Qn5i-v6FlKaVKU/view?usp=drive_link" TargetMode="External"/><Relationship Id="rId1042" Type="http://schemas.openxmlformats.org/officeDocument/2006/relationships/hyperlink" Target="https://drive.google.com/file/d/1g2nIk2LcLnkq9Jcmclv1BpOvcgriEXn0/view?usp=drive_link" TargetMode="External"/><Relationship Id="rId690" Type="http://schemas.openxmlformats.org/officeDocument/2006/relationships/hyperlink" Target="https://drive.google.com/file/d/1AA_xudYV_RQXK4dcurF8yrC9uelrGkU9/view?usp=drive_link" TargetMode="External"/><Relationship Id="rId1043" Type="http://schemas.openxmlformats.org/officeDocument/2006/relationships/hyperlink" Target="https://drive.google.com/file/d/1nk0rPpes4LHoPjHnhtD_7Wewi3LTTUwS/view?usp=drive_link" TargetMode="External"/><Relationship Id="rId213" Type="http://schemas.openxmlformats.org/officeDocument/2006/relationships/hyperlink" Target="https://drive.google.com/file/d/18SUE-ijqUNPKjdI7viqWF-ceTkADWgIf/view?usp=sharing" TargetMode="External"/><Relationship Id="rId455" Type="http://schemas.openxmlformats.org/officeDocument/2006/relationships/hyperlink" Target="https://drive.google.com/file/d/1cqIc3z2I5K2D7bZ4T3GLsDvqPSiunHJm/view?usp=sharing" TargetMode="External"/><Relationship Id="rId697" Type="http://schemas.openxmlformats.org/officeDocument/2006/relationships/hyperlink" Target="https://drive.google.com/file/d/1zllq71a3ICyi-iP8bPptbLMSqGYqww-w/view?usp=drive_link" TargetMode="External"/><Relationship Id="rId1044" Type="http://schemas.openxmlformats.org/officeDocument/2006/relationships/hyperlink" Target="https://drive.google.com/file/d/1b9AlrqTGK8sNO-EPH_2o5XNaIr0m78oP/view?usp=drive_link" TargetMode="External"/><Relationship Id="rId212" Type="http://schemas.openxmlformats.org/officeDocument/2006/relationships/hyperlink" Target="https://drive.google.com/file/d/1oXCs3Y2TCuBsbPzNGtIiEFYT6_-eL8Hu/view?usp=sharing" TargetMode="External"/><Relationship Id="rId454" Type="http://schemas.openxmlformats.org/officeDocument/2006/relationships/hyperlink" Target="https://drive.google.com/file/d/1SRNCSdXq67D4M_Iv2knkqJfhw10Gy9Eh/view?usp=sharing" TargetMode="External"/><Relationship Id="rId696" Type="http://schemas.openxmlformats.org/officeDocument/2006/relationships/hyperlink" Target="https://drive.google.com/file/d/1dJygZ-eCmZxJndDb7rMLQBk_iu8P-rJu/view?usp=drive_link" TargetMode="External"/><Relationship Id="rId1045" Type="http://schemas.openxmlformats.org/officeDocument/2006/relationships/hyperlink" Target="https://drive.google.com/file/d/1QtudVHezqRuvyKBCelvr37lV6siKwCaz/view?usp=sharing" TargetMode="External"/><Relationship Id="rId211" Type="http://schemas.openxmlformats.org/officeDocument/2006/relationships/hyperlink" Target="https://drive.google.com/file/d/1iUStqQdmLe-oD51fjdKn7_5IViAaub3O/view?usp=sharing" TargetMode="External"/><Relationship Id="rId453" Type="http://schemas.openxmlformats.org/officeDocument/2006/relationships/hyperlink" Target="https://drive.google.com/file/d/1bjDWUpt0hR-20vHIocQ4EQZkBXzNw8c8/view?usp=sharing" TargetMode="External"/><Relationship Id="rId695" Type="http://schemas.openxmlformats.org/officeDocument/2006/relationships/hyperlink" Target="https://drive.google.com/file/d/1Z-JtNnURL2BYHo4URtjUKfLBd3aK8iJT/view?usp=drive_link" TargetMode="External"/><Relationship Id="rId1046" Type="http://schemas.openxmlformats.org/officeDocument/2006/relationships/drawing" Target="../drawings/drawing2.xml"/><Relationship Id="rId210" Type="http://schemas.openxmlformats.org/officeDocument/2006/relationships/hyperlink" Target="https://docs.google.com/document/d/18tGX-FMGshz3ktz3JGdfzN8ElC9-xUx5JHtG-ut50g0/edit?usp=sharing" TargetMode="External"/><Relationship Id="rId452" Type="http://schemas.openxmlformats.org/officeDocument/2006/relationships/hyperlink" Target="https://drive.google.com/file/d/1Iyncd2mpnA-gGO74EjZWljYdqBB1o3TA/view?usp=sharing" TargetMode="External"/><Relationship Id="rId694" Type="http://schemas.openxmlformats.org/officeDocument/2006/relationships/hyperlink" Target="https://docs.google.com/document/d/19wzXFETmfZcFU1WU68BvwOnQGnkfIsXz3OkPQPMShE8/edit?tab=t.0" TargetMode="External"/><Relationship Id="rId1047" Type="http://schemas.openxmlformats.org/officeDocument/2006/relationships/vmlDrawing" Target="../drawings/vmlDrawing1.vml"/><Relationship Id="rId491" Type="http://schemas.openxmlformats.org/officeDocument/2006/relationships/hyperlink" Target="https://docs.google.com/document/d/1NVPYtyhQsti3Y6t50ScBrGa3HVPpK3aA7tt8L5ZApuQ/edit?tab=t.0" TargetMode="External"/><Relationship Id="rId490" Type="http://schemas.openxmlformats.org/officeDocument/2006/relationships/hyperlink" Target="https://docs.google.com/document/d/1txvgI47P3u8BJiPmgipeVMErHRR_WiAGzA-uXEgZT8Y/edit?tab=t.0" TargetMode="External"/><Relationship Id="rId249" Type="http://schemas.openxmlformats.org/officeDocument/2006/relationships/hyperlink" Target="https://docs.google.com/document/d/1ARBLpT0CquZYhxzrEa9fxyXbDuqZRyeoDlCrmcGHXto/edit?usp=share_link" TargetMode="External"/><Relationship Id="rId248" Type="http://schemas.openxmlformats.org/officeDocument/2006/relationships/hyperlink" Target="https://drive.google.com/file/d/1sioMKCiwrsWWC7gQe576jwljR2sTFDAl/view?usp=sharing" TargetMode="External"/><Relationship Id="rId247" Type="http://schemas.openxmlformats.org/officeDocument/2006/relationships/hyperlink" Target="https://docs.google.com/document/d/15smEooaQ2_shzrJ9YGZAP7IvUJTzz-C4pggkwfwsCNE/edit?tab=t.0" TargetMode="External"/><Relationship Id="rId489" Type="http://schemas.openxmlformats.org/officeDocument/2006/relationships/hyperlink" Target="https://drive.google.com/file/d/1PrbQ1hc84q2k4LKaN9iFo7u8VQf1d_gH/view?usp=sharing" TargetMode="External"/><Relationship Id="rId242" Type="http://schemas.openxmlformats.org/officeDocument/2006/relationships/hyperlink" Target="https://drive.google.com/file/d/1choBh3ef_yqlJjT2WIc4jYJSqEOhdBUh/view?usp=drive_link" TargetMode="External"/><Relationship Id="rId484" Type="http://schemas.openxmlformats.org/officeDocument/2006/relationships/hyperlink" Target="https://drive.google.com/file/d/1ErodchLnC7OWDCoVWRo6OXYpc6Tzafkg/view?usp=sharing" TargetMode="External"/><Relationship Id="rId241" Type="http://schemas.openxmlformats.org/officeDocument/2006/relationships/hyperlink" Target="https://drive.google.com/file/d/1Y6XSAxf9d7DLjNjiiFu5r3if7zn2y_vx/view?usp=sharing" TargetMode="External"/><Relationship Id="rId483" Type="http://schemas.openxmlformats.org/officeDocument/2006/relationships/hyperlink" Target="https://drive.google.com/file/d/1ZrdncYa5YmrB-qmPyjEJKuHfRTszFBt0/view?usp=sharing" TargetMode="External"/><Relationship Id="rId240" Type="http://schemas.openxmlformats.org/officeDocument/2006/relationships/hyperlink" Target="https://drive.google.com/file/d/1psvzzZje6nQ_jDQR6Es2MvhSwd6zhSuE/view?usp=sharing" TargetMode="External"/><Relationship Id="rId482" Type="http://schemas.openxmlformats.org/officeDocument/2006/relationships/hyperlink" Target="https://docs.google.com/document/d/1GjM9Xn0KlqFF6WtH1TRJW1Mq9L9AgNXDTUKPmXqBT0s/edit?tab=t.0" TargetMode="External"/><Relationship Id="rId481" Type="http://schemas.openxmlformats.org/officeDocument/2006/relationships/hyperlink" Target="https://drive.google.com/file/d/1yXiRv4opnXW7N_FyaPwC8Xa86UtfnyyZ/view?usp=sharing" TargetMode="External"/><Relationship Id="rId246" Type="http://schemas.openxmlformats.org/officeDocument/2006/relationships/hyperlink" Target="https://drive.google.com/file/d/1iqDzLgl_4dv8nQQRoqDdeu0casI-AnRi/view?usp=sharing" TargetMode="External"/><Relationship Id="rId488" Type="http://schemas.openxmlformats.org/officeDocument/2006/relationships/hyperlink" Target="https://docs.google.com/document/d/1gfxw85QrsC0oRhAC9Mw8WVW9w8QtU5afZoyIAaVhnR0/edit?tab=t.0" TargetMode="External"/><Relationship Id="rId245" Type="http://schemas.openxmlformats.org/officeDocument/2006/relationships/hyperlink" Target="https://docs.google.com/document/u/0/d/10PyG1-K9ahGsCnsLql_kWC6r1h12kvImUKdmp87bcvY/edit" TargetMode="External"/><Relationship Id="rId487" Type="http://schemas.openxmlformats.org/officeDocument/2006/relationships/hyperlink" Target="https://drive.google.com/file/d/1rdxB84Kd23spoPGVXR_0583-AuqVEu2N/view?usp=sharing" TargetMode="External"/><Relationship Id="rId244" Type="http://schemas.openxmlformats.org/officeDocument/2006/relationships/hyperlink" Target="https://drive.google.com/file/d/1RLhEad35JclEblped6793AqucwicjWMm/view?usp=sharing" TargetMode="External"/><Relationship Id="rId486" Type="http://schemas.openxmlformats.org/officeDocument/2006/relationships/hyperlink" Target="https://drive.google.com/file/d/1RnQADMB6xE2YgosMyzE8wu9JLUzQREvk/view?usp=sharing" TargetMode="External"/><Relationship Id="rId243" Type="http://schemas.openxmlformats.org/officeDocument/2006/relationships/hyperlink" Target="https://drive.google.com/file/d/1eZQOGBa4tVBTIF7puinqgxQbMuuyAWVD/view?usp=sharing" TargetMode="External"/><Relationship Id="rId485" Type="http://schemas.openxmlformats.org/officeDocument/2006/relationships/hyperlink" Target="https://docs.google.com/document/d/1YSDSPqfSxxJMWBATUejiYBsnK3tBWNtqzTKmQ6YEhic/edit?tab=t.0" TargetMode="External"/><Relationship Id="rId480" Type="http://schemas.openxmlformats.org/officeDocument/2006/relationships/hyperlink" Target="https://docs.google.com/document/d/1cy2Unbao4fTJCJAAufNw9SFsIPmkafhlaX5hwr_dyZk/edit?tab=t.0" TargetMode="External"/><Relationship Id="rId239" Type="http://schemas.openxmlformats.org/officeDocument/2006/relationships/hyperlink" Target="https://docs.google.com/document/d/12EN3Aby-2Ahmq-DU0u2zq3lqyemG8bAvwdGDnTEXtnE/edit?tab=t.0" TargetMode="External"/><Relationship Id="rId238" Type="http://schemas.openxmlformats.org/officeDocument/2006/relationships/hyperlink" Target="https://drive.google.com/file/d/1Jo5aFd7POvKdisnSd_evIT0_woRMNzP4/view?usp=sharing" TargetMode="External"/><Relationship Id="rId237" Type="http://schemas.openxmlformats.org/officeDocument/2006/relationships/hyperlink" Target="https://drive.google.com/file/d/110q0PtR83ZIERMa2SjnWLqoiC7PMZQqK/view?usp=sharing" TargetMode="External"/><Relationship Id="rId479" Type="http://schemas.openxmlformats.org/officeDocument/2006/relationships/hyperlink" Target="https://drive.google.com/file/d/1vj87fEIQ13P7jyWUc7YOgN01afT9FzIO/view?usp=sharing" TargetMode="External"/><Relationship Id="rId236" Type="http://schemas.openxmlformats.org/officeDocument/2006/relationships/hyperlink" Target="https://drive.google.com/file/d/1Jogqhj55mf6cO-HL2D7YJpx4uOe6LLjl/view?usp=sharing" TargetMode="External"/><Relationship Id="rId478" Type="http://schemas.openxmlformats.org/officeDocument/2006/relationships/hyperlink" Target="https://docs.google.com/document/d/1IXVm255CO78tLrIGvMWNOxwb9XWYNpysu4PoxL1HhV0/edit?tab=t.0" TargetMode="External"/><Relationship Id="rId231" Type="http://schemas.openxmlformats.org/officeDocument/2006/relationships/hyperlink" Target="https://drive.google.com/file/d/1zgmJPIlfjVfRH_oIuWRWFl_fDK1tAs8S/view?usp=sharing" TargetMode="External"/><Relationship Id="rId473" Type="http://schemas.openxmlformats.org/officeDocument/2006/relationships/hyperlink" Target="https://drive.google.com/file/d/1eppDbqaztoGQet2B2i9ejW5DwVMjK7Nd/view?usp=sharing" TargetMode="External"/><Relationship Id="rId230" Type="http://schemas.openxmlformats.org/officeDocument/2006/relationships/hyperlink" Target="https://drive.google.com/file/d/1ZyeyEDcOBq8gV1m8pZyk-Jw-3OAUZskG/view?usp=sharing" TargetMode="External"/><Relationship Id="rId472" Type="http://schemas.openxmlformats.org/officeDocument/2006/relationships/hyperlink" Target="https://docs.google.com/document/d/1HgEZTOfk6r6AnzeYm2Dl8sXvji28Fab6hYIuwHBZug8/edit?tab=t.0" TargetMode="External"/><Relationship Id="rId471" Type="http://schemas.openxmlformats.org/officeDocument/2006/relationships/hyperlink" Target="https://drive.google.com/file/d/1Skmv46YYQ-kDBw4c6yd8DGXMQNiScSIc/view?usp=sharing" TargetMode="External"/><Relationship Id="rId470" Type="http://schemas.openxmlformats.org/officeDocument/2006/relationships/hyperlink" Target="https://docs.google.com/document/d/1fJOZq0Tm6NX-DY0k_mdM2TrxipJf3u45IpLJ8Savc80/edit?tab=t.0" TargetMode="External"/><Relationship Id="rId235" Type="http://schemas.openxmlformats.org/officeDocument/2006/relationships/hyperlink" Target="https://drive.google.com/file/d/12aW1e4Wo7uqzBjyET1OGLdQj3XKoVoeG/view?usp=sharing" TargetMode="External"/><Relationship Id="rId477" Type="http://schemas.openxmlformats.org/officeDocument/2006/relationships/hyperlink" Target="https://drive.google.com/file/d/1P_J0SLiswb-Th_-2tF0APWAVd_DaSyv3/view?usp=sharing" TargetMode="External"/><Relationship Id="rId234" Type="http://schemas.openxmlformats.org/officeDocument/2006/relationships/hyperlink" Target="https://drive.google.com/file/d/1qdb0oLnctwPic_sOd_-mtV3G5Auh7HdK/view?usp=sharing" TargetMode="External"/><Relationship Id="rId476" Type="http://schemas.openxmlformats.org/officeDocument/2006/relationships/hyperlink" Target="https://docs.google.com/document/d/1qTidl3nN_G1VoY7BfIc1HPIuXQurnC9SN34MW3CMCsw/edit?tab=t.0" TargetMode="External"/><Relationship Id="rId233" Type="http://schemas.openxmlformats.org/officeDocument/2006/relationships/hyperlink" Target="https://drive.google.com/file/d/1CaNeCQeR9SLsmOaTlMjaN-HmwCQsAsAF/view?usp=sharing" TargetMode="External"/><Relationship Id="rId475" Type="http://schemas.openxmlformats.org/officeDocument/2006/relationships/hyperlink" Target="https://drive.google.com/file/d/1XO4Ck-MZUVFG--pm2Vc7ZAfPhwuxx-Wx/view?usp=sharing" TargetMode="External"/><Relationship Id="rId232" Type="http://schemas.openxmlformats.org/officeDocument/2006/relationships/hyperlink" Target="https://drive.google.com/file/d/1sWx5-Z68mSO4y4u1DNI0itacSx_y7sXe/view?usp=sharing" TargetMode="External"/><Relationship Id="rId474" Type="http://schemas.openxmlformats.org/officeDocument/2006/relationships/hyperlink" Target="https://docs.google.com/document/d/1Yed_zTPnHS52CgprUFyGEuEsjCMWEOBZmTSltJ07WOs/edit?tab=t.0" TargetMode="External"/><Relationship Id="rId1015" Type="http://schemas.openxmlformats.org/officeDocument/2006/relationships/hyperlink" Target="https://drive.google.com/file/d/1ZT5DoDD9G-2YWw_qTg-DwN6cQxca0b_n/view?usp=sharing" TargetMode="External"/><Relationship Id="rId1016" Type="http://schemas.openxmlformats.org/officeDocument/2006/relationships/hyperlink" Target="https://docs.google.com/document/d/1ctSCaijYF4iKXai3GHCVyLT42M7IjO9MWTSYnNu6wn8/edit?tab=t.0" TargetMode="External"/><Relationship Id="rId1017" Type="http://schemas.openxmlformats.org/officeDocument/2006/relationships/hyperlink" Target="https://drive.google.com/file/d/1-2rnlsJLXHdpCyHQF1t43KDGs9AQutUE/view?usp=sharing" TargetMode="External"/><Relationship Id="rId1018" Type="http://schemas.openxmlformats.org/officeDocument/2006/relationships/hyperlink" Target="https://docs.google.com/document/d/1kxuKhqdRi9KT2GGSco0g0DyfBfAvcj2_7tL3b-qlixw/edit?tab=t.0" TargetMode="External"/><Relationship Id="rId1019" Type="http://schemas.openxmlformats.org/officeDocument/2006/relationships/hyperlink" Target="https://drive.google.com/file/d/1VfEjnY3rNICmUz5oJzUoiGMbkY1u5_O6/view?usp=sharing" TargetMode="External"/><Relationship Id="rId426" Type="http://schemas.openxmlformats.org/officeDocument/2006/relationships/hyperlink" Target="https://docs.google.com/document/d/1hFjNGWfheJArV41zTyGuXLpW9oDP0d2j0iXz8B6uvdY/edit?tab=t.0" TargetMode="External"/><Relationship Id="rId668" Type="http://schemas.openxmlformats.org/officeDocument/2006/relationships/hyperlink" Target="https://drive.google.com/file/d/16089M0g0oiS1diIbNZS-36vQAMDpp6rj/view?usp=sharing" TargetMode="External"/><Relationship Id="rId425" Type="http://schemas.openxmlformats.org/officeDocument/2006/relationships/hyperlink" Target="https://drive.google.com/file/d/1WYtpYyzLh8WSy6adiffPTRFxxoVq9hWM/view?usp=sharing" TargetMode="External"/><Relationship Id="rId667" Type="http://schemas.openxmlformats.org/officeDocument/2006/relationships/hyperlink" Target="https://docs.google.com/document/d/1ynYBYjsMJjFVF0sqkPP202jjEShdRhuf14mlKNGheN8/edit?usp=sharing" TargetMode="External"/><Relationship Id="rId424" Type="http://schemas.openxmlformats.org/officeDocument/2006/relationships/hyperlink" Target="https://docs.google.com/document/d/1zwMYMSJ3fD9n-Gjso2Eu4--wFxj8EQW2sdTImjw1-T4/edit?usp=sharing" TargetMode="External"/><Relationship Id="rId666" Type="http://schemas.openxmlformats.org/officeDocument/2006/relationships/hyperlink" Target="https://drive.google.com/file/d/1Jozf063tRCix2qXfffPvC1QbK7Mrj4tT/view?usp=sharing" TargetMode="External"/><Relationship Id="rId423" Type="http://schemas.openxmlformats.org/officeDocument/2006/relationships/hyperlink" Target="https://drive.google.com/file/d/1CkV_q3JovJ4ni1Wy3749jud6d-aAhe1f/view?usp=sharing" TargetMode="External"/><Relationship Id="rId665" Type="http://schemas.openxmlformats.org/officeDocument/2006/relationships/hyperlink" Target="https://docs.google.com/document/d/15ZUmazHJC-3eghGjUeptE4x83gM8M9XXRgETFxgkZuc/edit?tab=t.0" TargetMode="External"/><Relationship Id="rId429" Type="http://schemas.openxmlformats.org/officeDocument/2006/relationships/hyperlink" Target="https://drive.google.com/file/d/1i3pSUw0qCrwQ-6lQH4aozCpzirNcbJyz/view?usp=sharing" TargetMode="External"/><Relationship Id="rId428" Type="http://schemas.openxmlformats.org/officeDocument/2006/relationships/hyperlink" Target="https://drive.google.com/file/d/1aLQr8Obou3GBj_g5QL2dyYwe8Xf0eSdI/view?usp=sharing" TargetMode="External"/><Relationship Id="rId427" Type="http://schemas.openxmlformats.org/officeDocument/2006/relationships/hyperlink" Target="https://drive.google.com/file/d/1OwGuFVhv9bk7d1-nlV9G9OTQ50GCxI8i/view?usp=sharing" TargetMode="External"/><Relationship Id="rId669" Type="http://schemas.openxmlformats.org/officeDocument/2006/relationships/hyperlink" Target="https://drive.google.com/file/d/1yhOxtIzGFWZiAdy6G_FlGjOyLoESfLZF/view?usp=sharing" TargetMode="External"/><Relationship Id="rId660" Type="http://schemas.openxmlformats.org/officeDocument/2006/relationships/hyperlink" Target="https://drive.google.com/file/d/1CDz4zUUMeBKomdNtc-pXchTEvEIQ_fOG/view?usp=sharing" TargetMode="External"/><Relationship Id="rId1010" Type="http://schemas.openxmlformats.org/officeDocument/2006/relationships/hyperlink" Target="https://docs.google.com/document/d/1AATBstegk3Mb8seaG_u4hhZdi_bDlrwQKArbSxejM1c/edit?tab=t.0" TargetMode="External"/><Relationship Id="rId422" Type="http://schemas.openxmlformats.org/officeDocument/2006/relationships/hyperlink" Target="https://drive.google.com/file/d/1EFiLJzxtSH6mozuiTGvpHH-kHA1FtLhd/view?usp=sharing" TargetMode="External"/><Relationship Id="rId664" Type="http://schemas.openxmlformats.org/officeDocument/2006/relationships/hyperlink" Target="https://drive.google.com/file/d/1Xomk4Gq4ud8rhyPWCH-tqx4O39Ks0sFk/view?usp=sharing" TargetMode="External"/><Relationship Id="rId1011" Type="http://schemas.openxmlformats.org/officeDocument/2006/relationships/hyperlink" Target="https://docs.google.com/document/d/1Jeakn50-Gq6PfeTHQQgh6sdUvs8rtXrae0_BWAtue6U/edit?tab=t.0" TargetMode="External"/><Relationship Id="rId421" Type="http://schemas.openxmlformats.org/officeDocument/2006/relationships/hyperlink" Target="https://drive.google.com/file/d/1P0hlikmDlr3EAwyAOu9MbUD2VKA2C-A8/view?usp=sharing" TargetMode="External"/><Relationship Id="rId663" Type="http://schemas.openxmlformats.org/officeDocument/2006/relationships/hyperlink" Target="https://docs.google.com/document/d/1eU9Y6E6YgEaJc-Zalfyu0T9mQV2W1pgfO-Ro1hzUzqk/edit?usp=sharing" TargetMode="External"/><Relationship Id="rId1012" Type="http://schemas.openxmlformats.org/officeDocument/2006/relationships/hyperlink" Target="https://drive.google.com/file/d/1TInbSf4li7Aq4Nj_AKfZe6juKYmqReGk/view?usp=sharing" TargetMode="External"/><Relationship Id="rId420" Type="http://schemas.openxmlformats.org/officeDocument/2006/relationships/hyperlink" Target="https://drive.google.com/file/d/1cFUnb7WiHtW2gSjF61rnfRxeL7Ojgn3Q/view?usp=sharing" TargetMode="External"/><Relationship Id="rId662" Type="http://schemas.openxmlformats.org/officeDocument/2006/relationships/hyperlink" Target="https://drive.google.com/file/d/15qp1-c4ozlxo8-H_1oNLUg0dP_9gLWot/view?usp=sharing" TargetMode="External"/><Relationship Id="rId1013" Type="http://schemas.openxmlformats.org/officeDocument/2006/relationships/hyperlink" Target="https://docs.google.com/document/d/1BqV7MY2MZ2gbeRqhzWz5_wHu_qsoUW1sXIQlcSqQSKs/edit?tab=t.0" TargetMode="External"/><Relationship Id="rId661" Type="http://schemas.openxmlformats.org/officeDocument/2006/relationships/hyperlink" Target="https://docs.google.com/document/d/1z-qPrNEK9A0k-xF2J0fZbwbAjoh1T7dmFa8dLx-lAmI/edit?tab=t.0" TargetMode="External"/><Relationship Id="rId1014" Type="http://schemas.openxmlformats.org/officeDocument/2006/relationships/hyperlink" Target="https://drive.google.com/file/d/1a5vlGDr0gjJVIP7IVbLS6XuflueCk2O5/view?usp=sharing" TargetMode="External"/><Relationship Id="rId1004" Type="http://schemas.openxmlformats.org/officeDocument/2006/relationships/hyperlink" Target="https://drive.google.com/file/d/1Vh7v8A-nOy3cN6dXnCTgsO1djaoSM_Ik/view?usp=sharing" TargetMode="External"/><Relationship Id="rId1005" Type="http://schemas.openxmlformats.org/officeDocument/2006/relationships/hyperlink" Target="https://drive.google.com/file/d/1xV4yo6WJ4OVWsHqGhfW0mkzBxaOP-hRg/view?usp=sharing" TargetMode="External"/><Relationship Id="rId1006" Type="http://schemas.openxmlformats.org/officeDocument/2006/relationships/hyperlink" Target="https://drive.google.com/file/d/14ICPXRWkW90ADZj6x4SCjgyxxfgHkSqJ/view?usp=sharing" TargetMode="External"/><Relationship Id="rId1007" Type="http://schemas.openxmlformats.org/officeDocument/2006/relationships/hyperlink" Target="https://drive.google.com/file/d/1QHD23ZIIFJAyybAUZs4Y5fNJId92HA0h/view?usp=sharing" TargetMode="External"/><Relationship Id="rId1008" Type="http://schemas.openxmlformats.org/officeDocument/2006/relationships/hyperlink" Target="https://drive.google.com/file/d/11rPs4waVTBiOlSrcIlD8gYXW_nDl1p9u/view?usp=sharing" TargetMode="External"/><Relationship Id="rId1009" Type="http://schemas.openxmlformats.org/officeDocument/2006/relationships/hyperlink" Target="https://drive.google.com/file/d/1bl70ToIP5CDhsGoMmrglq5HhjB7GZkhz/view?usp=sharing" TargetMode="External"/><Relationship Id="rId415" Type="http://schemas.openxmlformats.org/officeDocument/2006/relationships/hyperlink" Target="https://drive.google.com/file/d/1LbFVOUt_pu4sf1MjjpTI6AOSZ5V538PC/view?usp=sharing" TargetMode="External"/><Relationship Id="rId657" Type="http://schemas.openxmlformats.org/officeDocument/2006/relationships/hyperlink" Target="https://drive.google.com/file/d/1sHqZEEcb8Mc_vT0ewRCewg1-Q4BEouw8/view?usp=sharing" TargetMode="External"/><Relationship Id="rId899" Type="http://schemas.openxmlformats.org/officeDocument/2006/relationships/hyperlink" Target="https://drive.google.com/file/d/1HsYDov-1PYxMAsdn7ehbqU7yEESppe1s/view?usp=sharing" TargetMode="External"/><Relationship Id="rId414" Type="http://schemas.openxmlformats.org/officeDocument/2006/relationships/hyperlink" Target="https://drive.google.com/file/d/1uAhWuNVbwl1bykXVAXOny4FUBbi71mnn/view?usp=sharing" TargetMode="External"/><Relationship Id="rId656" Type="http://schemas.openxmlformats.org/officeDocument/2006/relationships/hyperlink" Target="https://docs.google.com/document/d/1Q_c6LrPvN1ZX9X4fMDzP_xiCIyL80eE-kDFXOjeaZDs/edit?usp=sharing" TargetMode="External"/><Relationship Id="rId898" Type="http://schemas.openxmlformats.org/officeDocument/2006/relationships/hyperlink" Target="https://docs.google.com/document/d/1WQ1iD-EctFxa0TP8BRfp5y21PRGgwxhGnjRAlXG8fq0/edit?tab=t.0" TargetMode="External"/><Relationship Id="rId413" Type="http://schemas.openxmlformats.org/officeDocument/2006/relationships/hyperlink" Target="https://drive.google.com/file/d/1Q3A1LalutuFFez_64OeUGdbG65yDmKoe/view?usp=sharing" TargetMode="External"/><Relationship Id="rId655" Type="http://schemas.openxmlformats.org/officeDocument/2006/relationships/hyperlink" Target="https://drive.google.com/file/d/1x-uavT9Qd-DfpPIyoVhWoyvYsCVCHXne/view?usp=sharing" TargetMode="External"/><Relationship Id="rId897" Type="http://schemas.openxmlformats.org/officeDocument/2006/relationships/hyperlink" Target="https://drive.google.com/file/d/1W2jjOAVdZ-tPvzHFfib8CU4Fg-rbsOFj/view?usp=sharing" TargetMode="External"/><Relationship Id="rId412" Type="http://schemas.openxmlformats.org/officeDocument/2006/relationships/hyperlink" Target="https://drive.google.com/file/d/1xjbyhFe4GhsgFf5_H4xLT2xt6ywBQR2y/view?usp=sharing" TargetMode="External"/><Relationship Id="rId654" Type="http://schemas.openxmlformats.org/officeDocument/2006/relationships/hyperlink" Target="https://docs.google.com/document/d/1PzSdHWtsLtfHyyeN62hAYzfIs0dsCEehUT3vZQpE1Ac/edit?tab=t.0" TargetMode="External"/><Relationship Id="rId896" Type="http://schemas.openxmlformats.org/officeDocument/2006/relationships/hyperlink" Target="https://docs.google.com/document/d/1iy7xQAeWboV7x4V_J_0gFtfPKzDbyFZEOE6vB48nnuM/edit?tab=t.0" TargetMode="External"/><Relationship Id="rId419" Type="http://schemas.openxmlformats.org/officeDocument/2006/relationships/hyperlink" Target="https://drive.google.com/file/d/1Ll10ZMs_9Mp6wWhDn5ZcJcfcSknuLbGO/view?usp=sharing" TargetMode="External"/><Relationship Id="rId418" Type="http://schemas.openxmlformats.org/officeDocument/2006/relationships/hyperlink" Target="https://docs.google.com/document/d/14F4Ex4kq_tzSZyH2cS9w5MObT4yIM7uUmDC8hGftsf8/edit?tab=t.0" TargetMode="External"/><Relationship Id="rId417" Type="http://schemas.openxmlformats.org/officeDocument/2006/relationships/hyperlink" Target="https://drive.google.com/file/d/1s8qRHQEpDvTDOe0Qe9pJu9QvTbGp5sbJ/view?usp=sharing" TargetMode="External"/><Relationship Id="rId659" Type="http://schemas.openxmlformats.org/officeDocument/2006/relationships/hyperlink" Target="https://drive.google.com/file/d/1Xn-FQ4WV-BvL-l3kn7IYw7p1BP4KeaYy/view?usp=sharing" TargetMode="External"/><Relationship Id="rId416" Type="http://schemas.openxmlformats.org/officeDocument/2006/relationships/hyperlink" Target="https://drive.google.com/file/d/1DfxvkjcUZsEzHBwS3E1HAitNlac7dYKs/view?usp=sharing" TargetMode="External"/><Relationship Id="rId658" Type="http://schemas.openxmlformats.org/officeDocument/2006/relationships/hyperlink" Target="https://drive.google.com/file/d/12lsaUhY7KHEYAF5SJK_Be1ygg_m1oOc8/view?usp=sharing" TargetMode="External"/><Relationship Id="rId891" Type="http://schemas.openxmlformats.org/officeDocument/2006/relationships/hyperlink" Target="https://drive.google.com/file/d/1-O-FtVsHKWlI8dYVP2gk0tBHRpJY4hJh/view?usp=sharing" TargetMode="External"/><Relationship Id="rId890" Type="http://schemas.openxmlformats.org/officeDocument/2006/relationships/hyperlink" Target="https://docs.google.com/document/d/1RHrr4tJrup1zYG4N2yPUqtBTS9UY2l8IjtelLxc29KA/edit?tab=t.0" TargetMode="External"/><Relationship Id="rId411" Type="http://schemas.openxmlformats.org/officeDocument/2006/relationships/hyperlink" Target="https://docs.google.com/document/d/1wuWqugmcfIG9HbfP1gHVT_2zdISXtH2uC1Kp_7WHVEQ/edit?tab=t.0" TargetMode="External"/><Relationship Id="rId653" Type="http://schemas.openxmlformats.org/officeDocument/2006/relationships/hyperlink" Target="https://docs.google.com/document/d/1q5BggXmdxWV_Ikg4HMUYLRCNGD-RDto4Ivk3RQCwZIk/edit?tab=t.0" TargetMode="External"/><Relationship Id="rId895" Type="http://schemas.openxmlformats.org/officeDocument/2006/relationships/hyperlink" Target="https://drive.google.com/file/d/19AYwbihrpt8reOrkdjLnsxAzYQ2ndWAo/view?usp=sharing" TargetMode="External"/><Relationship Id="rId1000" Type="http://schemas.openxmlformats.org/officeDocument/2006/relationships/hyperlink" Target="https://drive.google.com/file/d/19M8O6_-Vp200JVGdKFAw6zTNveeyezcu/view?usp=sharing" TargetMode="External"/><Relationship Id="rId410" Type="http://schemas.openxmlformats.org/officeDocument/2006/relationships/hyperlink" Target="https://drive.google.com/file/d/1Ob1QRzWERnAPUWB1QHdy5hejM0CROgXp/view?usp=sharing" TargetMode="External"/><Relationship Id="rId652" Type="http://schemas.openxmlformats.org/officeDocument/2006/relationships/hyperlink" Target="https://drive.google.com/file/d/1-bBen-eBHSv983o3kdrHKheijnp_BAJk/view?usp=sharing" TargetMode="External"/><Relationship Id="rId894" Type="http://schemas.openxmlformats.org/officeDocument/2006/relationships/hyperlink" Target="https://drive.google.com/file/d/1ITIvC9eq04Mg2ljombHpTzw_6dMnl9L-/view?usp=sharing" TargetMode="External"/><Relationship Id="rId1001" Type="http://schemas.openxmlformats.org/officeDocument/2006/relationships/hyperlink" Target="https://drive.google.com/file/d/1eFgiK4fMJgjUgd9pnvcYGGsZLjNYuL4l/view?usp=sharing" TargetMode="External"/><Relationship Id="rId651" Type="http://schemas.openxmlformats.org/officeDocument/2006/relationships/hyperlink" Target="https://docs.google.com/document/d/1f7SOW9ViKJ5IV7gwLnKiCwj0veVp4YDpPJMidbPG6aE/edit?tab=t.0" TargetMode="External"/><Relationship Id="rId893" Type="http://schemas.openxmlformats.org/officeDocument/2006/relationships/hyperlink" Target="https://drive.google.com/file/d/1L_SkCziUNzb0BKeQx28JiKqRs-4X6g29/view?usp=sharing" TargetMode="External"/><Relationship Id="rId1002" Type="http://schemas.openxmlformats.org/officeDocument/2006/relationships/hyperlink" Target="https://drive.google.com/file/d/1ZlzASMlRNDuaYBOujNuAvucGQeNZEVXG/view?usp=sharing" TargetMode="External"/><Relationship Id="rId650" Type="http://schemas.openxmlformats.org/officeDocument/2006/relationships/hyperlink" Target="https://drive.google.com/file/d/1cFI4FGMfxAHvruhAma-EdGomTd1iaVV7/view?usp=sharing" TargetMode="External"/><Relationship Id="rId892" Type="http://schemas.openxmlformats.org/officeDocument/2006/relationships/hyperlink" Target="https://drive.google.com/file/d/1YGMjY3OESAb0tKLObZyS8aF-wbzfCR_g/view?usp=sharing" TargetMode="External"/><Relationship Id="rId1003" Type="http://schemas.openxmlformats.org/officeDocument/2006/relationships/hyperlink" Target="https://drive.google.com/file/d/1TlGd732DRWcPd_daV56zhhTiV4ieY5AN/view?usp=sharing" TargetMode="External"/><Relationship Id="rId1037" Type="http://schemas.openxmlformats.org/officeDocument/2006/relationships/hyperlink" Target="https://drive.google.com/file/d/1JXtnECs3HM3yi-a3iD1ZlT_ho1wqBbUq/view?usp=sharing" TargetMode="External"/><Relationship Id="rId1038" Type="http://schemas.openxmlformats.org/officeDocument/2006/relationships/hyperlink" Target="https://drive.google.com/file/d/1KSPONz3sK2btsf2dYVv9LIY05uqovlOZ/view?usp=sharing" TargetMode="External"/><Relationship Id="rId1039" Type="http://schemas.openxmlformats.org/officeDocument/2006/relationships/hyperlink" Target="https://drive.google.com/file/d/1pNUXbp6Kb8Zs3ZiIZM9AEa4JsjOSj4DN/view?usp=sharing" TargetMode="External"/><Relationship Id="rId206" Type="http://schemas.openxmlformats.org/officeDocument/2006/relationships/hyperlink" Target="https://docs.google.com/document/d/1cxh6RcjNkkEoREgCVFVRy1fHqmjPfeLVncQBzUF6X2Y/edit?usp=sharing" TargetMode="External"/><Relationship Id="rId448" Type="http://schemas.openxmlformats.org/officeDocument/2006/relationships/hyperlink" Target="https://drive.google.com/file/d/1JaogLUt1jL59e8uhHlcr4X_pyCdcqr-q/view?usp=sharing" TargetMode="External"/><Relationship Id="rId205" Type="http://schemas.openxmlformats.org/officeDocument/2006/relationships/hyperlink" Target="https://drive.google.com/file/d/1rV1pdVpRR9PmDLEymMn2jvBu8Tunrdhw/view?usp=drive_link" TargetMode="External"/><Relationship Id="rId447" Type="http://schemas.openxmlformats.org/officeDocument/2006/relationships/hyperlink" Target="https://drive.google.com/file/d/1ENHl56uNgA9W75DgDEgAEHP6nT-J-W-K/view?usp=sharing" TargetMode="External"/><Relationship Id="rId689" Type="http://schemas.openxmlformats.org/officeDocument/2006/relationships/hyperlink" Target="https://drive.google.com/file/d/13W85OP_5AXWRsCsc6JpCYUQmZPIc3t0B/view?usp=drive_link" TargetMode="External"/><Relationship Id="rId204" Type="http://schemas.openxmlformats.org/officeDocument/2006/relationships/hyperlink" Target="https://drive.google.com/file/d/1YbLcSudiyE2y1V2ZQyUJea-Em-87I-0x/view?usp=sharing" TargetMode="External"/><Relationship Id="rId446" Type="http://schemas.openxmlformats.org/officeDocument/2006/relationships/hyperlink" Target="https://docs.google.com/document/d/1dtDh3O-zWXsiiYfeLlynOGi072NDgH_VUSAmIynHgAc/edit?tab=t.0" TargetMode="External"/><Relationship Id="rId688" Type="http://schemas.openxmlformats.org/officeDocument/2006/relationships/hyperlink" Target="https://drive.google.com/file/d/1hX_eY0CUSXzNTvOV3B0xui7fyyGaYxcn/view?usp=drive_link" TargetMode="External"/><Relationship Id="rId203" Type="http://schemas.openxmlformats.org/officeDocument/2006/relationships/hyperlink" Target="https://drive.google.com/file/d/1YbLcSudiyE2y1V2ZQyUJea-Em-87I-0x/view?usp=sharing" TargetMode="External"/><Relationship Id="rId445" Type="http://schemas.openxmlformats.org/officeDocument/2006/relationships/hyperlink" Target="https://drive.google.com/file/d/1Ib6aCyu71_HiJ1P_ijCcQSVMGNArES_H/view?usp=sharing" TargetMode="External"/><Relationship Id="rId687" Type="http://schemas.openxmlformats.org/officeDocument/2006/relationships/hyperlink" Target="https://docs.google.com/document/d/1VeZrQ2Q2tGd2fS3aJiewj_Fx8amQnGnb3mTJ2UKk5k4/edit?tab=t.0" TargetMode="External"/><Relationship Id="rId209" Type="http://schemas.openxmlformats.org/officeDocument/2006/relationships/hyperlink" Target="https://drive.google.com/file/d/1s-V-H1wJDWPztYDnknsvropYirBlKrwL/view?usp=sharing" TargetMode="External"/><Relationship Id="rId208" Type="http://schemas.openxmlformats.org/officeDocument/2006/relationships/hyperlink" Target="https://docs.google.com/document/d/1WKPWmFZmxeqRkElhS2EzxXAFJhtnoD9BybvKZtqTq4Q/edit?usp=sharing" TargetMode="External"/><Relationship Id="rId207" Type="http://schemas.openxmlformats.org/officeDocument/2006/relationships/hyperlink" Target="https://drive.google.com/file/d/1gdd67orkgqGAzvZqGCsa24Qa8KjtVDaI/view?usp=sharing" TargetMode="External"/><Relationship Id="rId449" Type="http://schemas.openxmlformats.org/officeDocument/2006/relationships/hyperlink" Target="https://drive.google.com/file/d/1LJgW0a6FcDJxdheFWbps_9CNKuLgNDQl/view?usp=sharing" TargetMode="External"/><Relationship Id="rId440" Type="http://schemas.openxmlformats.org/officeDocument/2006/relationships/hyperlink" Target="https://drive.google.com/file/d/120SZZ7GHVxwG4FKLH2KIlJvf0PHwq5QI/view?usp=sharing" TargetMode="External"/><Relationship Id="rId682" Type="http://schemas.openxmlformats.org/officeDocument/2006/relationships/hyperlink" Target="https://drive.google.com/file/d/1mHtpsN6RNtis28WtNROrdMoLlFZ4tTcV/view?usp=drive_link" TargetMode="External"/><Relationship Id="rId681" Type="http://schemas.openxmlformats.org/officeDocument/2006/relationships/hyperlink" Target="https://drive.google.com/file/d/12yic9Zw95FgPowebyrUCskH2gSC4CT3y/view?usp=drive_link" TargetMode="External"/><Relationship Id="rId1030" Type="http://schemas.openxmlformats.org/officeDocument/2006/relationships/hyperlink" Target="https://drive.google.com/file/d/1ZZtiBAKUeLDTeYcnJ6OrH3RgwP52l8sB/view?usp=sharing" TargetMode="External"/><Relationship Id="rId680" Type="http://schemas.openxmlformats.org/officeDocument/2006/relationships/hyperlink" Target="https://drive.google.com/file/d/1SJS96Dw3HjeLbrIA4S4WHqhIJMk_Ujx6/view?usp=drive_link" TargetMode="External"/><Relationship Id="rId1031" Type="http://schemas.openxmlformats.org/officeDocument/2006/relationships/hyperlink" Target="https://drive.google.com/file/d/18P2yNZwliWx8CZI1fMHIL3vS30JVwCUh/view?usp=sharing" TargetMode="External"/><Relationship Id="rId1032" Type="http://schemas.openxmlformats.org/officeDocument/2006/relationships/hyperlink" Target="https://docs.google.com/document/d/1hrJvPz6gYh1lcOnjcbX_3-bZraXC6L0MVvCdLe5lnf0/edit?tab=t.0" TargetMode="External"/><Relationship Id="rId202" Type="http://schemas.openxmlformats.org/officeDocument/2006/relationships/hyperlink" Target="https://docs.google.com/document/d/1wPm7cxP7phyNUS_OdAav1wERYrTe9tl4mURInf9yYYc/edit?usp=sharing" TargetMode="External"/><Relationship Id="rId444" Type="http://schemas.openxmlformats.org/officeDocument/2006/relationships/hyperlink" Target="https://docs.google.com/document/d/1pF9DGN6eDqERf3Lz6O7roBKo3JXrlWu_KRgZtD6FOaY/edit?tab=t.0" TargetMode="External"/><Relationship Id="rId686" Type="http://schemas.openxmlformats.org/officeDocument/2006/relationships/hyperlink" Target="https://drive.google.com/file/d/1Nu4ALUm4iYOBSoa55Y-2QmdGunuS6Ume/view?usp=sharing" TargetMode="External"/><Relationship Id="rId1033" Type="http://schemas.openxmlformats.org/officeDocument/2006/relationships/hyperlink" Target="https://drive.google.com/file/d/1qPqWuBWSLp164LiIk5dOn7k2UCQd2FS8/view?usp=sharing" TargetMode="External"/><Relationship Id="rId201" Type="http://schemas.openxmlformats.org/officeDocument/2006/relationships/hyperlink" Target="https://drive.google.com/file/d/1YbLcSudiyE2y1V2ZQyUJea-Em-87I-0x/view?usp=sharing" TargetMode="External"/><Relationship Id="rId443" Type="http://schemas.openxmlformats.org/officeDocument/2006/relationships/hyperlink" Target="https://drive.google.com/file/d/1Spmm08qUJuIolNyL2oxrqhGR7sxEYt29/view?usp=sharing" TargetMode="External"/><Relationship Id="rId685" Type="http://schemas.openxmlformats.org/officeDocument/2006/relationships/hyperlink" Target="https://drive.google.com/file/d/1z5hYsgQmT_TRcYADxj37UgTSJ1WHZldG/view?usp=drive_link" TargetMode="External"/><Relationship Id="rId1034" Type="http://schemas.openxmlformats.org/officeDocument/2006/relationships/hyperlink" Target="https://docs.google.com/document/d/1WYuWI4bdBAPHmUTqjAQoV7myuvkuvVbpGlv-uDMxbwo/edit?usp=sharing" TargetMode="External"/><Relationship Id="rId200" Type="http://schemas.openxmlformats.org/officeDocument/2006/relationships/hyperlink" Target="https://drive.google.com/file/d/1Ce_Hm1FQdY8useQfPvRRHFka0uJcPgaW/view?usp=drive_link" TargetMode="External"/><Relationship Id="rId442" Type="http://schemas.openxmlformats.org/officeDocument/2006/relationships/hyperlink" Target="https://drive.google.com/file/d/1hDQAyVrPIBYPqYDmnE788yk-dpZhIdFT/view?usp=sharing" TargetMode="External"/><Relationship Id="rId684" Type="http://schemas.openxmlformats.org/officeDocument/2006/relationships/hyperlink" Target="https://docs.google.com/document/d/1aqcS2FgU6F6Acya7vHBnuJvHRkehgbqqmms7WhOp5yg/edit?tab=t.0" TargetMode="External"/><Relationship Id="rId1035" Type="http://schemas.openxmlformats.org/officeDocument/2006/relationships/hyperlink" Target="https://drive.google.com/file/d/134zDt-fPy2cqPqFOPN-HNy629kO5rxXX/view?usp=sharing" TargetMode="External"/><Relationship Id="rId441" Type="http://schemas.openxmlformats.org/officeDocument/2006/relationships/hyperlink" Target="https://docs.google.com/document/d/1kevOcOrYCwKEbcdJbzu_mIvIXBYXFLVoGaAmwWZDmV8/edit?tab=t.0" TargetMode="External"/><Relationship Id="rId683" Type="http://schemas.openxmlformats.org/officeDocument/2006/relationships/hyperlink" Target="https://drive.google.com/file/d/1cXV_QYxK_YI7mq38RDIcrKc6H7VRUeZl/view?usp=sharing" TargetMode="External"/><Relationship Id="rId1036" Type="http://schemas.openxmlformats.org/officeDocument/2006/relationships/hyperlink" Target="https://drive.google.com/file/d/1kzjZRMv6FT3ZzeHOGNmI6LMubJWcaAHd/view?usp=sharing" TargetMode="External"/><Relationship Id="rId1026" Type="http://schemas.openxmlformats.org/officeDocument/2006/relationships/hyperlink" Target="https://drive.google.com/file/d/1jnUvRKDHasdeGz5-WFT2JUejKynvlSpM/view?usp=sharing" TargetMode="External"/><Relationship Id="rId1027" Type="http://schemas.openxmlformats.org/officeDocument/2006/relationships/hyperlink" Target="https://drive.google.com/file/d/1umCUZhoBsm32ia1B0bIv-rs4rQCJ7I2y/view?usp=sharing" TargetMode="External"/><Relationship Id="rId1028" Type="http://schemas.openxmlformats.org/officeDocument/2006/relationships/hyperlink" Target="https://drive.google.com/file/d/1MHyGbTRi2Cy01L6r3eBxdZIpVKw0r_lM/view?usp=sharing" TargetMode="External"/><Relationship Id="rId1029" Type="http://schemas.openxmlformats.org/officeDocument/2006/relationships/hyperlink" Target="https://docs.google.com/document/d/1qKQs30VDJicVlwYjIK99SSy2mwc-pH4UhWdplNcugCA/edit?usp=sharing" TargetMode="External"/><Relationship Id="rId437" Type="http://schemas.openxmlformats.org/officeDocument/2006/relationships/hyperlink" Target="https://drive.google.com/file/d/1UjytK0klB2RUUx_5oeg41bMOVka6M5nd/view?usp=sharing" TargetMode="External"/><Relationship Id="rId679" Type="http://schemas.openxmlformats.org/officeDocument/2006/relationships/hyperlink" Target="https://drive.google.com/file/d/1llXJqH4C_dolXxtR_cjIXsfJMX-wUtbd/view?usp=drive_link" TargetMode="External"/><Relationship Id="rId436" Type="http://schemas.openxmlformats.org/officeDocument/2006/relationships/hyperlink" Target="https://drive.google.com/file/d/1bVFwLii_HWXvWCUyDMwkJ7jAjpj1v7db/view?usp=sharing" TargetMode="External"/><Relationship Id="rId678" Type="http://schemas.openxmlformats.org/officeDocument/2006/relationships/hyperlink" Target="https://drive.google.com/file/d/19UiYXHrL1sYwFhW0KRjsvZhw_TlCa-bB/view?usp=drive_link" TargetMode="External"/><Relationship Id="rId435" Type="http://schemas.openxmlformats.org/officeDocument/2006/relationships/hyperlink" Target="https://docs.google.com/document/d/1Akiq3JuicbXnQEnCoE79pdmd0MCkaN9eYQ62UVCVjq4/edit?tab=t.0" TargetMode="External"/><Relationship Id="rId677" Type="http://schemas.openxmlformats.org/officeDocument/2006/relationships/hyperlink" Target="https://drive.google.com/file/d/1TiBcYicsw4mQU_ShcvVe8_3WHnG5jzES/view?usp=drive_link" TargetMode="External"/><Relationship Id="rId434" Type="http://schemas.openxmlformats.org/officeDocument/2006/relationships/hyperlink" Target="https://drive.google.com/file/d/1zdfiWvEoVavkXlJXdAxqznX_F23pdoeY/view?usp=sharing" TargetMode="External"/><Relationship Id="rId676" Type="http://schemas.openxmlformats.org/officeDocument/2006/relationships/hyperlink" Target="https://drive.google.com/file/d/1-dMAMyJU7ZpljBlYR7PtA7AZbiY4qM7A/view?usp=drive_link" TargetMode="External"/><Relationship Id="rId439" Type="http://schemas.openxmlformats.org/officeDocument/2006/relationships/hyperlink" Target="https://docs.google.com/document/d/1UhjniRjWPWetix6H0JmzTFbj01nXA7-ZpLj0B0u7ESE/edit?tab=t.0" TargetMode="External"/><Relationship Id="rId438" Type="http://schemas.openxmlformats.org/officeDocument/2006/relationships/hyperlink" Target="https://drive.google.com/file/d/1xf0dVEgCcgDbjR5QtENSLsgSYQ196w0p/view?usp=sharing" TargetMode="External"/><Relationship Id="rId671" Type="http://schemas.openxmlformats.org/officeDocument/2006/relationships/hyperlink" Target="https://docs.google.com/document/d/1qICvMsYxkbVuakdpkaDb6zQLHsvtQdqiNw4uWc877Vc/edit?tab=t.0" TargetMode="External"/><Relationship Id="rId670" Type="http://schemas.openxmlformats.org/officeDocument/2006/relationships/hyperlink" Target="https://drive.google.com/file/d/1YuRHk_8G0_faUEkW9MbKBirp1TwiAeDj/view?usp=sharing" TargetMode="External"/><Relationship Id="rId1020" Type="http://schemas.openxmlformats.org/officeDocument/2006/relationships/hyperlink" Target="https://docs.google.com/document/d/1kxuKhqdRi9KT2GGSco0g0DyfBfAvcj2_7tL3b-qlixw/edit?tab=t.0" TargetMode="External"/><Relationship Id="rId1021" Type="http://schemas.openxmlformats.org/officeDocument/2006/relationships/hyperlink" Target="https://drive.google.com/file/d/1RRZ6MTtKw5dnyAy54OsHhFETNcej49WL/view?usp=sharing" TargetMode="External"/><Relationship Id="rId433" Type="http://schemas.openxmlformats.org/officeDocument/2006/relationships/hyperlink" Target="https://drive.google.com/file/d/1pSsQpILOu2pzN_RvWthuKmYhEiC6_BXI/view?usp=sharing" TargetMode="External"/><Relationship Id="rId675" Type="http://schemas.openxmlformats.org/officeDocument/2006/relationships/hyperlink" Target="https://docs.google.com/document/d/1-aIIompzSwM29xfmW9MGMV6prLw0QmZ8c9ghvpm0kH0/edit?tab=t.0" TargetMode="External"/><Relationship Id="rId1022" Type="http://schemas.openxmlformats.org/officeDocument/2006/relationships/hyperlink" Target="https://drive.google.com/file/d/10H2OI-H_z-FDj3TpCXrlyGp6cOqI2Gy3/view?usp=sharing" TargetMode="External"/><Relationship Id="rId432" Type="http://schemas.openxmlformats.org/officeDocument/2006/relationships/hyperlink" Target="https://drive.google.com/file/d/1nIdopESuyoVi8qbbfxo7DfQEUcg0LJbr/view?usp=sharing" TargetMode="External"/><Relationship Id="rId674" Type="http://schemas.openxmlformats.org/officeDocument/2006/relationships/hyperlink" Target="https://drive.google.com/file/d/17jBXVQmpHQKChnGTUqx--MolOYViBnvv/view?usp=sharing" TargetMode="External"/><Relationship Id="rId1023" Type="http://schemas.openxmlformats.org/officeDocument/2006/relationships/hyperlink" Target="https://drive.google.com/file/d/1DcAbtMTk2V89Za86wn05N9eaZjs3qjUI/view?usp=sharing" TargetMode="External"/><Relationship Id="rId431" Type="http://schemas.openxmlformats.org/officeDocument/2006/relationships/hyperlink" Target="https://drive.google.com/file/d/1cEoWXiuxqwPozmzNI1SHgEtboDkOE6D0/view?usp=sharing" TargetMode="External"/><Relationship Id="rId673" Type="http://schemas.openxmlformats.org/officeDocument/2006/relationships/hyperlink" Target="https://docs.google.com/document/d/1wWSy7mSfrxcpLL3nQ9O8JOZpFzqZ6F2Y_xHCKnGuw9Y/edit?usp=drive_link" TargetMode="External"/><Relationship Id="rId1024" Type="http://schemas.openxmlformats.org/officeDocument/2006/relationships/hyperlink" Target="https://drive.google.com/file/d/1oQ5KPPNZE2dt9Gg1gku_LDID6fcAs04w/view?usp=sharing" TargetMode="External"/><Relationship Id="rId430" Type="http://schemas.openxmlformats.org/officeDocument/2006/relationships/hyperlink" Target="https://drive.google.com/file/d/1xYkM5Mhwm1GQAaDKTHrZ0Bu3P26rlAic/view?usp=sharing" TargetMode="External"/><Relationship Id="rId672" Type="http://schemas.openxmlformats.org/officeDocument/2006/relationships/hyperlink" Target="https://drive.google.com/file/d/1P6B_EHmQt9OiiLbgxgNbWPJmLrpcHLTi/view?usp=drive_link" TargetMode="External"/><Relationship Id="rId1025" Type="http://schemas.openxmlformats.org/officeDocument/2006/relationships/hyperlink" Target="https://drive.google.com/file/d/18NHP1Nc75JaLYpbjqEiITTECAi18398V/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nb.4m.sm" TargetMode="External"/><Relationship Id="rId2" Type="http://schemas.openxmlformats.org/officeDocument/2006/relationships/hyperlink" Target="http://nb.4m.sm" TargetMode="External"/><Relationship Id="rId3" Type="http://schemas.openxmlformats.org/officeDocument/2006/relationships/hyperlink" Target="http://nb.5m.sm" TargetMode="External"/><Relationship Id="rId4" Type="http://schemas.openxmlformats.org/officeDocument/2006/relationships/hyperlink" Target="http://nb.6f.sm" TargetMode="External"/><Relationship Id="rId5" Type="http://schemas.openxmlformats.org/officeDocument/2006/relationships/hyperlink" Target="http://nb.7f.sm"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 r="A2" s="3" t="s">
        <v>3</v>
      </c>
      <c r="B2" s="4" t="s">
        <v>4</v>
      </c>
      <c r="C2" s="5" t="s">
        <v>5</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c r="A3" s="3" t="s">
        <v>6</v>
      </c>
      <c r="B3" s="6" t="s">
        <v>7</v>
      </c>
      <c r="C3" s="6" t="s">
        <v>8</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c r="A4" s="3" t="s">
        <v>9</v>
      </c>
      <c r="B4" s="7" t="s">
        <v>10</v>
      </c>
      <c r="C4" s="7" t="s">
        <v>11</v>
      </c>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c r="A5" s="3" t="s">
        <v>9</v>
      </c>
      <c r="B5" s="7" t="s">
        <v>10</v>
      </c>
      <c r="C5" s="7" t="s">
        <v>11</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c r="A6" s="3" t="s">
        <v>12</v>
      </c>
      <c r="B6" s="4" t="s">
        <v>13</v>
      </c>
      <c r="C6" s="4" t="s">
        <v>14</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c r="A7" s="3" t="s">
        <v>15</v>
      </c>
      <c r="B7" s="4" t="s">
        <v>16</v>
      </c>
      <c r="C7" s="5" t="s">
        <v>17</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c r="A8" s="3" t="s">
        <v>18</v>
      </c>
      <c r="B8" s="7" t="s">
        <v>19</v>
      </c>
      <c r="C8" s="7" t="s">
        <v>20</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row>
    <row r="9">
      <c r="A9" s="3" t="s">
        <v>21</v>
      </c>
      <c r="B9" s="4" t="s">
        <v>22</v>
      </c>
      <c r="C9" s="5" t="s">
        <v>23</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row>
    <row r="10">
      <c r="A10" s="3" t="s">
        <v>24</v>
      </c>
      <c r="B10" s="4" t="s">
        <v>25</v>
      </c>
      <c r="C10" s="5" t="s">
        <v>26</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row>
    <row r="11">
      <c r="A11" s="3" t="s">
        <v>27</v>
      </c>
      <c r="B11" s="4" t="s">
        <v>28</v>
      </c>
      <c r="C11" s="5" t="s">
        <v>29</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row>
    <row r="12">
      <c r="A12" s="3" t="s">
        <v>30</v>
      </c>
      <c r="B12" s="7" t="s">
        <v>31</v>
      </c>
      <c r="C12" s="7" t="s">
        <v>32</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row>
    <row r="13">
      <c r="A13" s="3" t="s">
        <v>33</v>
      </c>
      <c r="B13" s="7" t="s">
        <v>34</v>
      </c>
      <c r="C13" s="7" t="s">
        <v>35</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row>
    <row r="14">
      <c r="A14" s="3" t="s">
        <v>36</v>
      </c>
      <c r="B14" s="4" t="s">
        <v>37</v>
      </c>
      <c r="C14" s="5" t="s">
        <v>38</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row>
    <row r="15">
      <c r="A15" s="8" t="s">
        <v>39</v>
      </c>
      <c r="B15" s="9" t="s">
        <v>40</v>
      </c>
      <c r="C15" s="10" t="s">
        <v>41</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row>
    <row r="16">
      <c r="A16" s="3" t="s">
        <v>42</v>
      </c>
      <c r="B16" s="7" t="s">
        <v>43</v>
      </c>
      <c r="C16" s="7" t="s">
        <v>44</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row>
    <row r="17">
      <c r="A17" s="3" t="s">
        <v>45</v>
      </c>
      <c r="B17" s="4" t="s">
        <v>46</v>
      </c>
      <c r="C17" s="5" t="s">
        <v>47</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row>
    <row r="18">
      <c r="A18" s="3" t="s">
        <v>48</v>
      </c>
      <c r="B18" s="7" t="s">
        <v>49</v>
      </c>
      <c r="C18" s="7" t="s">
        <v>50</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row>
    <row r="19">
      <c r="A19" s="3" t="s">
        <v>51</v>
      </c>
      <c r="B19" s="4" t="s">
        <v>52</v>
      </c>
      <c r="C19" s="4" t="s">
        <v>53</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row>
    <row r="20">
      <c r="A20" s="3" t="s">
        <v>54</v>
      </c>
      <c r="B20" s="4" t="s">
        <v>55</v>
      </c>
      <c r="C20" s="5" t="s">
        <v>56</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row>
    <row r="21">
      <c r="A21" s="3" t="s">
        <v>57</v>
      </c>
      <c r="B21" s="4" t="s">
        <v>58</v>
      </c>
      <c r="C21" s="5" t="s">
        <v>59</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row>
    <row r="22">
      <c r="A22" s="3" t="s">
        <v>60</v>
      </c>
      <c r="B22" s="7" t="s">
        <v>61</v>
      </c>
      <c r="C22" s="7" t="s">
        <v>62</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row>
    <row r="23">
      <c r="A23" s="3" t="s">
        <v>63</v>
      </c>
      <c r="B23" s="4" t="s">
        <v>64</v>
      </c>
      <c r="C23" s="5" t="s">
        <v>65</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row>
    <row r="24">
      <c r="A24" s="3" t="s">
        <v>66</v>
      </c>
      <c r="B24" s="4" t="s">
        <v>67</v>
      </c>
      <c r="C24" s="5" t="s">
        <v>68</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row>
    <row r="25">
      <c r="A25" s="3" t="s">
        <v>69</v>
      </c>
      <c r="B25" s="4" t="s">
        <v>70</v>
      </c>
      <c r="C25" s="4" t="s">
        <v>71</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row>
    <row r="26">
      <c r="A26" s="3" t="s">
        <v>72</v>
      </c>
      <c r="B26" s="4" t="s">
        <v>73</v>
      </c>
      <c r="C26" s="5" t="s">
        <v>74</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row>
    <row r="27">
      <c r="A27" s="3" t="s">
        <v>75</v>
      </c>
      <c r="B27" s="7" t="s">
        <v>76</v>
      </c>
      <c r="C27" s="7" t="s">
        <v>77</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row>
    <row r="28">
      <c r="A28" s="3" t="s">
        <v>78</v>
      </c>
      <c r="B28" s="4" t="s">
        <v>79</v>
      </c>
      <c r="C28" s="5" t="s">
        <v>80</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row>
    <row r="29">
      <c r="A29" s="3" t="s">
        <v>81</v>
      </c>
      <c r="B29" s="4" t="s">
        <v>82</v>
      </c>
      <c r="C29" s="4" t="s">
        <v>83</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row>
    <row r="30">
      <c r="A30" s="8" t="s">
        <v>84</v>
      </c>
      <c r="B30" s="7" t="s">
        <v>85</v>
      </c>
      <c r="C30" s="7" t="s">
        <v>86</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row>
    <row r="31">
      <c r="A31" s="3" t="s">
        <v>87</v>
      </c>
      <c r="B31" s="7" t="s">
        <v>88</v>
      </c>
      <c r="C31" s="7" t="s">
        <v>89</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row>
    <row r="32">
      <c r="A32" s="3" t="s">
        <v>90</v>
      </c>
      <c r="B32" s="4" t="s">
        <v>91</v>
      </c>
      <c r="C32" s="5" t="s">
        <v>92</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row>
    <row r="33">
      <c r="A33" s="3" t="s">
        <v>93</v>
      </c>
      <c r="B33" s="7" t="s">
        <v>94</v>
      </c>
      <c r="C33" s="7" t="s">
        <v>95</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row>
    <row r="34">
      <c r="A34" s="3" t="s">
        <v>96</v>
      </c>
      <c r="B34" s="7" t="s">
        <v>97</v>
      </c>
      <c r="C34" s="7" t="s">
        <v>98</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row>
    <row r="35">
      <c r="A35" s="3" t="s">
        <v>99</v>
      </c>
      <c r="B35" s="4" t="s">
        <v>100</v>
      </c>
      <c r="C35" s="5" t="s">
        <v>101</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row>
    <row r="36">
      <c r="A36" s="3" t="s">
        <v>102</v>
      </c>
      <c r="B36" s="4" t="s">
        <v>103</v>
      </c>
      <c r="C36" s="4" t="s">
        <v>104</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row>
    <row r="37">
      <c r="A37" s="3" t="s">
        <v>105</v>
      </c>
      <c r="B37" s="4" t="s">
        <v>106</v>
      </c>
      <c r="C37" s="5" t="s">
        <v>107</v>
      </c>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row>
    <row r="38">
      <c r="A38" s="3" t="s">
        <v>108</v>
      </c>
      <c r="B38" s="7" t="s">
        <v>109</v>
      </c>
      <c r="C38" s="7" t="s">
        <v>110</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row>
    <row r="39">
      <c r="A39" s="3" t="s">
        <v>111</v>
      </c>
      <c r="B39" s="4" t="s">
        <v>112</v>
      </c>
      <c r="C39" s="6" t="s">
        <v>113</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row>
    <row r="40">
      <c r="A40" s="3" t="s">
        <v>114</v>
      </c>
      <c r="B40" s="4" t="s">
        <v>115</v>
      </c>
      <c r="C40" s="4" t="s">
        <v>116</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c r="A41" s="8" t="s">
        <v>117</v>
      </c>
      <c r="B41" s="9" t="s">
        <v>118</v>
      </c>
      <c r="C41" s="10" t="s">
        <v>119</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c r="A42" s="3" t="s">
        <v>120</v>
      </c>
      <c r="B42" s="7" t="s">
        <v>121</v>
      </c>
      <c r="C42" s="7" t="s">
        <v>122</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c r="A43" s="3" t="s">
        <v>123</v>
      </c>
      <c r="B43" s="11" t="s">
        <v>124</v>
      </c>
      <c r="C43" s="5" t="s">
        <v>125</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c r="A44" s="3" t="s">
        <v>126</v>
      </c>
      <c r="B44" s="4" t="s">
        <v>127</v>
      </c>
      <c r="C44" s="5" t="s">
        <v>128</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c r="A45" s="3" t="s">
        <v>129</v>
      </c>
      <c r="B45" s="4" t="s">
        <v>130</v>
      </c>
      <c r="C45" s="5" t="s">
        <v>131</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c r="A46" s="3" t="s">
        <v>132</v>
      </c>
      <c r="B46" s="4" t="s">
        <v>133</v>
      </c>
      <c r="C46" s="4" t="s">
        <v>134</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c r="A47" s="3" t="s">
        <v>135</v>
      </c>
      <c r="B47" s="7" t="s">
        <v>136</v>
      </c>
      <c r="C47" s="7" t="s">
        <v>137</v>
      </c>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c r="A48" s="3" t="s">
        <v>138</v>
      </c>
      <c r="B48" s="7" t="s">
        <v>139</v>
      </c>
      <c r="C48" s="7" t="s">
        <v>140</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c r="A49" s="3" t="s">
        <v>141</v>
      </c>
      <c r="B49" s="7" t="s">
        <v>142</v>
      </c>
      <c r="C49" s="7" t="s">
        <v>143</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c r="A50" s="3" t="s">
        <v>144</v>
      </c>
      <c r="B50" s="7" t="s">
        <v>145</v>
      </c>
      <c r="C50" s="7" t="s">
        <v>146</v>
      </c>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row>
    <row r="51">
      <c r="A51" s="3" t="s">
        <v>144</v>
      </c>
      <c r="B51" s="7" t="s">
        <v>145</v>
      </c>
      <c r="C51" s="7" t="s">
        <v>146</v>
      </c>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c r="A52" s="3" t="s">
        <v>147</v>
      </c>
      <c r="B52" s="4" t="s">
        <v>148</v>
      </c>
      <c r="C52" s="5" t="s">
        <v>149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c r="A53" s="3" t="s">
        <v>150</v>
      </c>
      <c r="B53" s="4" t="s">
        <v>151</v>
      </c>
      <c r="C53" s="4" t="s">
        <v>152</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c r="A54" s="3" t="s">
        <v>153</v>
      </c>
      <c r="B54" s="4" t="s">
        <v>154</v>
      </c>
      <c r="C54" s="4" t="s">
        <v>155</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c r="A55" s="3" t="s">
        <v>156</v>
      </c>
      <c r="B55" s="7" t="s">
        <v>157</v>
      </c>
      <c r="C55" s="7" t="s">
        <v>158</v>
      </c>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c r="A56" s="3" t="s">
        <v>159</v>
      </c>
      <c r="B56" s="4" t="s">
        <v>160</v>
      </c>
      <c r="C56" s="4" t="s">
        <v>161</v>
      </c>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c r="A57" s="3" t="s">
        <v>162</v>
      </c>
      <c r="B57" s="4" t="s">
        <v>163</v>
      </c>
      <c r="C57" s="5" t="s">
        <v>164</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c r="A58" s="3" t="s">
        <v>165</v>
      </c>
      <c r="B58" s="4" t="s">
        <v>166</v>
      </c>
      <c r="C58" s="4" t="s">
        <v>167</v>
      </c>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c r="A59" s="3" t="s">
        <v>168</v>
      </c>
      <c r="B59" s="4" t="s">
        <v>169</v>
      </c>
      <c r="C59" s="4" t="s">
        <v>140</v>
      </c>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row>
    <row r="60">
      <c r="A60" s="8" t="s">
        <v>170</v>
      </c>
      <c r="B60" s="9" t="s">
        <v>171</v>
      </c>
      <c r="C60" s="10" t="s">
        <v>172</v>
      </c>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c r="A61" s="3" t="s">
        <v>173</v>
      </c>
      <c r="B61" s="7" t="s">
        <v>174</v>
      </c>
      <c r="C61" s="7" t="s">
        <v>175</v>
      </c>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c r="A62" s="3" t="s">
        <v>176</v>
      </c>
      <c r="B62" s="4" t="s">
        <v>177</v>
      </c>
      <c r="C62" s="4" t="s">
        <v>178</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c r="A63" s="3" t="s">
        <v>179</v>
      </c>
      <c r="B63" s="4" t="s">
        <v>180</v>
      </c>
      <c r="C63" s="4" t="s">
        <v>181</v>
      </c>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c r="A64" s="3" t="s">
        <v>182</v>
      </c>
      <c r="B64" s="4" t="s">
        <v>183</v>
      </c>
      <c r="C64" s="4" t="s">
        <v>184</v>
      </c>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c r="A65" s="3" t="s">
        <v>185</v>
      </c>
      <c r="B65" s="4" t="s">
        <v>186</v>
      </c>
      <c r="C65" s="5" t="s">
        <v>187</v>
      </c>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c r="A66" s="3" t="s">
        <v>188</v>
      </c>
      <c r="B66" s="4" t="s">
        <v>189</v>
      </c>
      <c r="C66" s="5" t="s">
        <v>190</v>
      </c>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c r="A67" s="3" t="s">
        <v>191</v>
      </c>
      <c r="B67" s="4" t="s">
        <v>192</v>
      </c>
      <c r="C67" s="7" t="s">
        <v>193</v>
      </c>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c r="A68" s="3" t="s">
        <v>194</v>
      </c>
      <c r="B68" s="4" t="s">
        <v>195</v>
      </c>
      <c r="C68" s="4" t="s">
        <v>196</v>
      </c>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c r="A69" s="3" t="s">
        <v>197</v>
      </c>
      <c r="B69" s="7" t="s">
        <v>198</v>
      </c>
      <c r="C69" s="7" t="s">
        <v>199</v>
      </c>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c r="A70" s="3" t="s">
        <v>200</v>
      </c>
      <c r="B70" s="4" t="s">
        <v>201</v>
      </c>
      <c r="C70" s="5" t="s">
        <v>202</v>
      </c>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c r="A71" s="3" t="s">
        <v>203</v>
      </c>
      <c r="B71" s="4" t="s">
        <v>204</v>
      </c>
      <c r="C71" s="5" t="s">
        <v>205</v>
      </c>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c r="A72" s="3" t="s">
        <v>206</v>
      </c>
      <c r="B72" s="4" t="s">
        <v>207</v>
      </c>
      <c r="C72" s="5" t="s">
        <v>208</v>
      </c>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c r="A73" s="3" t="s">
        <v>209</v>
      </c>
      <c r="B73" s="4" t="s">
        <v>210</v>
      </c>
      <c r="C73" s="5" t="s">
        <v>211</v>
      </c>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c r="A74" s="3" t="s">
        <v>212</v>
      </c>
      <c r="B74" s="4" t="s">
        <v>213</v>
      </c>
      <c r="C74" s="4" t="s">
        <v>214</v>
      </c>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c r="A75" s="3" t="s">
        <v>215</v>
      </c>
      <c r="B75" s="4" t="s">
        <v>216</v>
      </c>
      <c r="C75" s="5" t="s">
        <v>217</v>
      </c>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c r="A76" s="3" t="s">
        <v>218</v>
      </c>
      <c r="B76" s="7" t="s">
        <v>219</v>
      </c>
      <c r="C76" s="7" t="s">
        <v>220</v>
      </c>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c r="A77" s="3" t="s">
        <v>221</v>
      </c>
      <c r="B77" s="4" t="s">
        <v>222</v>
      </c>
      <c r="C77" s="5" t="s">
        <v>223</v>
      </c>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c r="A78" s="8" t="s">
        <v>224</v>
      </c>
      <c r="B78" s="9" t="s">
        <v>225</v>
      </c>
      <c r="C78" s="10" t="s">
        <v>226</v>
      </c>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c r="A79" s="3" t="s">
        <v>227</v>
      </c>
      <c r="B79" s="4" t="s">
        <v>228</v>
      </c>
      <c r="C79" s="5" t="s">
        <v>229</v>
      </c>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c r="A80" s="8" t="s">
        <v>230</v>
      </c>
      <c r="B80" s="9" t="s">
        <v>231</v>
      </c>
      <c r="C80" s="10" t="s">
        <v>232</v>
      </c>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c r="A81" s="3" t="s">
        <v>233</v>
      </c>
      <c r="B81" s="7" t="s">
        <v>234</v>
      </c>
      <c r="C81" s="7" t="s">
        <v>235</v>
      </c>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c r="A82" s="3" t="s">
        <v>236</v>
      </c>
      <c r="B82" s="4" t="s">
        <v>237</v>
      </c>
      <c r="C82" s="4" t="s">
        <v>238</v>
      </c>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c r="A83" s="3" t="s">
        <v>239</v>
      </c>
      <c r="B83" s="7" t="s">
        <v>240</v>
      </c>
      <c r="C83" s="7" t="s">
        <v>241</v>
      </c>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c r="A84" s="3" t="s">
        <v>242</v>
      </c>
      <c r="B84" s="4" t="s">
        <v>243</v>
      </c>
      <c r="C84" s="5" t="s">
        <v>244</v>
      </c>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c r="A85" s="3" t="s">
        <v>245</v>
      </c>
      <c r="B85" s="4" t="s">
        <v>246</v>
      </c>
      <c r="C85" s="4" t="s">
        <v>247</v>
      </c>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c r="A86" s="3" t="s">
        <v>248</v>
      </c>
      <c r="B86" s="4" t="s">
        <v>249</v>
      </c>
      <c r="C86" s="5" t="s">
        <v>250</v>
      </c>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c r="A87" s="3" t="s">
        <v>251</v>
      </c>
      <c r="B87" s="4" t="s">
        <v>252</v>
      </c>
      <c r="C87" s="4" t="s">
        <v>253</v>
      </c>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c r="A88" s="3" t="s">
        <v>254</v>
      </c>
      <c r="B88" s="4" t="s">
        <v>255</v>
      </c>
      <c r="C88" s="5" t="s">
        <v>256</v>
      </c>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c r="A89" s="3" t="s">
        <v>257</v>
      </c>
      <c r="B89" s="4" t="s">
        <v>258</v>
      </c>
      <c r="C89" s="4" t="s">
        <v>259</v>
      </c>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c r="A90" s="3" t="s">
        <v>260</v>
      </c>
      <c r="B90" s="4" t="s">
        <v>261</v>
      </c>
      <c r="C90" s="5" t="s">
        <v>262</v>
      </c>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c r="A91" s="8" t="s">
        <v>263</v>
      </c>
      <c r="B91" s="9" t="s">
        <v>264</v>
      </c>
      <c r="C91" s="10" t="s">
        <v>265</v>
      </c>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c r="A92" s="3" t="s">
        <v>266</v>
      </c>
      <c r="B92" s="4" t="s">
        <v>267</v>
      </c>
      <c r="C92" s="5" t="s">
        <v>56</v>
      </c>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c r="A93" s="3" t="s">
        <v>268</v>
      </c>
      <c r="B93" s="4" t="s">
        <v>269</v>
      </c>
      <c r="C93" s="5" t="s">
        <v>270</v>
      </c>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c r="A94" s="3" t="s">
        <v>271</v>
      </c>
      <c r="B94" s="4" t="s">
        <v>272</v>
      </c>
      <c r="C94" s="5" t="s">
        <v>273</v>
      </c>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c r="A95" s="3" t="s">
        <v>274</v>
      </c>
      <c r="B95" s="4" t="s">
        <v>275</v>
      </c>
      <c r="C95" s="5" t="s">
        <v>276</v>
      </c>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c r="A96" s="3" t="s">
        <v>277</v>
      </c>
      <c r="B96" s="4" t="s">
        <v>278</v>
      </c>
      <c r="C96" s="5" t="s">
        <v>279</v>
      </c>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c r="A97" s="3" t="s">
        <v>280</v>
      </c>
      <c r="B97" s="4" t="s">
        <v>281</v>
      </c>
      <c r="C97" s="4" t="s">
        <v>282</v>
      </c>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c r="A98" s="3" t="s">
        <v>283</v>
      </c>
      <c r="B98" s="4" t="s">
        <v>284</v>
      </c>
      <c r="C98" s="4" t="s">
        <v>279</v>
      </c>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c r="A99" s="3" t="s">
        <v>285</v>
      </c>
      <c r="B99" s="4" t="s">
        <v>286</v>
      </c>
      <c r="C99" s="4" t="s">
        <v>287</v>
      </c>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c r="A100" s="3" t="s">
        <v>288</v>
      </c>
      <c r="B100" s="7" t="s">
        <v>289</v>
      </c>
      <c r="C100" s="7" t="s">
        <v>290</v>
      </c>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c r="A101" s="3" t="s">
        <v>291</v>
      </c>
      <c r="B101" s="7" t="s">
        <v>292</v>
      </c>
      <c r="C101" s="7" t="s">
        <v>293</v>
      </c>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c r="A102" s="3" t="s">
        <v>294</v>
      </c>
      <c r="B102" s="4" t="s">
        <v>295</v>
      </c>
      <c r="C102" s="5" t="s">
        <v>296</v>
      </c>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c r="A103" s="3" t="s">
        <v>297</v>
      </c>
      <c r="B103" s="4" t="s">
        <v>298</v>
      </c>
      <c r="C103" s="5" t="s">
        <v>299</v>
      </c>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c r="A104" s="3" t="s">
        <v>300</v>
      </c>
      <c r="B104" s="4" t="s">
        <v>301</v>
      </c>
      <c r="C104" s="4" t="s">
        <v>302</v>
      </c>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c r="A105" s="3" t="s">
        <v>303</v>
      </c>
      <c r="B105" s="4" t="s">
        <v>304</v>
      </c>
      <c r="C105" s="4" t="s">
        <v>305</v>
      </c>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c r="A106" s="3" t="s">
        <v>306</v>
      </c>
      <c r="B106" s="4" t="s">
        <v>307</v>
      </c>
      <c r="C106" s="4" t="s">
        <v>308</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c r="A107" s="3" t="s">
        <v>309</v>
      </c>
      <c r="B107" s="4" t="s">
        <v>310</v>
      </c>
      <c r="C107" s="5" t="s">
        <v>311</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c r="A108" s="3" t="s">
        <v>312</v>
      </c>
      <c r="B108" s="4" t="s">
        <v>313</v>
      </c>
      <c r="C108" s="5" t="s">
        <v>314</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c r="A109" s="3" t="s">
        <v>315</v>
      </c>
      <c r="B109" s="7" t="s">
        <v>316</v>
      </c>
      <c r="C109" s="7" t="s">
        <v>317</v>
      </c>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c r="A110" s="3" t="s">
        <v>318</v>
      </c>
      <c r="B110" s="9" t="s">
        <v>319</v>
      </c>
      <c r="C110" s="10" t="s">
        <v>320</v>
      </c>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c r="A111" s="3" t="s">
        <v>321</v>
      </c>
      <c r="B111" s="4" t="s">
        <v>322</v>
      </c>
      <c r="C111" s="4" t="s">
        <v>323</v>
      </c>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c r="A112" s="3" t="s">
        <v>324</v>
      </c>
      <c r="B112" s="4" t="s">
        <v>325</v>
      </c>
      <c r="C112" s="5" t="s">
        <v>326</v>
      </c>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c r="A113" s="3" t="s">
        <v>327</v>
      </c>
      <c r="B113" s="4" t="s">
        <v>328</v>
      </c>
      <c r="C113" s="4" t="s">
        <v>329</v>
      </c>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c r="A114" s="3" t="s">
        <v>330</v>
      </c>
      <c r="B114" s="4" t="s">
        <v>331</v>
      </c>
      <c r="C114" s="5" t="s">
        <v>332</v>
      </c>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c r="A115" s="3" t="s">
        <v>333</v>
      </c>
      <c r="B115" s="4" t="s">
        <v>334</v>
      </c>
      <c r="C115" s="5" t="s">
        <v>335</v>
      </c>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row r="116">
      <c r="A116" s="3" t="s">
        <v>336</v>
      </c>
      <c r="B116" s="4" t="s">
        <v>337</v>
      </c>
      <c r="C116" s="6" t="s">
        <v>338</v>
      </c>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row>
    <row r="117">
      <c r="A117" s="3" t="s">
        <v>339</v>
      </c>
      <c r="B117" s="4" t="s">
        <v>340</v>
      </c>
      <c r="C117" s="4" t="s">
        <v>341</v>
      </c>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row>
    <row r="118">
      <c r="A118" s="3" t="s">
        <v>342</v>
      </c>
      <c r="B118" s="4" t="s">
        <v>343</v>
      </c>
      <c r="C118" s="4" t="s">
        <v>344</v>
      </c>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row>
    <row r="119">
      <c r="A119" s="3" t="s">
        <v>345</v>
      </c>
      <c r="B119" s="4" t="s">
        <v>346</v>
      </c>
      <c r="C119" s="4" t="s">
        <v>347</v>
      </c>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row>
    <row r="120">
      <c r="A120" s="3" t="s">
        <v>348</v>
      </c>
      <c r="B120" s="4" t="s">
        <v>349</v>
      </c>
      <c r="C120" s="5" t="s">
        <v>350</v>
      </c>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row>
    <row r="121">
      <c r="A121" s="3" t="s">
        <v>351</v>
      </c>
      <c r="B121" s="4" t="s">
        <v>352</v>
      </c>
      <c r="C121" s="5" t="s">
        <v>353</v>
      </c>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row>
    <row r="122">
      <c r="A122" s="3" t="s">
        <v>354</v>
      </c>
      <c r="B122" s="4" t="s">
        <v>355</v>
      </c>
      <c r="C122" s="5" t="s">
        <v>356</v>
      </c>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row>
    <row r="123">
      <c r="A123" s="3" t="s">
        <v>357</v>
      </c>
      <c r="B123" s="4" t="s">
        <v>358</v>
      </c>
      <c r="C123" s="4" t="s">
        <v>359</v>
      </c>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row>
    <row r="124">
      <c r="A124" s="3" t="s">
        <v>360</v>
      </c>
      <c r="B124" s="4" t="s">
        <v>361</v>
      </c>
      <c r="C124" s="5" t="s">
        <v>362</v>
      </c>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row>
    <row r="125">
      <c r="A125" s="3" t="s">
        <v>363</v>
      </c>
      <c r="B125" s="4" t="s">
        <v>364</v>
      </c>
      <c r="C125" s="5" t="s">
        <v>365</v>
      </c>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row>
    <row r="126">
      <c r="A126" s="3" t="s">
        <v>366</v>
      </c>
      <c r="B126" s="4" t="s">
        <v>367</v>
      </c>
      <c r="C126" s="5" t="s">
        <v>368</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row>
    <row r="127">
      <c r="A127" s="3" t="s">
        <v>369</v>
      </c>
      <c r="B127" s="4" t="s">
        <v>370</v>
      </c>
      <c r="C127" s="5" t="s">
        <v>371</v>
      </c>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row>
    <row r="128">
      <c r="A128" s="3" t="s">
        <v>372</v>
      </c>
      <c r="B128" s="4" t="s">
        <v>373</v>
      </c>
      <c r="C128" s="5" t="s">
        <v>374</v>
      </c>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row>
    <row r="129">
      <c r="A129" s="3" t="s">
        <v>375</v>
      </c>
      <c r="B129" s="4" t="s">
        <v>376</v>
      </c>
      <c r="C129" s="5" t="s">
        <v>377</v>
      </c>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row>
    <row r="130">
      <c r="A130" s="3" t="s">
        <v>378</v>
      </c>
      <c r="B130" s="4" t="s">
        <v>379</v>
      </c>
      <c r="C130" s="5" t="s">
        <v>380</v>
      </c>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row>
    <row r="131">
      <c r="A131" s="3" t="s">
        <v>381</v>
      </c>
      <c r="B131" s="4" t="s">
        <v>382</v>
      </c>
      <c r="C131" s="4" t="s">
        <v>383</v>
      </c>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row>
    <row r="132">
      <c r="A132" s="3" t="s">
        <v>384</v>
      </c>
      <c r="B132" s="4" t="s">
        <v>385</v>
      </c>
      <c r="C132" s="5" t="s">
        <v>386</v>
      </c>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row>
    <row r="133">
      <c r="A133" s="3" t="s">
        <v>387</v>
      </c>
      <c r="B133" s="4" t="s">
        <v>388</v>
      </c>
      <c r="C133" s="4" t="s">
        <v>389</v>
      </c>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row>
    <row r="134">
      <c r="A134" s="3" t="s">
        <v>390</v>
      </c>
      <c r="B134" s="4" t="s">
        <v>391</v>
      </c>
      <c r="C134" s="5" t="s">
        <v>392</v>
      </c>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row>
    <row r="135">
      <c r="A135" s="3" t="s">
        <v>393</v>
      </c>
      <c r="B135" s="4" t="s">
        <v>394</v>
      </c>
      <c r="C135" s="5" t="s">
        <v>395</v>
      </c>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row>
    <row r="136">
      <c r="A136" s="3" t="s">
        <v>396</v>
      </c>
      <c r="B136" s="4" t="s">
        <v>397</v>
      </c>
      <c r="C136" s="5" t="s">
        <v>398</v>
      </c>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row>
    <row r="137">
      <c r="A137" s="3" t="s">
        <v>399</v>
      </c>
      <c r="B137" s="4" t="s">
        <v>400</v>
      </c>
      <c r="C137" s="5" t="s">
        <v>401</v>
      </c>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row>
    <row r="138">
      <c r="A138" s="3" t="s">
        <v>402</v>
      </c>
      <c r="B138" s="4" t="s">
        <v>403</v>
      </c>
      <c r="C138" s="5" t="s">
        <v>404</v>
      </c>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row>
    <row r="139">
      <c r="A139" s="3" t="s">
        <v>405</v>
      </c>
      <c r="B139" s="4" t="s">
        <v>406</v>
      </c>
      <c r="C139" s="5" t="s">
        <v>407</v>
      </c>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c r="A140" s="3" t="s">
        <v>408</v>
      </c>
      <c r="B140" s="4" t="s">
        <v>409</v>
      </c>
      <c r="C140" s="5" t="s">
        <v>410</v>
      </c>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c r="A141" s="3" t="s">
        <v>411</v>
      </c>
      <c r="B141" s="4" t="s">
        <v>412</v>
      </c>
      <c r="C141" s="5" t="s">
        <v>413</v>
      </c>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c r="A142" s="3" t="s">
        <v>414</v>
      </c>
      <c r="B142" s="4" t="s">
        <v>415</v>
      </c>
      <c r="C142" s="5" t="s">
        <v>416</v>
      </c>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c r="A143" s="3" t="s">
        <v>417</v>
      </c>
      <c r="B143" s="4" t="s">
        <v>418</v>
      </c>
      <c r="C143" s="4" t="s">
        <v>419</v>
      </c>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c r="A144" s="3" t="s">
        <v>420</v>
      </c>
      <c r="B144" s="4" t="s">
        <v>421</v>
      </c>
      <c r="C144" s="5" t="s">
        <v>422</v>
      </c>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row>
    <row r="145">
      <c r="A145" s="3" t="s">
        <v>423</v>
      </c>
      <c r="B145" s="4" t="s">
        <v>424</v>
      </c>
      <c r="C145" s="5" t="s">
        <v>425</v>
      </c>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row>
    <row r="146">
      <c r="A146" s="3" t="s">
        <v>426</v>
      </c>
      <c r="B146" s="4" t="s">
        <v>427</v>
      </c>
      <c r="C146" s="5" t="s">
        <v>428</v>
      </c>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row>
    <row r="147">
      <c r="A147" s="3" t="s">
        <v>429</v>
      </c>
      <c r="B147" s="4" t="s">
        <v>430</v>
      </c>
      <c r="C147" s="5" t="s">
        <v>431</v>
      </c>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row>
    <row r="148">
      <c r="A148" s="3" t="s">
        <v>432</v>
      </c>
      <c r="B148" s="4" t="s">
        <v>433</v>
      </c>
      <c r="C148" s="5" t="s">
        <v>434</v>
      </c>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row>
    <row r="149">
      <c r="A149" s="3" t="s">
        <v>435</v>
      </c>
      <c r="B149" s="4" t="s">
        <v>436</v>
      </c>
      <c r="C149" s="5" t="s">
        <v>437</v>
      </c>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c r="A150" s="3" t="s">
        <v>438</v>
      </c>
      <c r="B150" s="4" t="s">
        <v>439</v>
      </c>
      <c r="C150" s="5" t="s">
        <v>440</v>
      </c>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c r="A151" s="3" t="s">
        <v>441</v>
      </c>
      <c r="B151" s="4" t="s">
        <v>442</v>
      </c>
      <c r="C151" s="5" t="s">
        <v>443</v>
      </c>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c r="A152" s="3" t="s">
        <v>444</v>
      </c>
      <c r="B152" s="6" t="s">
        <v>445</v>
      </c>
      <c r="C152" s="5" t="s">
        <v>446</v>
      </c>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c r="A153" s="8" t="s">
        <v>447</v>
      </c>
      <c r="B153" s="9" t="s">
        <v>448</v>
      </c>
      <c r="C153" s="10" t="s">
        <v>449</v>
      </c>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c r="A154" s="3" t="s">
        <v>450</v>
      </c>
      <c r="B154" s="4" t="s">
        <v>451</v>
      </c>
      <c r="C154" s="4" t="s">
        <v>452</v>
      </c>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row>
    <row r="155">
      <c r="A155" s="3" t="s">
        <v>453</v>
      </c>
      <c r="B155" s="4" t="s">
        <v>454</v>
      </c>
      <c r="C155" s="5" t="s">
        <v>455</v>
      </c>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row>
    <row r="156">
      <c r="A156" s="3" t="s">
        <v>456</v>
      </c>
      <c r="B156" s="4" t="s">
        <v>457</v>
      </c>
      <c r="C156" s="5" t="s">
        <v>458</v>
      </c>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row>
    <row r="157">
      <c r="A157" s="3" t="s">
        <v>459</v>
      </c>
      <c r="B157" s="4" t="s">
        <v>460</v>
      </c>
      <c r="C157" s="5" t="s">
        <v>461</v>
      </c>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row>
    <row r="158">
      <c r="A158" s="8" t="s">
        <v>462</v>
      </c>
      <c r="B158" s="9" t="s">
        <v>463</v>
      </c>
      <c r="C158" s="10" t="s">
        <v>464</v>
      </c>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row>
    <row r="159">
      <c r="A159" s="3" t="s">
        <v>465</v>
      </c>
      <c r="B159" s="4" t="s">
        <v>466</v>
      </c>
      <c r="C159" s="5" t="s">
        <v>464</v>
      </c>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row>
    <row r="160">
      <c r="A160" s="3" t="s">
        <v>467</v>
      </c>
      <c r="B160" s="4" t="s">
        <v>468</v>
      </c>
      <c r="C160" s="4" t="s">
        <v>469</v>
      </c>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row>
    <row r="161">
      <c r="A161" s="3" t="s">
        <v>470</v>
      </c>
      <c r="B161" s="4" t="s">
        <v>471</v>
      </c>
      <c r="C161" s="5" t="s">
        <v>472</v>
      </c>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row>
    <row r="162">
      <c r="A162" s="3" t="s">
        <v>473</v>
      </c>
      <c r="B162" s="4" t="s">
        <v>474</v>
      </c>
      <c r="C162" s="4" t="s">
        <v>475</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row>
    <row r="163">
      <c r="A163" s="3" t="s">
        <v>476</v>
      </c>
      <c r="B163" s="4" t="s">
        <v>477</v>
      </c>
      <c r="C163" s="5" t="s">
        <v>478</v>
      </c>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row>
    <row r="164">
      <c r="A164" s="8" t="s">
        <v>479</v>
      </c>
      <c r="B164" s="7" t="s">
        <v>480</v>
      </c>
      <c r="C164" s="7" t="s">
        <v>481</v>
      </c>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row>
    <row r="165">
      <c r="A165" s="3" t="s">
        <v>482</v>
      </c>
      <c r="B165" s="4" t="s">
        <v>483</v>
      </c>
      <c r="C165" s="5" t="s">
        <v>484</v>
      </c>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row>
    <row r="166">
      <c r="A166" s="3" t="s">
        <v>485</v>
      </c>
      <c r="B166" s="7" t="s">
        <v>486</v>
      </c>
      <c r="C166" s="7" t="s">
        <v>487</v>
      </c>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row>
    <row r="167">
      <c r="A167" s="3" t="s">
        <v>488</v>
      </c>
      <c r="B167" s="4" t="s">
        <v>489</v>
      </c>
      <c r="C167" s="4" t="s">
        <v>490</v>
      </c>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row>
    <row r="168">
      <c r="A168" s="3" t="s">
        <v>491</v>
      </c>
      <c r="B168" s="4" t="s">
        <v>492</v>
      </c>
      <c r="C168" s="5" t="s">
        <v>493</v>
      </c>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row>
    <row r="169">
      <c r="A169" s="3" t="s">
        <v>494</v>
      </c>
      <c r="B169" s="4" t="s">
        <v>495</v>
      </c>
      <c r="C169" s="5" t="s">
        <v>496</v>
      </c>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row>
    <row r="170">
      <c r="A170" s="3" t="s">
        <v>497</v>
      </c>
      <c r="B170" s="4" t="s">
        <v>498</v>
      </c>
      <c r="C170" s="4" t="s">
        <v>499</v>
      </c>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row>
    <row r="171">
      <c r="A171" s="3" t="s">
        <v>500</v>
      </c>
      <c r="B171" s="4" t="s">
        <v>501</v>
      </c>
      <c r="C171" s="5" t="s">
        <v>502</v>
      </c>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row>
    <row r="172">
      <c r="A172" s="3" t="s">
        <v>503</v>
      </c>
      <c r="B172" s="4" t="s">
        <v>504</v>
      </c>
      <c r="C172" s="4" t="s">
        <v>505</v>
      </c>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row>
    <row r="173">
      <c r="A173" s="3" t="s">
        <v>506</v>
      </c>
      <c r="B173" s="4" t="s">
        <v>507</v>
      </c>
      <c r="C173" s="4" t="s">
        <v>508</v>
      </c>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row>
    <row r="174">
      <c r="A174" s="3" t="s">
        <v>509</v>
      </c>
      <c r="B174" s="4" t="s">
        <v>510</v>
      </c>
      <c r="C174" s="5" t="s">
        <v>511</v>
      </c>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row>
    <row r="175">
      <c r="A175" s="3" t="s">
        <v>512</v>
      </c>
      <c r="B175" s="4" t="s">
        <v>513</v>
      </c>
      <c r="C175" s="4" t="s">
        <v>514</v>
      </c>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row>
    <row r="176">
      <c r="A176" s="3" t="s">
        <v>515</v>
      </c>
      <c r="B176" s="7" t="s">
        <v>516</v>
      </c>
      <c r="C176" s="7" t="s">
        <v>517</v>
      </c>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row>
    <row r="177">
      <c r="A177" s="3" t="s">
        <v>518</v>
      </c>
      <c r="B177" s="4" t="s">
        <v>519</v>
      </c>
      <c r="C177" s="5" t="s">
        <v>520</v>
      </c>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row>
    <row r="178">
      <c r="A178" s="3" t="s">
        <v>521</v>
      </c>
      <c r="B178" s="4" t="s">
        <v>522</v>
      </c>
      <c r="C178" s="5" t="s">
        <v>523</v>
      </c>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row>
    <row r="179">
      <c r="A179" s="3" t="s">
        <v>524</v>
      </c>
      <c r="B179" s="4" t="s">
        <v>525</v>
      </c>
      <c r="C179" s="5" t="s">
        <v>526</v>
      </c>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row>
    <row r="180">
      <c r="A180" s="3" t="s">
        <v>527</v>
      </c>
      <c r="B180" s="4" t="s">
        <v>528</v>
      </c>
      <c r="C180" s="5" t="s">
        <v>529</v>
      </c>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row>
    <row r="181">
      <c r="A181" s="3" t="s">
        <v>530</v>
      </c>
      <c r="B181" s="4" t="s">
        <v>531</v>
      </c>
      <c r="C181" s="5" t="s">
        <v>532</v>
      </c>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row>
    <row r="182">
      <c r="A182" s="3" t="s">
        <v>533</v>
      </c>
      <c r="B182" s="4" t="s">
        <v>534</v>
      </c>
      <c r="C182" s="5" t="s">
        <v>535</v>
      </c>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row>
    <row r="183">
      <c r="A183" s="3" t="s">
        <v>536</v>
      </c>
      <c r="B183" s="4" t="s">
        <v>537</v>
      </c>
      <c r="C183" s="4" t="s">
        <v>538</v>
      </c>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row>
    <row r="184">
      <c r="A184" s="3" t="s">
        <v>539</v>
      </c>
      <c r="B184" s="4" t="s">
        <v>540</v>
      </c>
      <c r="C184" s="4" t="s">
        <v>541</v>
      </c>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row>
    <row r="185">
      <c r="A185" s="3" t="s">
        <v>542</v>
      </c>
      <c r="B185" s="4" t="s">
        <v>543</v>
      </c>
      <c r="C185" s="5" t="s">
        <v>544</v>
      </c>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row>
    <row r="186">
      <c r="A186" s="3" t="s">
        <v>545</v>
      </c>
      <c r="B186" s="4" t="s">
        <v>546</v>
      </c>
      <c r="C186" s="5" t="s">
        <v>547</v>
      </c>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row>
    <row r="187">
      <c r="A187" s="3" t="s">
        <v>548</v>
      </c>
      <c r="B187" s="4" t="s">
        <v>549</v>
      </c>
      <c r="C187" s="6" t="s">
        <v>550</v>
      </c>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row>
    <row r="188">
      <c r="A188" s="3" t="s">
        <v>551</v>
      </c>
      <c r="B188" s="4" t="s">
        <v>552</v>
      </c>
      <c r="C188" s="5" t="s">
        <v>553</v>
      </c>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row>
    <row r="189">
      <c r="A189" s="8" t="s">
        <v>554</v>
      </c>
      <c r="B189" s="9" t="s">
        <v>555</v>
      </c>
      <c r="C189" s="10" t="s">
        <v>556</v>
      </c>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row>
    <row r="190">
      <c r="A190" s="3" t="s">
        <v>557</v>
      </c>
      <c r="B190" s="4" t="s">
        <v>558</v>
      </c>
      <c r="C190" s="5" t="s">
        <v>559</v>
      </c>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row>
    <row r="191">
      <c r="A191" s="3" t="s">
        <v>560</v>
      </c>
      <c r="B191" s="4" t="s">
        <v>561</v>
      </c>
      <c r="C191" s="5" t="s">
        <v>562</v>
      </c>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row>
    <row r="192">
      <c r="A192" s="3" t="s">
        <v>563</v>
      </c>
      <c r="B192" s="4" t="s">
        <v>564</v>
      </c>
      <c r="C192" s="5" t="s">
        <v>565</v>
      </c>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row>
    <row r="193">
      <c r="A193" s="3" t="s">
        <v>566</v>
      </c>
      <c r="B193" s="7" t="s">
        <v>567</v>
      </c>
      <c r="C193" s="7" t="s">
        <v>568</v>
      </c>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row>
    <row r="194">
      <c r="A194" s="2"/>
      <c r="B194" s="1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row>
    <row r="195">
      <c r="A195" s="2"/>
      <c r="B195" s="1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row>
    <row r="196">
      <c r="A196" s="2"/>
      <c r="B196" s="1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row>
    <row r="197">
      <c r="A197" s="2"/>
      <c r="B197" s="1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row>
    <row r="198">
      <c r="A198" s="2"/>
      <c r="B198" s="1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row>
    <row r="199">
      <c r="A199" s="2"/>
      <c r="B199" s="1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row>
    <row r="200">
      <c r="A200" s="2"/>
      <c r="B200" s="1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row>
    <row r="201">
      <c r="A201" s="2"/>
      <c r="B201" s="1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row>
    <row r="202">
      <c r="A202" s="2"/>
      <c r="B202" s="1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row>
    <row r="203">
      <c r="A203" s="2"/>
      <c r="B203" s="1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row>
    <row r="204">
      <c r="A204" s="2"/>
      <c r="B204" s="1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row>
    <row r="205">
      <c r="A205" s="2"/>
      <c r="B205" s="1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row>
    <row r="206">
      <c r="A206" s="2"/>
      <c r="B206" s="1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row>
    <row r="207">
      <c r="A207" s="2"/>
      <c r="B207" s="1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row>
    <row r="208">
      <c r="A208" s="2"/>
      <c r="B208" s="1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row>
    <row r="209">
      <c r="A209" s="2"/>
      <c r="B209" s="12"/>
      <c r="C209" s="7"/>
      <c r="D209" s="3"/>
      <c r="E209" s="7"/>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row>
    <row r="210">
      <c r="A210" s="2"/>
      <c r="B210" s="1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row>
    <row r="211">
      <c r="A211" s="2"/>
      <c r="B211" s="1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row>
    <row r="212">
      <c r="A212" s="2"/>
      <c r="B212" s="1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row>
    <row r="213">
      <c r="A213" s="2"/>
      <c r="B213" s="1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row>
    <row r="214">
      <c r="A214" s="2"/>
      <c r="B214" s="1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row>
    <row r="215">
      <c r="A215" s="2"/>
      <c r="B215" s="1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row>
    <row r="216">
      <c r="A216" s="2"/>
      <c r="B216" s="1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row>
    <row r="217">
      <c r="A217" s="2"/>
      <c r="B217" s="1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row>
    <row r="218">
      <c r="A218" s="2"/>
      <c r="B218" s="1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row>
    <row r="219">
      <c r="A219" s="2"/>
      <c r="B219" s="1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row>
    <row r="220">
      <c r="A220" s="2"/>
      <c r="B220" s="1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row>
    <row r="221">
      <c r="A221" s="2"/>
      <c r="B221" s="1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row>
    <row r="222">
      <c r="A222" s="2"/>
      <c r="B222" s="1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row>
    <row r="223">
      <c r="A223" s="2"/>
      <c r="B223" s="1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row>
    <row r="224">
      <c r="A224" s="2"/>
      <c r="B224" s="1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row>
    <row r="225">
      <c r="A225" s="2"/>
      <c r="B225" s="1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row>
    <row r="226">
      <c r="A226" s="2"/>
      <c r="B226" s="1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row>
    <row r="227">
      <c r="A227" s="2"/>
      <c r="B227" s="1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row>
    <row r="228">
      <c r="A228" s="2"/>
      <c r="B228" s="1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row>
    <row r="229">
      <c r="A229" s="2"/>
      <c r="B229" s="1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row>
    <row r="230">
      <c r="A230" s="2"/>
      <c r="B230" s="1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row>
    <row r="231">
      <c r="A231" s="2"/>
      <c r="B231" s="1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row>
    <row r="232">
      <c r="A232" s="2"/>
      <c r="B232" s="1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row>
    <row r="233">
      <c r="A233" s="2"/>
      <c r="B233" s="1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row>
    <row r="234">
      <c r="A234" s="2"/>
      <c r="B234" s="1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row>
    <row r="235">
      <c r="A235" s="2"/>
      <c r="B235" s="1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row>
    <row r="236">
      <c r="A236" s="2"/>
      <c r="B236" s="1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row>
    <row r="237">
      <c r="A237" s="2"/>
      <c r="B237" s="1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row>
    <row r="238">
      <c r="A238" s="2"/>
      <c r="B238" s="1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row>
    <row r="239">
      <c r="A239" s="2"/>
      <c r="B239" s="1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row>
    <row r="240">
      <c r="A240" s="2"/>
      <c r="B240" s="1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row>
    <row r="241">
      <c r="A241" s="2"/>
      <c r="B241" s="1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row>
    <row r="242">
      <c r="A242" s="2"/>
      <c r="B242" s="1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row>
    <row r="243">
      <c r="A243" s="2"/>
      <c r="B243" s="1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row>
    <row r="244">
      <c r="A244" s="2"/>
      <c r="B244" s="1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row>
    <row r="245">
      <c r="A245" s="2"/>
      <c r="B245" s="1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row>
    <row r="246">
      <c r="A246" s="2"/>
      <c r="B246" s="1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row>
    <row r="247">
      <c r="A247" s="2"/>
      <c r="B247" s="1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row>
    <row r="248">
      <c r="A248" s="2"/>
      <c r="B248" s="1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row>
    <row r="249">
      <c r="A249" s="2"/>
      <c r="B249" s="1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row>
    <row r="250">
      <c r="A250" s="2"/>
      <c r="B250" s="1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row>
    <row r="251">
      <c r="A251" s="2"/>
      <c r="B251" s="1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row>
    <row r="252">
      <c r="A252" s="2"/>
      <c r="B252" s="1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row>
    <row r="253">
      <c r="A253" s="2"/>
      <c r="B253" s="1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row>
    <row r="254">
      <c r="A254" s="2"/>
      <c r="B254" s="1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row>
    <row r="255">
      <c r="A255" s="2"/>
      <c r="B255" s="1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row>
    <row r="256">
      <c r="A256" s="2"/>
      <c r="B256" s="1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row>
    <row r="257">
      <c r="A257" s="2"/>
      <c r="B257" s="1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row>
    <row r="258">
      <c r="A258" s="2"/>
      <c r="B258" s="1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row>
    <row r="259">
      <c r="A259" s="2"/>
      <c r="B259" s="1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row>
    <row r="260">
      <c r="A260" s="2"/>
      <c r="B260" s="1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row>
    <row r="261">
      <c r="A261" s="2"/>
      <c r="B261" s="1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row>
    <row r="262">
      <c r="A262" s="2"/>
      <c r="B262" s="1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row>
    <row r="263">
      <c r="A263" s="2"/>
      <c r="B263" s="1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row>
    <row r="264">
      <c r="A264" s="2"/>
      <c r="B264" s="1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row>
    <row r="265">
      <c r="A265" s="2"/>
      <c r="B265" s="1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row>
    <row r="266">
      <c r="A266" s="2"/>
      <c r="B266" s="1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row>
    <row r="267">
      <c r="A267" s="2"/>
      <c r="B267" s="1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row>
    <row r="268">
      <c r="A268" s="2"/>
      <c r="B268" s="1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row>
    <row r="269">
      <c r="A269" s="2"/>
      <c r="B269" s="1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row>
    <row r="270">
      <c r="A270" s="2"/>
      <c r="B270" s="1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row>
    <row r="271">
      <c r="A271" s="2"/>
      <c r="B271" s="1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row>
    <row r="272">
      <c r="A272" s="2"/>
      <c r="B272" s="1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row>
    <row r="273">
      <c r="A273" s="2"/>
      <c r="B273" s="1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row>
    <row r="274">
      <c r="A274" s="2"/>
      <c r="B274" s="1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row>
    <row r="275">
      <c r="A275" s="2"/>
      <c r="B275" s="1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row>
    <row r="276">
      <c r="A276" s="2"/>
      <c r="B276" s="1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row>
    <row r="277">
      <c r="A277" s="2"/>
      <c r="B277" s="1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row>
    <row r="278">
      <c r="A278" s="2"/>
      <c r="B278" s="1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row>
    <row r="279">
      <c r="A279" s="2"/>
      <c r="B279" s="1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row>
    <row r="280">
      <c r="A280" s="2"/>
      <c r="B280" s="1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row>
    <row r="281">
      <c r="A281" s="2"/>
      <c r="B281" s="1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row>
    <row r="282">
      <c r="A282" s="2"/>
      <c r="B282" s="1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row>
    <row r="283">
      <c r="A283" s="2"/>
      <c r="B283" s="1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row>
    <row r="284">
      <c r="A284" s="2"/>
      <c r="B284" s="1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row>
    <row r="285">
      <c r="A285" s="2"/>
      <c r="B285" s="1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row>
    <row r="286">
      <c r="A286" s="2"/>
      <c r="B286" s="1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row>
    <row r="287">
      <c r="A287" s="2"/>
      <c r="B287" s="1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row>
    <row r="288">
      <c r="A288" s="2"/>
      <c r="B288" s="1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row>
    <row r="289">
      <c r="A289" s="2"/>
      <c r="B289" s="1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row>
    <row r="290">
      <c r="A290" s="2"/>
      <c r="B290" s="1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row>
    <row r="291">
      <c r="A291" s="2"/>
      <c r="B291" s="1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row>
    <row r="292">
      <c r="A292" s="2"/>
      <c r="B292" s="1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row>
    <row r="293">
      <c r="A293" s="2"/>
      <c r="B293" s="1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row>
    <row r="294">
      <c r="A294" s="2"/>
      <c r="B294" s="1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row>
    <row r="295">
      <c r="A295" s="2"/>
      <c r="B295" s="1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row>
    <row r="296">
      <c r="A296" s="2"/>
      <c r="B296" s="1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row>
    <row r="297">
      <c r="A297" s="2"/>
      <c r="B297" s="1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row>
    <row r="298">
      <c r="A298" s="2"/>
      <c r="B298" s="1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row>
    <row r="299">
      <c r="A299" s="2"/>
      <c r="B299" s="1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row>
    <row r="300">
      <c r="A300" s="2"/>
      <c r="B300" s="1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row>
    <row r="301">
      <c r="A301" s="2"/>
      <c r="B301" s="1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row>
    <row r="302">
      <c r="A302" s="2"/>
      <c r="B302" s="1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row>
    <row r="303">
      <c r="A303" s="2"/>
      <c r="B303" s="1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row>
    <row r="304">
      <c r="A304" s="2"/>
      <c r="B304" s="1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row>
    <row r="305">
      <c r="A305" s="2"/>
      <c r="B305" s="1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row>
    <row r="306">
      <c r="A306" s="2"/>
      <c r="B306" s="1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row>
    <row r="307">
      <c r="A307" s="2"/>
      <c r="B307" s="1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row>
    <row r="308">
      <c r="A308" s="2"/>
      <c r="B308" s="1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row>
    <row r="309">
      <c r="A309" s="2"/>
      <c r="B309" s="1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row>
    <row r="310">
      <c r="A310" s="2"/>
      <c r="B310" s="1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row>
    <row r="311">
      <c r="A311" s="2"/>
      <c r="B311" s="1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row>
    <row r="312">
      <c r="A312" s="2"/>
      <c r="B312" s="1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row>
    <row r="313">
      <c r="A313" s="2"/>
      <c r="B313" s="1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row>
    <row r="314">
      <c r="A314" s="2"/>
      <c r="B314" s="1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row>
    <row r="315">
      <c r="A315" s="2"/>
      <c r="B315" s="1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row>
    <row r="316">
      <c r="A316" s="2"/>
      <c r="B316" s="1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row>
    <row r="317">
      <c r="A317" s="2"/>
      <c r="B317" s="1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row>
    <row r="318">
      <c r="A318" s="2"/>
      <c r="B318" s="1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row>
    <row r="319">
      <c r="A319" s="2"/>
      <c r="B319" s="1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row>
    <row r="320">
      <c r="A320" s="2"/>
      <c r="B320" s="1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row>
    <row r="321">
      <c r="A321" s="2"/>
      <c r="B321" s="1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row>
    <row r="322">
      <c r="A322" s="2"/>
      <c r="B322" s="1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row>
    <row r="323">
      <c r="A323" s="2"/>
      <c r="B323" s="1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row>
    <row r="324">
      <c r="A324" s="2"/>
      <c r="B324" s="1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row>
    <row r="325">
      <c r="A325" s="2"/>
      <c r="B325" s="1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row>
    <row r="326">
      <c r="A326" s="2"/>
      <c r="B326" s="1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row>
    <row r="327">
      <c r="A327" s="2"/>
      <c r="B327" s="1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row>
    <row r="328">
      <c r="A328" s="2"/>
      <c r="B328" s="1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row>
    <row r="329">
      <c r="A329" s="2"/>
      <c r="B329" s="1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row>
    <row r="330">
      <c r="A330" s="2"/>
      <c r="B330" s="1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row>
    <row r="331">
      <c r="A331" s="2"/>
      <c r="B331" s="1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row>
    <row r="332">
      <c r="A332" s="2"/>
      <c r="B332" s="1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row>
    <row r="333">
      <c r="A333" s="2"/>
      <c r="B333" s="1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row>
    <row r="334">
      <c r="A334" s="2"/>
      <c r="B334" s="1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row>
    <row r="335">
      <c r="A335" s="2"/>
      <c r="B335" s="1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row>
    <row r="336">
      <c r="A336" s="2"/>
      <c r="B336" s="1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row>
    <row r="337">
      <c r="A337" s="2"/>
      <c r="B337" s="1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row>
    <row r="338">
      <c r="A338" s="2"/>
      <c r="B338" s="1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row>
    <row r="339">
      <c r="A339" s="2"/>
      <c r="B339" s="1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row>
    <row r="340">
      <c r="A340" s="2"/>
      <c r="B340" s="1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row>
    <row r="341">
      <c r="A341" s="2"/>
      <c r="B341" s="1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row>
    <row r="342">
      <c r="A342" s="2"/>
      <c r="B342" s="1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row>
    <row r="343">
      <c r="A343" s="2"/>
      <c r="B343" s="1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row>
    <row r="344">
      <c r="A344" s="2"/>
      <c r="B344" s="1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row>
    <row r="345">
      <c r="A345" s="2"/>
      <c r="B345" s="1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row>
    <row r="346">
      <c r="A346" s="2"/>
      <c r="B346" s="1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row>
    <row r="347">
      <c r="A347" s="2"/>
      <c r="B347" s="1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row>
    <row r="348">
      <c r="A348" s="2"/>
      <c r="B348" s="1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row>
    <row r="349">
      <c r="A349" s="2"/>
      <c r="B349" s="1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row>
    <row r="350">
      <c r="A350" s="2"/>
      <c r="B350" s="1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row>
    <row r="351">
      <c r="A351" s="2"/>
      <c r="B351" s="1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row>
    <row r="352">
      <c r="A352" s="2"/>
      <c r="B352" s="1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row>
    <row r="353">
      <c r="A353" s="2"/>
      <c r="B353" s="1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row>
    <row r="354">
      <c r="A354" s="2"/>
      <c r="B354" s="1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row>
    <row r="355">
      <c r="A355" s="2"/>
      <c r="B355" s="1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row>
    <row r="356">
      <c r="A356" s="2"/>
      <c r="B356" s="1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row>
    <row r="357">
      <c r="A357" s="2"/>
      <c r="B357" s="1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row>
    <row r="358">
      <c r="A358" s="2"/>
      <c r="B358" s="1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row>
    <row r="359">
      <c r="A359" s="2"/>
      <c r="B359" s="1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row>
    <row r="360">
      <c r="A360" s="2"/>
      <c r="B360" s="1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row>
    <row r="361">
      <c r="A361" s="2"/>
      <c r="B361" s="1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row>
    <row r="362">
      <c r="A362" s="2"/>
      <c r="B362" s="1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row>
    <row r="363">
      <c r="A363" s="2"/>
      <c r="B363" s="1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row>
    <row r="364">
      <c r="A364" s="2"/>
      <c r="B364" s="1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row>
    <row r="365">
      <c r="A365" s="2"/>
      <c r="B365" s="1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row>
    <row r="366">
      <c r="A366" s="2"/>
      <c r="B366" s="1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row>
    <row r="367">
      <c r="A367" s="2"/>
      <c r="B367" s="1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row>
    <row r="368">
      <c r="A368" s="2"/>
      <c r="B368" s="1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row>
    <row r="369">
      <c r="A369" s="2"/>
      <c r="B369" s="1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row>
    <row r="370">
      <c r="A370" s="2"/>
      <c r="B370" s="1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row>
    <row r="371">
      <c r="A371" s="2"/>
      <c r="B371" s="1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row>
    <row r="372">
      <c r="A372" s="2"/>
      <c r="B372" s="1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row>
    <row r="373">
      <c r="A373" s="2"/>
      <c r="B373" s="1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row>
    <row r="374">
      <c r="A374" s="2"/>
      <c r="B374" s="1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row>
    <row r="375">
      <c r="A375" s="2"/>
      <c r="B375" s="1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row>
    <row r="376">
      <c r="A376" s="2"/>
      <c r="B376" s="1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row>
    <row r="377">
      <c r="A377" s="2"/>
      <c r="B377" s="1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row>
    <row r="378">
      <c r="A378" s="2"/>
      <c r="B378" s="1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row>
    <row r="379">
      <c r="A379" s="2"/>
      <c r="B379" s="1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row>
    <row r="380">
      <c r="A380" s="2"/>
      <c r="B380" s="1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row>
    <row r="381">
      <c r="A381" s="2"/>
      <c r="B381" s="1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row>
    <row r="382">
      <c r="A382" s="2"/>
      <c r="B382" s="1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row>
    <row r="383">
      <c r="A383" s="2"/>
      <c r="B383" s="1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row>
    <row r="384">
      <c r="A384" s="2"/>
      <c r="B384" s="1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row>
    <row r="385">
      <c r="A385" s="2"/>
      <c r="B385" s="1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row>
    <row r="386">
      <c r="A386" s="2"/>
      <c r="B386" s="1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row>
    <row r="387">
      <c r="A387" s="2"/>
      <c r="B387" s="1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row>
    <row r="388">
      <c r="A388" s="2"/>
      <c r="B388" s="1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row>
    <row r="389">
      <c r="A389" s="2"/>
      <c r="B389" s="1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row>
    <row r="390">
      <c r="A390" s="2"/>
      <c r="B390" s="1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row>
    <row r="391">
      <c r="A391" s="2"/>
      <c r="B391" s="1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row>
    <row r="392">
      <c r="A392" s="2"/>
      <c r="B392" s="1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row>
    <row r="393">
      <c r="A393" s="2"/>
      <c r="B393" s="1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row>
    <row r="394">
      <c r="A394" s="2"/>
      <c r="B394" s="1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row>
    <row r="395">
      <c r="A395" s="2"/>
      <c r="B395" s="1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row>
    <row r="396">
      <c r="A396" s="2"/>
      <c r="B396" s="1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row>
    <row r="397">
      <c r="A397" s="2"/>
      <c r="B397" s="1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row>
    <row r="398">
      <c r="A398" s="2"/>
      <c r="B398" s="1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row>
    <row r="399">
      <c r="A399" s="2"/>
      <c r="B399" s="1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row>
    <row r="400">
      <c r="A400" s="2"/>
      <c r="B400" s="1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row>
    <row r="401">
      <c r="A401" s="2"/>
      <c r="B401" s="1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row>
    <row r="402">
      <c r="A402" s="2"/>
      <c r="B402" s="1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row>
    <row r="403">
      <c r="A403" s="2"/>
      <c r="B403" s="1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row>
    <row r="404">
      <c r="A404" s="2"/>
      <c r="B404" s="1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row>
    <row r="405">
      <c r="A405" s="2"/>
      <c r="B405" s="1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row>
    <row r="406">
      <c r="A406" s="2"/>
      <c r="B406" s="1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row>
    <row r="407">
      <c r="A407" s="2"/>
      <c r="B407" s="1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row>
    <row r="408">
      <c r="A408" s="2"/>
      <c r="B408" s="1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row>
    <row r="409">
      <c r="A409" s="2"/>
      <c r="B409" s="1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row>
    <row r="410">
      <c r="A410" s="2"/>
      <c r="B410" s="1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row>
    <row r="411">
      <c r="A411" s="2"/>
      <c r="B411" s="1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row>
    <row r="412">
      <c r="A412" s="2"/>
      <c r="B412" s="1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row>
    <row r="413">
      <c r="A413" s="2"/>
      <c r="B413" s="1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row>
    <row r="414">
      <c r="A414" s="2"/>
      <c r="B414" s="1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row>
    <row r="415">
      <c r="A415" s="2"/>
      <c r="B415" s="1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row>
    <row r="416">
      <c r="A416" s="2"/>
      <c r="B416" s="1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row>
    <row r="417">
      <c r="A417" s="2"/>
      <c r="B417" s="1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row>
    <row r="418">
      <c r="A418" s="2"/>
      <c r="B418" s="1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row>
    <row r="419">
      <c r="A419" s="2"/>
      <c r="B419" s="1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row>
    <row r="420">
      <c r="A420" s="2"/>
      <c r="B420" s="1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row>
    <row r="421">
      <c r="A421" s="2"/>
      <c r="B421" s="1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row>
    <row r="422">
      <c r="A422" s="2"/>
      <c r="B422" s="1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row>
    <row r="423">
      <c r="A423" s="2"/>
      <c r="B423" s="1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row>
    <row r="424">
      <c r="A424" s="2"/>
      <c r="B424" s="1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row>
    <row r="425">
      <c r="A425" s="2"/>
      <c r="B425" s="1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row>
    <row r="426">
      <c r="A426" s="2"/>
      <c r="B426" s="1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row>
    <row r="427">
      <c r="A427" s="2"/>
      <c r="B427" s="1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row>
    <row r="428">
      <c r="A428" s="2"/>
      <c r="B428" s="1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row>
    <row r="429">
      <c r="A429" s="2"/>
      <c r="B429" s="1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row>
    <row r="430">
      <c r="A430" s="2"/>
      <c r="B430" s="1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row>
    <row r="431">
      <c r="A431" s="2"/>
      <c r="B431" s="1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row>
    <row r="432">
      <c r="A432" s="2"/>
      <c r="B432" s="1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row>
    <row r="433">
      <c r="A433" s="2"/>
      <c r="B433" s="1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row>
    <row r="434">
      <c r="A434" s="2"/>
      <c r="B434" s="1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row>
    <row r="435">
      <c r="A435" s="2"/>
      <c r="B435" s="1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row>
    <row r="436">
      <c r="A436" s="2"/>
      <c r="B436" s="1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row>
    <row r="437">
      <c r="A437" s="2"/>
      <c r="B437" s="1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row>
    <row r="438">
      <c r="A438" s="2"/>
      <c r="B438" s="1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row>
    <row r="439">
      <c r="A439" s="2"/>
      <c r="B439" s="1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row>
    <row r="440">
      <c r="A440" s="2"/>
      <c r="B440" s="1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row>
    <row r="441">
      <c r="A441" s="2"/>
      <c r="B441" s="1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row>
    <row r="442">
      <c r="A442" s="2"/>
      <c r="B442" s="1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row>
    <row r="443">
      <c r="A443" s="2"/>
      <c r="B443" s="1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row>
    <row r="444">
      <c r="A444" s="2"/>
      <c r="B444" s="1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row>
    <row r="445">
      <c r="A445" s="2"/>
      <c r="B445" s="1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row>
    <row r="446">
      <c r="A446" s="2"/>
      <c r="B446" s="1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row>
    <row r="447">
      <c r="A447" s="2"/>
      <c r="B447" s="1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row>
    <row r="448">
      <c r="A448" s="2"/>
      <c r="B448" s="1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row>
    <row r="449">
      <c r="A449" s="2"/>
      <c r="B449" s="1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row>
    <row r="450">
      <c r="A450" s="2"/>
      <c r="B450" s="1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row>
    <row r="451">
      <c r="A451" s="2"/>
      <c r="B451" s="1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row>
    <row r="452">
      <c r="A452" s="2"/>
      <c r="B452" s="1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row>
    <row r="453">
      <c r="A453" s="2"/>
      <c r="B453" s="1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row>
    <row r="454">
      <c r="A454" s="2"/>
      <c r="B454" s="1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row>
    <row r="455">
      <c r="A455" s="2"/>
      <c r="B455" s="1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row>
    <row r="456">
      <c r="A456" s="2"/>
      <c r="B456" s="1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row>
    <row r="457">
      <c r="A457" s="2"/>
      <c r="B457" s="1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row>
    <row r="458">
      <c r="A458" s="2"/>
      <c r="B458" s="1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row>
    <row r="459">
      <c r="A459" s="2"/>
      <c r="B459" s="1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row>
    <row r="460">
      <c r="A460" s="2"/>
      <c r="B460" s="1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row>
    <row r="461">
      <c r="A461" s="2"/>
      <c r="B461" s="1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row>
    <row r="462">
      <c r="A462" s="2"/>
      <c r="B462" s="1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row>
    <row r="463">
      <c r="A463" s="2"/>
      <c r="B463" s="1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row>
    <row r="464">
      <c r="A464" s="2"/>
      <c r="B464" s="1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row>
    <row r="465">
      <c r="A465" s="2"/>
      <c r="B465" s="1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row>
    <row r="466">
      <c r="A466" s="2"/>
      <c r="B466" s="1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row>
    <row r="467">
      <c r="A467" s="2"/>
      <c r="B467" s="1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row>
    <row r="468">
      <c r="A468" s="2"/>
      <c r="B468" s="1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row>
    <row r="469">
      <c r="A469" s="2"/>
      <c r="B469" s="1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row>
    <row r="470">
      <c r="A470" s="2"/>
      <c r="B470" s="1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row>
    <row r="471">
      <c r="A471" s="2"/>
      <c r="B471" s="1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row>
    <row r="472">
      <c r="A472" s="2"/>
      <c r="B472" s="1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row>
    <row r="473">
      <c r="A473" s="2"/>
      <c r="B473" s="1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row>
    <row r="474">
      <c r="A474" s="2"/>
      <c r="B474" s="1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row>
    <row r="475">
      <c r="A475" s="2"/>
      <c r="B475" s="1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row>
    <row r="476">
      <c r="A476" s="2"/>
      <c r="B476" s="1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row>
    <row r="477">
      <c r="A477" s="2"/>
      <c r="B477" s="1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row>
    <row r="478">
      <c r="A478" s="2"/>
      <c r="B478" s="1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row>
    <row r="479">
      <c r="A479" s="2"/>
      <c r="B479" s="1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row>
    <row r="480">
      <c r="A480" s="2"/>
      <c r="B480" s="1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row>
    <row r="481">
      <c r="A481" s="2"/>
      <c r="B481" s="1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row>
    <row r="482">
      <c r="A482" s="2"/>
      <c r="B482" s="1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row>
    <row r="483">
      <c r="A483" s="2"/>
      <c r="B483" s="1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row>
    <row r="484">
      <c r="A484" s="2"/>
      <c r="B484" s="1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row>
    <row r="485">
      <c r="A485" s="2"/>
      <c r="B485" s="1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row>
    <row r="486">
      <c r="A486" s="2"/>
      <c r="B486" s="1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row>
    <row r="487">
      <c r="A487" s="2"/>
      <c r="B487" s="1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row>
    <row r="488">
      <c r="A488" s="2"/>
      <c r="B488" s="1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row>
    <row r="489">
      <c r="A489" s="2"/>
      <c r="B489" s="1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row>
    <row r="490">
      <c r="A490" s="2"/>
      <c r="B490" s="1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row>
    <row r="491">
      <c r="A491" s="2"/>
      <c r="B491" s="1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row>
    <row r="492">
      <c r="A492" s="2"/>
      <c r="B492" s="1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row>
    <row r="493">
      <c r="A493" s="2"/>
      <c r="B493" s="1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row>
    <row r="494">
      <c r="A494" s="2"/>
      <c r="B494" s="1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row>
    <row r="495">
      <c r="A495" s="2"/>
      <c r="B495" s="1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row>
    <row r="496">
      <c r="A496" s="2"/>
      <c r="B496" s="1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row>
    <row r="497">
      <c r="A497" s="2"/>
      <c r="B497" s="1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row>
    <row r="498">
      <c r="A498" s="2"/>
      <c r="B498" s="1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row>
    <row r="499">
      <c r="A499" s="2"/>
      <c r="B499" s="1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row>
    <row r="500">
      <c r="A500" s="2"/>
      <c r="B500" s="1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row>
    <row r="501">
      <c r="A501" s="2"/>
      <c r="B501" s="1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row>
    <row r="502">
      <c r="A502" s="2"/>
      <c r="B502" s="1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row>
    <row r="503">
      <c r="A503" s="2"/>
      <c r="B503" s="1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row>
    <row r="504">
      <c r="A504" s="2"/>
      <c r="B504" s="1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row>
    <row r="505">
      <c r="A505" s="2"/>
      <c r="B505" s="1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row>
    <row r="506">
      <c r="A506" s="2"/>
      <c r="B506" s="1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row>
    <row r="507">
      <c r="A507" s="2"/>
      <c r="B507" s="1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row>
    <row r="508">
      <c r="A508" s="2"/>
      <c r="B508" s="1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row>
    <row r="509">
      <c r="A509" s="2"/>
      <c r="B509" s="1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row>
    <row r="510">
      <c r="A510" s="2"/>
      <c r="B510" s="1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row>
    <row r="511">
      <c r="A511" s="2"/>
      <c r="B511" s="1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row>
    <row r="512">
      <c r="A512" s="2"/>
      <c r="B512" s="1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row>
    <row r="513">
      <c r="A513" s="2"/>
      <c r="B513" s="1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row>
    <row r="514">
      <c r="A514" s="2"/>
      <c r="B514" s="1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row>
    <row r="515">
      <c r="A515" s="2"/>
      <c r="B515" s="1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row>
    <row r="516">
      <c r="A516" s="2"/>
      <c r="B516" s="1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row>
    <row r="517">
      <c r="A517" s="2"/>
      <c r="B517" s="1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row>
    <row r="518">
      <c r="A518" s="2"/>
      <c r="B518" s="1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row>
    <row r="519">
      <c r="A519" s="2"/>
      <c r="B519" s="1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row>
    <row r="520">
      <c r="A520" s="2"/>
      <c r="B520" s="1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row>
    <row r="521">
      <c r="A521" s="2"/>
      <c r="B521" s="1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row>
    <row r="522">
      <c r="A522" s="2"/>
      <c r="B522" s="1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row>
    <row r="523">
      <c r="A523" s="2"/>
      <c r="B523" s="1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row>
    <row r="524">
      <c r="A524" s="2"/>
      <c r="B524" s="1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row>
    <row r="525">
      <c r="A525" s="2"/>
      <c r="B525" s="1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row>
    <row r="526">
      <c r="A526" s="2"/>
      <c r="B526" s="1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row>
    <row r="527">
      <c r="A527" s="2"/>
      <c r="B527" s="1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row>
    <row r="528">
      <c r="A528" s="2"/>
      <c r="B528" s="1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row>
    <row r="529">
      <c r="A529" s="2"/>
      <c r="B529" s="1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row>
    <row r="530">
      <c r="A530" s="2"/>
      <c r="B530" s="1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row>
    <row r="531">
      <c r="A531" s="2"/>
      <c r="B531" s="1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row>
    <row r="532">
      <c r="A532" s="2"/>
      <c r="B532" s="1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row>
    <row r="533">
      <c r="A533" s="2"/>
      <c r="B533" s="1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row>
    <row r="534">
      <c r="A534" s="2"/>
      <c r="B534" s="1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row>
    <row r="535">
      <c r="A535" s="2"/>
      <c r="B535" s="1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row>
    <row r="536">
      <c r="A536" s="2"/>
      <c r="B536" s="1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row>
    <row r="537">
      <c r="A537" s="2"/>
      <c r="B537" s="1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row>
    <row r="538">
      <c r="A538" s="2"/>
      <c r="B538" s="1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row>
    <row r="539">
      <c r="A539" s="2"/>
      <c r="B539" s="1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row>
    <row r="540">
      <c r="A540" s="2"/>
      <c r="B540" s="1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row>
    <row r="541">
      <c r="A541" s="2"/>
      <c r="B541" s="1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row>
    <row r="542">
      <c r="A542" s="2"/>
      <c r="B542" s="1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row>
    <row r="543">
      <c r="A543" s="2"/>
      <c r="B543" s="1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row>
    <row r="544">
      <c r="A544" s="2"/>
      <c r="B544" s="1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row>
    <row r="545">
      <c r="A545" s="2"/>
      <c r="B545" s="1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row>
    <row r="546">
      <c r="A546" s="2"/>
      <c r="B546" s="1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row>
    <row r="547">
      <c r="A547" s="2"/>
      <c r="B547" s="1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row>
    <row r="548">
      <c r="A548" s="2"/>
      <c r="B548" s="1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row>
    <row r="549">
      <c r="A549" s="2"/>
      <c r="B549" s="1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row>
    <row r="550">
      <c r="A550" s="2"/>
      <c r="B550" s="1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row>
    <row r="551">
      <c r="A551" s="2"/>
      <c r="B551" s="1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row>
    <row r="552">
      <c r="A552" s="2"/>
      <c r="B552" s="1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row>
    <row r="553">
      <c r="A553" s="2"/>
      <c r="B553" s="1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row>
    <row r="554">
      <c r="A554" s="2"/>
      <c r="B554" s="1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row>
    <row r="555">
      <c r="A555" s="2"/>
      <c r="B555" s="1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row>
    <row r="556">
      <c r="A556" s="2"/>
      <c r="B556" s="1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row>
    <row r="557">
      <c r="A557" s="2"/>
      <c r="B557" s="1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row>
    <row r="558">
      <c r="A558" s="2"/>
      <c r="B558" s="1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row>
    <row r="559">
      <c r="A559" s="2"/>
      <c r="B559" s="1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row>
    <row r="560">
      <c r="A560" s="2"/>
      <c r="B560" s="1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row>
    <row r="561">
      <c r="A561" s="2"/>
      <c r="B561" s="1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row>
    <row r="562">
      <c r="A562" s="2"/>
      <c r="B562" s="1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row>
    <row r="563">
      <c r="A563" s="2"/>
      <c r="B563" s="1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row>
    <row r="564">
      <c r="A564" s="2"/>
      <c r="B564" s="1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row>
    <row r="565">
      <c r="A565" s="2"/>
      <c r="B565" s="1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row>
    <row r="566">
      <c r="A566" s="2"/>
      <c r="B566" s="1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row>
    <row r="567">
      <c r="A567" s="2"/>
      <c r="B567" s="1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row>
    <row r="568">
      <c r="A568" s="2"/>
      <c r="B568" s="1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row>
    <row r="569">
      <c r="A569" s="2"/>
      <c r="B569" s="1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row>
    <row r="570">
      <c r="A570" s="2"/>
      <c r="B570" s="1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row>
    <row r="571">
      <c r="A571" s="2"/>
      <c r="B571" s="1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row>
    <row r="572">
      <c r="A572" s="2"/>
      <c r="B572" s="1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row>
    <row r="573">
      <c r="A573" s="2"/>
      <c r="B573" s="1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row>
    <row r="574">
      <c r="A574" s="2"/>
      <c r="B574" s="1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row>
    <row r="575">
      <c r="A575" s="2"/>
      <c r="B575" s="1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row>
    <row r="576">
      <c r="A576" s="2"/>
      <c r="B576" s="1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row>
    <row r="577">
      <c r="A577" s="2"/>
      <c r="B577" s="1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row>
    <row r="578">
      <c r="A578" s="2"/>
      <c r="B578" s="1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row>
    <row r="579">
      <c r="A579" s="2"/>
      <c r="B579" s="1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row>
    <row r="580">
      <c r="A580" s="2"/>
      <c r="B580" s="1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row>
    <row r="581">
      <c r="A581" s="2"/>
      <c r="B581" s="1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row>
    <row r="582">
      <c r="A582" s="2"/>
      <c r="B582" s="1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row>
    <row r="583">
      <c r="A583" s="2"/>
      <c r="B583" s="1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row>
    <row r="584">
      <c r="A584" s="2"/>
      <c r="B584" s="1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row>
    <row r="585">
      <c r="A585" s="2"/>
      <c r="B585" s="1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row>
    <row r="586">
      <c r="A586" s="2"/>
      <c r="B586" s="1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row>
    <row r="587">
      <c r="A587" s="2"/>
      <c r="B587" s="1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row>
    <row r="588">
      <c r="A588" s="2"/>
      <c r="B588" s="1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row>
    <row r="589">
      <c r="A589" s="2"/>
      <c r="B589" s="1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row>
    <row r="590">
      <c r="A590" s="2"/>
      <c r="B590" s="1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row>
    <row r="591">
      <c r="A591" s="2"/>
      <c r="B591" s="1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row>
    <row r="592">
      <c r="A592" s="2"/>
      <c r="B592" s="1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row>
    <row r="593">
      <c r="A593" s="2"/>
      <c r="B593" s="1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row>
    <row r="594">
      <c r="A594" s="2"/>
      <c r="B594" s="1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row>
    <row r="595">
      <c r="A595" s="2"/>
      <c r="B595" s="1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row>
    <row r="596">
      <c r="A596" s="2"/>
      <c r="B596" s="1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row>
    <row r="597">
      <c r="A597" s="2"/>
      <c r="B597" s="1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row>
    <row r="598">
      <c r="A598" s="2"/>
      <c r="B598" s="1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row>
    <row r="599">
      <c r="A599" s="2"/>
      <c r="B599" s="1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row>
    <row r="600">
      <c r="A600" s="2"/>
      <c r="B600" s="1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row>
    <row r="601">
      <c r="A601" s="2"/>
      <c r="B601" s="1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row>
    <row r="602">
      <c r="A602" s="2"/>
      <c r="B602" s="1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row>
    <row r="603">
      <c r="A603" s="2"/>
      <c r="B603" s="1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row>
    <row r="604">
      <c r="A604" s="2"/>
      <c r="B604" s="1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row>
    <row r="605">
      <c r="A605" s="2"/>
      <c r="B605" s="1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row>
    <row r="606">
      <c r="A606" s="2"/>
      <c r="B606" s="1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row>
    <row r="607">
      <c r="A607" s="2"/>
      <c r="B607" s="1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row>
    <row r="608">
      <c r="A608" s="2"/>
      <c r="B608" s="1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row>
    <row r="609">
      <c r="A609" s="2"/>
      <c r="B609" s="1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row>
    <row r="610">
      <c r="A610" s="2"/>
      <c r="B610" s="1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row>
    <row r="611">
      <c r="A611" s="2"/>
      <c r="B611" s="1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row>
    <row r="612">
      <c r="A612" s="2"/>
      <c r="B612" s="1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row>
    <row r="613">
      <c r="A613" s="2"/>
      <c r="B613" s="1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row>
    <row r="614">
      <c r="A614" s="2"/>
      <c r="B614" s="1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row>
    <row r="615">
      <c r="A615" s="2"/>
      <c r="B615" s="1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row>
    <row r="616">
      <c r="A616" s="2"/>
      <c r="B616" s="1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row>
    <row r="617">
      <c r="A617" s="2"/>
      <c r="B617" s="1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row>
    <row r="618">
      <c r="A618" s="2"/>
      <c r="B618" s="1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row>
    <row r="619">
      <c r="A619" s="2"/>
      <c r="B619" s="1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row>
    <row r="620">
      <c r="A620" s="2"/>
      <c r="B620" s="1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row>
    <row r="621">
      <c r="A621" s="2"/>
      <c r="B621" s="1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row>
    <row r="622">
      <c r="A622" s="2"/>
      <c r="B622" s="1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row>
    <row r="623">
      <c r="A623" s="2"/>
      <c r="B623" s="1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row>
    <row r="624">
      <c r="A624" s="2"/>
      <c r="B624" s="1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row>
    <row r="625">
      <c r="A625" s="2"/>
      <c r="B625" s="1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row>
    <row r="626">
      <c r="A626" s="2"/>
      <c r="B626" s="1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row>
    <row r="627">
      <c r="A627" s="2"/>
      <c r="B627" s="1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row>
    <row r="628">
      <c r="A628" s="2"/>
      <c r="B628" s="1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row>
    <row r="629">
      <c r="A629" s="2"/>
      <c r="B629" s="1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row>
    <row r="630">
      <c r="A630" s="2"/>
      <c r="B630" s="1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row>
    <row r="631">
      <c r="A631" s="2"/>
      <c r="B631" s="1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row>
    <row r="632">
      <c r="A632" s="2"/>
      <c r="B632" s="1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row>
    <row r="633">
      <c r="A633" s="2"/>
      <c r="B633" s="1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row>
    <row r="634">
      <c r="A634" s="2"/>
      <c r="B634" s="1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row>
    <row r="635">
      <c r="A635" s="2"/>
      <c r="B635" s="1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row>
    <row r="636">
      <c r="A636" s="2"/>
      <c r="B636" s="1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row>
    <row r="637">
      <c r="A637" s="2"/>
      <c r="B637" s="1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row>
    <row r="638">
      <c r="A638" s="2"/>
      <c r="B638" s="1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row>
    <row r="639">
      <c r="A639" s="2"/>
      <c r="B639" s="1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row>
    <row r="640">
      <c r="A640" s="2"/>
      <c r="B640" s="1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row>
    <row r="641">
      <c r="A641" s="2"/>
      <c r="B641" s="1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row>
    <row r="642">
      <c r="A642" s="2"/>
      <c r="B642" s="1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row>
    <row r="643">
      <c r="A643" s="2"/>
      <c r="B643" s="1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row>
    <row r="644">
      <c r="A644" s="2"/>
      <c r="B644" s="1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row>
    <row r="645">
      <c r="A645" s="2"/>
      <c r="B645" s="1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row>
    <row r="646">
      <c r="A646" s="2"/>
      <c r="B646" s="1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row>
    <row r="647">
      <c r="A647" s="2"/>
      <c r="B647" s="1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row>
    <row r="648">
      <c r="A648" s="2"/>
      <c r="B648" s="1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row>
    <row r="649">
      <c r="A649" s="2"/>
      <c r="B649" s="1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row>
    <row r="650">
      <c r="A650" s="2"/>
      <c r="B650" s="1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row>
    <row r="651">
      <c r="A651" s="2"/>
      <c r="B651" s="1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row>
    <row r="652">
      <c r="A652" s="2"/>
      <c r="B652" s="1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row>
    <row r="653">
      <c r="A653" s="2"/>
      <c r="B653" s="1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row>
    <row r="654">
      <c r="A654" s="2"/>
      <c r="B654" s="1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row>
    <row r="655">
      <c r="A655" s="2"/>
      <c r="B655" s="1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row>
    <row r="656">
      <c r="A656" s="2"/>
      <c r="B656" s="1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row>
    <row r="657">
      <c r="A657" s="2"/>
      <c r="B657" s="1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row>
    <row r="658">
      <c r="A658" s="2"/>
      <c r="B658" s="1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row>
    <row r="659">
      <c r="A659" s="2"/>
      <c r="B659" s="1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row>
    <row r="660">
      <c r="A660" s="2"/>
      <c r="B660" s="1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row>
    <row r="661">
      <c r="A661" s="2"/>
      <c r="B661" s="1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row>
    <row r="662">
      <c r="A662" s="2"/>
      <c r="B662" s="1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row>
    <row r="663">
      <c r="A663" s="2"/>
      <c r="B663" s="1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row>
    <row r="664">
      <c r="A664" s="2"/>
      <c r="B664" s="1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row>
    <row r="665">
      <c r="A665" s="2"/>
      <c r="B665" s="1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row>
    <row r="666">
      <c r="A666" s="2"/>
      <c r="B666" s="1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row>
    <row r="667">
      <c r="A667" s="2"/>
      <c r="B667" s="1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row>
    <row r="668">
      <c r="A668" s="2"/>
      <c r="B668" s="1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row>
    <row r="669">
      <c r="A669" s="2"/>
      <c r="B669" s="1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row>
    <row r="670">
      <c r="A670" s="2"/>
      <c r="B670" s="1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row>
    <row r="671">
      <c r="A671" s="2"/>
      <c r="B671" s="1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row>
    <row r="672">
      <c r="A672" s="2"/>
      <c r="B672" s="1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row>
    <row r="673">
      <c r="A673" s="2"/>
      <c r="B673" s="1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row>
    <row r="674">
      <c r="A674" s="2"/>
      <c r="B674" s="1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row>
    <row r="675">
      <c r="A675" s="2"/>
      <c r="B675" s="1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row>
    <row r="676">
      <c r="A676" s="2"/>
      <c r="B676" s="1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row>
    <row r="677">
      <c r="A677" s="2"/>
      <c r="B677" s="1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row>
    <row r="678">
      <c r="A678" s="2"/>
      <c r="B678" s="1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row>
    <row r="679">
      <c r="A679" s="2"/>
      <c r="B679" s="1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row>
    <row r="680">
      <c r="A680" s="2"/>
      <c r="B680" s="1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row>
    <row r="681">
      <c r="A681" s="2"/>
      <c r="B681" s="1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row>
    <row r="682">
      <c r="A682" s="2"/>
      <c r="B682" s="1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row>
    <row r="683">
      <c r="A683" s="2"/>
      <c r="B683" s="1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row>
    <row r="684">
      <c r="A684" s="2"/>
      <c r="B684" s="1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row>
    <row r="685">
      <c r="A685" s="2"/>
      <c r="B685" s="1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row>
    <row r="686">
      <c r="A686" s="2"/>
      <c r="B686" s="1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row>
    <row r="687">
      <c r="A687" s="2"/>
      <c r="B687" s="1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row>
    <row r="688">
      <c r="A688" s="2"/>
      <c r="B688" s="1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row>
    <row r="689">
      <c r="A689" s="2"/>
      <c r="B689" s="1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row>
    <row r="690">
      <c r="A690" s="2"/>
      <c r="B690" s="1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row>
    <row r="691">
      <c r="A691" s="2"/>
      <c r="B691" s="1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row>
    <row r="692">
      <c r="A692" s="2"/>
      <c r="B692" s="1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row>
    <row r="693">
      <c r="A693" s="2"/>
      <c r="B693" s="1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row>
    <row r="694">
      <c r="A694" s="2"/>
      <c r="B694" s="1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row>
    <row r="695">
      <c r="A695" s="2"/>
      <c r="B695" s="1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row>
    <row r="696">
      <c r="A696" s="2"/>
      <c r="B696" s="1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row>
    <row r="697">
      <c r="A697" s="2"/>
      <c r="B697" s="1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row>
    <row r="698">
      <c r="A698" s="2"/>
      <c r="B698" s="1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row>
    <row r="699">
      <c r="A699" s="2"/>
      <c r="B699" s="1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row>
    <row r="700">
      <c r="A700" s="2"/>
      <c r="B700" s="1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row>
    <row r="701">
      <c r="A701" s="2"/>
      <c r="B701" s="1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row>
    <row r="702">
      <c r="A702" s="2"/>
      <c r="B702" s="1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row>
    <row r="703">
      <c r="A703" s="2"/>
      <c r="B703" s="1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row>
    <row r="704">
      <c r="A704" s="2"/>
      <c r="B704" s="1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row>
    <row r="705">
      <c r="A705" s="2"/>
      <c r="B705" s="1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row>
    <row r="706">
      <c r="A706" s="2"/>
      <c r="B706" s="1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row>
    <row r="707">
      <c r="A707" s="2"/>
      <c r="B707" s="1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row>
    <row r="708">
      <c r="A708" s="2"/>
      <c r="B708" s="1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row>
    <row r="709">
      <c r="A709" s="2"/>
      <c r="B709" s="1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row>
    <row r="710">
      <c r="A710" s="2"/>
      <c r="B710" s="1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row>
    <row r="711">
      <c r="A711" s="2"/>
      <c r="B711" s="1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row>
    <row r="712">
      <c r="A712" s="2"/>
      <c r="B712" s="1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row>
    <row r="713">
      <c r="A713" s="2"/>
      <c r="B713" s="1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row>
    <row r="714">
      <c r="A714" s="2"/>
      <c r="B714" s="1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row>
    <row r="715">
      <c r="A715" s="2"/>
      <c r="B715" s="1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row>
    <row r="716">
      <c r="A716" s="2"/>
      <c r="B716" s="1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row>
    <row r="717">
      <c r="A717" s="2"/>
      <c r="B717" s="1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row>
    <row r="718">
      <c r="A718" s="2"/>
      <c r="B718" s="1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row>
    <row r="719">
      <c r="A719" s="2"/>
      <c r="B719" s="1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row>
    <row r="720">
      <c r="A720" s="2"/>
      <c r="B720" s="1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row>
    <row r="721">
      <c r="A721" s="2"/>
      <c r="B721" s="1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row>
    <row r="722">
      <c r="A722" s="2"/>
      <c r="B722" s="1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row>
    <row r="723">
      <c r="A723" s="2"/>
      <c r="B723" s="1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row>
    <row r="724">
      <c r="A724" s="2"/>
      <c r="B724" s="1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row>
    <row r="725">
      <c r="A725" s="2"/>
      <c r="B725" s="1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row>
    <row r="726">
      <c r="A726" s="2"/>
      <c r="B726" s="1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row>
    <row r="727">
      <c r="A727" s="2"/>
      <c r="B727" s="1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row>
    <row r="728">
      <c r="A728" s="2"/>
      <c r="B728" s="1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row>
    <row r="729">
      <c r="A729" s="2"/>
      <c r="B729" s="1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row>
    <row r="730">
      <c r="A730" s="2"/>
      <c r="B730" s="1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row>
    <row r="731">
      <c r="A731" s="2"/>
      <c r="B731" s="1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row>
    <row r="732">
      <c r="A732" s="2"/>
      <c r="B732" s="1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row>
    <row r="733">
      <c r="A733" s="2"/>
      <c r="B733" s="1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row>
    <row r="734">
      <c r="A734" s="2"/>
      <c r="B734" s="1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row>
    <row r="735">
      <c r="A735" s="2"/>
      <c r="B735" s="1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row>
    <row r="736">
      <c r="A736" s="2"/>
      <c r="B736" s="1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row>
    <row r="737">
      <c r="A737" s="2"/>
      <c r="B737" s="1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row>
    <row r="738">
      <c r="A738" s="2"/>
      <c r="B738" s="1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row>
    <row r="739">
      <c r="A739" s="2"/>
      <c r="B739" s="1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row>
    <row r="740">
      <c r="A740" s="2"/>
      <c r="B740" s="1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row>
    <row r="741">
      <c r="A741" s="2"/>
      <c r="B741" s="1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row>
    <row r="742">
      <c r="A742" s="2"/>
      <c r="B742" s="1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row>
    <row r="743">
      <c r="A743" s="2"/>
      <c r="B743" s="1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row>
    <row r="744">
      <c r="A744" s="2"/>
      <c r="B744" s="1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row>
    <row r="745">
      <c r="A745" s="2"/>
      <c r="B745" s="1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row>
    <row r="746">
      <c r="A746" s="2"/>
      <c r="B746" s="1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row>
    <row r="747">
      <c r="A747" s="2"/>
      <c r="B747" s="1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row>
    <row r="748">
      <c r="A748" s="2"/>
      <c r="B748" s="1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row>
    <row r="749">
      <c r="A749" s="2"/>
      <c r="B749" s="1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row>
    <row r="750">
      <c r="A750" s="2"/>
      <c r="B750" s="1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row>
    <row r="751">
      <c r="A751" s="2"/>
      <c r="B751" s="1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row>
    <row r="752">
      <c r="A752" s="2"/>
      <c r="B752" s="1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row>
    <row r="753">
      <c r="A753" s="2"/>
      <c r="B753" s="1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row>
    <row r="754">
      <c r="A754" s="2"/>
      <c r="B754" s="1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row>
    <row r="755">
      <c r="A755" s="2"/>
      <c r="B755" s="1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row>
    <row r="756">
      <c r="A756" s="2"/>
      <c r="B756" s="1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row>
    <row r="757">
      <c r="A757" s="2"/>
      <c r="B757" s="1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row>
    <row r="758">
      <c r="A758" s="2"/>
      <c r="B758" s="1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row>
    <row r="759">
      <c r="A759" s="2"/>
      <c r="B759" s="1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row>
    <row r="760">
      <c r="A760" s="2"/>
      <c r="B760" s="1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row>
    <row r="761">
      <c r="A761" s="2"/>
      <c r="B761" s="1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row>
    <row r="762">
      <c r="A762" s="2"/>
      <c r="B762" s="1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row>
    <row r="763">
      <c r="A763" s="2"/>
      <c r="B763" s="1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row>
    <row r="764">
      <c r="A764" s="2"/>
      <c r="B764" s="1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row>
    <row r="765">
      <c r="A765" s="2"/>
      <c r="B765" s="1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row>
    <row r="766">
      <c r="A766" s="2"/>
      <c r="B766" s="1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row>
    <row r="767">
      <c r="A767" s="2"/>
      <c r="B767" s="1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row>
    <row r="768">
      <c r="A768" s="2"/>
      <c r="B768" s="1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row>
    <row r="769">
      <c r="A769" s="2"/>
      <c r="B769" s="1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row>
    <row r="770">
      <c r="A770" s="2"/>
      <c r="B770" s="1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row>
    <row r="771">
      <c r="A771" s="2"/>
      <c r="B771" s="1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row>
    <row r="772">
      <c r="A772" s="2"/>
      <c r="B772" s="1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row>
    <row r="773">
      <c r="A773" s="2"/>
      <c r="B773" s="1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row>
    <row r="774">
      <c r="A774" s="2"/>
      <c r="B774" s="1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row>
    <row r="775">
      <c r="A775" s="2"/>
      <c r="B775" s="1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row>
    <row r="776">
      <c r="A776" s="2"/>
      <c r="B776" s="1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row>
    <row r="777">
      <c r="A777" s="2"/>
      <c r="B777" s="1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row>
    <row r="778">
      <c r="A778" s="2"/>
      <c r="B778" s="1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row>
    <row r="779">
      <c r="A779" s="2"/>
      <c r="B779" s="1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row>
    <row r="780">
      <c r="A780" s="2"/>
      <c r="B780" s="1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row>
    <row r="781">
      <c r="A781" s="2"/>
      <c r="B781" s="1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row>
    <row r="782">
      <c r="A782" s="2"/>
      <c r="B782" s="1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row>
    <row r="783">
      <c r="A783" s="2"/>
      <c r="B783" s="1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row>
    <row r="784">
      <c r="A784" s="2"/>
      <c r="B784" s="1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row>
    <row r="785">
      <c r="A785" s="2"/>
      <c r="B785" s="1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row>
    <row r="786">
      <c r="A786" s="2"/>
      <c r="B786" s="1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row>
    <row r="787">
      <c r="A787" s="2"/>
      <c r="B787" s="1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row>
    <row r="788">
      <c r="A788" s="2"/>
      <c r="B788" s="1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row>
    <row r="789">
      <c r="A789" s="2"/>
      <c r="B789" s="1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row>
    <row r="790">
      <c r="A790" s="2"/>
      <c r="B790" s="1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row>
    <row r="791">
      <c r="A791" s="2"/>
      <c r="B791" s="1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row>
    <row r="792">
      <c r="A792" s="2"/>
      <c r="B792" s="1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row>
    <row r="793">
      <c r="A793" s="2"/>
      <c r="B793" s="1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row>
    <row r="794">
      <c r="A794" s="2"/>
      <c r="B794" s="1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row>
    <row r="795">
      <c r="A795" s="2"/>
      <c r="B795" s="1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row>
    <row r="796">
      <c r="A796" s="2"/>
      <c r="B796" s="1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row>
    <row r="797">
      <c r="A797" s="2"/>
      <c r="B797" s="1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row>
    <row r="798">
      <c r="A798" s="2"/>
      <c r="B798" s="1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row>
    <row r="799">
      <c r="A799" s="2"/>
      <c r="B799" s="1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row>
    <row r="800">
      <c r="A800" s="2"/>
      <c r="B800" s="1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row>
    <row r="801">
      <c r="A801" s="2"/>
      <c r="B801" s="1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row>
    <row r="802">
      <c r="A802" s="2"/>
      <c r="B802" s="1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row>
    <row r="803">
      <c r="A803" s="2"/>
      <c r="B803" s="1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row>
    <row r="804">
      <c r="A804" s="2"/>
      <c r="B804" s="1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row>
    <row r="805">
      <c r="A805" s="2"/>
      <c r="B805" s="1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row>
    <row r="806">
      <c r="A806" s="2"/>
      <c r="B806" s="1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row>
    <row r="807">
      <c r="A807" s="2"/>
      <c r="B807" s="1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row>
    <row r="808">
      <c r="A808" s="2"/>
      <c r="B808" s="1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row>
    <row r="809">
      <c r="A809" s="2"/>
      <c r="B809" s="1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row>
    <row r="810">
      <c r="A810" s="2"/>
      <c r="B810" s="1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row>
    <row r="811">
      <c r="A811" s="2"/>
      <c r="B811" s="1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row>
    <row r="812">
      <c r="A812" s="2"/>
      <c r="B812" s="1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row>
    <row r="813">
      <c r="A813" s="2"/>
      <c r="B813" s="1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row>
    <row r="814">
      <c r="A814" s="2"/>
      <c r="B814" s="1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row>
    <row r="815">
      <c r="A815" s="2"/>
      <c r="B815" s="1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row>
    <row r="816">
      <c r="A816" s="2"/>
      <c r="B816" s="1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row>
    <row r="817">
      <c r="A817" s="2"/>
      <c r="B817" s="1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row>
    <row r="818">
      <c r="A818" s="2"/>
      <c r="B818" s="1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row>
    <row r="819">
      <c r="A819" s="2"/>
      <c r="B819" s="1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row>
    <row r="820">
      <c r="A820" s="2"/>
      <c r="B820" s="1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row>
    <row r="821">
      <c r="A821" s="2"/>
      <c r="B821" s="1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row>
    <row r="822">
      <c r="A822" s="2"/>
      <c r="B822" s="1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row>
    <row r="823">
      <c r="A823" s="2"/>
      <c r="B823" s="1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row>
    <row r="824">
      <c r="A824" s="2"/>
      <c r="B824" s="1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row>
    <row r="825">
      <c r="A825" s="2"/>
      <c r="B825" s="1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row>
    <row r="826">
      <c r="A826" s="2"/>
      <c r="B826" s="1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row>
    <row r="827">
      <c r="A827" s="2"/>
      <c r="B827" s="1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row>
    <row r="828">
      <c r="A828" s="2"/>
      <c r="B828" s="1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row>
    <row r="829">
      <c r="A829" s="2"/>
      <c r="B829" s="1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row>
    <row r="830">
      <c r="A830" s="2"/>
      <c r="B830" s="1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row>
    <row r="831">
      <c r="A831" s="2"/>
      <c r="B831" s="1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row>
    <row r="832">
      <c r="A832" s="2"/>
      <c r="B832" s="1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row>
    <row r="833">
      <c r="A833" s="2"/>
      <c r="B833" s="1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row>
    <row r="834">
      <c r="A834" s="2"/>
      <c r="B834" s="1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row>
    <row r="835">
      <c r="A835" s="2"/>
      <c r="B835" s="1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row>
    <row r="836">
      <c r="A836" s="2"/>
      <c r="B836" s="1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row>
    <row r="837">
      <c r="A837" s="2"/>
      <c r="B837" s="1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row>
    <row r="838">
      <c r="A838" s="2"/>
      <c r="B838" s="1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row>
    <row r="839">
      <c r="A839" s="2"/>
      <c r="B839" s="1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row>
    <row r="840">
      <c r="A840" s="2"/>
      <c r="B840" s="1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row>
    <row r="841">
      <c r="A841" s="2"/>
      <c r="B841" s="1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row>
    <row r="842">
      <c r="A842" s="2"/>
      <c r="B842" s="1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row>
    <row r="843">
      <c r="A843" s="2"/>
      <c r="B843" s="1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row>
    <row r="844">
      <c r="A844" s="2"/>
      <c r="B844" s="1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row>
    <row r="845">
      <c r="A845" s="2"/>
      <c r="B845" s="1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row>
    <row r="846">
      <c r="A846" s="2"/>
      <c r="B846" s="1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row>
    <row r="847">
      <c r="A847" s="2"/>
      <c r="B847" s="1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row>
    <row r="848">
      <c r="A848" s="2"/>
      <c r="B848" s="1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row>
    <row r="849">
      <c r="A849" s="2"/>
      <c r="B849" s="1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row>
    <row r="850">
      <c r="A850" s="2"/>
      <c r="B850" s="1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row>
    <row r="851">
      <c r="A851" s="2"/>
      <c r="B851" s="1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row>
    <row r="852">
      <c r="A852" s="2"/>
      <c r="B852" s="1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row>
    <row r="853">
      <c r="A853" s="2"/>
      <c r="B853" s="1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row>
    <row r="854">
      <c r="A854" s="2"/>
      <c r="B854" s="1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row>
    <row r="855">
      <c r="A855" s="2"/>
      <c r="B855" s="1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row>
    <row r="856">
      <c r="A856" s="2"/>
      <c r="B856" s="1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row>
    <row r="857">
      <c r="A857" s="2"/>
      <c r="B857" s="1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row>
    <row r="858">
      <c r="A858" s="2"/>
      <c r="B858" s="1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row>
    <row r="859">
      <c r="A859" s="2"/>
      <c r="B859" s="1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row>
    <row r="860">
      <c r="A860" s="2"/>
      <c r="B860" s="1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row>
    <row r="861">
      <c r="A861" s="2"/>
      <c r="B861" s="1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row>
    <row r="862">
      <c r="A862" s="2"/>
      <c r="B862" s="1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row>
    <row r="863">
      <c r="A863" s="2"/>
      <c r="B863" s="1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row>
    <row r="864">
      <c r="A864" s="2"/>
      <c r="B864" s="1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row>
    <row r="865">
      <c r="A865" s="2"/>
      <c r="B865" s="1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row>
    <row r="866">
      <c r="A866" s="2"/>
      <c r="B866" s="1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row>
    <row r="867">
      <c r="A867" s="2"/>
      <c r="B867" s="1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row>
    <row r="868">
      <c r="A868" s="2"/>
      <c r="B868" s="1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row>
    <row r="869">
      <c r="A869" s="2"/>
      <c r="B869" s="1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row>
    <row r="870">
      <c r="A870" s="2"/>
      <c r="B870" s="1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row>
    <row r="871">
      <c r="A871" s="2"/>
      <c r="B871" s="1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row>
    <row r="872">
      <c r="A872" s="2"/>
      <c r="B872" s="1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row>
    <row r="873">
      <c r="A873" s="2"/>
      <c r="B873" s="1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row>
    <row r="874">
      <c r="A874" s="2"/>
      <c r="B874" s="1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row>
    <row r="875">
      <c r="A875" s="2"/>
      <c r="B875" s="1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row>
    <row r="876">
      <c r="A876" s="2"/>
      <c r="B876" s="1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row>
    <row r="877">
      <c r="A877" s="2"/>
      <c r="B877" s="1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row>
    <row r="878">
      <c r="A878" s="2"/>
      <c r="B878" s="1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row>
    <row r="879">
      <c r="A879" s="2"/>
      <c r="B879" s="1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row>
    <row r="880">
      <c r="A880" s="2"/>
      <c r="B880" s="1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row>
    <row r="881">
      <c r="A881" s="2"/>
      <c r="B881" s="1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row>
    <row r="882">
      <c r="A882" s="2"/>
      <c r="B882" s="1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row>
    <row r="883">
      <c r="A883" s="2"/>
      <c r="B883" s="1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row>
    <row r="884">
      <c r="A884" s="2"/>
      <c r="B884" s="1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row>
    <row r="885">
      <c r="A885" s="2"/>
      <c r="B885" s="1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row>
    <row r="886">
      <c r="A886" s="2"/>
      <c r="B886" s="1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row>
    <row r="887">
      <c r="A887" s="2"/>
      <c r="B887" s="1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row>
    <row r="888">
      <c r="A888" s="2"/>
      <c r="B888" s="1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row>
    <row r="889">
      <c r="A889" s="2"/>
      <c r="B889" s="1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row>
    <row r="890">
      <c r="A890" s="2"/>
      <c r="B890" s="1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row>
    <row r="891">
      <c r="A891" s="2"/>
      <c r="B891" s="1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row>
    <row r="892">
      <c r="A892" s="2"/>
      <c r="B892" s="1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row>
    <row r="893">
      <c r="A893" s="2"/>
      <c r="B893" s="1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row>
    <row r="894">
      <c r="A894" s="2"/>
      <c r="B894" s="1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row>
    <row r="895">
      <c r="A895" s="2"/>
      <c r="B895" s="1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row>
    <row r="896">
      <c r="A896" s="2"/>
      <c r="B896" s="1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row>
    <row r="897">
      <c r="A897" s="2"/>
      <c r="B897" s="1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row>
    <row r="898">
      <c r="A898" s="2"/>
      <c r="B898" s="1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row>
    <row r="899">
      <c r="A899" s="2"/>
      <c r="B899" s="1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row>
    <row r="900">
      <c r="A900" s="2"/>
      <c r="B900" s="1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row>
    <row r="901">
      <c r="A901" s="2"/>
      <c r="B901" s="1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row>
    <row r="902">
      <c r="A902" s="2"/>
      <c r="B902" s="1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row>
    <row r="903">
      <c r="A903" s="2"/>
      <c r="B903" s="1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row>
    <row r="904">
      <c r="A904" s="2"/>
      <c r="B904" s="1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row>
    <row r="905">
      <c r="A905" s="2"/>
      <c r="B905" s="1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row>
    <row r="906">
      <c r="A906" s="2"/>
      <c r="B906" s="1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row>
    <row r="907">
      <c r="A907" s="2"/>
      <c r="B907" s="1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row>
    <row r="908">
      <c r="A908" s="2"/>
      <c r="B908" s="1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row>
    <row r="909">
      <c r="A909" s="2"/>
      <c r="B909" s="1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row>
    <row r="910">
      <c r="A910" s="2"/>
      <c r="B910" s="1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row>
    <row r="911">
      <c r="A911" s="2"/>
      <c r="B911" s="1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row>
    <row r="912">
      <c r="A912" s="2"/>
      <c r="B912" s="1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row>
    <row r="913">
      <c r="A913" s="2"/>
      <c r="B913" s="1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row>
    <row r="914">
      <c r="A914" s="2"/>
      <c r="B914" s="1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row>
    <row r="915">
      <c r="A915" s="2"/>
      <c r="B915" s="1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row>
    <row r="916">
      <c r="A916" s="2"/>
      <c r="B916" s="1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row>
    <row r="917">
      <c r="A917" s="2"/>
      <c r="B917" s="1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row>
    <row r="918">
      <c r="A918" s="2"/>
      <c r="B918" s="1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row>
    <row r="919">
      <c r="A919" s="2"/>
      <c r="B919" s="1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row>
    <row r="920">
      <c r="A920" s="2"/>
      <c r="B920" s="1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row>
    <row r="921">
      <c r="A921" s="2"/>
      <c r="B921" s="1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row>
    <row r="922">
      <c r="A922" s="2"/>
      <c r="B922" s="1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row>
    <row r="923">
      <c r="A923" s="2"/>
      <c r="B923" s="1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row>
    <row r="924">
      <c r="A924" s="2"/>
      <c r="B924" s="1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row>
    <row r="925">
      <c r="A925" s="2"/>
      <c r="B925" s="1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row>
    <row r="926">
      <c r="A926" s="2"/>
      <c r="B926" s="1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row>
    <row r="927">
      <c r="A927" s="2"/>
      <c r="B927" s="1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row>
    <row r="928">
      <c r="A928" s="2"/>
      <c r="B928" s="1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row>
    <row r="929">
      <c r="A929" s="2"/>
      <c r="B929" s="1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row>
    <row r="930">
      <c r="A930" s="2"/>
      <c r="B930" s="1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row>
    <row r="931">
      <c r="A931" s="2"/>
      <c r="B931" s="1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row>
    <row r="932">
      <c r="A932" s="2"/>
      <c r="B932" s="1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row>
    <row r="933">
      <c r="A933" s="2"/>
      <c r="B933" s="1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row>
    <row r="934">
      <c r="A934" s="2"/>
      <c r="B934" s="1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row>
    <row r="935">
      <c r="A935" s="2"/>
      <c r="B935" s="1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row>
    <row r="936">
      <c r="A936" s="2"/>
      <c r="B936" s="1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row>
    <row r="937">
      <c r="A937" s="2"/>
      <c r="B937" s="1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row>
    <row r="938">
      <c r="A938" s="2"/>
      <c r="B938" s="1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row>
    <row r="939">
      <c r="A939" s="2"/>
      <c r="B939" s="1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row>
    <row r="940">
      <c r="A940" s="2"/>
      <c r="B940" s="1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row>
    <row r="941">
      <c r="A941" s="2"/>
      <c r="B941" s="1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row>
    <row r="942">
      <c r="A942" s="2"/>
      <c r="B942" s="1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row>
    <row r="943">
      <c r="A943" s="2"/>
      <c r="B943" s="1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row>
    <row r="944">
      <c r="A944" s="2"/>
      <c r="B944" s="1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row>
    <row r="945">
      <c r="A945" s="2"/>
      <c r="B945" s="1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row>
    <row r="946">
      <c r="A946" s="2"/>
      <c r="B946" s="1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row>
    <row r="947">
      <c r="A947" s="2"/>
      <c r="B947" s="1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row>
    <row r="948">
      <c r="A948" s="2"/>
      <c r="B948" s="1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row>
    <row r="949">
      <c r="A949" s="2"/>
      <c r="B949" s="1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row>
    <row r="950">
      <c r="A950" s="2"/>
      <c r="B950" s="1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row>
    <row r="951">
      <c r="A951" s="2"/>
      <c r="B951" s="1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row>
    <row r="952">
      <c r="A952" s="2"/>
      <c r="B952" s="1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row>
    <row r="953">
      <c r="A953" s="2"/>
      <c r="B953" s="1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row>
    <row r="954">
      <c r="A954" s="2"/>
      <c r="B954" s="1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row>
    <row r="955">
      <c r="A955" s="2"/>
      <c r="B955" s="1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row>
    <row r="956">
      <c r="A956" s="2"/>
      <c r="B956" s="1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row>
    <row r="957">
      <c r="A957" s="2"/>
      <c r="B957" s="1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row>
    <row r="958">
      <c r="A958" s="2"/>
      <c r="B958" s="1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row>
    <row r="959">
      <c r="A959" s="2"/>
      <c r="B959" s="1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row>
    <row r="960">
      <c r="A960" s="2"/>
      <c r="B960" s="1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row>
    <row r="961">
      <c r="A961" s="2"/>
      <c r="B961" s="1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row>
    <row r="962">
      <c r="A962" s="2"/>
      <c r="B962" s="1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row>
    <row r="963">
      <c r="A963" s="2"/>
      <c r="B963" s="1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row>
    <row r="964">
      <c r="A964" s="2"/>
      <c r="B964" s="1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row>
    <row r="965">
      <c r="A965" s="2"/>
      <c r="B965" s="1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row>
    <row r="966">
      <c r="A966" s="2"/>
      <c r="B966" s="1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row>
    <row r="967">
      <c r="A967" s="2"/>
      <c r="B967" s="1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row>
    <row r="968">
      <c r="A968" s="2"/>
      <c r="B968" s="1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row>
    <row r="969">
      <c r="A969" s="2"/>
      <c r="B969" s="1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row>
    <row r="970">
      <c r="A970" s="2"/>
      <c r="B970" s="1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row>
    <row r="971">
      <c r="A971" s="2"/>
      <c r="B971" s="1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row>
    <row r="972">
      <c r="A972" s="2"/>
      <c r="B972" s="1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row>
    <row r="973">
      <c r="A973" s="2"/>
      <c r="B973" s="1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row>
    <row r="974">
      <c r="A974" s="2"/>
      <c r="B974" s="1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row>
    <row r="975">
      <c r="A975" s="2"/>
      <c r="B975" s="1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row>
    <row r="976">
      <c r="A976" s="2"/>
      <c r="B976" s="1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row>
    <row r="977">
      <c r="A977" s="2"/>
      <c r="B977" s="1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row>
    <row r="978">
      <c r="A978" s="2"/>
      <c r="B978" s="1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row>
    <row r="979">
      <c r="A979" s="2"/>
      <c r="B979" s="1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row>
    <row r="980">
      <c r="A980" s="2"/>
      <c r="B980" s="1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row>
    <row r="981">
      <c r="A981" s="2"/>
      <c r="B981" s="1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row>
    <row r="982">
      <c r="A982" s="2"/>
      <c r="B982" s="1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row>
    <row r="983">
      <c r="A983" s="2"/>
      <c r="B983" s="1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row>
    <row r="984">
      <c r="A984" s="2"/>
      <c r="B984" s="1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row>
    <row r="985">
      <c r="A985" s="2"/>
      <c r="B985" s="1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row>
    <row r="986">
      <c r="A986" s="2"/>
      <c r="B986" s="1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row>
    <row r="987">
      <c r="A987" s="2"/>
      <c r="B987" s="1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row>
    <row r="988">
      <c r="A988" s="2"/>
      <c r="B988" s="1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row>
    <row r="989">
      <c r="A989" s="2"/>
      <c r="B989" s="1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row>
    <row r="990">
      <c r="A990" s="2"/>
      <c r="B990" s="1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row>
    <row r="991">
      <c r="A991" s="2"/>
      <c r="B991" s="1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row>
    <row r="992">
      <c r="A992" s="2"/>
      <c r="B992" s="1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row>
    <row r="993">
      <c r="A993" s="2"/>
      <c r="B993" s="1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row>
    <row r="994">
      <c r="A994" s="2"/>
      <c r="B994" s="1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row>
    <row r="995">
      <c r="A995" s="2"/>
      <c r="B995" s="1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row>
    <row r="996">
      <c r="A996" s="2"/>
      <c r="B996" s="1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row>
    <row r="997">
      <c r="A997" s="2"/>
      <c r="B997" s="1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row>
    <row r="998">
      <c r="A998" s="2"/>
      <c r="B998" s="1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row>
    <row r="999">
      <c r="A999" s="2"/>
      <c r="B999" s="1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row>
    <row r="1000">
      <c r="A1000" s="2"/>
      <c r="B1000" s="1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row>
    <row r="1001">
      <c r="A1001" s="2"/>
      <c r="B1001" s="1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row>
    <row r="1002">
      <c r="A1002" s="2"/>
      <c r="B1002" s="1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row>
    <row r="1003">
      <c r="A1003" s="2"/>
      <c r="B1003" s="1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row>
    <row r="1004">
      <c r="A1004" s="2"/>
      <c r="B1004" s="1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row>
    <row r="1005">
      <c r="A1005" s="2"/>
      <c r="B1005" s="1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row>
    <row r="1006">
      <c r="A1006" s="2"/>
      <c r="B1006" s="1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row>
    <row r="1007">
      <c r="A1007" s="2"/>
      <c r="B1007" s="1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row>
    <row r="1008">
      <c r="A1008" s="2"/>
      <c r="B1008" s="1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row>
    <row r="1009">
      <c r="A1009" s="2"/>
      <c r="B1009" s="1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row>
  </sheetData>
  <autoFilter ref="$A$1:$C$195">
    <sortState ref="A1:C195">
      <sortCondition ref="A1:A195"/>
      <sortCondition ref="C1:C195"/>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3" width="22.63"/>
    <col customWidth="1" min="4" max="4" width="13.88"/>
    <col customWidth="1" min="5" max="5" width="17.63"/>
    <col customWidth="1" min="7" max="7" width="17.75"/>
    <col customWidth="1" min="8" max="8" width="23.0"/>
    <col customWidth="1" min="9" max="9" width="10.25"/>
    <col customWidth="1" min="10" max="10" width="15.0"/>
    <col customWidth="1" min="11" max="11" width="223.25"/>
    <col customWidth="1" min="12" max="12" width="230.0"/>
    <col customWidth="1" min="13" max="15" width="12.25" outlineLevel="1"/>
    <col customWidth="1" min="16" max="16" width="11.63" outlineLevel="1"/>
    <col customWidth="1" min="17" max="17" width="17.0" outlineLevel="1"/>
    <col customWidth="1" min="18" max="18" width="19.75" outlineLevel="1"/>
    <col customWidth="1" min="19" max="19" width="16.25" outlineLevel="1"/>
    <col customWidth="1" min="20" max="20" width="19.25" outlineLevel="1"/>
    <col customWidth="1" min="21" max="21" width="28.75" outlineLevel="1"/>
    <col customWidth="1" min="22" max="22" width="15.38" outlineLevel="1"/>
    <col customWidth="1" min="23" max="23" width="17.0" outlineLevel="1"/>
    <col customWidth="1" min="24" max="24" width="25.63" outlineLevel="1"/>
    <col customWidth="1" min="25" max="25" width="25.13" outlineLevel="1"/>
    <col customWidth="1" min="26" max="26" width="25.5" outlineLevel="1"/>
    <col customWidth="1" min="27" max="27" width="14.75" outlineLevel="1"/>
    <col customWidth="1" min="28" max="35" width="28.0" outlineLevel="1"/>
    <col customWidth="1" min="36" max="36" width="29.13"/>
    <col customWidth="1" min="37" max="38" width="14.25"/>
    <col customWidth="1" min="39" max="39" width="15.13"/>
    <col customWidth="1" min="40" max="40" width="16.13"/>
    <col customWidth="1" min="41" max="41" width="12.88"/>
    <col customWidth="1" min="42" max="42" width="31.38"/>
    <col customWidth="1" min="43" max="43" width="12.63"/>
    <col customWidth="1" min="44" max="44" width="33.13"/>
    <col customWidth="1" min="45" max="45" width="22.63"/>
    <col customWidth="1" min="51" max="51" width="115.0"/>
    <col customWidth="1" min="52" max="52" width="18.75"/>
    <col customWidth="1" min="53" max="53" width="16.0"/>
    <col customWidth="1" min="54" max="54" width="20.5"/>
    <col customWidth="1" min="55" max="55" width="17.5"/>
    <col customWidth="1" min="61" max="61" width="16.63"/>
    <col customWidth="1" min="62" max="63" width="17.13"/>
    <col customWidth="1" min="68" max="68" width="14.13"/>
  </cols>
  <sheetData>
    <row r="1">
      <c r="A1" s="13"/>
      <c r="B1" s="14" t="s">
        <v>569</v>
      </c>
      <c r="C1" s="13" t="s">
        <v>570</v>
      </c>
      <c r="D1" s="13" t="s">
        <v>571</v>
      </c>
      <c r="E1" s="13" t="s">
        <v>572</v>
      </c>
      <c r="F1" s="13" t="s">
        <v>573</v>
      </c>
      <c r="G1" s="13" t="s">
        <v>574</v>
      </c>
      <c r="H1" s="13" t="s">
        <v>575</v>
      </c>
      <c r="I1" s="13" t="s">
        <v>576</v>
      </c>
      <c r="J1" s="15" t="s">
        <v>577</v>
      </c>
      <c r="K1" s="16" t="s">
        <v>578</v>
      </c>
      <c r="L1" s="16" t="s">
        <v>579</v>
      </c>
      <c r="M1" s="17" t="s">
        <v>580</v>
      </c>
      <c r="N1" s="17" t="s">
        <v>581</v>
      </c>
      <c r="O1" s="17" t="s">
        <v>582</v>
      </c>
      <c r="P1" s="17" t="s">
        <v>583</v>
      </c>
      <c r="Q1" s="18" t="s">
        <v>584</v>
      </c>
      <c r="R1" s="18" t="s">
        <v>585</v>
      </c>
      <c r="S1" s="19" t="s">
        <v>586</v>
      </c>
      <c r="T1" s="19" t="s">
        <v>587</v>
      </c>
      <c r="U1" s="20" t="s">
        <v>588</v>
      </c>
      <c r="V1" s="20" t="s">
        <v>589</v>
      </c>
      <c r="W1" s="20" t="s">
        <v>590</v>
      </c>
      <c r="X1" s="21" t="s">
        <v>591</v>
      </c>
      <c r="Y1" s="20" t="s">
        <v>592</v>
      </c>
      <c r="Z1" s="20" t="s">
        <v>593</v>
      </c>
      <c r="AA1" s="20" t="s">
        <v>594</v>
      </c>
      <c r="AB1" s="20" t="s">
        <v>595</v>
      </c>
      <c r="AC1" s="22" t="s">
        <v>596</v>
      </c>
      <c r="AD1" s="22" t="s">
        <v>597</v>
      </c>
      <c r="AE1" s="20" t="s">
        <v>598</v>
      </c>
      <c r="AF1" s="20" t="s">
        <v>599</v>
      </c>
      <c r="AG1" s="20" t="s">
        <v>600</v>
      </c>
      <c r="AH1" s="20" t="s">
        <v>601</v>
      </c>
      <c r="AI1" s="20" t="s">
        <v>602</v>
      </c>
      <c r="AJ1" s="13" t="s">
        <v>603</v>
      </c>
      <c r="AK1" s="23" t="s">
        <v>604</v>
      </c>
      <c r="AL1" s="13" t="s">
        <v>605</v>
      </c>
      <c r="AM1" s="13" t="s">
        <v>606</v>
      </c>
      <c r="AN1" s="15" t="s">
        <v>607</v>
      </c>
      <c r="AO1" s="24" t="s">
        <v>608</v>
      </c>
      <c r="AP1" s="15" t="s">
        <v>609</v>
      </c>
      <c r="AQ1" s="15" t="s">
        <v>610</v>
      </c>
      <c r="AR1" s="15" t="s">
        <v>611</v>
      </c>
      <c r="AS1" s="13" t="s">
        <v>612</v>
      </c>
      <c r="AT1" s="25"/>
      <c r="AU1" s="25"/>
      <c r="AV1" s="25"/>
      <c r="AW1" s="25"/>
      <c r="AX1" s="25"/>
      <c r="AY1" s="25"/>
      <c r="AZ1" s="25"/>
      <c r="BA1" s="25"/>
      <c r="BB1" s="25"/>
      <c r="BC1" s="25"/>
      <c r="BD1" s="25"/>
      <c r="BE1" s="25"/>
      <c r="BF1" s="25"/>
      <c r="BG1" s="25"/>
      <c r="BH1" s="25"/>
      <c r="BI1" s="25"/>
      <c r="BJ1" s="25"/>
      <c r="BK1" s="25"/>
      <c r="BL1" s="25"/>
      <c r="BM1" s="25"/>
      <c r="BN1" s="25"/>
      <c r="BO1" s="25"/>
      <c r="BP1" s="25"/>
    </row>
    <row r="2">
      <c r="A2" s="7" t="s">
        <v>521</v>
      </c>
      <c r="B2" s="26" t="s">
        <v>522</v>
      </c>
      <c r="C2" s="7" t="s">
        <v>522</v>
      </c>
      <c r="D2" s="27" t="s">
        <v>523</v>
      </c>
      <c r="E2" s="7" t="s">
        <v>613</v>
      </c>
      <c r="F2" s="7" t="s">
        <v>614</v>
      </c>
      <c r="G2" s="28" t="s">
        <v>615</v>
      </c>
      <c r="H2" s="7"/>
      <c r="I2" s="7" t="s">
        <v>616</v>
      </c>
      <c r="J2" s="7" t="s">
        <v>617</v>
      </c>
      <c r="K2" s="29" t="s">
        <v>618</v>
      </c>
      <c r="L2" s="30" t="s">
        <v>619</v>
      </c>
      <c r="M2" s="31" t="b">
        <v>0</v>
      </c>
      <c r="N2" s="32" t="b">
        <v>1</v>
      </c>
      <c r="O2" s="32" t="s">
        <v>620</v>
      </c>
      <c r="P2" s="32" t="b">
        <v>1</v>
      </c>
      <c r="Q2" s="31" t="b">
        <v>0</v>
      </c>
      <c r="R2" s="32" t="b">
        <v>1</v>
      </c>
      <c r="S2" s="32" t="s">
        <v>621</v>
      </c>
      <c r="T2" s="32" t="s">
        <v>622</v>
      </c>
      <c r="U2" s="32" t="b">
        <v>0</v>
      </c>
      <c r="V2" s="32"/>
      <c r="W2" s="32" t="b">
        <v>0</v>
      </c>
      <c r="X2" s="32" t="b">
        <v>0</v>
      </c>
      <c r="Y2" s="32" t="s">
        <v>623</v>
      </c>
      <c r="Z2" s="32"/>
      <c r="AA2" s="32"/>
      <c r="AB2" s="32" t="s">
        <v>624</v>
      </c>
      <c r="AC2" s="33" t="s">
        <v>625</v>
      </c>
      <c r="AD2" s="32"/>
      <c r="AE2" s="32" t="s">
        <v>626</v>
      </c>
      <c r="AF2" s="32" t="s">
        <v>627</v>
      </c>
      <c r="AG2" s="32" t="s">
        <v>628</v>
      </c>
      <c r="AH2" s="32"/>
      <c r="AI2" s="32" t="s">
        <v>629</v>
      </c>
      <c r="AJ2" s="3" t="s">
        <v>630</v>
      </c>
      <c r="AK2" s="34" t="s">
        <v>631</v>
      </c>
      <c r="AL2" s="25"/>
      <c r="AM2" s="25"/>
      <c r="AN2" s="35" t="s">
        <v>632</v>
      </c>
      <c r="AO2" s="24">
        <v>0.026122685185185186</v>
      </c>
      <c r="AP2" s="36"/>
      <c r="AQ2" s="36"/>
      <c r="AR2" s="7" t="s">
        <v>633</v>
      </c>
      <c r="AS2" s="7" t="b">
        <f>NOT(ISERROR(MATCH(A2,'Villages according to موسوعة ال'!C:C,0)))</f>
        <v>1</v>
      </c>
      <c r="AT2" s="37"/>
      <c r="AU2" s="37"/>
      <c r="AV2" s="37"/>
      <c r="AW2" s="37"/>
      <c r="AX2" s="38"/>
      <c r="AY2" s="38"/>
      <c r="AZ2" s="37"/>
      <c r="BA2" s="37"/>
      <c r="BB2" s="37"/>
      <c r="BC2" s="37"/>
      <c r="BD2" s="37"/>
      <c r="BE2" s="37"/>
      <c r="BF2" s="37"/>
      <c r="BG2" s="37"/>
      <c r="BH2" s="37"/>
      <c r="BI2" s="37"/>
      <c r="BJ2" s="37"/>
      <c r="BK2" s="37"/>
      <c r="BL2" s="37"/>
      <c r="BM2" s="37"/>
      <c r="BN2" s="37"/>
      <c r="BO2" s="37"/>
      <c r="BP2" s="37"/>
    </row>
    <row r="3">
      <c r="A3" s="7" t="s">
        <v>521</v>
      </c>
      <c r="B3" s="26" t="s">
        <v>522</v>
      </c>
      <c r="F3" s="7" t="s">
        <v>614</v>
      </c>
      <c r="K3" s="29" t="s">
        <v>634</v>
      </c>
      <c r="L3" s="39" t="s">
        <v>635</v>
      </c>
      <c r="M3" s="40" t="b">
        <v>0</v>
      </c>
      <c r="N3" s="41" t="b">
        <v>1</v>
      </c>
      <c r="O3" s="41" t="s">
        <v>620</v>
      </c>
      <c r="P3" s="41" t="b">
        <v>1</v>
      </c>
      <c r="Q3" s="40" t="b">
        <v>0</v>
      </c>
      <c r="R3" s="41" t="b">
        <v>1</v>
      </c>
      <c r="S3" s="41" t="s">
        <v>621</v>
      </c>
      <c r="T3" s="32" t="s">
        <v>622</v>
      </c>
      <c r="U3" s="40" t="b">
        <v>0</v>
      </c>
      <c r="V3" s="40"/>
      <c r="W3" s="40" t="b">
        <v>0</v>
      </c>
      <c r="X3" s="40" t="b">
        <v>0</v>
      </c>
      <c r="Y3" s="41" t="s">
        <v>623</v>
      </c>
      <c r="Z3" s="40"/>
      <c r="AA3" s="40"/>
      <c r="AB3" s="40"/>
      <c r="AC3" s="42" t="s">
        <v>625</v>
      </c>
      <c r="AD3" s="40"/>
      <c r="AE3" s="40"/>
      <c r="AF3" s="40"/>
      <c r="AG3" s="41"/>
      <c r="AH3" s="40"/>
      <c r="AI3" s="41" t="s">
        <v>629</v>
      </c>
      <c r="AJ3" s="3"/>
      <c r="AK3" s="34" t="s">
        <v>636</v>
      </c>
      <c r="AL3" s="25"/>
      <c r="AM3" s="25"/>
      <c r="AN3" s="35" t="s">
        <v>637</v>
      </c>
      <c r="AO3" s="24">
        <v>0.00738425925925926</v>
      </c>
      <c r="AP3" s="36"/>
      <c r="AQ3" s="36"/>
      <c r="AR3" s="7" t="s">
        <v>633</v>
      </c>
      <c r="AS3" s="7" t="b">
        <f>NOT(ISERROR(MATCH(A3,'Villages according to موسوعة ال'!C:C,0)))</f>
        <v>1</v>
      </c>
      <c r="AT3" s="37"/>
      <c r="AU3" s="37"/>
      <c r="AV3" s="37"/>
      <c r="AW3" s="37"/>
      <c r="AX3" s="37"/>
      <c r="AY3" s="37"/>
      <c r="AZ3" s="37"/>
      <c r="BA3" s="37"/>
      <c r="BB3" s="37"/>
      <c r="BC3" s="37"/>
      <c r="BD3" s="37"/>
      <c r="BE3" s="37"/>
      <c r="BF3" s="37"/>
      <c r="BG3" s="37"/>
      <c r="BH3" s="37"/>
      <c r="BI3" s="37"/>
      <c r="BJ3" s="37"/>
      <c r="BK3" s="37"/>
      <c r="BL3" s="37"/>
      <c r="BM3" s="37"/>
      <c r="BN3" s="37"/>
      <c r="BO3" s="37"/>
      <c r="BP3" s="37"/>
    </row>
    <row r="4">
      <c r="A4" s="7" t="s">
        <v>470</v>
      </c>
      <c r="B4" s="43" t="s">
        <v>471</v>
      </c>
      <c r="C4" s="7" t="s">
        <v>471</v>
      </c>
      <c r="D4" s="7" t="s">
        <v>472</v>
      </c>
      <c r="E4" s="27" t="s">
        <v>613</v>
      </c>
      <c r="F4" s="7" t="s">
        <v>614</v>
      </c>
      <c r="G4" s="28" t="s">
        <v>615</v>
      </c>
      <c r="H4" s="7"/>
      <c r="I4" s="7" t="s">
        <v>638</v>
      </c>
      <c r="J4" s="36" t="s">
        <v>639</v>
      </c>
      <c r="K4" s="29" t="s">
        <v>640</v>
      </c>
      <c r="L4" s="44" t="s">
        <v>641</v>
      </c>
      <c r="M4" s="31" t="b">
        <v>0</v>
      </c>
      <c r="N4" s="32" t="b">
        <v>1</v>
      </c>
      <c r="O4" s="32" t="s">
        <v>620</v>
      </c>
      <c r="P4" s="32" t="b">
        <v>1</v>
      </c>
      <c r="Q4" s="31" t="b">
        <v>0</v>
      </c>
      <c r="R4" s="31" t="b">
        <v>0</v>
      </c>
      <c r="S4" s="32" t="s">
        <v>621</v>
      </c>
      <c r="T4" s="32" t="s">
        <v>622</v>
      </c>
      <c r="U4" s="31" t="b">
        <v>0</v>
      </c>
      <c r="V4" s="31"/>
      <c r="W4" s="31" t="b">
        <v>0</v>
      </c>
      <c r="X4" s="31" t="b">
        <v>0</v>
      </c>
      <c r="Y4" s="31"/>
      <c r="Z4" s="31"/>
      <c r="AA4" s="31"/>
      <c r="AB4" s="31"/>
      <c r="AC4" s="45"/>
      <c r="AD4" s="31"/>
      <c r="AE4" s="32" t="s">
        <v>626</v>
      </c>
      <c r="AF4" s="32" t="s">
        <v>627</v>
      </c>
      <c r="AG4" s="31"/>
      <c r="AH4" s="31"/>
      <c r="AI4" s="31"/>
      <c r="AJ4" s="3"/>
      <c r="AK4" s="34" t="s">
        <v>631</v>
      </c>
      <c r="AL4" s="25"/>
      <c r="AM4" s="25"/>
      <c r="AN4" s="35" t="s">
        <v>642</v>
      </c>
      <c r="AO4" s="24">
        <v>0.002199074074074074</v>
      </c>
      <c r="AP4" s="36"/>
      <c r="AQ4" s="36"/>
      <c r="AR4" s="7" t="s">
        <v>633</v>
      </c>
      <c r="AS4" s="7" t="b">
        <f>NOT(ISERROR(MATCH(A4,'Villages according to موسوعة ال'!C:C,0)))</f>
        <v>1</v>
      </c>
      <c r="AT4" s="25"/>
      <c r="AU4" s="25"/>
      <c r="AV4" s="25"/>
      <c r="AW4" s="25"/>
      <c r="AX4" s="25"/>
      <c r="AY4" s="25"/>
      <c r="AZ4" s="25"/>
      <c r="BA4" s="25"/>
      <c r="BB4" s="25"/>
      <c r="BC4" s="25"/>
      <c r="BD4" s="25"/>
      <c r="BE4" s="25"/>
      <c r="BF4" s="25"/>
      <c r="BG4" s="25"/>
      <c r="BH4" s="25"/>
      <c r="BI4" s="25"/>
      <c r="BJ4" s="25"/>
      <c r="BK4" s="25"/>
      <c r="BL4" s="25"/>
      <c r="BM4" s="25"/>
      <c r="BN4" s="25"/>
      <c r="BO4" s="25"/>
      <c r="BP4" s="25"/>
    </row>
    <row r="5">
      <c r="A5" s="7" t="s">
        <v>524</v>
      </c>
      <c r="B5" s="26" t="s">
        <v>525</v>
      </c>
      <c r="C5" s="7" t="s">
        <v>525</v>
      </c>
      <c r="D5" s="46" t="s">
        <v>526</v>
      </c>
      <c r="E5" s="27" t="s">
        <v>613</v>
      </c>
      <c r="F5" s="7" t="s">
        <v>614</v>
      </c>
      <c r="G5" s="28"/>
      <c r="H5" s="7" t="s">
        <v>643</v>
      </c>
      <c r="I5" s="7" t="s">
        <v>616</v>
      </c>
      <c r="J5" s="7" t="s">
        <v>644</v>
      </c>
      <c r="K5" s="29"/>
      <c r="L5" s="47"/>
      <c r="M5" s="48" t="b">
        <v>0</v>
      </c>
      <c r="N5" s="48" t="b">
        <v>0</v>
      </c>
      <c r="O5" s="48"/>
      <c r="P5" s="48" t="b">
        <v>0</v>
      </c>
      <c r="Q5" s="48" t="b">
        <v>0</v>
      </c>
      <c r="R5" s="48" t="b">
        <v>0</v>
      </c>
      <c r="S5" s="48"/>
      <c r="T5" s="32"/>
      <c r="U5" s="48" t="b">
        <v>0</v>
      </c>
      <c r="V5" s="48"/>
      <c r="W5" s="48" t="b">
        <v>0</v>
      </c>
      <c r="X5" s="48" t="b">
        <v>0</v>
      </c>
      <c r="Y5" s="48"/>
      <c r="Z5" s="48"/>
      <c r="AA5" s="48"/>
      <c r="AB5" s="48"/>
      <c r="AC5" s="49"/>
      <c r="AD5" s="48"/>
      <c r="AE5" s="48"/>
      <c r="AF5" s="48"/>
      <c r="AG5" s="48"/>
      <c r="AH5" s="48"/>
      <c r="AI5" s="48"/>
      <c r="AJ5" s="25"/>
      <c r="AK5" s="50"/>
      <c r="AL5" s="25"/>
      <c r="AM5" s="25"/>
      <c r="AN5" s="35" t="s">
        <v>645</v>
      </c>
      <c r="AO5" s="24">
        <v>0.04949074074074074</v>
      </c>
      <c r="AP5" s="36"/>
      <c r="AQ5" s="36"/>
      <c r="AR5" s="7" t="s">
        <v>633</v>
      </c>
      <c r="AS5" s="7" t="b">
        <f>NOT(ISERROR(MATCH(A5,'Villages according to موسوعة ال'!C:C,0)))</f>
        <v>1</v>
      </c>
      <c r="AT5" s="37"/>
      <c r="AU5" s="37"/>
      <c r="AV5" s="37"/>
      <c r="AW5" s="37"/>
      <c r="AX5" s="37"/>
      <c r="AY5" s="37"/>
      <c r="AZ5" s="37"/>
      <c r="BA5" s="37"/>
      <c r="BB5" s="37"/>
      <c r="BC5" s="37"/>
      <c r="BD5" s="37"/>
      <c r="BE5" s="37"/>
      <c r="BF5" s="37"/>
      <c r="BG5" s="37"/>
      <c r="BH5" s="37"/>
      <c r="BI5" s="37"/>
      <c r="BJ5" s="37"/>
      <c r="BK5" s="37"/>
      <c r="BL5" s="37"/>
      <c r="BM5" s="37"/>
      <c r="BN5" s="37"/>
      <c r="BO5" s="37"/>
      <c r="BP5" s="37"/>
    </row>
    <row r="6">
      <c r="A6" s="7" t="s">
        <v>524</v>
      </c>
      <c r="B6" s="26" t="s">
        <v>525</v>
      </c>
      <c r="E6" s="27" t="s">
        <v>613</v>
      </c>
      <c r="F6" s="7" t="s">
        <v>614</v>
      </c>
      <c r="G6" s="28" t="s">
        <v>615</v>
      </c>
      <c r="H6" s="7" t="s">
        <v>646</v>
      </c>
      <c r="I6" s="7" t="s">
        <v>616</v>
      </c>
      <c r="J6" s="7" t="s">
        <v>647</v>
      </c>
      <c r="K6" s="29"/>
      <c r="L6" s="47"/>
      <c r="M6" s="48" t="b">
        <v>0</v>
      </c>
      <c r="N6" s="48" t="b">
        <v>0</v>
      </c>
      <c r="O6" s="48"/>
      <c r="P6" s="48" t="b">
        <v>0</v>
      </c>
      <c r="Q6" s="48" t="b">
        <v>0</v>
      </c>
      <c r="R6" s="48" t="b">
        <v>0</v>
      </c>
      <c r="S6" s="48"/>
      <c r="T6" s="32"/>
      <c r="U6" s="48" t="b">
        <v>0</v>
      </c>
      <c r="V6" s="48"/>
      <c r="W6" s="48" t="b">
        <v>0</v>
      </c>
      <c r="X6" s="48" t="b">
        <v>0</v>
      </c>
      <c r="Y6" s="48"/>
      <c r="Z6" s="48"/>
      <c r="AA6" s="48"/>
      <c r="AB6" s="48"/>
      <c r="AC6" s="49"/>
      <c r="AD6" s="48"/>
      <c r="AE6" s="48"/>
      <c r="AF6" s="48"/>
      <c r="AG6" s="48"/>
      <c r="AH6" s="48"/>
      <c r="AI6" s="48"/>
      <c r="AJ6" s="25"/>
      <c r="AK6" s="34" t="s">
        <v>636</v>
      </c>
      <c r="AL6" s="25"/>
      <c r="AM6" s="25"/>
      <c r="AN6" s="35" t="s">
        <v>648</v>
      </c>
      <c r="AO6" s="24">
        <v>0.0071875</v>
      </c>
      <c r="AP6" s="36" t="s">
        <v>649</v>
      </c>
      <c r="AQ6" s="36"/>
      <c r="AR6" s="7" t="s">
        <v>633</v>
      </c>
      <c r="AS6" s="7" t="b">
        <f>NOT(ISERROR(MATCH(A6,'Villages according to موسوعة ال'!C:C,0)))</f>
        <v>1</v>
      </c>
      <c r="AT6" s="37"/>
      <c r="AU6" s="37"/>
      <c r="AV6" s="37"/>
      <c r="AW6" s="37"/>
      <c r="AX6" s="37"/>
      <c r="AY6" s="37"/>
      <c r="AZ6" s="37"/>
      <c r="BA6" s="37"/>
      <c r="BB6" s="37"/>
      <c r="BC6" s="37"/>
      <c r="BD6" s="37"/>
      <c r="BE6" s="37"/>
      <c r="BF6" s="37"/>
      <c r="BG6" s="37"/>
      <c r="BH6" s="37"/>
      <c r="BI6" s="37"/>
      <c r="BJ6" s="37"/>
      <c r="BK6" s="37"/>
      <c r="BL6" s="37"/>
      <c r="BM6" s="37"/>
      <c r="BN6" s="37"/>
      <c r="BO6" s="37"/>
      <c r="BP6" s="37"/>
    </row>
    <row r="7">
      <c r="A7" s="7" t="s">
        <v>524</v>
      </c>
      <c r="B7" s="43" t="s">
        <v>525</v>
      </c>
      <c r="F7" s="7" t="s">
        <v>614</v>
      </c>
      <c r="K7" s="29" t="s">
        <v>650</v>
      </c>
      <c r="L7" s="51" t="s">
        <v>651</v>
      </c>
      <c r="M7" s="48" t="b">
        <v>0</v>
      </c>
      <c r="N7" s="48" t="b">
        <v>0</v>
      </c>
      <c r="O7" s="32" t="s">
        <v>620</v>
      </c>
      <c r="P7" s="32" t="b">
        <v>1</v>
      </c>
      <c r="Q7" s="48" t="b">
        <v>0</v>
      </c>
      <c r="R7" s="32" t="b">
        <v>1</v>
      </c>
      <c r="S7" s="32" t="s">
        <v>621</v>
      </c>
      <c r="T7" s="32" t="s">
        <v>622</v>
      </c>
      <c r="U7" s="48" t="b">
        <v>0</v>
      </c>
      <c r="V7" s="48"/>
      <c r="W7" s="48" t="b">
        <v>0</v>
      </c>
      <c r="X7" s="48" t="b">
        <v>0</v>
      </c>
      <c r="Y7" s="48"/>
      <c r="Z7" s="32" t="s">
        <v>652</v>
      </c>
      <c r="AA7" s="48"/>
      <c r="AB7" s="48"/>
      <c r="AC7" s="49"/>
      <c r="AD7" s="48"/>
      <c r="AE7" s="48"/>
      <c r="AF7" s="48"/>
      <c r="AG7" s="48"/>
      <c r="AH7" s="48"/>
      <c r="AI7" s="48"/>
      <c r="AJ7" s="25"/>
      <c r="AK7" s="34" t="s">
        <v>631</v>
      </c>
      <c r="AL7" s="25"/>
      <c r="AM7" s="25"/>
      <c r="AN7" s="35" t="s">
        <v>653</v>
      </c>
      <c r="AO7" s="24">
        <v>0.0011226851851851851</v>
      </c>
      <c r="AP7" s="36" t="s">
        <v>649</v>
      </c>
      <c r="AQ7" s="36"/>
      <c r="AR7" s="7" t="s">
        <v>633</v>
      </c>
      <c r="AS7" s="7" t="b">
        <f>NOT(ISERROR(MATCH(A7,'Villages according to موسوعة ال'!C:C,0)))</f>
        <v>1</v>
      </c>
      <c r="AT7" s="25"/>
      <c r="AU7" s="25"/>
      <c r="AV7" s="25"/>
      <c r="AW7" s="25"/>
      <c r="AX7" s="25"/>
      <c r="AY7" s="25"/>
      <c r="AZ7" s="25"/>
      <c r="BA7" s="25"/>
      <c r="BB7" s="25"/>
      <c r="BC7" s="25"/>
      <c r="BD7" s="25"/>
      <c r="BE7" s="25"/>
      <c r="BF7" s="25"/>
      <c r="BG7" s="25"/>
      <c r="BH7" s="25"/>
      <c r="BI7" s="25"/>
      <c r="BJ7" s="25"/>
      <c r="BK7" s="25"/>
      <c r="BL7" s="25"/>
      <c r="BM7" s="25"/>
      <c r="BN7" s="25"/>
      <c r="BO7" s="25"/>
      <c r="BP7" s="25"/>
    </row>
    <row r="8">
      <c r="A8" s="7" t="s">
        <v>524</v>
      </c>
      <c r="B8" s="26" t="s">
        <v>525</v>
      </c>
      <c r="F8" s="7" t="s">
        <v>614</v>
      </c>
      <c r="K8" s="29"/>
      <c r="L8" s="47"/>
      <c r="M8" s="48" t="b">
        <v>0</v>
      </c>
      <c r="N8" s="48" t="b">
        <v>0</v>
      </c>
      <c r="O8" s="48"/>
      <c r="P8" s="48" t="b">
        <v>0</v>
      </c>
      <c r="Q8" s="48" t="b">
        <v>0</v>
      </c>
      <c r="R8" s="48" t="b">
        <v>0</v>
      </c>
      <c r="S8" s="48"/>
      <c r="T8" s="32"/>
      <c r="U8" s="48" t="b">
        <v>0</v>
      </c>
      <c r="V8" s="48"/>
      <c r="W8" s="48" t="b">
        <v>0</v>
      </c>
      <c r="X8" s="48" t="b">
        <v>0</v>
      </c>
      <c r="Y8" s="48"/>
      <c r="Z8" s="48"/>
      <c r="AA8" s="48"/>
      <c r="AB8" s="48"/>
      <c r="AC8" s="49"/>
      <c r="AD8" s="48"/>
      <c r="AE8" s="48"/>
      <c r="AF8" s="48"/>
      <c r="AG8" s="48"/>
      <c r="AH8" s="48"/>
      <c r="AI8" s="48"/>
      <c r="AJ8" s="25"/>
      <c r="AK8" s="34" t="s">
        <v>636</v>
      </c>
      <c r="AL8" s="25"/>
      <c r="AM8" s="25"/>
      <c r="AN8" s="35" t="s">
        <v>654</v>
      </c>
      <c r="AO8" s="24">
        <v>0.004988425925925926</v>
      </c>
      <c r="AP8" s="36" t="s">
        <v>649</v>
      </c>
      <c r="AQ8" s="36"/>
      <c r="AR8" s="7" t="s">
        <v>633</v>
      </c>
      <c r="AS8" s="7" t="b">
        <f>NOT(ISERROR(MATCH(A8,'Villages according to موسوعة ال'!C:C,0)))</f>
        <v>1</v>
      </c>
      <c r="AT8" s="37"/>
      <c r="AU8" s="37"/>
      <c r="AV8" s="37"/>
      <c r="AW8" s="37"/>
      <c r="AX8" s="37"/>
      <c r="AY8" s="37"/>
      <c r="AZ8" s="37"/>
      <c r="BA8" s="37"/>
      <c r="BB8" s="37"/>
      <c r="BC8" s="37"/>
      <c r="BD8" s="37"/>
      <c r="BE8" s="37"/>
      <c r="BF8" s="37"/>
      <c r="BG8" s="37"/>
      <c r="BH8" s="37"/>
      <c r="BI8" s="37"/>
      <c r="BJ8" s="37"/>
      <c r="BK8" s="37"/>
      <c r="BL8" s="37"/>
      <c r="BM8" s="37"/>
      <c r="BN8" s="37"/>
      <c r="BO8" s="37"/>
      <c r="BP8" s="37"/>
    </row>
    <row r="9">
      <c r="A9" s="7" t="s">
        <v>476</v>
      </c>
      <c r="B9" s="26" t="s">
        <v>477</v>
      </c>
      <c r="C9" s="7" t="s">
        <v>477</v>
      </c>
      <c r="D9" s="7" t="s">
        <v>655</v>
      </c>
      <c r="E9" s="7" t="s">
        <v>656</v>
      </c>
      <c r="F9" s="7" t="s">
        <v>657</v>
      </c>
      <c r="G9" s="28"/>
      <c r="H9" s="7"/>
      <c r="I9" s="7" t="s">
        <v>616</v>
      </c>
      <c r="J9" s="7" t="s">
        <v>658</v>
      </c>
      <c r="K9" s="29" t="s">
        <v>659</v>
      </c>
      <c r="L9" s="52" t="s">
        <v>660</v>
      </c>
      <c r="M9" s="32" t="b">
        <v>1</v>
      </c>
      <c r="N9" s="32" t="b">
        <v>0</v>
      </c>
      <c r="O9" s="32" t="s">
        <v>661</v>
      </c>
      <c r="P9" s="31" t="b">
        <v>0</v>
      </c>
      <c r="Q9" s="31" t="b">
        <v>0</v>
      </c>
      <c r="R9" s="32" t="b">
        <v>1</v>
      </c>
      <c r="S9" s="32" t="s">
        <v>621</v>
      </c>
      <c r="T9" s="32"/>
      <c r="U9" s="31" t="b">
        <v>0</v>
      </c>
      <c r="V9" s="31"/>
      <c r="W9" s="31" t="b">
        <v>0</v>
      </c>
      <c r="X9" s="31" t="b">
        <v>0</v>
      </c>
      <c r="Y9" s="31"/>
      <c r="Z9" s="31"/>
      <c r="AA9" s="31"/>
      <c r="AB9" s="31"/>
      <c r="AC9" s="45"/>
      <c r="AD9" s="31"/>
      <c r="AE9" s="31"/>
      <c r="AF9" s="31"/>
      <c r="AG9" s="31"/>
      <c r="AH9" s="31"/>
      <c r="AI9" s="31"/>
      <c r="AJ9" s="53" t="s">
        <v>662</v>
      </c>
      <c r="AK9" s="34" t="s">
        <v>636</v>
      </c>
      <c r="AL9" s="25"/>
      <c r="AM9" s="25"/>
      <c r="AN9" s="35" t="s">
        <v>663</v>
      </c>
      <c r="AO9" s="24">
        <v>0.006319444444444444</v>
      </c>
      <c r="AP9" s="36"/>
      <c r="AQ9" s="36"/>
      <c r="AR9" s="7" t="s">
        <v>633</v>
      </c>
      <c r="AS9" s="7" t="b">
        <f>NOT(ISERROR(MATCH(A9,'Villages according to موسوعة ال'!C:C,0)))</f>
        <v>1</v>
      </c>
      <c r="AT9" s="37"/>
      <c r="AU9" s="37"/>
      <c r="AV9" s="37"/>
      <c r="AW9" s="37"/>
      <c r="AX9" s="38"/>
      <c r="AY9" s="38"/>
      <c r="AZ9" s="37"/>
      <c r="BA9" s="37"/>
      <c r="BB9" s="37"/>
      <c r="BC9" s="37"/>
      <c r="BD9" s="37"/>
      <c r="BE9" s="37"/>
      <c r="BF9" s="37"/>
      <c r="BG9" s="37"/>
      <c r="BH9" s="37"/>
      <c r="BI9" s="37"/>
      <c r="BJ9" s="37"/>
      <c r="BK9" s="37"/>
      <c r="BL9" s="37"/>
      <c r="BM9" s="37"/>
      <c r="BN9" s="37"/>
      <c r="BO9" s="37"/>
      <c r="BP9" s="37"/>
    </row>
    <row r="10">
      <c r="A10" s="7" t="s">
        <v>476</v>
      </c>
      <c r="B10" s="26" t="s">
        <v>477</v>
      </c>
      <c r="F10" s="7" t="s">
        <v>657</v>
      </c>
      <c r="K10" s="29" t="s">
        <v>664</v>
      </c>
      <c r="L10" s="54" t="s">
        <v>665</v>
      </c>
      <c r="M10" s="31" t="b">
        <v>0</v>
      </c>
      <c r="N10" s="31" t="b">
        <v>0</v>
      </c>
      <c r="O10" s="31"/>
      <c r="P10" s="31" t="b">
        <v>0</v>
      </c>
      <c r="Q10" s="31" t="b">
        <v>0</v>
      </c>
      <c r="R10" s="31" t="b">
        <v>0</v>
      </c>
      <c r="S10" s="31"/>
      <c r="T10" s="32"/>
      <c r="U10" s="31" t="b">
        <v>0</v>
      </c>
      <c r="V10" s="31"/>
      <c r="W10" s="31" t="b">
        <v>0</v>
      </c>
      <c r="X10" s="31" t="b">
        <v>0</v>
      </c>
      <c r="Y10" s="31"/>
      <c r="Z10" s="31"/>
      <c r="AA10" s="31"/>
      <c r="AB10" s="31"/>
      <c r="AC10" s="45"/>
      <c r="AD10" s="31"/>
      <c r="AE10" s="31"/>
      <c r="AF10" s="31"/>
      <c r="AG10" s="31"/>
      <c r="AH10" s="31"/>
      <c r="AI10" s="31"/>
      <c r="AJ10" s="3"/>
      <c r="AK10" s="34" t="s">
        <v>666</v>
      </c>
      <c r="AL10" s="25"/>
      <c r="AM10" s="25"/>
      <c r="AN10" s="35" t="s">
        <v>667</v>
      </c>
      <c r="AO10" s="24">
        <v>7.87037037037037E-4</v>
      </c>
      <c r="AP10" s="36"/>
      <c r="AQ10" s="36"/>
      <c r="AR10" s="7" t="s">
        <v>633</v>
      </c>
      <c r="AS10" s="7" t="b">
        <f>NOT(ISERROR(MATCH(A10,'Villages according to موسوعة ال'!C:C,0)))</f>
        <v>1</v>
      </c>
      <c r="AT10" s="37"/>
      <c r="AU10" s="37"/>
      <c r="AV10" s="37"/>
      <c r="AW10" s="37"/>
      <c r="AX10" s="37"/>
      <c r="AY10" s="37"/>
      <c r="AZ10" s="37"/>
      <c r="BA10" s="37"/>
      <c r="BB10" s="37"/>
      <c r="BC10" s="37"/>
      <c r="BD10" s="37"/>
      <c r="BE10" s="37"/>
      <c r="BF10" s="37"/>
      <c r="BG10" s="37"/>
      <c r="BH10" s="37"/>
      <c r="BI10" s="37"/>
      <c r="BJ10" s="37"/>
      <c r="BK10" s="37"/>
      <c r="BL10" s="37"/>
      <c r="BM10" s="37"/>
      <c r="BN10" s="37"/>
      <c r="BO10" s="37"/>
      <c r="BP10" s="37"/>
    </row>
    <row r="11">
      <c r="A11" s="7" t="s">
        <v>476</v>
      </c>
      <c r="B11" s="26" t="s">
        <v>477</v>
      </c>
      <c r="F11" s="7" t="s">
        <v>657</v>
      </c>
      <c r="K11" s="29" t="s">
        <v>668</v>
      </c>
      <c r="L11" s="52" t="s">
        <v>669</v>
      </c>
      <c r="M11" s="31" t="b">
        <v>0</v>
      </c>
      <c r="N11" s="31" t="b">
        <v>0</v>
      </c>
      <c r="O11" s="32" t="s">
        <v>620</v>
      </c>
      <c r="P11" s="32" t="b">
        <v>1</v>
      </c>
      <c r="Q11" s="31" t="b">
        <v>0</v>
      </c>
      <c r="R11" s="32" t="b">
        <v>1</v>
      </c>
      <c r="S11" s="32" t="s">
        <v>621</v>
      </c>
      <c r="T11" s="32" t="s">
        <v>670</v>
      </c>
      <c r="U11" s="31" t="b">
        <v>0</v>
      </c>
      <c r="V11" s="31"/>
      <c r="W11" s="31" t="b">
        <v>0</v>
      </c>
      <c r="X11" s="31" t="b">
        <v>0</v>
      </c>
      <c r="Y11" s="32" t="s">
        <v>671</v>
      </c>
      <c r="Z11" s="31"/>
      <c r="AA11" s="31"/>
      <c r="AB11" s="31"/>
      <c r="AC11" s="33" t="s">
        <v>672</v>
      </c>
      <c r="AD11" s="31"/>
      <c r="AE11" s="32" t="s">
        <v>626</v>
      </c>
      <c r="AF11" s="32" t="s">
        <v>627</v>
      </c>
      <c r="AG11" s="31"/>
      <c r="AH11" s="31"/>
      <c r="AI11" s="32" t="s">
        <v>673</v>
      </c>
      <c r="AJ11" s="55" t="s">
        <v>674</v>
      </c>
      <c r="AK11" s="34" t="s">
        <v>631</v>
      </c>
      <c r="AL11" s="3" t="s">
        <v>675</v>
      </c>
      <c r="AM11" s="3" t="s">
        <v>676</v>
      </c>
      <c r="AN11" s="35" t="s">
        <v>677</v>
      </c>
      <c r="AO11" s="24">
        <v>0.009027777777777777</v>
      </c>
      <c r="AP11" s="36"/>
      <c r="AQ11" s="36"/>
      <c r="AR11" s="35" t="s">
        <v>678</v>
      </c>
      <c r="AS11" s="7" t="b">
        <f>NOT(ISERROR(MATCH(A11,'Villages according to موسوعة ال'!C:C,0)))</f>
        <v>1</v>
      </c>
      <c r="AT11" s="37"/>
      <c r="AU11" s="37"/>
      <c r="AV11" s="1"/>
      <c r="AW11" s="37"/>
      <c r="AX11" s="37"/>
      <c r="AY11" s="37"/>
      <c r="AZ11" s="37"/>
      <c r="BA11" s="37"/>
      <c r="BB11" s="37"/>
      <c r="BC11" s="37"/>
      <c r="BD11" s="37"/>
      <c r="BE11" s="37"/>
      <c r="BF11" s="37"/>
      <c r="BG11" s="37"/>
      <c r="BH11" s="37"/>
      <c r="BI11" s="37"/>
      <c r="BJ11" s="37"/>
      <c r="BK11" s="37"/>
      <c r="BL11" s="37"/>
      <c r="BM11" s="37"/>
      <c r="BN11" s="37"/>
      <c r="BO11" s="37"/>
      <c r="BP11" s="37"/>
    </row>
    <row r="12">
      <c r="A12" s="7" t="s">
        <v>476</v>
      </c>
      <c r="B12" s="26" t="s">
        <v>477</v>
      </c>
      <c r="F12" s="7" t="s">
        <v>657</v>
      </c>
      <c r="K12" s="29" t="s">
        <v>679</v>
      </c>
      <c r="L12" s="56" t="s">
        <v>680</v>
      </c>
      <c r="M12" s="48" t="b">
        <v>0</v>
      </c>
      <c r="N12" s="48" t="b">
        <v>0</v>
      </c>
      <c r="O12" s="32" t="s">
        <v>661</v>
      </c>
      <c r="P12" s="48" t="b">
        <v>0</v>
      </c>
      <c r="Q12" s="48" t="b">
        <v>0</v>
      </c>
      <c r="R12" s="32" t="b">
        <v>1</v>
      </c>
      <c r="S12" s="32" t="s">
        <v>621</v>
      </c>
      <c r="T12" s="32"/>
      <c r="U12" s="48" t="b">
        <v>0</v>
      </c>
      <c r="V12" s="48"/>
      <c r="W12" s="48" t="b">
        <v>0</v>
      </c>
      <c r="X12" s="48" t="b">
        <v>0</v>
      </c>
      <c r="Y12" s="32" t="s">
        <v>623</v>
      </c>
      <c r="Z12" s="48"/>
      <c r="AA12" s="48"/>
      <c r="AB12" s="48"/>
      <c r="AC12" s="49"/>
      <c r="AD12" s="48"/>
      <c r="AE12" s="32" t="s">
        <v>626</v>
      </c>
      <c r="AF12" s="32" t="s">
        <v>627</v>
      </c>
      <c r="AG12" s="48"/>
      <c r="AH12" s="48"/>
      <c r="AI12" s="48"/>
      <c r="AJ12" s="25"/>
      <c r="AK12" s="34" t="s">
        <v>666</v>
      </c>
      <c r="AL12" s="25"/>
      <c r="AM12" s="25"/>
      <c r="AN12" s="35" t="s">
        <v>681</v>
      </c>
      <c r="AO12" s="24">
        <v>0.004664351851851852</v>
      </c>
      <c r="AP12" s="36"/>
      <c r="AQ12" s="36"/>
      <c r="AR12" s="7" t="s">
        <v>633</v>
      </c>
      <c r="AS12" s="7" t="b">
        <f>NOT(ISERROR(MATCH(A12,'Villages according to موسوعة ال'!C:C,0)))</f>
        <v>1</v>
      </c>
      <c r="AT12" s="37"/>
      <c r="AU12" s="37"/>
      <c r="AV12" s="37"/>
      <c r="AW12" s="37"/>
      <c r="AX12" s="37"/>
      <c r="AY12" s="37"/>
      <c r="AZ12" s="37"/>
      <c r="BA12" s="37"/>
      <c r="BB12" s="37"/>
      <c r="BC12" s="37"/>
      <c r="BD12" s="37"/>
      <c r="BE12" s="37"/>
      <c r="BF12" s="37"/>
      <c r="BG12" s="37"/>
      <c r="BH12" s="37"/>
      <c r="BI12" s="37"/>
      <c r="BJ12" s="37"/>
      <c r="BK12" s="37"/>
      <c r="BL12" s="37"/>
      <c r="BM12" s="37"/>
      <c r="BN12" s="37"/>
      <c r="BO12" s="37"/>
      <c r="BP12" s="37"/>
    </row>
    <row r="13">
      <c r="A13" s="7" t="s">
        <v>476</v>
      </c>
      <c r="B13" s="26" t="s">
        <v>477</v>
      </c>
      <c r="F13" s="7" t="s">
        <v>657</v>
      </c>
      <c r="G13" s="28"/>
      <c r="H13" s="7"/>
      <c r="I13" s="7" t="s">
        <v>616</v>
      </c>
      <c r="J13" s="7" t="s">
        <v>682</v>
      </c>
      <c r="K13" s="29" t="s">
        <v>683</v>
      </c>
      <c r="L13" s="52" t="s">
        <v>684</v>
      </c>
      <c r="M13" s="32" t="b">
        <v>1</v>
      </c>
      <c r="N13" s="32" t="b">
        <v>1</v>
      </c>
      <c r="O13" s="32" t="s">
        <v>620</v>
      </c>
      <c r="P13" s="32" t="b">
        <v>1</v>
      </c>
      <c r="Q13" s="31" t="b">
        <v>0</v>
      </c>
      <c r="R13" s="32" t="b">
        <v>1</v>
      </c>
      <c r="S13" s="32" t="s">
        <v>621</v>
      </c>
      <c r="T13" s="32" t="s">
        <v>670</v>
      </c>
      <c r="U13" s="31" t="b">
        <v>0</v>
      </c>
      <c r="V13" s="32" t="s">
        <v>685</v>
      </c>
      <c r="W13" s="31" t="b">
        <v>0</v>
      </c>
      <c r="X13" s="31" t="b">
        <v>0</v>
      </c>
      <c r="Y13" s="32" t="s">
        <v>671</v>
      </c>
      <c r="Z13" s="31"/>
      <c r="AA13" s="31"/>
      <c r="AB13" s="31"/>
      <c r="AC13" s="45"/>
      <c r="AD13" s="32" t="s">
        <v>686</v>
      </c>
      <c r="AE13" s="32" t="s">
        <v>626</v>
      </c>
      <c r="AF13" s="32" t="s">
        <v>627</v>
      </c>
      <c r="AG13" s="31"/>
      <c r="AH13" s="32" t="s">
        <v>687</v>
      </c>
      <c r="AI13" s="32"/>
      <c r="AJ13" s="3" t="s">
        <v>688</v>
      </c>
      <c r="AK13" s="34" t="s">
        <v>631</v>
      </c>
      <c r="AL13" s="3" t="s">
        <v>675</v>
      </c>
      <c r="AM13" s="3" t="s">
        <v>676</v>
      </c>
      <c r="AN13" s="35" t="s">
        <v>689</v>
      </c>
      <c r="AO13" s="24">
        <v>0.007407407407407408</v>
      </c>
      <c r="AP13" s="36"/>
      <c r="AQ13" s="36"/>
      <c r="AR13" s="35" t="s">
        <v>690</v>
      </c>
      <c r="AS13" s="7" t="b">
        <f>NOT(ISERROR(MATCH(A13,'Villages according to موسوعة ال'!C:C,0)))</f>
        <v>1</v>
      </c>
      <c r="AT13" s="37"/>
      <c r="AU13" s="37"/>
      <c r="AV13" s="37"/>
      <c r="AW13" s="37"/>
      <c r="AX13" s="37"/>
      <c r="AY13" s="37"/>
      <c r="AZ13" s="37"/>
      <c r="BA13" s="37"/>
      <c r="BB13" s="37"/>
      <c r="BC13" s="37"/>
      <c r="BD13" s="37"/>
      <c r="BE13" s="37"/>
      <c r="BF13" s="37"/>
      <c r="BG13" s="37"/>
      <c r="BH13" s="37"/>
      <c r="BI13" s="37"/>
      <c r="BJ13" s="37"/>
      <c r="BK13" s="37"/>
      <c r="BL13" s="37"/>
      <c r="BM13" s="37"/>
      <c r="BN13" s="37"/>
      <c r="BO13" s="37"/>
      <c r="BP13" s="37"/>
    </row>
    <row r="14">
      <c r="A14" s="7" t="s">
        <v>36</v>
      </c>
      <c r="B14" s="43" t="s">
        <v>37</v>
      </c>
      <c r="C14" s="11" t="s">
        <v>37</v>
      </c>
      <c r="D14" s="7" t="s">
        <v>38</v>
      </c>
      <c r="E14" s="11" t="s">
        <v>691</v>
      </c>
      <c r="F14" s="11" t="s">
        <v>692</v>
      </c>
      <c r="G14" s="57" t="s">
        <v>693</v>
      </c>
      <c r="H14" s="58" t="s">
        <v>694</v>
      </c>
      <c r="I14" s="11" t="s">
        <v>638</v>
      </c>
      <c r="J14" s="7" t="s">
        <v>695</v>
      </c>
      <c r="K14" s="59" t="s">
        <v>696</v>
      </c>
      <c r="L14" s="54" t="s">
        <v>697</v>
      </c>
      <c r="M14" s="60" t="b">
        <v>0</v>
      </c>
      <c r="N14" s="60" t="b">
        <v>0</v>
      </c>
      <c r="O14" s="60" t="s">
        <v>620</v>
      </c>
      <c r="P14" s="60" t="b">
        <v>0</v>
      </c>
      <c r="Q14" s="60" t="b">
        <v>0</v>
      </c>
      <c r="R14" s="60" t="b">
        <v>0</v>
      </c>
      <c r="S14" s="60" t="s">
        <v>621</v>
      </c>
      <c r="T14" s="60"/>
      <c r="U14" s="60" t="b">
        <v>0</v>
      </c>
      <c r="V14" s="60"/>
      <c r="W14" s="60" t="b">
        <v>0</v>
      </c>
      <c r="X14" s="60" t="b">
        <v>0</v>
      </c>
      <c r="Y14" s="60"/>
      <c r="Z14" s="60"/>
      <c r="AA14" s="60"/>
      <c r="AB14" s="60" t="s">
        <v>624</v>
      </c>
      <c r="AC14" s="61"/>
      <c r="AD14" s="60" t="s">
        <v>686</v>
      </c>
      <c r="AE14" s="60" t="s">
        <v>626</v>
      </c>
      <c r="AF14" s="60" t="s">
        <v>627</v>
      </c>
      <c r="AG14" s="60"/>
      <c r="AH14" s="60"/>
      <c r="AI14" s="60"/>
      <c r="AJ14" s="62"/>
      <c r="AK14" s="34" t="s">
        <v>698</v>
      </c>
      <c r="AL14" s="3" t="s">
        <v>699</v>
      </c>
      <c r="AM14" s="3" t="s">
        <v>700</v>
      </c>
      <c r="AN14" s="35" t="s">
        <v>701</v>
      </c>
      <c r="AO14" s="24">
        <v>0.0014236111111111112</v>
      </c>
      <c r="AP14" s="36" t="s">
        <v>702</v>
      </c>
      <c r="AQ14" s="36" t="s">
        <v>703</v>
      </c>
      <c r="AR14" s="35" t="s">
        <v>704</v>
      </c>
      <c r="AS14" s="7" t="b">
        <f>NOT(ISERROR(MATCH(A14,'Villages according to موسوعة ال'!C:C,0)))</f>
        <v>1</v>
      </c>
      <c r="AT14" s="25"/>
      <c r="AU14" s="25"/>
      <c r="AV14" s="25"/>
      <c r="AW14" s="25"/>
      <c r="AX14" s="25"/>
      <c r="AY14" s="25"/>
      <c r="AZ14" s="25"/>
      <c r="BA14" s="25"/>
      <c r="BB14" s="25"/>
      <c r="BC14" s="25"/>
      <c r="BD14" s="25"/>
      <c r="BE14" s="25"/>
      <c r="BF14" s="25"/>
      <c r="BG14" s="25"/>
      <c r="BH14" s="25"/>
      <c r="BI14" s="25"/>
      <c r="BJ14" s="25"/>
      <c r="BK14" s="25"/>
      <c r="BL14" s="25"/>
      <c r="BM14" s="25"/>
      <c r="BN14" s="25"/>
      <c r="BO14" s="25"/>
      <c r="BP14" s="25"/>
    </row>
    <row r="15">
      <c r="A15" s="3" t="s">
        <v>705</v>
      </c>
      <c r="B15" s="43" t="s">
        <v>124</v>
      </c>
      <c r="C15" s="11" t="s">
        <v>124</v>
      </c>
      <c r="D15" s="7" t="s">
        <v>125</v>
      </c>
      <c r="E15" s="11" t="s">
        <v>706</v>
      </c>
      <c r="F15" s="11" t="s">
        <v>692</v>
      </c>
      <c r="G15" s="57" t="s">
        <v>693</v>
      </c>
      <c r="H15" s="11" t="s">
        <v>707</v>
      </c>
      <c r="I15" s="11" t="s">
        <v>616</v>
      </c>
      <c r="J15" s="7" t="s">
        <v>708</v>
      </c>
      <c r="K15" s="59" t="s">
        <v>709</v>
      </c>
      <c r="L15" s="63" t="s">
        <v>710</v>
      </c>
      <c r="M15" s="60" t="b">
        <v>0</v>
      </c>
      <c r="N15" s="60" t="b">
        <v>0</v>
      </c>
      <c r="O15" s="60" t="s">
        <v>620</v>
      </c>
      <c r="P15" s="60" t="b">
        <v>0</v>
      </c>
      <c r="Q15" s="60" t="b">
        <v>0</v>
      </c>
      <c r="R15" s="60" t="b">
        <v>0</v>
      </c>
      <c r="S15" s="60" t="s">
        <v>621</v>
      </c>
      <c r="T15" s="60"/>
      <c r="U15" s="60" t="b">
        <v>0</v>
      </c>
      <c r="V15" s="60"/>
      <c r="W15" s="60" t="b">
        <v>0</v>
      </c>
      <c r="X15" s="60" t="b">
        <v>0</v>
      </c>
      <c r="Y15" s="60"/>
      <c r="Z15" s="60"/>
      <c r="AA15" s="60"/>
      <c r="AB15" s="60"/>
      <c r="AC15" s="61"/>
      <c r="AD15" s="60" t="s">
        <v>686</v>
      </c>
      <c r="AE15" s="60" t="s">
        <v>711</v>
      </c>
      <c r="AF15" s="60" t="s">
        <v>627</v>
      </c>
      <c r="AG15" s="60"/>
      <c r="AH15" s="60" t="s">
        <v>687</v>
      </c>
      <c r="AI15" s="60"/>
      <c r="AK15" s="34" t="s">
        <v>698</v>
      </c>
      <c r="AL15" s="3" t="s">
        <v>699</v>
      </c>
      <c r="AM15" s="3" t="s">
        <v>700</v>
      </c>
      <c r="AN15" s="35" t="s">
        <v>712</v>
      </c>
      <c r="AO15" s="24">
        <v>0.0011458333333333333</v>
      </c>
      <c r="AP15" s="36" t="s">
        <v>702</v>
      </c>
      <c r="AQ15" s="36">
        <v>2017.0</v>
      </c>
      <c r="AR15" s="35" t="s">
        <v>713</v>
      </c>
      <c r="AS15" s="7" t="b">
        <f>NOT(ISERROR(MATCH(A15,'Villages according to موسوعة ال'!C:C,0)))</f>
        <v>1</v>
      </c>
      <c r="AT15" s="25"/>
      <c r="AU15" s="25"/>
      <c r="AV15" s="25"/>
      <c r="AW15" s="25"/>
      <c r="AX15" s="25"/>
      <c r="AY15" s="25"/>
      <c r="AZ15" s="25"/>
      <c r="BA15" s="25"/>
      <c r="BB15" s="25"/>
      <c r="BC15" s="25"/>
      <c r="BD15" s="25"/>
      <c r="BE15" s="25"/>
      <c r="BF15" s="25"/>
      <c r="BG15" s="25"/>
      <c r="BH15" s="25"/>
      <c r="BI15" s="25"/>
      <c r="BJ15" s="25"/>
      <c r="BK15" s="25"/>
      <c r="BL15" s="25"/>
      <c r="BM15" s="25"/>
      <c r="BN15" s="25"/>
      <c r="BO15" s="25"/>
      <c r="BP15" s="25"/>
    </row>
    <row r="16">
      <c r="A16" s="3" t="s">
        <v>705</v>
      </c>
      <c r="B16" s="43" t="s">
        <v>124</v>
      </c>
      <c r="E16" s="11" t="s">
        <v>706</v>
      </c>
      <c r="F16" s="11" t="s">
        <v>692</v>
      </c>
      <c r="G16" s="57" t="s">
        <v>693</v>
      </c>
      <c r="H16" s="11" t="s">
        <v>714</v>
      </c>
      <c r="I16" s="11" t="s">
        <v>638</v>
      </c>
      <c r="J16" s="7" t="s">
        <v>715</v>
      </c>
      <c r="K16" s="59" t="s">
        <v>716</v>
      </c>
      <c r="L16" s="63" t="s">
        <v>717</v>
      </c>
      <c r="M16" s="64" t="b">
        <v>0</v>
      </c>
      <c r="N16" s="64" t="b">
        <v>0</v>
      </c>
      <c r="O16" s="64"/>
      <c r="P16" s="64" t="b">
        <v>0</v>
      </c>
      <c r="Q16" s="64" t="b">
        <v>0</v>
      </c>
      <c r="R16" s="64" t="b">
        <v>0</v>
      </c>
      <c r="S16" s="64"/>
      <c r="T16" s="32"/>
      <c r="U16" s="64" t="b">
        <v>0</v>
      </c>
      <c r="V16" s="64"/>
      <c r="W16" s="64" t="b">
        <v>0</v>
      </c>
      <c r="X16" s="64" t="b">
        <v>0</v>
      </c>
      <c r="Y16" s="64"/>
      <c r="Z16" s="64"/>
      <c r="AA16" s="64"/>
      <c r="AB16" s="64"/>
      <c r="AC16" s="65"/>
      <c r="AD16" s="64"/>
      <c r="AE16" s="64"/>
      <c r="AF16" s="64"/>
      <c r="AG16" s="64"/>
      <c r="AH16" s="64"/>
      <c r="AI16" s="64"/>
      <c r="AJ16" s="62"/>
      <c r="AK16" s="34" t="s">
        <v>718</v>
      </c>
      <c r="AL16" s="3" t="s">
        <v>675</v>
      </c>
      <c r="AM16" s="3" t="s">
        <v>700</v>
      </c>
      <c r="AN16" s="35" t="s">
        <v>719</v>
      </c>
      <c r="AO16" s="24">
        <v>0.0016782407407407408</v>
      </c>
      <c r="AP16" s="36" t="s">
        <v>720</v>
      </c>
      <c r="AQ16" s="36">
        <v>2016.0</v>
      </c>
      <c r="AR16" s="35" t="s">
        <v>721</v>
      </c>
      <c r="AS16" s="7" t="b">
        <f>NOT(ISERROR(MATCH(A16,'Villages according to موسوعة ال'!C:C,0)))</f>
        <v>1</v>
      </c>
      <c r="AT16" s="25"/>
      <c r="AU16" s="25"/>
      <c r="AV16" s="25"/>
      <c r="AW16" s="25"/>
      <c r="AX16" s="25"/>
      <c r="AY16" s="25"/>
      <c r="AZ16" s="25"/>
      <c r="BA16" s="25"/>
      <c r="BB16" s="25"/>
      <c r="BC16" s="25"/>
      <c r="BD16" s="25"/>
      <c r="BE16" s="25"/>
      <c r="BF16" s="25"/>
      <c r="BG16" s="25"/>
      <c r="BH16" s="25"/>
      <c r="BI16" s="25"/>
      <c r="BJ16" s="25"/>
      <c r="BK16" s="25"/>
      <c r="BL16" s="25"/>
      <c r="BM16" s="25"/>
      <c r="BN16" s="25"/>
      <c r="BO16" s="25"/>
      <c r="BP16" s="25"/>
    </row>
    <row r="17">
      <c r="A17" s="3" t="s">
        <v>705</v>
      </c>
      <c r="B17" s="26" t="s">
        <v>124</v>
      </c>
      <c r="E17" s="11" t="s">
        <v>706</v>
      </c>
      <c r="F17" s="11" t="s">
        <v>692</v>
      </c>
      <c r="G17" s="57"/>
      <c r="H17" s="11" t="s">
        <v>722</v>
      </c>
      <c r="I17" s="11" t="s">
        <v>638</v>
      </c>
      <c r="J17" s="7" t="s">
        <v>723</v>
      </c>
      <c r="K17" s="59" t="s">
        <v>724</v>
      </c>
      <c r="L17" s="63" t="s">
        <v>725</v>
      </c>
      <c r="M17" s="64" t="b">
        <v>0</v>
      </c>
      <c r="N17" s="64" t="b">
        <v>0</v>
      </c>
      <c r="O17" s="64"/>
      <c r="P17" s="64" t="b">
        <v>0</v>
      </c>
      <c r="Q17" s="64" t="b">
        <v>0</v>
      </c>
      <c r="R17" s="64" t="b">
        <v>0</v>
      </c>
      <c r="S17" s="64"/>
      <c r="T17" s="32"/>
      <c r="U17" s="64" t="b">
        <v>0</v>
      </c>
      <c r="V17" s="64"/>
      <c r="W17" s="64" t="b">
        <v>0</v>
      </c>
      <c r="X17" s="64" t="b">
        <v>0</v>
      </c>
      <c r="Y17" s="64"/>
      <c r="Z17" s="64"/>
      <c r="AA17" s="64"/>
      <c r="AB17" s="64"/>
      <c r="AC17" s="65"/>
      <c r="AD17" s="64"/>
      <c r="AE17" s="64"/>
      <c r="AF17" s="64"/>
      <c r="AG17" s="64"/>
      <c r="AH17" s="64"/>
      <c r="AI17" s="64"/>
      <c r="AJ17" s="62"/>
      <c r="AK17" s="34" t="s">
        <v>636</v>
      </c>
      <c r="AL17" s="3"/>
      <c r="AM17" s="25"/>
      <c r="AN17" s="35" t="s">
        <v>726</v>
      </c>
      <c r="AO17" s="24">
        <v>0.0013541666666666667</v>
      </c>
      <c r="AP17" s="36"/>
      <c r="AQ17" s="36"/>
      <c r="AR17" s="36" t="s">
        <v>633</v>
      </c>
      <c r="AS17" s="7" t="b">
        <f>NOT(ISERROR(MATCH(A17,'Villages according to موسوعة ال'!C:C,0)))</f>
        <v>1</v>
      </c>
      <c r="AT17" s="37"/>
      <c r="AU17" s="37"/>
      <c r="AV17" s="37"/>
      <c r="AW17" s="37"/>
      <c r="AX17" s="37"/>
      <c r="AY17" s="37"/>
      <c r="AZ17" s="37"/>
      <c r="BA17" s="37"/>
      <c r="BB17" s="37"/>
      <c r="BC17" s="37"/>
      <c r="BD17" s="37"/>
      <c r="BE17" s="37"/>
      <c r="BF17" s="37"/>
      <c r="BG17" s="37"/>
      <c r="BH17" s="37"/>
      <c r="BI17" s="37"/>
      <c r="BJ17" s="37"/>
      <c r="BK17" s="37"/>
      <c r="BL17" s="37"/>
      <c r="BM17" s="37"/>
      <c r="BN17" s="37"/>
      <c r="BO17" s="37"/>
      <c r="BP17" s="37"/>
    </row>
    <row r="18">
      <c r="A18" s="3" t="s">
        <v>705</v>
      </c>
      <c r="B18" s="26" t="s">
        <v>124</v>
      </c>
      <c r="E18" s="11" t="s">
        <v>706</v>
      </c>
      <c r="F18" s="11" t="s">
        <v>692</v>
      </c>
      <c r="G18" s="57"/>
      <c r="H18" s="11" t="s">
        <v>727</v>
      </c>
      <c r="I18" s="11" t="s">
        <v>616</v>
      </c>
      <c r="J18" s="7" t="s">
        <v>728</v>
      </c>
      <c r="K18" s="59" t="s">
        <v>729</v>
      </c>
      <c r="L18" s="66"/>
      <c r="M18" s="64" t="b">
        <v>0</v>
      </c>
      <c r="N18" s="64" t="b">
        <v>0</v>
      </c>
      <c r="O18" s="64"/>
      <c r="P18" s="64" t="b">
        <v>0</v>
      </c>
      <c r="Q18" s="64" t="b">
        <v>0</v>
      </c>
      <c r="R18" s="64" t="b">
        <v>0</v>
      </c>
      <c r="S18" s="64"/>
      <c r="T18" s="32"/>
      <c r="U18" s="64" t="b">
        <v>0</v>
      </c>
      <c r="V18" s="64"/>
      <c r="W18" s="64" t="b">
        <v>0</v>
      </c>
      <c r="X18" s="64" t="b">
        <v>0</v>
      </c>
      <c r="Y18" s="64"/>
      <c r="Z18" s="64"/>
      <c r="AA18" s="64"/>
      <c r="AB18" s="64"/>
      <c r="AC18" s="65"/>
      <c r="AD18" s="64"/>
      <c r="AE18" s="64"/>
      <c r="AF18" s="64"/>
      <c r="AG18" s="64"/>
      <c r="AH18" s="64"/>
      <c r="AI18" s="64"/>
      <c r="AJ18" s="62"/>
      <c r="AK18" s="34" t="s">
        <v>636</v>
      </c>
      <c r="AL18" s="3"/>
      <c r="AM18" s="25"/>
      <c r="AN18" s="35" t="s">
        <v>730</v>
      </c>
      <c r="AO18" s="24">
        <v>9.375E-4</v>
      </c>
      <c r="AP18" s="36"/>
      <c r="AQ18" s="36"/>
      <c r="AR18" s="36" t="s">
        <v>633</v>
      </c>
      <c r="AS18" s="7" t="b">
        <f>NOT(ISERROR(MATCH(A18,'Villages according to موسوعة ال'!C:C,0)))</f>
        <v>1</v>
      </c>
      <c r="AT18" s="37"/>
      <c r="AU18" s="37"/>
      <c r="AV18" s="37"/>
      <c r="AW18" s="37"/>
      <c r="AX18" s="37"/>
      <c r="AY18" s="37"/>
      <c r="AZ18" s="37"/>
      <c r="BA18" s="37"/>
      <c r="BB18" s="37"/>
      <c r="BC18" s="37"/>
      <c r="BD18" s="37"/>
      <c r="BE18" s="37"/>
      <c r="BF18" s="37"/>
      <c r="BG18" s="37"/>
      <c r="BH18" s="37"/>
      <c r="BI18" s="37"/>
      <c r="BJ18" s="37"/>
      <c r="BK18" s="37"/>
      <c r="BL18" s="37"/>
      <c r="BM18" s="37"/>
      <c r="BN18" s="37"/>
      <c r="BO18" s="37"/>
      <c r="BP18" s="37"/>
    </row>
    <row r="19">
      <c r="A19" s="3" t="s">
        <v>705</v>
      </c>
      <c r="B19" s="43" t="s">
        <v>124</v>
      </c>
      <c r="E19" s="11" t="s">
        <v>706</v>
      </c>
      <c r="F19" s="11" t="s">
        <v>692</v>
      </c>
      <c r="G19" s="57" t="s">
        <v>693</v>
      </c>
      <c r="H19" s="11" t="s">
        <v>731</v>
      </c>
      <c r="I19" s="11" t="s">
        <v>638</v>
      </c>
      <c r="J19" s="7" t="s">
        <v>732</v>
      </c>
      <c r="K19" s="59" t="s">
        <v>733</v>
      </c>
      <c r="L19" s="63"/>
      <c r="M19" s="64" t="b">
        <v>0</v>
      </c>
      <c r="N19" s="64" t="b">
        <v>0</v>
      </c>
      <c r="O19" s="64"/>
      <c r="P19" s="64" t="b">
        <v>0</v>
      </c>
      <c r="Q19" s="64" t="b">
        <v>0</v>
      </c>
      <c r="R19" s="64" t="b">
        <v>0</v>
      </c>
      <c r="S19" s="64"/>
      <c r="T19" s="32"/>
      <c r="U19" s="64" t="b">
        <v>0</v>
      </c>
      <c r="V19" s="64"/>
      <c r="W19" s="64" t="b">
        <v>0</v>
      </c>
      <c r="X19" s="64" t="b">
        <v>0</v>
      </c>
      <c r="Y19" s="64"/>
      <c r="Z19" s="64"/>
      <c r="AA19" s="64"/>
      <c r="AB19" s="64"/>
      <c r="AC19" s="65"/>
      <c r="AD19" s="64"/>
      <c r="AE19" s="64"/>
      <c r="AF19" s="64"/>
      <c r="AG19" s="64"/>
      <c r="AH19" s="64"/>
      <c r="AI19" s="64"/>
      <c r="AJ19" s="62"/>
      <c r="AK19" s="34" t="s">
        <v>631</v>
      </c>
      <c r="AL19" s="3" t="s">
        <v>734</v>
      </c>
      <c r="AM19" s="3" t="s">
        <v>735</v>
      </c>
      <c r="AN19" s="35" t="s">
        <v>736</v>
      </c>
      <c r="AO19" s="24">
        <v>0.0020601851851851853</v>
      </c>
      <c r="AP19" s="36"/>
      <c r="AQ19" s="36"/>
      <c r="AR19" s="35" t="s">
        <v>737</v>
      </c>
      <c r="AS19" s="7" t="b">
        <f>NOT(ISERROR(MATCH(A19,'Villages according to موسوعة ال'!C:C,0)))</f>
        <v>1</v>
      </c>
      <c r="AT19" s="25"/>
      <c r="AU19" s="25"/>
      <c r="AV19" s="25"/>
      <c r="AW19" s="25"/>
      <c r="AX19" s="25"/>
      <c r="AY19" s="25"/>
      <c r="AZ19" s="25"/>
      <c r="BA19" s="25"/>
      <c r="BB19" s="25"/>
      <c r="BC19" s="25"/>
      <c r="BD19" s="25"/>
      <c r="BE19" s="25"/>
      <c r="BF19" s="25"/>
      <c r="BG19" s="25"/>
      <c r="BH19" s="25"/>
      <c r="BI19" s="25"/>
      <c r="BJ19" s="25"/>
      <c r="BK19" s="25"/>
      <c r="BL19" s="25"/>
      <c r="BM19" s="25"/>
      <c r="BN19" s="25"/>
      <c r="BO19" s="25"/>
      <c r="BP19" s="25"/>
    </row>
    <row r="20">
      <c r="A20" s="7" t="s">
        <v>482</v>
      </c>
      <c r="B20" s="43" t="s">
        <v>483</v>
      </c>
      <c r="C20" s="7" t="s">
        <v>483</v>
      </c>
      <c r="D20" s="7" t="s">
        <v>484</v>
      </c>
      <c r="E20" s="11" t="s">
        <v>691</v>
      </c>
      <c r="F20" s="11" t="s">
        <v>692</v>
      </c>
      <c r="G20" s="57" t="s">
        <v>693</v>
      </c>
      <c r="H20" s="58" t="s">
        <v>738</v>
      </c>
      <c r="I20" s="11" t="s">
        <v>616</v>
      </c>
      <c r="J20" s="7" t="s">
        <v>739</v>
      </c>
      <c r="K20" s="59" t="s">
        <v>740</v>
      </c>
      <c r="L20" s="54" t="s">
        <v>741</v>
      </c>
      <c r="M20" s="60" t="b">
        <v>0</v>
      </c>
      <c r="N20" s="60" t="b">
        <v>0</v>
      </c>
      <c r="O20" s="60" t="s">
        <v>620</v>
      </c>
      <c r="P20" s="60" t="b">
        <v>0</v>
      </c>
      <c r="Q20" s="60" t="b">
        <v>0</v>
      </c>
      <c r="R20" s="60" t="b">
        <v>0</v>
      </c>
      <c r="S20" s="60" t="s">
        <v>621</v>
      </c>
      <c r="T20" s="60"/>
      <c r="U20" s="60" t="b">
        <v>0</v>
      </c>
      <c r="V20" s="60"/>
      <c r="W20" s="60" t="b">
        <v>0</v>
      </c>
      <c r="X20" s="60" t="b">
        <v>0</v>
      </c>
      <c r="Y20" s="60" t="s">
        <v>671</v>
      </c>
      <c r="Z20" s="60"/>
      <c r="AA20" s="60"/>
      <c r="AB20" s="60" t="s">
        <v>624</v>
      </c>
      <c r="AC20" s="61"/>
      <c r="AD20" s="60" t="s">
        <v>686</v>
      </c>
      <c r="AE20" s="60" t="s">
        <v>626</v>
      </c>
      <c r="AF20" s="60" t="s">
        <v>627</v>
      </c>
      <c r="AG20" s="60"/>
      <c r="AH20" s="60" t="s">
        <v>687</v>
      </c>
      <c r="AI20" s="60"/>
      <c r="AJ20" s="3"/>
      <c r="AK20" s="34" t="s">
        <v>698</v>
      </c>
      <c r="AL20" s="3" t="s">
        <v>699</v>
      </c>
      <c r="AM20" s="3" t="s">
        <v>700</v>
      </c>
      <c r="AN20" s="35" t="s">
        <v>742</v>
      </c>
      <c r="AO20" s="24">
        <v>0.002210648148148148</v>
      </c>
      <c r="AP20" s="36" t="s">
        <v>702</v>
      </c>
      <c r="AQ20" s="36" t="s">
        <v>703</v>
      </c>
      <c r="AR20" s="35" t="s">
        <v>743</v>
      </c>
      <c r="AS20" s="7" t="b">
        <f>NOT(ISERROR(MATCH(A20,'Villages according to موسوعة ال'!C:C,0)))</f>
        <v>1</v>
      </c>
      <c r="AT20" s="25"/>
      <c r="AU20" s="25"/>
      <c r="AV20" s="25"/>
      <c r="AW20" s="25"/>
      <c r="AX20" s="25"/>
      <c r="AY20" s="25"/>
      <c r="AZ20" s="25"/>
      <c r="BA20" s="25"/>
      <c r="BB20" s="25"/>
      <c r="BC20" s="25"/>
      <c r="BD20" s="25"/>
      <c r="BE20" s="25"/>
      <c r="BF20" s="25"/>
      <c r="BG20" s="25"/>
      <c r="BH20" s="25"/>
      <c r="BI20" s="25"/>
      <c r="BJ20" s="25"/>
      <c r="BK20" s="25"/>
      <c r="BL20" s="25"/>
      <c r="BM20" s="25"/>
      <c r="BN20" s="25"/>
      <c r="BO20" s="25"/>
      <c r="BP20" s="25"/>
    </row>
    <row r="21">
      <c r="A21" s="7" t="s">
        <v>482</v>
      </c>
      <c r="B21" s="26" t="s">
        <v>483</v>
      </c>
      <c r="F21" s="11" t="s">
        <v>692</v>
      </c>
      <c r="K21" s="59" t="s">
        <v>744</v>
      </c>
      <c r="L21" s="47"/>
      <c r="M21" s="48" t="b">
        <v>0</v>
      </c>
      <c r="N21" s="48" t="b">
        <v>0</v>
      </c>
      <c r="O21" s="48"/>
      <c r="P21" s="48" t="b">
        <v>0</v>
      </c>
      <c r="Q21" s="48" t="b">
        <v>0</v>
      </c>
      <c r="R21" s="48" t="b">
        <v>0</v>
      </c>
      <c r="S21" s="48"/>
      <c r="T21" s="32"/>
      <c r="U21" s="48" t="b">
        <v>0</v>
      </c>
      <c r="V21" s="48"/>
      <c r="W21" s="48" t="b">
        <v>0</v>
      </c>
      <c r="X21" s="48" t="b">
        <v>0</v>
      </c>
      <c r="Y21" s="48"/>
      <c r="Z21" s="48"/>
      <c r="AA21" s="48"/>
      <c r="AB21" s="48"/>
      <c r="AC21" s="49"/>
      <c r="AD21" s="48"/>
      <c r="AE21" s="48"/>
      <c r="AF21" s="48"/>
      <c r="AG21" s="48"/>
      <c r="AH21" s="48"/>
      <c r="AI21" s="48"/>
      <c r="AJ21" s="25"/>
      <c r="AK21" s="34" t="s">
        <v>636</v>
      </c>
      <c r="AL21" s="25"/>
      <c r="AM21" s="25"/>
      <c r="AN21" s="35" t="s">
        <v>745</v>
      </c>
      <c r="AO21" s="24">
        <v>0.0012847222222222223</v>
      </c>
      <c r="AP21" s="36" t="s">
        <v>702</v>
      </c>
      <c r="AQ21" s="36" t="s">
        <v>703</v>
      </c>
      <c r="AR21" s="7" t="s">
        <v>633</v>
      </c>
      <c r="AS21" s="7" t="b">
        <f>NOT(ISERROR(MATCH(A21,'Villages according to موسوعة ال'!C:C,0)))</f>
        <v>1</v>
      </c>
      <c r="AT21" s="37"/>
      <c r="AU21" s="37"/>
      <c r="AV21" s="37"/>
      <c r="AW21" s="37"/>
      <c r="AX21" s="37"/>
      <c r="AY21" s="37"/>
      <c r="AZ21" s="37"/>
      <c r="BA21" s="37"/>
      <c r="BB21" s="37"/>
      <c r="BC21" s="37"/>
      <c r="BD21" s="37"/>
      <c r="BE21" s="37"/>
      <c r="BF21" s="37"/>
      <c r="BG21" s="37"/>
      <c r="BH21" s="37"/>
      <c r="BI21" s="37"/>
      <c r="BJ21" s="37"/>
      <c r="BK21" s="37"/>
      <c r="BL21" s="37"/>
      <c r="BM21" s="37"/>
      <c r="BN21" s="37"/>
      <c r="BO21" s="37"/>
      <c r="BP21" s="37"/>
    </row>
    <row r="22">
      <c r="A22" s="7" t="s">
        <v>482</v>
      </c>
      <c r="B22" s="43" t="s">
        <v>483</v>
      </c>
      <c r="E22" s="11" t="s">
        <v>691</v>
      </c>
      <c r="F22" s="11" t="s">
        <v>692</v>
      </c>
      <c r="G22" s="57" t="s">
        <v>693</v>
      </c>
      <c r="H22" s="58" t="s">
        <v>746</v>
      </c>
      <c r="I22" s="11" t="s">
        <v>616</v>
      </c>
      <c r="J22" s="7" t="s">
        <v>747</v>
      </c>
      <c r="K22" s="54" t="s">
        <v>748</v>
      </c>
      <c r="L22" s="54" t="s">
        <v>749</v>
      </c>
      <c r="M22" s="60" t="b">
        <v>0</v>
      </c>
      <c r="N22" s="60" t="b">
        <v>0</v>
      </c>
      <c r="O22" s="60" t="s">
        <v>620</v>
      </c>
      <c r="P22" s="60" t="b">
        <v>0</v>
      </c>
      <c r="Q22" s="60" t="b">
        <v>0</v>
      </c>
      <c r="R22" s="60" t="b">
        <v>1</v>
      </c>
      <c r="S22" s="60" t="s">
        <v>621</v>
      </c>
      <c r="T22" s="60" t="s">
        <v>670</v>
      </c>
      <c r="U22" s="60" t="b">
        <v>0</v>
      </c>
      <c r="V22" s="60"/>
      <c r="W22" s="60" t="b">
        <v>0</v>
      </c>
      <c r="X22" s="60" t="b">
        <v>1</v>
      </c>
      <c r="Y22" s="60"/>
      <c r="Z22" s="60"/>
      <c r="AA22" s="60"/>
      <c r="AB22" s="60" t="s">
        <v>624</v>
      </c>
      <c r="AC22" s="61"/>
      <c r="AD22" s="60" t="s">
        <v>686</v>
      </c>
      <c r="AE22" s="60"/>
      <c r="AF22" s="60" t="s">
        <v>627</v>
      </c>
      <c r="AG22" s="60"/>
      <c r="AH22" s="60" t="s">
        <v>687</v>
      </c>
      <c r="AI22" s="60" t="s">
        <v>673</v>
      </c>
      <c r="AJ22" s="3"/>
      <c r="AK22" s="34" t="s">
        <v>698</v>
      </c>
      <c r="AL22" s="3" t="s">
        <v>699</v>
      </c>
      <c r="AM22" s="3" t="s">
        <v>700</v>
      </c>
      <c r="AN22" s="35" t="s">
        <v>750</v>
      </c>
      <c r="AO22" s="24">
        <v>8.101851851851852E-4</v>
      </c>
      <c r="AP22" s="36" t="s">
        <v>702</v>
      </c>
      <c r="AQ22" s="67">
        <v>43070.0</v>
      </c>
      <c r="AR22" s="35" t="s">
        <v>751</v>
      </c>
      <c r="AS22" s="7" t="b">
        <f>NOT(ISERROR(MATCH(A22,'Villages according to موسوعة ال'!C:C,0)))</f>
        <v>1</v>
      </c>
      <c r="AT22" s="25"/>
      <c r="AU22" s="25"/>
      <c r="AV22" s="25"/>
      <c r="AW22" s="25"/>
      <c r="AX22" s="25"/>
      <c r="AY22" s="25"/>
      <c r="AZ22" s="25"/>
      <c r="BA22" s="25"/>
      <c r="BB22" s="25"/>
      <c r="BC22" s="25"/>
      <c r="BD22" s="25"/>
      <c r="BE22" s="25"/>
      <c r="BF22" s="25"/>
      <c r="BG22" s="25"/>
      <c r="BH22" s="25"/>
      <c r="BI22" s="25"/>
      <c r="BJ22" s="25"/>
      <c r="BK22" s="25"/>
      <c r="BL22" s="25"/>
      <c r="BM22" s="25"/>
      <c r="BN22" s="25"/>
      <c r="BO22" s="25"/>
      <c r="BP22" s="25"/>
    </row>
    <row r="23">
      <c r="A23" s="7" t="s">
        <v>482</v>
      </c>
      <c r="B23" s="43" t="s">
        <v>483</v>
      </c>
      <c r="E23" s="11" t="s">
        <v>691</v>
      </c>
      <c r="F23" s="11" t="s">
        <v>692</v>
      </c>
      <c r="G23" s="57" t="s">
        <v>693</v>
      </c>
      <c r="H23" s="58" t="s">
        <v>752</v>
      </c>
      <c r="I23" s="11" t="s">
        <v>638</v>
      </c>
      <c r="J23" s="7" t="s">
        <v>753</v>
      </c>
      <c r="K23" s="59" t="s">
        <v>754</v>
      </c>
      <c r="L23" s="54" t="s">
        <v>755</v>
      </c>
      <c r="M23" s="60" t="b">
        <v>0</v>
      </c>
      <c r="N23" s="60" t="b">
        <v>0</v>
      </c>
      <c r="O23" s="60" t="s">
        <v>620</v>
      </c>
      <c r="P23" s="60" t="b">
        <v>0</v>
      </c>
      <c r="Q23" s="60" t="b">
        <v>0</v>
      </c>
      <c r="R23" s="60" t="b">
        <v>0</v>
      </c>
      <c r="S23" s="60" t="s">
        <v>621</v>
      </c>
      <c r="T23" s="60" t="s">
        <v>670</v>
      </c>
      <c r="U23" s="60" t="b">
        <v>0</v>
      </c>
      <c r="V23" s="60"/>
      <c r="W23" s="60" t="b">
        <v>1</v>
      </c>
      <c r="X23" s="60" t="b">
        <v>0</v>
      </c>
      <c r="Y23" s="60"/>
      <c r="Z23" s="60"/>
      <c r="AA23" s="60"/>
      <c r="AB23" s="60"/>
      <c r="AC23" s="61" t="s">
        <v>756</v>
      </c>
      <c r="AD23" s="60" t="s">
        <v>686</v>
      </c>
      <c r="AE23" s="60"/>
      <c r="AF23" s="60" t="s">
        <v>627</v>
      </c>
      <c r="AG23" s="60"/>
      <c r="AH23" s="60" t="s">
        <v>687</v>
      </c>
      <c r="AI23" s="60" t="s">
        <v>673</v>
      </c>
      <c r="AJ23" s="3"/>
      <c r="AK23" s="34" t="s">
        <v>698</v>
      </c>
      <c r="AL23" s="3" t="s">
        <v>675</v>
      </c>
      <c r="AM23" s="3" t="s">
        <v>700</v>
      </c>
      <c r="AN23" s="35" t="s">
        <v>757</v>
      </c>
      <c r="AO23" s="24">
        <v>4.861111111111111E-4</v>
      </c>
      <c r="AP23" s="36" t="s">
        <v>758</v>
      </c>
      <c r="AQ23" s="67">
        <v>43070.0</v>
      </c>
      <c r="AR23" s="68" t="s">
        <v>759</v>
      </c>
      <c r="AS23" s="7" t="b">
        <f>NOT(ISERROR(MATCH(A23,'Villages according to موسوعة ال'!C:C,0)))</f>
        <v>1</v>
      </c>
      <c r="AT23" s="25"/>
      <c r="AU23" s="25"/>
      <c r="AV23" s="25"/>
      <c r="AW23" s="25"/>
      <c r="AX23" s="25"/>
      <c r="AY23" s="25"/>
      <c r="AZ23" s="25"/>
      <c r="BA23" s="25"/>
      <c r="BB23" s="25"/>
      <c r="BC23" s="25"/>
      <c r="BD23" s="25"/>
      <c r="BE23" s="25"/>
      <c r="BF23" s="25"/>
      <c r="BG23" s="25"/>
      <c r="BH23" s="25"/>
      <c r="BI23" s="25"/>
      <c r="BJ23" s="25"/>
      <c r="BK23" s="25"/>
      <c r="BL23" s="25"/>
      <c r="BM23" s="25"/>
      <c r="BN23" s="25"/>
      <c r="BO23" s="25"/>
      <c r="BP23" s="25"/>
    </row>
    <row r="24">
      <c r="A24" s="7" t="s">
        <v>482</v>
      </c>
      <c r="B24" s="43" t="s">
        <v>483</v>
      </c>
      <c r="F24" s="11" t="s">
        <v>692</v>
      </c>
      <c r="K24" s="59" t="s">
        <v>760</v>
      </c>
      <c r="L24" s="54" t="s">
        <v>761</v>
      </c>
      <c r="M24" s="60" t="b">
        <v>0</v>
      </c>
      <c r="N24" s="60" t="b">
        <v>0</v>
      </c>
      <c r="O24" s="60" t="s">
        <v>620</v>
      </c>
      <c r="P24" s="60" t="b">
        <v>0</v>
      </c>
      <c r="Q24" s="60" t="b">
        <v>0</v>
      </c>
      <c r="R24" s="60" t="b">
        <v>0</v>
      </c>
      <c r="S24" s="60" t="s">
        <v>621</v>
      </c>
      <c r="T24" s="60" t="s">
        <v>670</v>
      </c>
      <c r="U24" s="60" t="b">
        <v>0</v>
      </c>
      <c r="V24" s="60"/>
      <c r="W24" s="60" t="b">
        <v>0</v>
      </c>
      <c r="X24" s="60" t="b">
        <v>0</v>
      </c>
      <c r="Y24" s="60"/>
      <c r="Z24" s="60"/>
      <c r="AA24" s="60"/>
      <c r="AB24" s="60" t="s">
        <v>624</v>
      </c>
      <c r="AC24" s="61" t="s">
        <v>756</v>
      </c>
      <c r="AD24" s="60" t="s">
        <v>686</v>
      </c>
      <c r="AE24" s="60"/>
      <c r="AF24" s="60" t="s">
        <v>627</v>
      </c>
      <c r="AG24" s="60"/>
      <c r="AH24" s="60" t="s">
        <v>687</v>
      </c>
      <c r="AI24" s="60" t="s">
        <v>673</v>
      </c>
      <c r="AJ24" s="3" t="s">
        <v>762</v>
      </c>
      <c r="AK24" s="34" t="s">
        <v>698</v>
      </c>
      <c r="AL24" s="3" t="s">
        <v>675</v>
      </c>
      <c r="AM24" s="3" t="s">
        <v>700</v>
      </c>
      <c r="AN24" s="35" t="s">
        <v>763</v>
      </c>
      <c r="AO24" s="24">
        <v>6.134259259259259E-4</v>
      </c>
      <c r="AP24" s="36" t="s">
        <v>758</v>
      </c>
      <c r="AQ24" s="67">
        <v>43071.0</v>
      </c>
      <c r="AR24" s="68" t="s">
        <v>764</v>
      </c>
      <c r="AS24" s="7" t="b">
        <f>NOT(ISERROR(MATCH(A24,'Villages according to موسوعة ال'!C:C,0)))</f>
        <v>1</v>
      </c>
      <c r="AT24" s="25"/>
      <c r="AU24" s="25"/>
      <c r="AV24" s="25"/>
      <c r="AW24" s="25"/>
      <c r="AX24" s="25"/>
      <c r="AY24" s="25"/>
      <c r="AZ24" s="25"/>
      <c r="BA24" s="25"/>
      <c r="BB24" s="25"/>
      <c r="BC24" s="25"/>
      <c r="BD24" s="25"/>
      <c r="BE24" s="25"/>
      <c r="BF24" s="25"/>
      <c r="BG24" s="25"/>
      <c r="BH24" s="25"/>
      <c r="BI24" s="25"/>
      <c r="BJ24" s="25"/>
      <c r="BK24" s="25"/>
      <c r="BL24" s="25"/>
      <c r="BM24" s="25"/>
      <c r="BN24" s="25"/>
      <c r="BO24" s="25"/>
      <c r="BP24" s="25"/>
    </row>
    <row r="25">
      <c r="A25" s="7" t="s">
        <v>185</v>
      </c>
      <c r="B25" s="43" t="s">
        <v>186</v>
      </c>
      <c r="C25" s="7" t="s">
        <v>186</v>
      </c>
      <c r="D25" s="7" t="s">
        <v>187</v>
      </c>
      <c r="E25" s="11" t="s">
        <v>706</v>
      </c>
      <c r="F25" s="11" t="s">
        <v>692</v>
      </c>
      <c r="G25" s="28" t="s">
        <v>693</v>
      </c>
      <c r="H25" s="7"/>
      <c r="I25" s="7" t="s">
        <v>616</v>
      </c>
      <c r="J25" s="7" t="s">
        <v>765</v>
      </c>
      <c r="K25" s="29" t="s">
        <v>766</v>
      </c>
      <c r="L25" s="69" t="s">
        <v>767</v>
      </c>
      <c r="M25" s="65" t="b">
        <v>0</v>
      </c>
      <c r="N25" s="65" t="b">
        <v>0</v>
      </c>
      <c r="O25" s="65"/>
      <c r="P25" s="65" t="b">
        <v>0</v>
      </c>
      <c r="Q25" s="65" t="b">
        <v>0</v>
      </c>
      <c r="R25" s="65" t="b">
        <v>0</v>
      </c>
      <c r="S25" s="65"/>
      <c r="T25" s="32"/>
      <c r="U25" s="65" t="b">
        <v>0</v>
      </c>
      <c r="V25" s="65"/>
      <c r="W25" s="65" t="b">
        <v>0</v>
      </c>
      <c r="X25" s="65" t="b">
        <v>0</v>
      </c>
      <c r="Y25" s="65"/>
      <c r="Z25" s="65"/>
      <c r="AA25" s="65"/>
      <c r="AB25" s="65"/>
      <c r="AC25" s="65"/>
      <c r="AD25" s="65"/>
      <c r="AE25" s="65"/>
      <c r="AF25" s="65"/>
      <c r="AG25" s="65"/>
      <c r="AH25" s="65"/>
      <c r="AI25" s="65"/>
      <c r="AJ25" s="70"/>
      <c r="AK25" s="34" t="s">
        <v>631</v>
      </c>
      <c r="AL25" s="3" t="s">
        <v>675</v>
      </c>
      <c r="AM25" s="3" t="s">
        <v>768</v>
      </c>
      <c r="AN25" s="35" t="s">
        <v>769</v>
      </c>
      <c r="AO25" s="24">
        <v>0.0016898148148148148</v>
      </c>
      <c r="AP25" s="36"/>
      <c r="AQ25" s="36"/>
      <c r="AR25" s="35" t="s">
        <v>770</v>
      </c>
      <c r="AS25" s="7" t="b">
        <f>NOT(ISERROR(MATCH(A25,'Villages according to موسوعة ال'!C:C,0)))</f>
        <v>1</v>
      </c>
      <c r="AT25" s="25"/>
      <c r="AU25" s="25"/>
      <c r="AV25" s="25"/>
      <c r="AW25" s="25"/>
      <c r="AX25" s="25"/>
      <c r="AY25" s="25"/>
      <c r="AZ25" s="25"/>
      <c r="BA25" s="25"/>
      <c r="BB25" s="25"/>
      <c r="BC25" s="25"/>
      <c r="BD25" s="25"/>
      <c r="BE25" s="25"/>
      <c r="BF25" s="25"/>
      <c r="BG25" s="25"/>
      <c r="BH25" s="25"/>
      <c r="BI25" s="25"/>
      <c r="BJ25" s="25"/>
      <c r="BK25" s="25"/>
      <c r="BL25" s="25"/>
      <c r="BM25" s="25"/>
      <c r="BN25" s="25"/>
      <c r="BO25" s="25"/>
      <c r="BP25" s="25"/>
    </row>
    <row r="26">
      <c r="A26" s="7" t="s">
        <v>185</v>
      </c>
      <c r="B26" s="43" t="s">
        <v>186</v>
      </c>
      <c r="E26" s="11" t="s">
        <v>706</v>
      </c>
      <c r="F26" s="11" t="s">
        <v>692</v>
      </c>
      <c r="G26" s="28" t="s">
        <v>693</v>
      </c>
      <c r="H26" s="7" t="s">
        <v>771</v>
      </c>
      <c r="I26" s="7" t="s">
        <v>616</v>
      </c>
      <c r="J26" s="7" t="s">
        <v>772</v>
      </c>
      <c r="K26" s="29" t="s">
        <v>773</v>
      </c>
      <c r="L26" s="54" t="s">
        <v>774</v>
      </c>
      <c r="M26" s="60" t="b">
        <v>0</v>
      </c>
      <c r="N26" s="60" t="b">
        <v>0</v>
      </c>
      <c r="O26" s="32" t="s">
        <v>620</v>
      </c>
      <c r="P26" s="60" t="b">
        <v>0</v>
      </c>
      <c r="Q26" s="60" t="b">
        <v>0</v>
      </c>
      <c r="R26" s="60" t="b">
        <v>0</v>
      </c>
      <c r="S26" s="32" t="s">
        <v>621</v>
      </c>
      <c r="T26" s="32" t="s">
        <v>670</v>
      </c>
      <c r="U26" s="60" t="b">
        <v>0</v>
      </c>
      <c r="V26" s="60"/>
      <c r="W26" s="32" t="b">
        <v>1</v>
      </c>
      <c r="X26" s="60" t="b">
        <v>0</v>
      </c>
      <c r="Y26" s="32" t="s">
        <v>671</v>
      </c>
      <c r="Z26" s="60"/>
      <c r="AA26" s="32" t="s">
        <v>775</v>
      </c>
      <c r="AB26" s="60"/>
      <c r="AC26" s="33" t="s">
        <v>672</v>
      </c>
      <c r="AD26" s="60"/>
      <c r="AE26" s="32" t="s">
        <v>626</v>
      </c>
      <c r="AF26" s="60"/>
      <c r="AG26" s="60"/>
      <c r="AH26" s="60"/>
      <c r="AI26" s="32" t="s">
        <v>673</v>
      </c>
      <c r="AJ26" s="3"/>
      <c r="AK26" s="34" t="s">
        <v>698</v>
      </c>
      <c r="AL26" s="3" t="s">
        <v>675</v>
      </c>
      <c r="AM26" s="3" t="s">
        <v>676</v>
      </c>
      <c r="AN26" s="35" t="s">
        <v>776</v>
      </c>
      <c r="AO26" s="24">
        <v>0.0014699074074074074</v>
      </c>
      <c r="AP26" s="36" t="s">
        <v>777</v>
      </c>
      <c r="AQ26" s="36"/>
      <c r="AR26" s="35" t="s">
        <v>778</v>
      </c>
      <c r="AS26" s="7" t="b">
        <f>NOT(ISERROR(MATCH(A26,'Villages according to موسوعة ال'!C:C,0)))</f>
        <v>1</v>
      </c>
      <c r="AT26" s="25"/>
      <c r="AU26" s="25"/>
      <c r="AV26" s="25"/>
      <c r="AW26" s="25"/>
      <c r="AX26" s="25"/>
      <c r="AY26" s="25"/>
      <c r="AZ26" s="25"/>
      <c r="BA26" s="25"/>
      <c r="BB26" s="25"/>
      <c r="BC26" s="25"/>
      <c r="BD26" s="25"/>
      <c r="BE26" s="25"/>
      <c r="BF26" s="25"/>
      <c r="BG26" s="25"/>
      <c r="BH26" s="25"/>
      <c r="BI26" s="25"/>
      <c r="BJ26" s="25"/>
      <c r="BK26" s="25"/>
      <c r="BL26" s="25"/>
      <c r="BM26" s="25"/>
      <c r="BN26" s="25"/>
      <c r="BO26" s="25"/>
      <c r="BP26" s="25"/>
    </row>
    <row r="27">
      <c r="A27" s="7" t="s">
        <v>185</v>
      </c>
      <c r="B27" s="43" t="s">
        <v>186</v>
      </c>
      <c r="E27" s="11" t="s">
        <v>706</v>
      </c>
      <c r="F27" s="11" t="s">
        <v>692</v>
      </c>
      <c r="K27" s="29"/>
      <c r="L27" s="54" t="s">
        <v>779</v>
      </c>
      <c r="M27" s="32" t="b">
        <v>1</v>
      </c>
      <c r="N27" s="60" t="b">
        <v>0</v>
      </c>
      <c r="O27" s="32" t="s">
        <v>620</v>
      </c>
      <c r="P27" s="32" t="b">
        <v>1</v>
      </c>
      <c r="Q27" s="32" t="b">
        <v>1</v>
      </c>
      <c r="R27" s="60" t="b">
        <v>0</v>
      </c>
      <c r="S27" s="32" t="s">
        <v>621</v>
      </c>
      <c r="T27" s="32" t="s">
        <v>670</v>
      </c>
      <c r="U27" s="32" t="b">
        <v>1</v>
      </c>
      <c r="V27" s="60"/>
      <c r="W27" s="32" t="b">
        <v>1</v>
      </c>
      <c r="X27" s="60" t="b">
        <v>0</v>
      </c>
      <c r="Y27" s="32" t="s">
        <v>671</v>
      </c>
      <c r="Z27" s="60"/>
      <c r="AA27" s="60"/>
      <c r="AB27" s="60"/>
      <c r="AC27" s="61"/>
      <c r="AD27" s="32" t="s">
        <v>686</v>
      </c>
      <c r="AE27" s="60"/>
      <c r="AF27" s="32" t="s">
        <v>627</v>
      </c>
      <c r="AG27" s="60"/>
      <c r="AH27" s="60"/>
      <c r="AI27" s="32" t="s">
        <v>673</v>
      </c>
      <c r="AJ27" s="3"/>
      <c r="AK27" s="34" t="s">
        <v>698</v>
      </c>
      <c r="AL27" s="3" t="s">
        <v>699</v>
      </c>
      <c r="AM27" s="3" t="s">
        <v>676</v>
      </c>
      <c r="AN27" s="35" t="s">
        <v>780</v>
      </c>
      <c r="AO27" s="24">
        <v>0.003310185185185185</v>
      </c>
      <c r="AP27" s="36" t="s">
        <v>777</v>
      </c>
      <c r="AQ27" s="36"/>
      <c r="AR27" s="35" t="s">
        <v>781</v>
      </c>
      <c r="AS27" s="7" t="b">
        <f>NOT(ISERROR(MATCH(A27,'Villages according to موسوعة ال'!C:C,0)))</f>
        <v>1</v>
      </c>
      <c r="AT27" s="25"/>
      <c r="AU27" s="25"/>
      <c r="AV27" s="25"/>
      <c r="AW27" s="25"/>
      <c r="AX27" s="25"/>
      <c r="AY27" s="25"/>
      <c r="AZ27" s="25"/>
      <c r="BA27" s="25"/>
      <c r="BB27" s="25"/>
      <c r="BC27" s="25"/>
      <c r="BD27" s="25"/>
      <c r="BE27" s="25"/>
      <c r="BF27" s="25"/>
      <c r="BG27" s="25"/>
      <c r="BH27" s="25"/>
      <c r="BI27" s="25"/>
      <c r="BJ27" s="25"/>
      <c r="BK27" s="25"/>
      <c r="BL27" s="25"/>
      <c r="BM27" s="25"/>
      <c r="BN27" s="25"/>
      <c r="BO27" s="25"/>
      <c r="BP27" s="25"/>
    </row>
    <row r="28">
      <c r="A28" s="7" t="s">
        <v>185</v>
      </c>
      <c r="B28" s="26" t="s">
        <v>186</v>
      </c>
      <c r="E28" s="11" t="s">
        <v>706</v>
      </c>
      <c r="F28" s="11" t="s">
        <v>692</v>
      </c>
      <c r="K28" s="29" t="s">
        <v>782</v>
      </c>
      <c r="L28" s="54" t="s">
        <v>783</v>
      </c>
      <c r="M28" s="31" t="b">
        <v>0</v>
      </c>
      <c r="N28" s="31" t="b">
        <v>0</v>
      </c>
      <c r="O28" s="31"/>
      <c r="P28" s="31" t="b">
        <v>0</v>
      </c>
      <c r="Q28" s="31" t="b">
        <v>0</v>
      </c>
      <c r="R28" s="31" t="b">
        <v>0</v>
      </c>
      <c r="S28" s="31"/>
      <c r="T28" s="32"/>
      <c r="U28" s="31" t="b">
        <v>0</v>
      </c>
      <c r="V28" s="31"/>
      <c r="W28" s="31" t="b">
        <v>0</v>
      </c>
      <c r="X28" s="31" t="b">
        <v>0</v>
      </c>
      <c r="Y28" s="31"/>
      <c r="Z28" s="31"/>
      <c r="AA28" s="31"/>
      <c r="AB28" s="31"/>
      <c r="AC28" s="45"/>
      <c r="AD28" s="31"/>
      <c r="AE28" s="31"/>
      <c r="AF28" s="31"/>
      <c r="AG28" s="31"/>
      <c r="AH28" s="31"/>
      <c r="AI28" s="31"/>
      <c r="AJ28" s="3"/>
      <c r="AK28" s="34" t="s">
        <v>636</v>
      </c>
      <c r="AL28" s="25"/>
      <c r="AM28" s="25"/>
      <c r="AN28" s="35" t="s">
        <v>784</v>
      </c>
      <c r="AO28" s="24">
        <v>0.0015972222222222223</v>
      </c>
      <c r="AP28" s="36"/>
      <c r="AQ28" s="36"/>
      <c r="AR28" s="7" t="s">
        <v>633</v>
      </c>
      <c r="AS28" s="7" t="b">
        <f>NOT(ISERROR(MATCH(A28,'Villages according to موسوعة ال'!C:C,0)))</f>
        <v>1</v>
      </c>
      <c r="AT28" s="37"/>
      <c r="AU28" s="37"/>
      <c r="AV28" s="37"/>
      <c r="AW28" s="37"/>
      <c r="AX28" s="37"/>
      <c r="AY28" s="37"/>
      <c r="AZ28" s="37"/>
      <c r="BA28" s="37"/>
      <c r="BB28" s="37"/>
      <c r="BC28" s="37"/>
      <c r="BD28" s="37"/>
      <c r="BE28" s="37"/>
      <c r="BF28" s="37"/>
      <c r="BG28" s="37"/>
      <c r="BH28" s="37"/>
      <c r="BI28" s="37"/>
      <c r="BJ28" s="37"/>
      <c r="BK28" s="37"/>
      <c r="BL28" s="37"/>
      <c r="BM28" s="37"/>
      <c r="BN28" s="37"/>
      <c r="BO28" s="37"/>
      <c r="BP28" s="37"/>
    </row>
    <row r="29">
      <c r="A29" s="7" t="s">
        <v>185</v>
      </c>
      <c r="B29" s="26" t="s">
        <v>186</v>
      </c>
      <c r="E29" s="11" t="s">
        <v>706</v>
      </c>
      <c r="F29" s="11" t="s">
        <v>692</v>
      </c>
      <c r="K29" s="29" t="s">
        <v>785</v>
      </c>
      <c r="L29" s="54" t="s">
        <v>786</v>
      </c>
      <c r="M29" s="31" t="b">
        <v>0</v>
      </c>
      <c r="N29" s="31" t="b">
        <v>0</v>
      </c>
      <c r="O29" s="31"/>
      <c r="P29" s="31" t="b">
        <v>0</v>
      </c>
      <c r="Q29" s="31" t="b">
        <v>0</v>
      </c>
      <c r="R29" s="31" t="b">
        <v>0</v>
      </c>
      <c r="S29" s="31"/>
      <c r="T29" s="32"/>
      <c r="U29" s="31" t="b">
        <v>0</v>
      </c>
      <c r="V29" s="31"/>
      <c r="W29" s="31" t="b">
        <v>0</v>
      </c>
      <c r="X29" s="31" t="b">
        <v>0</v>
      </c>
      <c r="Y29" s="31"/>
      <c r="Z29" s="31"/>
      <c r="AA29" s="31"/>
      <c r="AB29" s="31"/>
      <c r="AC29" s="33" t="s">
        <v>787</v>
      </c>
      <c r="AD29" s="31"/>
      <c r="AE29" s="31"/>
      <c r="AF29" s="31"/>
      <c r="AG29" s="31"/>
      <c r="AH29" s="31"/>
      <c r="AI29" s="31"/>
      <c r="AJ29" s="3"/>
      <c r="AK29" s="34" t="s">
        <v>636</v>
      </c>
      <c r="AL29" s="25"/>
      <c r="AM29" s="25"/>
      <c r="AN29" s="35" t="s">
        <v>788</v>
      </c>
      <c r="AO29" s="24">
        <v>0.0012037037037037038</v>
      </c>
      <c r="AP29" s="36"/>
      <c r="AQ29" s="36"/>
      <c r="AR29" s="7" t="s">
        <v>633</v>
      </c>
      <c r="AS29" s="7" t="b">
        <f>NOT(ISERROR(MATCH(A29,'Villages according to موسوعة ال'!C:C,0)))</f>
        <v>1</v>
      </c>
      <c r="AT29" s="37"/>
      <c r="AU29" s="37"/>
      <c r="AV29" s="37"/>
      <c r="AW29" s="37"/>
      <c r="AX29" s="37"/>
      <c r="AY29" s="37"/>
      <c r="AZ29" s="37"/>
      <c r="BA29" s="37"/>
      <c r="BB29" s="37"/>
      <c r="BC29" s="37"/>
      <c r="BD29" s="37"/>
      <c r="BE29" s="37"/>
      <c r="BF29" s="37"/>
      <c r="BG29" s="37"/>
      <c r="BH29" s="37"/>
      <c r="BI29" s="37"/>
      <c r="BJ29" s="37"/>
      <c r="BK29" s="37"/>
      <c r="BL29" s="37"/>
      <c r="BM29" s="37"/>
      <c r="BN29" s="37"/>
      <c r="BO29" s="37"/>
      <c r="BP29" s="37"/>
    </row>
    <row r="30">
      <c r="A30" s="7" t="s">
        <v>185</v>
      </c>
      <c r="B30" s="26" t="s">
        <v>186</v>
      </c>
      <c r="E30" s="7"/>
      <c r="F30" s="7"/>
      <c r="G30" s="28"/>
      <c r="H30" s="7"/>
      <c r="I30" s="7" t="s">
        <v>616</v>
      </c>
      <c r="J30" s="7" t="s">
        <v>789</v>
      </c>
      <c r="K30" s="29" t="s">
        <v>790</v>
      </c>
      <c r="L30" s="54" t="s">
        <v>791</v>
      </c>
      <c r="M30" s="31" t="b">
        <v>0</v>
      </c>
      <c r="N30" s="31" t="b">
        <v>0</v>
      </c>
      <c r="O30" s="31"/>
      <c r="P30" s="31" t="b">
        <v>0</v>
      </c>
      <c r="Q30" s="31" t="b">
        <v>0</v>
      </c>
      <c r="R30" s="31" t="b">
        <v>0</v>
      </c>
      <c r="S30" s="31"/>
      <c r="T30" s="32"/>
      <c r="U30" s="31" t="b">
        <v>0</v>
      </c>
      <c r="V30" s="31"/>
      <c r="W30" s="31" t="b">
        <v>0</v>
      </c>
      <c r="X30" s="31" t="b">
        <v>0</v>
      </c>
      <c r="Y30" s="31"/>
      <c r="Z30" s="31"/>
      <c r="AA30" s="31"/>
      <c r="AB30" s="31"/>
      <c r="AC30" s="45"/>
      <c r="AD30" s="31"/>
      <c r="AE30" s="31"/>
      <c r="AF30" s="31"/>
      <c r="AG30" s="31"/>
      <c r="AH30" s="31"/>
      <c r="AI30" s="31"/>
      <c r="AJ30" s="3"/>
      <c r="AK30" s="34" t="s">
        <v>636</v>
      </c>
      <c r="AL30" s="25"/>
      <c r="AM30" s="25"/>
      <c r="AN30" s="35" t="s">
        <v>792</v>
      </c>
      <c r="AO30" s="24">
        <v>0.0015277777777777779</v>
      </c>
      <c r="AP30" s="36"/>
      <c r="AQ30" s="36"/>
      <c r="AR30" s="7" t="s">
        <v>633</v>
      </c>
      <c r="AS30" s="7" t="b">
        <f>NOT(ISERROR(MATCH(A30,'Villages according to موسوعة ال'!C:C,0)))</f>
        <v>1</v>
      </c>
      <c r="AT30" s="37"/>
      <c r="AU30" s="37"/>
      <c r="AV30" s="37"/>
      <c r="AW30" s="37"/>
      <c r="AX30" s="37"/>
      <c r="AY30" s="37"/>
      <c r="AZ30" s="37"/>
      <c r="BA30" s="37"/>
      <c r="BB30" s="37"/>
      <c r="BC30" s="37"/>
      <c r="BD30" s="37"/>
      <c r="BE30" s="37"/>
      <c r="BF30" s="37"/>
      <c r="BG30" s="37"/>
      <c r="BH30" s="37"/>
      <c r="BI30" s="37"/>
      <c r="BJ30" s="37"/>
      <c r="BK30" s="37"/>
      <c r="BL30" s="37"/>
      <c r="BM30" s="37"/>
      <c r="BN30" s="37"/>
      <c r="BO30" s="37"/>
      <c r="BP30" s="37"/>
    </row>
    <row r="31">
      <c r="A31" s="7" t="s">
        <v>185</v>
      </c>
      <c r="B31" s="43" t="s">
        <v>186</v>
      </c>
      <c r="E31" s="11" t="s">
        <v>691</v>
      </c>
      <c r="F31" s="7" t="s">
        <v>692</v>
      </c>
      <c r="G31" s="28" t="s">
        <v>693</v>
      </c>
      <c r="H31" s="7" t="s">
        <v>793</v>
      </c>
      <c r="I31" s="7" t="s">
        <v>638</v>
      </c>
      <c r="J31" s="7" t="s">
        <v>794</v>
      </c>
      <c r="K31" s="29" t="s">
        <v>795</v>
      </c>
      <c r="L31" s="29" t="s">
        <v>796</v>
      </c>
      <c r="M31" s="60" t="b">
        <v>0</v>
      </c>
      <c r="N31" s="60" t="b">
        <v>0</v>
      </c>
      <c r="O31" s="60" t="s">
        <v>620</v>
      </c>
      <c r="P31" s="60" t="b">
        <v>0</v>
      </c>
      <c r="Q31" s="60" t="b">
        <v>0</v>
      </c>
      <c r="R31" s="60" t="b">
        <v>0</v>
      </c>
      <c r="S31" s="60" t="s">
        <v>621</v>
      </c>
      <c r="T31" s="60" t="s">
        <v>670</v>
      </c>
      <c r="U31" s="60" t="b">
        <v>1</v>
      </c>
      <c r="V31" s="60" t="s">
        <v>797</v>
      </c>
      <c r="W31" s="60" t="b">
        <v>0</v>
      </c>
      <c r="X31" s="60" t="b">
        <v>0</v>
      </c>
      <c r="Y31" s="60"/>
      <c r="Z31" s="60" t="s">
        <v>798</v>
      </c>
      <c r="AA31" s="60"/>
      <c r="AB31" s="60" t="s">
        <v>624</v>
      </c>
      <c r="AC31" s="61"/>
      <c r="AD31" s="60" t="s">
        <v>686</v>
      </c>
      <c r="AE31" s="60"/>
      <c r="AF31" s="60" t="s">
        <v>627</v>
      </c>
      <c r="AG31" s="60"/>
      <c r="AH31" s="60" t="s">
        <v>687</v>
      </c>
      <c r="AI31" s="60" t="s">
        <v>673</v>
      </c>
      <c r="AJ31" s="71"/>
      <c r="AK31" s="34" t="s">
        <v>698</v>
      </c>
      <c r="AL31" s="3" t="s">
        <v>699</v>
      </c>
      <c r="AM31" s="3" t="s">
        <v>700</v>
      </c>
      <c r="AN31" s="35" t="s">
        <v>799</v>
      </c>
      <c r="AO31" s="24">
        <v>0.0010416666666666667</v>
      </c>
      <c r="AP31" s="36" t="s">
        <v>800</v>
      </c>
      <c r="AQ31" s="67">
        <v>43009.0</v>
      </c>
      <c r="AR31" s="35" t="s">
        <v>801</v>
      </c>
      <c r="AS31" s="7" t="b">
        <f>NOT(ISERROR(MATCH(A31,'Villages according to موسوعة ال'!C:C,0)))</f>
        <v>1</v>
      </c>
      <c r="AT31" s="25"/>
      <c r="AU31" s="25"/>
      <c r="AV31" s="25"/>
      <c r="AW31" s="25"/>
      <c r="AX31" s="25"/>
      <c r="AY31" s="25"/>
      <c r="AZ31" s="25"/>
      <c r="BA31" s="25"/>
      <c r="BB31" s="25"/>
      <c r="BC31" s="25"/>
      <c r="BD31" s="25"/>
      <c r="BE31" s="25"/>
      <c r="BF31" s="25"/>
      <c r="BG31" s="25"/>
      <c r="BH31" s="25"/>
      <c r="BI31" s="25"/>
      <c r="BJ31" s="25"/>
      <c r="BK31" s="25"/>
      <c r="BL31" s="25"/>
      <c r="BM31" s="25"/>
      <c r="BN31" s="25"/>
      <c r="BO31" s="25"/>
      <c r="BP31" s="25"/>
    </row>
    <row r="32">
      <c r="A32" s="7" t="s">
        <v>185</v>
      </c>
      <c r="B32" s="43" t="s">
        <v>186</v>
      </c>
      <c r="E32" s="11" t="s">
        <v>691</v>
      </c>
      <c r="F32" s="7" t="s">
        <v>692</v>
      </c>
      <c r="G32" s="28" t="s">
        <v>693</v>
      </c>
      <c r="H32" s="7" t="s">
        <v>802</v>
      </c>
      <c r="I32" s="7" t="s">
        <v>616</v>
      </c>
      <c r="J32" s="7" t="s">
        <v>803</v>
      </c>
      <c r="K32" s="29" t="s">
        <v>804</v>
      </c>
      <c r="L32" s="54" t="s">
        <v>805</v>
      </c>
      <c r="M32" s="60" t="b">
        <v>1</v>
      </c>
      <c r="N32" s="60" t="b">
        <v>1</v>
      </c>
      <c r="O32" s="60" t="s">
        <v>620</v>
      </c>
      <c r="P32" s="60" t="b">
        <v>0</v>
      </c>
      <c r="Q32" s="60" t="b">
        <v>0</v>
      </c>
      <c r="R32" s="60" t="b">
        <v>1</v>
      </c>
      <c r="S32" s="60" t="s">
        <v>621</v>
      </c>
      <c r="T32" s="60" t="s">
        <v>670</v>
      </c>
      <c r="U32" s="60" t="b">
        <v>0</v>
      </c>
      <c r="V32" s="60"/>
      <c r="W32" s="60" t="b">
        <v>0</v>
      </c>
      <c r="X32" s="60" t="b">
        <v>0</v>
      </c>
      <c r="Y32" s="60"/>
      <c r="Z32" s="60"/>
      <c r="AA32" s="60"/>
      <c r="AB32" s="60"/>
      <c r="AC32" s="61" t="s">
        <v>672</v>
      </c>
      <c r="AD32" s="60" t="s">
        <v>806</v>
      </c>
      <c r="AE32" s="60" t="s">
        <v>626</v>
      </c>
      <c r="AF32" s="60" t="s">
        <v>627</v>
      </c>
      <c r="AG32" s="60"/>
      <c r="AH32" s="60" t="s">
        <v>687</v>
      </c>
      <c r="AI32" s="60" t="s">
        <v>673</v>
      </c>
      <c r="AJ32" s="3"/>
      <c r="AK32" s="34" t="s">
        <v>698</v>
      </c>
      <c r="AL32" s="3" t="s">
        <v>699</v>
      </c>
      <c r="AM32" s="3" t="s">
        <v>700</v>
      </c>
      <c r="AN32" s="35" t="s">
        <v>807</v>
      </c>
      <c r="AO32" s="24">
        <v>0.001412037037037037</v>
      </c>
      <c r="AP32" s="36" t="s">
        <v>800</v>
      </c>
      <c r="AQ32" s="67">
        <v>43009.0</v>
      </c>
      <c r="AR32" s="35" t="s">
        <v>808</v>
      </c>
      <c r="AS32" s="7" t="b">
        <f>NOT(ISERROR(MATCH(A32,'Villages according to موسوعة ال'!C:C,0)))</f>
        <v>1</v>
      </c>
      <c r="AT32" s="25"/>
      <c r="AU32" s="25"/>
      <c r="AV32" s="25"/>
      <c r="AW32" s="25"/>
      <c r="AX32" s="25"/>
      <c r="AY32" s="25"/>
      <c r="AZ32" s="25"/>
      <c r="BA32" s="25"/>
      <c r="BB32" s="25"/>
      <c r="BC32" s="25"/>
      <c r="BD32" s="25"/>
      <c r="BE32" s="25"/>
      <c r="BF32" s="25"/>
      <c r="BG32" s="25"/>
      <c r="BH32" s="25"/>
      <c r="BI32" s="25"/>
      <c r="BJ32" s="25"/>
      <c r="BK32" s="25"/>
      <c r="BL32" s="25"/>
      <c r="BM32" s="25"/>
      <c r="BN32" s="25"/>
      <c r="BO32" s="25"/>
      <c r="BP32" s="25"/>
    </row>
    <row r="33">
      <c r="A33" s="7" t="s">
        <v>185</v>
      </c>
      <c r="B33" s="43" t="s">
        <v>186</v>
      </c>
      <c r="F33" s="11" t="s">
        <v>692</v>
      </c>
      <c r="K33" s="72" t="s">
        <v>809</v>
      </c>
      <c r="L33" s="54"/>
      <c r="M33" s="60" t="b">
        <v>1</v>
      </c>
      <c r="N33" s="60" t="b">
        <v>1</v>
      </c>
      <c r="O33" s="60" t="s">
        <v>620</v>
      </c>
      <c r="P33" s="60" t="b">
        <v>0</v>
      </c>
      <c r="Q33" s="60" t="b">
        <v>0</v>
      </c>
      <c r="R33" s="60" t="b">
        <v>1</v>
      </c>
      <c r="S33" s="60" t="s">
        <v>621</v>
      </c>
      <c r="T33" s="60" t="s">
        <v>670</v>
      </c>
      <c r="U33" s="60" t="b">
        <v>1</v>
      </c>
      <c r="V33" s="60" t="s">
        <v>685</v>
      </c>
      <c r="W33" s="60" t="b">
        <v>0</v>
      </c>
      <c r="X33" s="60" t="b">
        <v>0</v>
      </c>
      <c r="Y33" s="60"/>
      <c r="Z33" s="60"/>
      <c r="AA33" s="60"/>
      <c r="AB33" s="60"/>
      <c r="AC33" s="61" t="s">
        <v>672</v>
      </c>
      <c r="AD33" s="60" t="s">
        <v>806</v>
      </c>
      <c r="AE33" s="60" t="s">
        <v>626</v>
      </c>
      <c r="AF33" s="60" t="s">
        <v>627</v>
      </c>
      <c r="AG33" s="60"/>
      <c r="AH33" s="60" t="s">
        <v>687</v>
      </c>
      <c r="AI33" s="60" t="s">
        <v>673</v>
      </c>
      <c r="AJ33" s="3"/>
      <c r="AK33" s="34" t="s">
        <v>698</v>
      </c>
      <c r="AL33" s="3" t="s">
        <v>699</v>
      </c>
      <c r="AM33" s="3" t="s">
        <v>700</v>
      </c>
      <c r="AN33" s="35" t="s">
        <v>810</v>
      </c>
      <c r="AO33" s="24">
        <v>6.134259259259259E-4</v>
      </c>
      <c r="AP33" s="36" t="s">
        <v>800</v>
      </c>
      <c r="AQ33" s="67">
        <v>43009.0</v>
      </c>
      <c r="AR33" s="35" t="s">
        <v>811</v>
      </c>
      <c r="AS33" s="7" t="b">
        <f>NOT(ISERROR(MATCH(A33,'Villages according to موسوعة ال'!C:C,0)))</f>
        <v>1</v>
      </c>
      <c r="AT33" s="25"/>
      <c r="AU33" s="25"/>
      <c r="AV33" s="25"/>
      <c r="AW33" s="25"/>
      <c r="AX33" s="25"/>
      <c r="AY33" s="25"/>
      <c r="AZ33" s="25"/>
      <c r="BA33" s="25"/>
      <c r="BB33" s="25"/>
      <c r="BC33" s="25"/>
      <c r="BD33" s="25"/>
      <c r="BE33" s="25"/>
      <c r="BF33" s="25"/>
      <c r="BG33" s="25"/>
      <c r="BH33" s="25"/>
      <c r="BI33" s="25"/>
      <c r="BJ33" s="25"/>
      <c r="BK33" s="25"/>
      <c r="BL33" s="25"/>
      <c r="BM33" s="25"/>
      <c r="BN33" s="25"/>
      <c r="BO33" s="25"/>
      <c r="BP33" s="25"/>
    </row>
    <row r="34">
      <c r="A34" s="7" t="s">
        <v>185</v>
      </c>
      <c r="B34" s="43" t="s">
        <v>186</v>
      </c>
      <c r="E34" s="11" t="s">
        <v>691</v>
      </c>
      <c r="F34" s="7" t="s">
        <v>692</v>
      </c>
      <c r="G34" s="28" t="s">
        <v>693</v>
      </c>
      <c r="H34" s="7" t="s">
        <v>812</v>
      </c>
      <c r="I34" s="7" t="s">
        <v>616</v>
      </c>
      <c r="J34" s="7" t="s">
        <v>813</v>
      </c>
      <c r="K34" s="29" t="s">
        <v>814</v>
      </c>
      <c r="L34" s="54" t="s">
        <v>815</v>
      </c>
      <c r="M34" s="60" t="b">
        <v>0</v>
      </c>
      <c r="N34" s="60" t="b">
        <v>1</v>
      </c>
      <c r="O34" s="60" t="s">
        <v>620</v>
      </c>
      <c r="P34" s="60" t="b">
        <v>0</v>
      </c>
      <c r="Q34" s="60" t="b">
        <v>0</v>
      </c>
      <c r="R34" s="60" t="b">
        <v>0</v>
      </c>
      <c r="S34" s="60" t="s">
        <v>621</v>
      </c>
      <c r="T34" s="60" t="s">
        <v>670</v>
      </c>
      <c r="U34" s="60" t="b">
        <v>0</v>
      </c>
      <c r="V34" s="60" t="s">
        <v>685</v>
      </c>
      <c r="W34" s="60" t="b">
        <v>0</v>
      </c>
      <c r="X34" s="60" t="b">
        <v>0</v>
      </c>
      <c r="Y34" s="60"/>
      <c r="Z34" s="60"/>
      <c r="AA34" s="60"/>
      <c r="AB34" s="60" t="s">
        <v>624</v>
      </c>
      <c r="AC34" s="61"/>
      <c r="AD34" s="60"/>
      <c r="AE34" s="60" t="s">
        <v>626</v>
      </c>
      <c r="AF34" s="60" t="s">
        <v>627</v>
      </c>
      <c r="AG34" s="60"/>
      <c r="AH34" s="60" t="s">
        <v>687</v>
      </c>
      <c r="AI34" s="60" t="s">
        <v>673</v>
      </c>
      <c r="AJ34" s="3"/>
      <c r="AK34" s="34" t="s">
        <v>698</v>
      </c>
      <c r="AL34" s="3" t="s">
        <v>675</v>
      </c>
      <c r="AM34" s="3" t="s">
        <v>700</v>
      </c>
      <c r="AN34" s="35" t="s">
        <v>816</v>
      </c>
      <c r="AO34" s="24">
        <v>0.0018287037037037037</v>
      </c>
      <c r="AP34" s="36" t="s">
        <v>800</v>
      </c>
      <c r="AQ34" s="67">
        <v>42887.0</v>
      </c>
      <c r="AR34" s="35" t="s">
        <v>817</v>
      </c>
      <c r="AS34" s="7" t="b">
        <f>NOT(ISERROR(MATCH(A34,'Villages according to موسوعة ال'!C:C,0)))</f>
        <v>1</v>
      </c>
      <c r="AT34" s="25"/>
      <c r="AU34" s="25"/>
      <c r="AV34" s="25"/>
      <c r="AW34" s="25"/>
      <c r="AX34" s="25"/>
      <c r="AY34" s="25"/>
      <c r="AZ34" s="25"/>
      <c r="BA34" s="25"/>
      <c r="BB34" s="25"/>
      <c r="BC34" s="25"/>
      <c r="BD34" s="25"/>
      <c r="BE34" s="25"/>
      <c r="BF34" s="25"/>
      <c r="BG34" s="25"/>
      <c r="BH34" s="25"/>
      <c r="BI34" s="25"/>
      <c r="BJ34" s="25"/>
      <c r="BK34" s="25"/>
      <c r="BL34" s="25"/>
      <c r="BM34" s="25"/>
      <c r="BN34" s="25"/>
      <c r="BO34" s="25"/>
      <c r="BP34" s="25"/>
    </row>
    <row r="35">
      <c r="A35" s="7" t="s">
        <v>185</v>
      </c>
      <c r="B35" s="43" t="s">
        <v>186</v>
      </c>
      <c r="E35" s="7" t="s">
        <v>691</v>
      </c>
      <c r="F35" s="7" t="s">
        <v>692</v>
      </c>
      <c r="G35" s="28" t="s">
        <v>693</v>
      </c>
      <c r="H35" s="7" t="s">
        <v>818</v>
      </c>
      <c r="I35" s="7" t="s">
        <v>616</v>
      </c>
      <c r="J35" s="7" t="s">
        <v>819</v>
      </c>
      <c r="K35" s="29" t="s">
        <v>820</v>
      </c>
      <c r="L35" s="54" t="s">
        <v>821</v>
      </c>
      <c r="M35" s="60" t="b">
        <v>0</v>
      </c>
      <c r="N35" s="60" t="b">
        <v>0</v>
      </c>
      <c r="O35" s="60" t="s">
        <v>620</v>
      </c>
      <c r="P35" s="60" t="b">
        <v>0</v>
      </c>
      <c r="Q35" s="60" t="b">
        <v>0</v>
      </c>
      <c r="R35" s="60" t="b">
        <v>0</v>
      </c>
      <c r="S35" s="60" t="s">
        <v>621</v>
      </c>
      <c r="T35" s="60" t="s">
        <v>670</v>
      </c>
      <c r="U35" s="60" t="b">
        <v>0</v>
      </c>
      <c r="V35" s="60" t="s">
        <v>685</v>
      </c>
      <c r="W35" s="60" t="b">
        <v>0</v>
      </c>
      <c r="X35" s="60" t="b">
        <v>0</v>
      </c>
      <c r="Y35" s="60"/>
      <c r="Z35" s="60"/>
      <c r="AA35" s="60" t="s">
        <v>822</v>
      </c>
      <c r="AB35" s="60"/>
      <c r="AC35" s="61"/>
      <c r="AD35" s="60" t="s">
        <v>686</v>
      </c>
      <c r="AE35" s="60" t="s">
        <v>626</v>
      </c>
      <c r="AF35" s="60" t="s">
        <v>627</v>
      </c>
      <c r="AG35" s="60"/>
      <c r="AH35" s="60" t="s">
        <v>687</v>
      </c>
      <c r="AI35" s="60" t="s">
        <v>673</v>
      </c>
      <c r="AJ35" s="3"/>
      <c r="AK35" s="34" t="s">
        <v>698</v>
      </c>
      <c r="AL35" s="3" t="s">
        <v>823</v>
      </c>
      <c r="AM35" s="3" t="s">
        <v>700</v>
      </c>
      <c r="AN35" s="35" t="s">
        <v>824</v>
      </c>
      <c r="AO35" s="24">
        <v>7.754629629629629E-4</v>
      </c>
      <c r="AP35" s="36" t="s">
        <v>800</v>
      </c>
      <c r="AQ35" s="67">
        <v>43009.0</v>
      </c>
      <c r="AR35" s="35" t="s">
        <v>825</v>
      </c>
      <c r="AS35" s="7" t="b">
        <f>NOT(ISERROR(MATCH(A35,'Villages according to موسوعة ال'!C:C,0)))</f>
        <v>1</v>
      </c>
      <c r="AT35" s="25"/>
      <c r="AU35" s="25"/>
      <c r="AV35" s="25"/>
      <c r="AW35" s="25"/>
      <c r="AX35" s="25"/>
      <c r="AY35" s="25"/>
      <c r="AZ35" s="25"/>
      <c r="BA35" s="25"/>
      <c r="BB35" s="25"/>
      <c r="BC35" s="25"/>
      <c r="BD35" s="25"/>
      <c r="BE35" s="25"/>
      <c r="BF35" s="25"/>
      <c r="BG35" s="25"/>
      <c r="BH35" s="25"/>
      <c r="BI35" s="25"/>
      <c r="BJ35" s="25"/>
      <c r="BK35" s="25"/>
      <c r="BL35" s="25"/>
      <c r="BM35" s="25"/>
      <c r="BN35" s="25"/>
      <c r="BO35" s="25"/>
      <c r="BP35" s="25"/>
    </row>
    <row r="36">
      <c r="A36" s="7" t="s">
        <v>185</v>
      </c>
      <c r="B36" s="43" t="s">
        <v>186</v>
      </c>
      <c r="E36" s="7" t="s">
        <v>826</v>
      </c>
      <c r="F36" s="7" t="s">
        <v>638</v>
      </c>
      <c r="G36" s="28" t="s">
        <v>693</v>
      </c>
      <c r="H36" s="7" t="s">
        <v>827</v>
      </c>
      <c r="I36" s="7" t="s">
        <v>616</v>
      </c>
      <c r="J36" s="7" t="s">
        <v>828</v>
      </c>
      <c r="K36" s="29" t="s">
        <v>829</v>
      </c>
      <c r="L36" s="54" t="s">
        <v>830</v>
      </c>
      <c r="M36" s="60" t="b">
        <v>0</v>
      </c>
      <c r="N36" s="60" t="b">
        <v>0</v>
      </c>
      <c r="O36" s="60"/>
      <c r="P36" s="60" t="b">
        <v>0</v>
      </c>
      <c r="Q36" s="60" t="b">
        <v>0</v>
      </c>
      <c r="R36" s="60" t="b">
        <v>0</v>
      </c>
      <c r="S36" s="60"/>
      <c r="T36" s="60"/>
      <c r="U36" s="60" t="b">
        <v>0</v>
      </c>
      <c r="V36" s="60"/>
      <c r="W36" s="60" t="b">
        <v>0</v>
      </c>
      <c r="X36" s="60" t="b">
        <v>0</v>
      </c>
      <c r="Y36" s="60"/>
      <c r="Z36" s="60"/>
      <c r="AA36" s="60"/>
      <c r="AB36" s="60"/>
      <c r="AC36" s="61"/>
      <c r="AD36" s="60"/>
      <c r="AE36" s="60"/>
      <c r="AF36" s="60"/>
      <c r="AG36" s="60"/>
      <c r="AH36" s="60"/>
      <c r="AI36" s="60"/>
      <c r="AJ36" s="3"/>
      <c r="AK36" s="34" t="s">
        <v>698</v>
      </c>
      <c r="AL36" s="3" t="s">
        <v>823</v>
      </c>
      <c r="AM36" s="3" t="s">
        <v>831</v>
      </c>
      <c r="AN36" s="35" t="s">
        <v>832</v>
      </c>
      <c r="AO36" s="24">
        <v>0.0028125</v>
      </c>
      <c r="AP36" s="36" t="s">
        <v>833</v>
      </c>
      <c r="AQ36" s="67">
        <v>43040.0</v>
      </c>
      <c r="AR36" s="35" t="s">
        <v>834</v>
      </c>
      <c r="AS36" s="7" t="b">
        <f>NOT(ISERROR(MATCH(A36,'Villages according to موسوعة ال'!C:C,0)))</f>
        <v>1</v>
      </c>
      <c r="AT36" s="25"/>
      <c r="AU36" s="25"/>
      <c r="AV36" s="25"/>
      <c r="AW36" s="25"/>
      <c r="AX36" s="25"/>
      <c r="AY36" s="25"/>
      <c r="AZ36" s="25"/>
      <c r="BA36" s="25"/>
      <c r="BB36" s="25"/>
      <c r="BC36" s="25"/>
      <c r="BD36" s="25"/>
      <c r="BE36" s="25"/>
      <c r="BF36" s="25"/>
      <c r="BG36" s="25"/>
      <c r="BH36" s="25"/>
      <c r="BI36" s="25"/>
      <c r="BJ36" s="25"/>
      <c r="BK36" s="25"/>
      <c r="BL36" s="25"/>
      <c r="BM36" s="25"/>
      <c r="BN36" s="25"/>
      <c r="BO36" s="25"/>
      <c r="BP36" s="25"/>
    </row>
    <row r="37">
      <c r="A37" s="7" t="s">
        <v>185</v>
      </c>
      <c r="B37" s="43" t="s">
        <v>186</v>
      </c>
      <c r="E37" s="7" t="s">
        <v>826</v>
      </c>
      <c r="F37" s="7" t="s">
        <v>638</v>
      </c>
      <c r="G37" s="28" t="s">
        <v>835</v>
      </c>
      <c r="H37" s="7" t="s">
        <v>836</v>
      </c>
      <c r="I37" s="7" t="s">
        <v>638</v>
      </c>
      <c r="J37" s="7" t="s">
        <v>837</v>
      </c>
      <c r="K37" s="29" t="s">
        <v>838</v>
      </c>
      <c r="L37" s="54" t="s">
        <v>839</v>
      </c>
      <c r="M37" s="60" t="b">
        <v>0</v>
      </c>
      <c r="N37" s="60" t="b">
        <v>0</v>
      </c>
      <c r="O37" s="60"/>
      <c r="P37" s="60" t="b">
        <v>0</v>
      </c>
      <c r="Q37" s="60" t="b">
        <v>0</v>
      </c>
      <c r="R37" s="60" t="b">
        <v>0</v>
      </c>
      <c r="S37" s="60"/>
      <c r="T37" s="60"/>
      <c r="U37" s="60" t="b">
        <v>0</v>
      </c>
      <c r="V37" s="60"/>
      <c r="W37" s="60" t="b">
        <v>0</v>
      </c>
      <c r="X37" s="60" t="b">
        <v>0</v>
      </c>
      <c r="Y37" s="60"/>
      <c r="Z37" s="60"/>
      <c r="AA37" s="60"/>
      <c r="AB37" s="60"/>
      <c r="AC37" s="61"/>
      <c r="AD37" s="60"/>
      <c r="AE37" s="60"/>
      <c r="AF37" s="60"/>
      <c r="AG37" s="60"/>
      <c r="AH37" s="60"/>
      <c r="AI37" s="60"/>
      <c r="AJ37" s="3"/>
      <c r="AK37" s="34" t="s">
        <v>698</v>
      </c>
      <c r="AL37" s="3" t="s">
        <v>699</v>
      </c>
      <c r="AM37" s="3" t="s">
        <v>831</v>
      </c>
      <c r="AN37" s="35" t="s">
        <v>840</v>
      </c>
      <c r="AO37" s="24">
        <v>7.754629629629629E-4</v>
      </c>
      <c r="AP37" s="36" t="s">
        <v>758</v>
      </c>
      <c r="AQ37" s="67">
        <v>43040.0</v>
      </c>
      <c r="AR37" s="35" t="s">
        <v>841</v>
      </c>
      <c r="AS37" s="7" t="b">
        <f>NOT(ISERROR(MATCH(A37,'Villages according to موسوعة ال'!C:C,0)))</f>
        <v>1</v>
      </c>
      <c r="AT37" s="25"/>
      <c r="AU37" s="25"/>
      <c r="AV37" s="25"/>
      <c r="AW37" s="25"/>
      <c r="AX37" s="25"/>
      <c r="AY37" s="25"/>
      <c r="AZ37" s="25"/>
      <c r="BA37" s="25"/>
      <c r="BB37" s="25"/>
      <c r="BC37" s="25"/>
      <c r="BD37" s="25"/>
      <c r="BE37" s="25"/>
      <c r="BF37" s="25"/>
      <c r="BG37" s="25"/>
      <c r="BH37" s="25"/>
      <c r="BI37" s="25"/>
      <c r="BJ37" s="25"/>
      <c r="BK37" s="25"/>
      <c r="BL37" s="25"/>
      <c r="BM37" s="25"/>
      <c r="BN37" s="25"/>
      <c r="BO37" s="25"/>
      <c r="BP37" s="25"/>
    </row>
    <row r="38">
      <c r="A38" s="7" t="s">
        <v>185</v>
      </c>
      <c r="B38" s="43" t="s">
        <v>186</v>
      </c>
      <c r="E38" s="7" t="s">
        <v>826</v>
      </c>
      <c r="F38" s="7" t="s">
        <v>638</v>
      </c>
      <c r="G38" s="28"/>
      <c r="H38" s="7" t="s">
        <v>842</v>
      </c>
      <c r="I38" s="7" t="s">
        <v>638</v>
      </c>
      <c r="J38" s="7" t="s">
        <v>843</v>
      </c>
      <c r="K38" s="29" t="s">
        <v>844</v>
      </c>
      <c r="L38" s="54" t="s">
        <v>845</v>
      </c>
      <c r="M38" s="60" t="b">
        <v>0</v>
      </c>
      <c r="N38" s="60" t="b">
        <v>0</v>
      </c>
      <c r="O38" s="32" t="s">
        <v>620</v>
      </c>
      <c r="P38" s="60" t="b">
        <v>0</v>
      </c>
      <c r="Q38" s="60" t="b">
        <v>0</v>
      </c>
      <c r="R38" s="60" t="b">
        <v>0</v>
      </c>
      <c r="S38" s="60"/>
      <c r="T38" s="60"/>
      <c r="U38" s="60" t="b">
        <v>0</v>
      </c>
      <c r="V38" s="32" t="s">
        <v>685</v>
      </c>
      <c r="W38" s="60" t="b">
        <v>0</v>
      </c>
      <c r="X38" s="60" t="b">
        <v>0</v>
      </c>
      <c r="Y38" s="60"/>
      <c r="Z38" s="60"/>
      <c r="AA38" s="60"/>
      <c r="AB38" s="60"/>
      <c r="AC38" s="33" t="s">
        <v>672</v>
      </c>
      <c r="AD38" s="60"/>
      <c r="AE38" s="60"/>
      <c r="AF38" s="60"/>
      <c r="AG38" s="60"/>
      <c r="AH38" s="60"/>
      <c r="AI38" s="60"/>
      <c r="AJ38" s="3"/>
      <c r="AK38" s="34" t="s">
        <v>698</v>
      </c>
      <c r="AL38" s="3" t="s">
        <v>699</v>
      </c>
      <c r="AM38" s="3" t="s">
        <v>676</v>
      </c>
      <c r="AN38" s="35" t="s">
        <v>846</v>
      </c>
      <c r="AO38" s="24">
        <v>0.0027430555555555554</v>
      </c>
      <c r="AP38" s="36" t="s">
        <v>847</v>
      </c>
      <c r="AQ38" s="36" t="s">
        <v>848</v>
      </c>
      <c r="AR38" s="35" t="s">
        <v>849</v>
      </c>
      <c r="AS38" s="7" t="b">
        <f>NOT(ISERROR(MATCH(A38,'Villages according to موسوعة ال'!C:C,0)))</f>
        <v>1</v>
      </c>
      <c r="AT38" s="25"/>
      <c r="AU38" s="25"/>
      <c r="AV38" s="25"/>
      <c r="AW38" s="25"/>
      <c r="AX38" s="25"/>
      <c r="AY38" s="25"/>
      <c r="AZ38" s="25"/>
      <c r="BA38" s="25"/>
      <c r="BB38" s="25"/>
      <c r="BC38" s="25"/>
      <c r="BD38" s="25"/>
      <c r="BE38" s="25"/>
      <c r="BF38" s="25"/>
      <c r="BG38" s="25"/>
      <c r="BH38" s="25"/>
      <c r="BI38" s="25"/>
      <c r="BJ38" s="25"/>
      <c r="BK38" s="25"/>
      <c r="BL38" s="25"/>
      <c r="BM38" s="25"/>
      <c r="BN38" s="25"/>
      <c r="BO38" s="25"/>
      <c r="BP38" s="25"/>
    </row>
    <row r="39">
      <c r="A39" s="7" t="s">
        <v>185</v>
      </c>
      <c r="B39" s="43" t="s">
        <v>186</v>
      </c>
      <c r="E39" s="7" t="s">
        <v>850</v>
      </c>
      <c r="F39" s="7" t="s">
        <v>692</v>
      </c>
      <c r="G39" s="28" t="s">
        <v>693</v>
      </c>
      <c r="H39" s="7" t="s">
        <v>851</v>
      </c>
      <c r="I39" s="7" t="s">
        <v>616</v>
      </c>
      <c r="J39" s="7" t="s">
        <v>852</v>
      </c>
      <c r="K39" s="29" t="s">
        <v>853</v>
      </c>
      <c r="L39" s="54" t="s">
        <v>854</v>
      </c>
      <c r="M39" s="60" t="b">
        <v>0</v>
      </c>
      <c r="N39" s="60" t="b">
        <v>0</v>
      </c>
      <c r="O39" s="60"/>
      <c r="P39" s="60" t="b">
        <v>0</v>
      </c>
      <c r="Q39" s="60" t="b">
        <v>0</v>
      </c>
      <c r="R39" s="60" t="b">
        <v>0</v>
      </c>
      <c r="S39" s="60"/>
      <c r="T39" s="60"/>
      <c r="U39" s="60" t="b">
        <v>0</v>
      </c>
      <c r="V39" s="60"/>
      <c r="W39" s="60" t="b">
        <v>0</v>
      </c>
      <c r="X39" s="60" t="b">
        <v>0</v>
      </c>
      <c r="Y39" s="60"/>
      <c r="Z39" s="60"/>
      <c r="AA39" s="60"/>
      <c r="AB39" s="60"/>
      <c r="AC39" s="61"/>
      <c r="AD39" s="60"/>
      <c r="AE39" s="60"/>
      <c r="AF39" s="60"/>
      <c r="AG39" s="60"/>
      <c r="AH39" s="60"/>
      <c r="AI39" s="60"/>
      <c r="AJ39" s="3"/>
      <c r="AK39" s="34" t="s">
        <v>698</v>
      </c>
      <c r="AL39" s="3" t="s">
        <v>699</v>
      </c>
      <c r="AM39" s="3" t="s">
        <v>831</v>
      </c>
      <c r="AN39" s="35" t="s">
        <v>855</v>
      </c>
      <c r="AO39" s="24">
        <v>0.0017939814814814815</v>
      </c>
      <c r="AP39" s="36" t="s">
        <v>800</v>
      </c>
      <c r="AQ39" s="67">
        <v>43009.0</v>
      </c>
      <c r="AR39" s="35" t="s">
        <v>856</v>
      </c>
      <c r="AS39" s="7" t="b">
        <f>NOT(ISERROR(MATCH(A39,'Villages according to موسوعة ال'!C:C,0)))</f>
        <v>1</v>
      </c>
      <c r="AT39" s="25"/>
      <c r="AU39" s="25"/>
      <c r="AV39" s="25"/>
      <c r="AW39" s="25"/>
      <c r="AX39" s="25"/>
      <c r="AY39" s="25"/>
      <c r="AZ39" s="25"/>
      <c r="BA39" s="25"/>
      <c r="BB39" s="25"/>
      <c r="BC39" s="25"/>
      <c r="BD39" s="25"/>
      <c r="BE39" s="25"/>
      <c r="BF39" s="25"/>
      <c r="BG39" s="25"/>
      <c r="BH39" s="25"/>
      <c r="BI39" s="25"/>
      <c r="BJ39" s="25"/>
      <c r="BK39" s="25"/>
      <c r="BL39" s="25"/>
      <c r="BM39" s="25"/>
      <c r="BN39" s="25"/>
      <c r="BO39" s="25"/>
      <c r="BP39" s="25"/>
    </row>
    <row r="40">
      <c r="A40" s="7" t="s">
        <v>185</v>
      </c>
      <c r="B40" s="43" t="s">
        <v>186</v>
      </c>
      <c r="E40" s="7" t="s">
        <v>850</v>
      </c>
      <c r="F40" s="7" t="s">
        <v>692</v>
      </c>
      <c r="G40" s="28" t="s">
        <v>835</v>
      </c>
      <c r="H40" s="7" t="s">
        <v>857</v>
      </c>
      <c r="I40" s="7" t="s">
        <v>638</v>
      </c>
      <c r="J40" s="7" t="s">
        <v>858</v>
      </c>
      <c r="K40" s="29" t="s">
        <v>859</v>
      </c>
      <c r="L40" s="54" t="s">
        <v>860</v>
      </c>
      <c r="M40" s="60" t="b">
        <v>0</v>
      </c>
      <c r="N40" s="60" t="b">
        <v>0</v>
      </c>
      <c r="O40" s="32" t="s">
        <v>661</v>
      </c>
      <c r="P40" s="60" t="b">
        <v>0</v>
      </c>
      <c r="Q40" s="60" t="b">
        <v>0</v>
      </c>
      <c r="R40" s="60" t="b">
        <v>0</v>
      </c>
      <c r="S40" s="32" t="s">
        <v>621</v>
      </c>
      <c r="T40" s="32" t="s">
        <v>670</v>
      </c>
      <c r="U40" s="60" t="b">
        <v>0</v>
      </c>
      <c r="V40" s="60"/>
      <c r="W40" s="60" t="b">
        <v>0</v>
      </c>
      <c r="X40" s="60" t="b">
        <v>0</v>
      </c>
      <c r="Y40" s="60"/>
      <c r="Z40" s="32" t="s">
        <v>798</v>
      </c>
      <c r="AA40" s="60"/>
      <c r="AB40" s="60"/>
      <c r="AC40" s="61"/>
      <c r="AD40" s="60"/>
      <c r="AE40" s="32" t="s">
        <v>626</v>
      </c>
      <c r="AF40" s="60"/>
      <c r="AG40" s="60"/>
      <c r="AH40" s="60"/>
      <c r="AI40" s="32" t="s">
        <v>673</v>
      </c>
      <c r="AJ40" s="7"/>
      <c r="AK40" s="34" t="s">
        <v>698</v>
      </c>
      <c r="AL40" s="3" t="s">
        <v>675</v>
      </c>
      <c r="AM40" s="3" t="s">
        <v>861</v>
      </c>
      <c r="AN40" s="35" t="s">
        <v>862</v>
      </c>
      <c r="AO40" s="24">
        <v>6.828703703703704E-4</v>
      </c>
      <c r="AP40" s="36" t="s">
        <v>758</v>
      </c>
      <c r="AQ40" s="67">
        <v>43009.0</v>
      </c>
      <c r="AR40" s="35" t="s">
        <v>863</v>
      </c>
      <c r="AS40" s="7" t="b">
        <f>NOT(ISERROR(MATCH(A40,'Villages according to موسوعة ال'!C:C,0)))</f>
        <v>1</v>
      </c>
      <c r="AT40" s="25"/>
      <c r="AU40" s="25"/>
      <c r="AV40" s="25"/>
      <c r="AW40" s="25"/>
      <c r="AX40" s="25"/>
      <c r="AY40" s="25"/>
      <c r="AZ40" s="25"/>
      <c r="BA40" s="25"/>
      <c r="BB40" s="25"/>
      <c r="BC40" s="25"/>
      <c r="BD40" s="25"/>
      <c r="BE40" s="25"/>
      <c r="BF40" s="25"/>
      <c r="BG40" s="25"/>
      <c r="BH40" s="25"/>
      <c r="BI40" s="25"/>
      <c r="BJ40" s="25"/>
      <c r="BK40" s="25"/>
      <c r="BL40" s="25"/>
      <c r="BM40" s="25"/>
      <c r="BN40" s="25"/>
      <c r="BO40" s="25"/>
      <c r="BP40" s="25"/>
    </row>
    <row r="41">
      <c r="A41" s="7" t="s">
        <v>185</v>
      </c>
      <c r="B41" s="43" t="s">
        <v>186</v>
      </c>
      <c r="E41" s="7" t="s">
        <v>850</v>
      </c>
      <c r="F41" s="7" t="s">
        <v>692</v>
      </c>
      <c r="G41" s="28" t="s">
        <v>693</v>
      </c>
      <c r="H41" s="7" t="s">
        <v>864</v>
      </c>
      <c r="I41" s="7" t="s">
        <v>638</v>
      </c>
      <c r="J41" s="7" t="s">
        <v>865</v>
      </c>
      <c r="K41" s="29" t="s">
        <v>866</v>
      </c>
      <c r="L41" s="54" t="s">
        <v>867</v>
      </c>
      <c r="M41" s="60" t="b">
        <v>0</v>
      </c>
      <c r="N41" s="60" t="b">
        <v>0</v>
      </c>
      <c r="O41" s="60"/>
      <c r="P41" s="60" t="b">
        <v>0</v>
      </c>
      <c r="Q41" s="60" t="b">
        <v>0</v>
      </c>
      <c r="R41" s="60" t="b">
        <v>0</v>
      </c>
      <c r="S41" s="60"/>
      <c r="T41" s="60"/>
      <c r="U41" s="60" t="b">
        <v>0</v>
      </c>
      <c r="V41" s="60"/>
      <c r="W41" s="60" t="b">
        <v>0</v>
      </c>
      <c r="X41" s="60" t="b">
        <v>0</v>
      </c>
      <c r="Y41" s="60"/>
      <c r="Z41" s="60"/>
      <c r="AA41" s="60"/>
      <c r="AB41" s="60"/>
      <c r="AC41" s="61"/>
      <c r="AD41" s="60"/>
      <c r="AE41" s="60"/>
      <c r="AF41" s="60"/>
      <c r="AG41" s="60"/>
      <c r="AH41" s="60"/>
      <c r="AI41" s="60"/>
      <c r="AJ41" s="3"/>
      <c r="AK41" s="34" t="s">
        <v>698</v>
      </c>
      <c r="AL41" s="3" t="s">
        <v>699</v>
      </c>
      <c r="AM41" s="3" t="s">
        <v>868</v>
      </c>
      <c r="AN41" s="35" t="s">
        <v>869</v>
      </c>
      <c r="AO41" s="24">
        <v>0.002916666666666667</v>
      </c>
      <c r="AP41" s="36" t="s">
        <v>702</v>
      </c>
      <c r="AQ41" s="36">
        <v>2017.0</v>
      </c>
      <c r="AR41" s="35" t="s">
        <v>870</v>
      </c>
      <c r="AS41" s="7" t="b">
        <f>NOT(ISERROR(MATCH(A41,'Villages according to موسوعة ال'!C:C,0)))</f>
        <v>1</v>
      </c>
      <c r="AT41" s="25"/>
      <c r="AU41" s="25"/>
      <c r="AV41" s="25"/>
      <c r="AW41" s="25"/>
      <c r="AX41" s="25"/>
      <c r="AY41" s="25"/>
      <c r="AZ41" s="25"/>
      <c r="BA41" s="25"/>
      <c r="BB41" s="25"/>
      <c r="BC41" s="25"/>
      <c r="BD41" s="25"/>
      <c r="BE41" s="25"/>
      <c r="BF41" s="25"/>
      <c r="BG41" s="25"/>
      <c r="BH41" s="25"/>
      <c r="BI41" s="25"/>
      <c r="BJ41" s="25"/>
      <c r="BK41" s="25"/>
      <c r="BL41" s="25"/>
      <c r="BM41" s="25"/>
      <c r="BN41" s="25"/>
      <c r="BO41" s="25"/>
      <c r="BP41" s="25"/>
    </row>
    <row r="42">
      <c r="A42" s="7" t="s">
        <v>536</v>
      </c>
      <c r="B42" s="43" t="s">
        <v>537</v>
      </c>
      <c r="C42" s="7" t="s">
        <v>537</v>
      </c>
      <c r="D42" s="7" t="s">
        <v>538</v>
      </c>
      <c r="E42" s="7" t="s">
        <v>691</v>
      </c>
      <c r="F42" s="7" t="s">
        <v>692</v>
      </c>
      <c r="G42" s="28" t="s">
        <v>615</v>
      </c>
      <c r="H42" s="7" t="s">
        <v>871</v>
      </c>
      <c r="I42" s="7" t="s">
        <v>616</v>
      </c>
      <c r="J42" s="7" t="s">
        <v>872</v>
      </c>
      <c r="K42" s="29" t="s">
        <v>873</v>
      </c>
      <c r="L42" s="54" t="s">
        <v>874</v>
      </c>
      <c r="M42" s="60" t="b">
        <v>0</v>
      </c>
      <c r="N42" s="60" t="b">
        <v>0</v>
      </c>
      <c r="O42" s="60" t="s">
        <v>620</v>
      </c>
      <c r="P42" s="60" t="b">
        <v>0</v>
      </c>
      <c r="Q42" s="60" t="b">
        <v>0</v>
      </c>
      <c r="R42" s="60" t="b">
        <v>0</v>
      </c>
      <c r="S42" s="60" t="s">
        <v>621</v>
      </c>
      <c r="T42" s="60" t="s">
        <v>622</v>
      </c>
      <c r="U42" s="60" t="b">
        <v>1</v>
      </c>
      <c r="V42" s="60" t="s">
        <v>797</v>
      </c>
      <c r="W42" s="60" t="b">
        <v>0</v>
      </c>
      <c r="X42" s="60" t="b">
        <v>0</v>
      </c>
      <c r="Y42" s="60" t="s">
        <v>671</v>
      </c>
      <c r="Z42" s="60"/>
      <c r="AA42" s="60" t="s">
        <v>775</v>
      </c>
      <c r="AB42" s="60"/>
      <c r="AC42" s="61"/>
      <c r="AD42" s="60" t="s">
        <v>686</v>
      </c>
      <c r="AE42" s="60" t="s">
        <v>711</v>
      </c>
      <c r="AF42" s="60" t="s">
        <v>627</v>
      </c>
      <c r="AG42" s="60"/>
      <c r="AH42" s="60"/>
      <c r="AI42" s="60" t="s">
        <v>673</v>
      </c>
      <c r="AJ42" s="3"/>
      <c r="AK42" s="34" t="s">
        <v>698</v>
      </c>
      <c r="AL42" s="3" t="s">
        <v>699</v>
      </c>
      <c r="AM42" s="3" t="s">
        <v>676</v>
      </c>
      <c r="AN42" s="35" t="s">
        <v>875</v>
      </c>
      <c r="AO42" s="24">
        <v>7.87037037037037E-4</v>
      </c>
      <c r="AP42" s="7" t="s">
        <v>833</v>
      </c>
      <c r="AQ42" s="73">
        <v>43040.0</v>
      </c>
      <c r="AR42" s="35" t="s">
        <v>876</v>
      </c>
      <c r="AS42" s="7" t="b">
        <f>NOT(ISERROR(MATCH(A42,'Villages according to موسوعة ال'!C:C,0)))</f>
        <v>1</v>
      </c>
      <c r="AT42" s="25"/>
      <c r="AU42" s="25"/>
      <c r="AV42" s="25"/>
      <c r="AW42" s="25"/>
      <c r="AX42" s="25"/>
      <c r="AY42" s="25"/>
      <c r="AZ42" s="25"/>
      <c r="BA42" s="25"/>
      <c r="BB42" s="25"/>
      <c r="BC42" s="25"/>
      <c r="BD42" s="25"/>
      <c r="BE42" s="25"/>
      <c r="BF42" s="25"/>
      <c r="BG42" s="25"/>
      <c r="BH42" s="25"/>
      <c r="BI42" s="25"/>
      <c r="BJ42" s="25"/>
      <c r="BK42" s="25"/>
      <c r="BL42" s="25"/>
      <c r="BM42" s="25"/>
      <c r="BN42" s="25"/>
      <c r="BO42" s="25"/>
      <c r="BP42" s="25"/>
    </row>
    <row r="43">
      <c r="A43" s="7" t="s">
        <v>536</v>
      </c>
      <c r="B43" s="43" t="s">
        <v>537</v>
      </c>
      <c r="E43" s="7" t="s">
        <v>691</v>
      </c>
      <c r="F43" s="7" t="s">
        <v>692</v>
      </c>
      <c r="G43" s="28" t="s">
        <v>615</v>
      </c>
      <c r="H43" s="7" t="s">
        <v>877</v>
      </c>
      <c r="I43" s="7" t="s">
        <v>616</v>
      </c>
      <c r="J43" s="7" t="s">
        <v>878</v>
      </c>
      <c r="K43" s="29" t="s">
        <v>879</v>
      </c>
      <c r="L43" s="54" t="s">
        <v>880</v>
      </c>
      <c r="M43" s="60" t="b">
        <v>1</v>
      </c>
      <c r="N43" s="60" t="b">
        <v>0</v>
      </c>
      <c r="O43" s="60" t="s">
        <v>620</v>
      </c>
      <c r="P43" s="60" t="b">
        <v>1</v>
      </c>
      <c r="Q43" s="60" t="b">
        <v>0</v>
      </c>
      <c r="R43" s="60" t="b">
        <v>0</v>
      </c>
      <c r="S43" s="60" t="s">
        <v>621</v>
      </c>
      <c r="T43" s="60" t="s">
        <v>622</v>
      </c>
      <c r="U43" s="60" t="b">
        <v>0</v>
      </c>
      <c r="V43" s="60" t="s">
        <v>797</v>
      </c>
      <c r="W43" s="60" t="b">
        <v>0</v>
      </c>
      <c r="X43" s="60" t="b">
        <v>0</v>
      </c>
      <c r="Y43" s="60"/>
      <c r="Z43" s="60" t="s">
        <v>798</v>
      </c>
      <c r="AA43" s="60"/>
      <c r="AB43" s="60"/>
      <c r="AC43" s="61"/>
      <c r="AD43" s="60" t="s">
        <v>686</v>
      </c>
      <c r="AE43" s="60" t="s">
        <v>711</v>
      </c>
      <c r="AF43" s="60" t="s">
        <v>627</v>
      </c>
      <c r="AG43" s="60"/>
      <c r="AH43" s="60"/>
      <c r="AI43" s="60" t="s">
        <v>673</v>
      </c>
      <c r="AJ43" s="3"/>
      <c r="AK43" s="34" t="s">
        <v>698</v>
      </c>
      <c r="AL43" s="3" t="s">
        <v>699</v>
      </c>
      <c r="AM43" s="3" t="s">
        <v>676</v>
      </c>
      <c r="AN43" s="35" t="s">
        <v>881</v>
      </c>
      <c r="AO43" s="24">
        <v>0.0011342592592592593</v>
      </c>
      <c r="AP43" s="7" t="s">
        <v>758</v>
      </c>
      <c r="AQ43" s="73">
        <v>43040.0</v>
      </c>
      <c r="AR43" s="35" t="s">
        <v>882</v>
      </c>
      <c r="AS43" s="7" t="b">
        <f>NOT(ISERROR(MATCH(A43,'Villages according to موسوعة ال'!C:C,0)))</f>
        <v>1</v>
      </c>
      <c r="AT43" s="25"/>
      <c r="AU43" s="25"/>
      <c r="AV43" s="25"/>
      <c r="AW43" s="25"/>
      <c r="AX43" s="25"/>
      <c r="AY43" s="25"/>
      <c r="AZ43" s="25"/>
      <c r="BA43" s="25"/>
      <c r="BB43" s="25"/>
      <c r="BC43" s="25"/>
      <c r="BD43" s="25"/>
      <c r="BE43" s="25"/>
      <c r="BF43" s="25"/>
      <c r="BG43" s="25"/>
      <c r="BH43" s="25"/>
      <c r="BI43" s="25"/>
      <c r="BJ43" s="25"/>
      <c r="BK43" s="25"/>
      <c r="BL43" s="25"/>
      <c r="BM43" s="25"/>
      <c r="BN43" s="25"/>
      <c r="BO43" s="25"/>
      <c r="BP43" s="25"/>
    </row>
    <row r="44">
      <c r="A44" s="7" t="s">
        <v>536</v>
      </c>
      <c r="B44" s="43" t="s">
        <v>537</v>
      </c>
      <c r="F44" s="7" t="s">
        <v>692</v>
      </c>
      <c r="G44" s="28" t="s">
        <v>615</v>
      </c>
      <c r="K44" s="29" t="s">
        <v>883</v>
      </c>
      <c r="L44" s="29" t="s">
        <v>884</v>
      </c>
      <c r="M44" s="60" t="b">
        <v>0</v>
      </c>
      <c r="N44" s="60" t="b">
        <v>1</v>
      </c>
      <c r="O44" s="60" t="s">
        <v>620</v>
      </c>
      <c r="P44" s="60" t="b">
        <v>0</v>
      </c>
      <c r="Q44" s="60" t="b">
        <v>0</v>
      </c>
      <c r="R44" s="60" t="b">
        <v>0</v>
      </c>
      <c r="S44" s="60" t="s">
        <v>621</v>
      </c>
      <c r="T44" s="60" t="s">
        <v>622</v>
      </c>
      <c r="U44" s="60" t="b">
        <v>0</v>
      </c>
      <c r="V44" s="60"/>
      <c r="W44" s="60" t="b">
        <v>0</v>
      </c>
      <c r="X44" s="60" t="b">
        <v>0</v>
      </c>
      <c r="Y44" s="60"/>
      <c r="Z44" s="60"/>
      <c r="AA44" s="60"/>
      <c r="AB44" s="60" t="s">
        <v>624</v>
      </c>
      <c r="AC44" s="61" t="s">
        <v>756</v>
      </c>
      <c r="AD44" s="60" t="s">
        <v>686</v>
      </c>
      <c r="AE44" s="60" t="s">
        <v>626</v>
      </c>
      <c r="AF44" s="60" t="s">
        <v>627</v>
      </c>
      <c r="AG44" s="60"/>
      <c r="AH44" s="60"/>
      <c r="AI44" s="60" t="s">
        <v>673</v>
      </c>
      <c r="AJ44" s="71"/>
      <c r="AK44" s="34" t="s">
        <v>698</v>
      </c>
      <c r="AL44" s="3" t="s">
        <v>699</v>
      </c>
      <c r="AM44" s="3" t="s">
        <v>700</v>
      </c>
      <c r="AN44" s="35" t="s">
        <v>885</v>
      </c>
      <c r="AO44" s="24">
        <v>6.481481481481481E-4</v>
      </c>
      <c r="AP44" s="7" t="s">
        <v>758</v>
      </c>
      <c r="AQ44" s="73">
        <v>43040.0</v>
      </c>
      <c r="AR44" s="35" t="s">
        <v>886</v>
      </c>
      <c r="AS44" s="7" t="b">
        <f>NOT(ISERROR(MATCH(A44,'Villages according to موسوعة ال'!C:C,0)))</f>
        <v>1</v>
      </c>
      <c r="AT44" s="25"/>
      <c r="AU44" s="25"/>
      <c r="AV44" s="25"/>
      <c r="AW44" s="25"/>
      <c r="AX44" s="25"/>
      <c r="AY44" s="25"/>
      <c r="AZ44" s="25"/>
      <c r="BA44" s="25"/>
      <c r="BB44" s="25"/>
      <c r="BC44" s="25"/>
      <c r="BD44" s="25"/>
      <c r="BE44" s="25"/>
      <c r="BF44" s="25"/>
      <c r="BG44" s="25"/>
      <c r="BH44" s="25"/>
      <c r="BI44" s="25"/>
      <c r="BJ44" s="25"/>
      <c r="BK44" s="25"/>
      <c r="BL44" s="25"/>
      <c r="BM44" s="25"/>
      <c r="BN44" s="25"/>
      <c r="BO44" s="25"/>
      <c r="BP44" s="25"/>
    </row>
    <row r="45">
      <c r="A45" s="7" t="s">
        <v>536</v>
      </c>
      <c r="B45" s="26" t="s">
        <v>537</v>
      </c>
      <c r="E45" s="7" t="s">
        <v>691</v>
      </c>
      <c r="F45" s="7" t="s">
        <v>692</v>
      </c>
      <c r="G45" s="28"/>
      <c r="H45" s="7"/>
      <c r="I45" s="7" t="s">
        <v>616</v>
      </c>
      <c r="J45" s="7" t="s">
        <v>887</v>
      </c>
      <c r="K45" s="29"/>
      <c r="L45" s="29"/>
      <c r="M45" s="64" t="b">
        <v>0</v>
      </c>
      <c r="N45" s="64" t="b">
        <v>0</v>
      </c>
      <c r="O45" s="64"/>
      <c r="P45" s="64" t="b">
        <v>0</v>
      </c>
      <c r="Q45" s="64" t="b">
        <v>0</v>
      </c>
      <c r="R45" s="64" t="b">
        <v>0</v>
      </c>
      <c r="S45" s="64"/>
      <c r="T45" s="32"/>
      <c r="U45" s="64" t="b">
        <v>0</v>
      </c>
      <c r="V45" s="64"/>
      <c r="W45" s="64" t="b">
        <v>0</v>
      </c>
      <c r="X45" s="64" t="b">
        <v>0</v>
      </c>
      <c r="Y45" s="64"/>
      <c r="Z45" s="64"/>
      <c r="AA45" s="64"/>
      <c r="AB45" s="64"/>
      <c r="AC45" s="65"/>
      <c r="AD45" s="64"/>
      <c r="AE45" s="64"/>
      <c r="AF45" s="64"/>
      <c r="AG45" s="64"/>
      <c r="AH45" s="64"/>
      <c r="AI45" s="64"/>
      <c r="AJ45" s="71"/>
      <c r="AK45" s="34" t="s">
        <v>636</v>
      </c>
      <c r="AL45" s="3"/>
      <c r="AM45" s="25"/>
      <c r="AN45" s="35" t="s">
        <v>888</v>
      </c>
      <c r="AO45" s="24">
        <v>0.007210648148148148</v>
      </c>
      <c r="AP45" s="7" t="s">
        <v>889</v>
      </c>
      <c r="AQ45" s="73"/>
      <c r="AR45" s="7" t="s">
        <v>633</v>
      </c>
      <c r="AS45" s="7" t="b">
        <f>NOT(ISERROR(MATCH(A45,'Villages according to موسوعة ال'!C:C,0)))</f>
        <v>1</v>
      </c>
      <c r="AT45" s="37"/>
      <c r="AU45" s="37"/>
      <c r="AV45" s="37"/>
      <c r="AW45" s="37"/>
      <c r="AX45" s="37"/>
      <c r="AY45" s="37"/>
      <c r="AZ45" s="37"/>
      <c r="BA45" s="37"/>
      <c r="BB45" s="37"/>
      <c r="BC45" s="37"/>
      <c r="BD45" s="37"/>
      <c r="BE45" s="37"/>
      <c r="BF45" s="37"/>
      <c r="BG45" s="37"/>
      <c r="BH45" s="37"/>
      <c r="BI45" s="37"/>
      <c r="BJ45" s="37"/>
      <c r="BK45" s="37"/>
      <c r="BL45" s="37"/>
      <c r="BM45" s="37"/>
      <c r="BN45" s="37"/>
      <c r="BO45" s="37"/>
      <c r="BP45" s="37"/>
    </row>
    <row r="46">
      <c r="A46" s="7" t="s">
        <v>24</v>
      </c>
      <c r="B46" s="43" t="s">
        <v>25</v>
      </c>
      <c r="C46" s="7" t="s">
        <v>25</v>
      </c>
      <c r="D46" s="7" t="s">
        <v>26</v>
      </c>
      <c r="E46" s="7" t="s">
        <v>691</v>
      </c>
      <c r="F46" s="7" t="s">
        <v>692</v>
      </c>
      <c r="G46" s="28" t="s">
        <v>835</v>
      </c>
      <c r="H46" s="7" t="s">
        <v>890</v>
      </c>
      <c r="I46" s="7" t="s">
        <v>616</v>
      </c>
      <c r="J46" s="7" t="s">
        <v>891</v>
      </c>
      <c r="K46" s="54" t="s">
        <v>892</v>
      </c>
      <c r="L46" s="54" t="s">
        <v>893</v>
      </c>
      <c r="M46" s="60" t="b">
        <v>0</v>
      </c>
      <c r="N46" s="60" t="b">
        <v>0</v>
      </c>
      <c r="O46" s="60"/>
      <c r="P46" s="60" t="b">
        <v>0</v>
      </c>
      <c r="Q46" s="60" t="b">
        <v>0</v>
      </c>
      <c r="R46" s="60" t="b">
        <v>0</v>
      </c>
      <c r="S46" s="60"/>
      <c r="T46" s="60"/>
      <c r="U46" s="60" t="b">
        <v>0</v>
      </c>
      <c r="V46" s="60"/>
      <c r="W46" s="60" t="b">
        <v>0</v>
      </c>
      <c r="X46" s="60" t="b">
        <v>0</v>
      </c>
      <c r="Y46" s="60"/>
      <c r="Z46" s="60"/>
      <c r="AA46" s="60"/>
      <c r="AB46" s="60"/>
      <c r="AC46" s="61"/>
      <c r="AD46" s="60"/>
      <c r="AE46" s="60"/>
      <c r="AF46" s="60"/>
      <c r="AG46" s="60"/>
      <c r="AH46" s="60"/>
      <c r="AI46" s="60"/>
      <c r="AJ46" s="7" t="s">
        <v>894</v>
      </c>
      <c r="AK46" s="34" t="s">
        <v>698</v>
      </c>
      <c r="AL46" s="3" t="s">
        <v>699</v>
      </c>
      <c r="AM46" s="3" t="s">
        <v>868</v>
      </c>
      <c r="AN46" s="35" t="s">
        <v>895</v>
      </c>
      <c r="AO46" s="24">
        <v>9.953703703703704E-4</v>
      </c>
      <c r="AP46" s="74" t="s">
        <v>702</v>
      </c>
      <c r="AQ46" s="7">
        <v>2017.0</v>
      </c>
      <c r="AR46" s="35" t="s">
        <v>896</v>
      </c>
      <c r="AS46" s="7" t="b">
        <f>NOT(ISERROR(MATCH(A46,'Villages according to موسوعة ال'!C:C,0)))</f>
        <v>1</v>
      </c>
      <c r="AT46" s="25"/>
      <c r="AU46" s="25"/>
      <c r="AV46" s="25"/>
      <c r="AW46" s="25"/>
      <c r="AX46" s="25"/>
      <c r="AY46" s="25"/>
      <c r="AZ46" s="25"/>
      <c r="BA46" s="25"/>
      <c r="BB46" s="25"/>
      <c r="BC46" s="25"/>
      <c r="BD46" s="25"/>
      <c r="BE46" s="25"/>
      <c r="BF46" s="25"/>
      <c r="BG46" s="25"/>
      <c r="BH46" s="25"/>
      <c r="BI46" s="25"/>
      <c r="BJ46" s="25"/>
      <c r="BK46" s="25"/>
      <c r="BL46" s="25"/>
      <c r="BM46" s="25"/>
      <c r="BN46" s="25"/>
      <c r="BO46" s="25"/>
      <c r="BP46" s="25"/>
    </row>
    <row r="47">
      <c r="A47" s="7" t="s">
        <v>24</v>
      </c>
      <c r="B47" s="43" t="s">
        <v>25</v>
      </c>
      <c r="F47" s="7" t="s">
        <v>692</v>
      </c>
      <c r="G47" s="28" t="s">
        <v>835</v>
      </c>
      <c r="K47" s="54" t="s">
        <v>897</v>
      </c>
      <c r="L47" s="54" t="s">
        <v>898</v>
      </c>
      <c r="M47" s="60" t="b">
        <v>0</v>
      </c>
      <c r="N47" s="60" t="b">
        <v>0</v>
      </c>
      <c r="O47" s="60"/>
      <c r="P47" s="60" t="b">
        <v>0</v>
      </c>
      <c r="Q47" s="60" t="b">
        <v>0</v>
      </c>
      <c r="R47" s="60" t="b">
        <v>0</v>
      </c>
      <c r="S47" s="60"/>
      <c r="T47" s="60"/>
      <c r="U47" s="60" t="b">
        <v>0</v>
      </c>
      <c r="V47" s="60"/>
      <c r="W47" s="60" t="b">
        <v>0</v>
      </c>
      <c r="X47" s="60" t="b">
        <v>0</v>
      </c>
      <c r="Y47" s="60"/>
      <c r="Z47" s="60"/>
      <c r="AA47" s="60"/>
      <c r="AB47" s="60"/>
      <c r="AC47" s="61"/>
      <c r="AD47" s="60"/>
      <c r="AE47" s="60"/>
      <c r="AF47" s="60"/>
      <c r="AG47" s="60"/>
      <c r="AH47" s="60"/>
      <c r="AI47" s="60"/>
      <c r="AJ47" s="3"/>
      <c r="AK47" s="34" t="s">
        <v>698</v>
      </c>
      <c r="AL47" s="3" t="s">
        <v>699</v>
      </c>
      <c r="AM47" s="3" t="s">
        <v>831</v>
      </c>
      <c r="AN47" s="35" t="s">
        <v>899</v>
      </c>
      <c r="AO47" s="24">
        <v>0.0011574074074074073</v>
      </c>
      <c r="AP47" s="74" t="s">
        <v>900</v>
      </c>
      <c r="AQ47" s="7">
        <v>2017.0</v>
      </c>
      <c r="AR47" s="35" t="s">
        <v>876</v>
      </c>
      <c r="AS47" s="7" t="b">
        <f>NOT(ISERROR(MATCH(A47,'Villages according to موسوعة ال'!C:C,0)))</f>
        <v>1</v>
      </c>
      <c r="AT47" s="25"/>
      <c r="AU47" s="25"/>
      <c r="AV47" s="25"/>
      <c r="AW47" s="25"/>
      <c r="AX47" s="25"/>
      <c r="AY47" s="25"/>
      <c r="AZ47" s="25"/>
      <c r="BA47" s="25"/>
      <c r="BB47" s="25"/>
      <c r="BC47" s="25"/>
      <c r="BD47" s="25"/>
      <c r="BE47" s="25"/>
      <c r="BF47" s="25"/>
      <c r="BG47" s="25"/>
      <c r="BH47" s="25"/>
      <c r="BI47" s="25"/>
      <c r="BJ47" s="25"/>
      <c r="BK47" s="25"/>
      <c r="BL47" s="25"/>
      <c r="BM47" s="25"/>
      <c r="BN47" s="25"/>
      <c r="BO47" s="25"/>
      <c r="BP47" s="25"/>
    </row>
    <row r="48">
      <c r="A48" s="7" t="s">
        <v>24</v>
      </c>
      <c r="B48" s="43" t="s">
        <v>25</v>
      </c>
      <c r="E48" s="7" t="s">
        <v>901</v>
      </c>
      <c r="F48" s="7" t="s">
        <v>614</v>
      </c>
      <c r="G48" s="28" t="s">
        <v>615</v>
      </c>
      <c r="H48" s="7" t="s">
        <v>902</v>
      </c>
      <c r="I48" s="7" t="s">
        <v>638</v>
      </c>
      <c r="J48" s="7" t="s">
        <v>903</v>
      </c>
      <c r="K48" s="54" t="s">
        <v>904</v>
      </c>
      <c r="L48" s="54" t="s">
        <v>905</v>
      </c>
      <c r="M48" s="60" t="b">
        <v>0</v>
      </c>
      <c r="N48" s="60" t="b">
        <v>0</v>
      </c>
      <c r="O48" s="32" t="s">
        <v>620</v>
      </c>
      <c r="P48" s="60" t="b">
        <v>0</v>
      </c>
      <c r="Q48" s="60" t="b">
        <v>0</v>
      </c>
      <c r="R48" s="60" t="b">
        <v>0</v>
      </c>
      <c r="S48" s="32" t="s">
        <v>621</v>
      </c>
      <c r="T48" s="32" t="s">
        <v>622</v>
      </c>
      <c r="U48" s="32" t="b">
        <v>1</v>
      </c>
      <c r="V48" s="60"/>
      <c r="W48" s="60" t="b">
        <v>0</v>
      </c>
      <c r="X48" s="60" t="b">
        <v>0</v>
      </c>
      <c r="Y48" s="60"/>
      <c r="Z48" s="32" t="s">
        <v>906</v>
      </c>
      <c r="AA48" s="32" t="s">
        <v>775</v>
      </c>
      <c r="AB48" s="32" t="s">
        <v>624</v>
      </c>
      <c r="AC48" s="61"/>
      <c r="AD48" s="32" t="s">
        <v>686</v>
      </c>
      <c r="AE48" s="32" t="s">
        <v>626</v>
      </c>
      <c r="AF48" s="60"/>
      <c r="AG48" s="60"/>
      <c r="AH48" s="60"/>
      <c r="AI48" s="60"/>
      <c r="AJ48" s="3"/>
      <c r="AK48" s="34" t="s">
        <v>698</v>
      </c>
      <c r="AL48" s="3" t="s">
        <v>675</v>
      </c>
      <c r="AM48" s="3" t="s">
        <v>907</v>
      </c>
      <c r="AN48" s="35" t="s">
        <v>908</v>
      </c>
      <c r="AO48" s="24">
        <v>0.001875</v>
      </c>
      <c r="AP48" s="74" t="s">
        <v>758</v>
      </c>
      <c r="AQ48" s="73">
        <v>43160.0</v>
      </c>
      <c r="AR48" s="35" t="s">
        <v>909</v>
      </c>
      <c r="AS48" s="7" t="b">
        <f>NOT(ISERROR(MATCH(A48,'Villages according to موسوعة ال'!C:C,0)))</f>
        <v>1</v>
      </c>
      <c r="AT48" s="25"/>
      <c r="AU48" s="25"/>
      <c r="AV48" s="25"/>
      <c r="AW48" s="25"/>
      <c r="AX48" s="25"/>
      <c r="AY48" s="25"/>
      <c r="AZ48" s="25"/>
      <c r="BA48" s="25"/>
      <c r="BB48" s="25"/>
      <c r="BC48" s="25"/>
      <c r="BD48" s="25"/>
      <c r="BE48" s="25"/>
      <c r="BF48" s="25"/>
      <c r="BG48" s="25"/>
      <c r="BH48" s="25"/>
      <c r="BI48" s="25"/>
      <c r="BJ48" s="25"/>
      <c r="BK48" s="25"/>
      <c r="BL48" s="25"/>
      <c r="BM48" s="25"/>
      <c r="BN48" s="25"/>
      <c r="BO48" s="25"/>
      <c r="BP48" s="25"/>
    </row>
    <row r="49">
      <c r="A49" s="7" t="s">
        <v>24</v>
      </c>
      <c r="B49" s="43" t="s">
        <v>25</v>
      </c>
      <c r="E49" s="7" t="s">
        <v>850</v>
      </c>
      <c r="F49" s="7" t="s">
        <v>692</v>
      </c>
      <c r="G49" s="28" t="s">
        <v>835</v>
      </c>
      <c r="H49" s="7" t="s">
        <v>910</v>
      </c>
      <c r="I49" s="7" t="s">
        <v>638</v>
      </c>
      <c r="J49" s="7" t="s">
        <v>911</v>
      </c>
      <c r="K49" s="54" t="s">
        <v>912</v>
      </c>
      <c r="L49" s="54" t="s">
        <v>913</v>
      </c>
      <c r="M49" s="60" t="b">
        <v>0</v>
      </c>
      <c r="N49" s="60" t="b">
        <v>0</v>
      </c>
      <c r="O49" s="60"/>
      <c r="P49" s="60" t="b">
        <v>0</v>
      </c>
      <c r="Q49" s="60" t="b">
        <v>0</v>
      </c>
      <c r="R49" s="60" t="b">
        <v>0</v>
      </c>
      <c r="S49" s="60"/>
      <c r="T49" s="60"/>
      <c r="U49" s="60" t="b">
        <v>0</v>
      </c>
      <c r="V49" s="60"/>
      <c r="W49" s="60" t="b">
        <v>0</v>
      </c>
      <c r="X49" s="60" t="b">
        <v>0</v>
      </c>
      <c r="Y49" s="60"/>
      <c r="Z49" s="60"/>
      <c r="AA49" s="60"/>
      <c r="AB49" s="60"/>
      <c r="AC49" s="61"/>
      <c r="AD49" s="60"/>
      <c r="AE49" s="60"/>
      <c r="AF49" s="60"/>
      <c r="AG49" s="60"/>
      <c r="AH49" s="60"/>
      <c r="AI49" s="60"/>
      <c r="AJ49" s="3" t="s">
        <v>914</v>
      </c>
      <c r="AK49" s="34" t="s">
        <v>698</v>
      </c>
      <c r="AL49" s="3" t="s">
        <v>699</v>
      </c>
      <c r="AM49" s="3" t="s">
        <v>831</v>
      </c>
      <c r="AN49" s="35" t="s">
        <v>915</v>
      </c>
      <c r="AO49" s="24">
        <v>0.001990740740740741</v>
      </c>
      <c r="AP49" s="74" t="s">
        <v>847</v>
      </c>
      <c r="AQ49" s="73">
        <v>43070.0</v>
      </c>
      <c r="AR49" s="35" t="s">
        <v>916</v>
      </c>
      <c r="AS49" s="7" t="b">
        <f>NOT(ISERROR(MATCH(A49,'Villages according to موسوعة ال'!C:C,0)))</f>
        <v>1</v>
      </c>
      <c r="AT49" s="25"/>
      <c r="AU49" s="25"/>
      <c r="AV49" s="25"/>
      <c r="AW49" s="25"/>
      <c r="AX49" s="25"/>
      <c r="AY49" s="25"/>
      <c r="AZ49" s="25"/>
      <c r="BA49" s="25"/>
      <c r="BB49" s="25"/>
      <c r="BC49" s="25"/>
      <c r="BD49" s="25"/>
      <c r="BE49" s="25"/>
      <c r="BF49" s="25"/>
      <c r="BG49" s="25"/>
      <c r="BH49" s="25"/>
      <c r="BI49" s="25"/>
      <c r="BJ49" s="25"/>
      <c r="BK49" s="25"/>
      <c r="BL49" s="25"/>
      <c r="BM49" s="25"/>
      <c r="BN49" s="25"/>
      <c r="BO49" s="25"/>
      <c r="BP49" s="25"/>
    </row>
    <row r="50">
      <c r="A50" s="7" t="s">
        <v>24</v>
      </c>
      <c r="B50" s="43" t="s">
        <v>25</v>
      </c>
      <c r="E50" s="7" t="s">
        <v>901</v>
      </c>
      <c r="F50" s="7" t="s">
        <v>614</v>
      </c>
      <c r="G50" s="28" t="s">
        <v>615</v>
      </c>
      <c r="H50" s="7" t="s">
        <v>917</v>
      </c>
      <c r="I50" s="7" t="s">
        <v>616</v>
      </c>
      <c r="J50" s="7" t="s">
        <v>918</v>
      </c>
      <c r="K50" s="54" t="s">
        <v>919</v>
      </c>
      <c r="L50" s="54" t="s">
        <v>920</v>
      </c>
      <c r="M50" s="31" t="b">
        <v>0</v>
      </c>
      <c r="N50" s="31" t="b">
        <v>0</v>
      </c>
      <c r="O50" s="31"/>
      <c r="P50" s="31" t="b">
        <v>0</v>
      </c>
      <c r="Q50" s="31" t="b">
        <v>0</v>
      </c>
      <c r="R50" s="31" t="b">
        <v>0</v>
      </c>
      <c r="S50" s="31"/>
      <c r="T50" s="32"/>
      <c r="U50" s="31" t="b">
        <v>0</v>
      </c>
      <c r="V50" s="31"/>
      <c r="W50" s="31" t="b">
        <v>0</v>
      </c>
      <c r="X50" s="31" t="b">
        <v>0</v>
      </c>
      <c r="Y50" s="31"/>
      <c r="Z50" s="31"/>
      <c r="AA50" s="31"/>
      <c r="AB50" s="31"/>
      <c r="AC50" s="45"/>
      <c r="AD50" s="31"/>
      <c r="AE50" s="31"/>
      <c r="AF50" s="31"/>
      <c r="AG50" s="31"/>
      <c r="AH50" s="31"/>
      <c r="AI50" s="31"/>
      <c r="AJ50" s="25"/>
      <c r="AK50" s="34" t="s">
        <v>631</v>
      </c>
      <c r="AL50" s="25"/>
      <c r="AM50" s="25"/>
      <c r="AN50" s="35" t="s">
        <v>921</v>
      </c>
      <c r="AO50" s="24">
        <v>0.010324074074074074</v>
      </c>
      <c r="AP50" s="7" t="s">
        <v>633</v>
      </c>
      <c r="AQ50" s="7" t="s">
        <v>633</v>
      </c>
      <c r="AR50" s="7" t="s">
        <v>633</v>
      </c>
      <c r="AS50" s="7" t="b">
        <f>NOT(ISERROR(MATCH(A50,'Villages according to موسوعة ال'!C:C,0)))</f>
        <v>1</v>
      </c>
      <c r="AT50" s="25"/>
      <c r="AU50" s="25"/>
      <c r="AV50" s="25"/>
      <c r="AW50" s="25"/>
      <c r="AX50" s="25"/>
      <c r="AY50" s="25"/>
      <c r="AZ50" s="25"/>
      <c r="BA50" s="25"/>
      <c r="BB50" s="25"/>
      <c r="BC50" s="25"/>
      <c r="BD50" s="25"/>
      <c r="BE50" s="25"/>
      <c r="BF50" s="25"/>
      <c r="BG50" s="25"/>
      <c r="BH50" s="25"/>
      <c r="BI50" s="25"/>
      <c r="BJ50" s="25"/>
      <c r="BK50" s="25"/>
      <c r="BL50" s="25"/>
      <c r="BM50" s="25"/>
      <c r="BN50" s="25"/>
      <c r="BO50" s="25"/>
      <c r="BP50" s="25"/>
    </row>
    <row r="51">
      <c r="A51" s="3" t="s">
        <v>922</v>
      </c>
      <c r="B51" s="43" t="s">
        <v>923</v>
      </c>
      <c r="C51" s="75" t="s">
        <v>923</v>
      </c>
      <c r="D51" s="7" t="s">
        <v>493</v>
      </c>
      <c r="E51" s="7" t="s">
        <v>850</v>
      </c>
      <c r="F51" s="7" t="s">
        <v>692</v>
      </c>
      <c r="G51" s="28" t="s">
        <v>835</v>
      </c>
      <c r="H51" s="7" t="s">
        <v>924</v>
      </c>
      <c r="I51" s="7" t="s">
        <v>616</v>
      </c>
      <c r="J51" s="7" t="s">
        <v>925</v>
      </c>
      <c r="K51" s="54" t="s">
        <v>926</v>
      </c>
      <c r="L51" s="54"/>
      <c r="M51" s="31" t="b">
        <v>0</v>
      </c>
      <c r="N51" s="31" t="b">
        <v>0</v>
      </c>
      <c r="O51" s="31"/>
      <c r="P51" s="31" t="b">
        <v>0</v>
      </c>
      <c r="Q51" s="31" t="b">
        <v>0</v>
      </c>
      <c r="R51" s="31" t="b">
        <v>0</v>
      </c>
      <c r="S51" s="31"/>
      <c r="T51" s="32"/>
      <c r="U51" s="31" t="b">
        <v>0</v>
      </c>
      <c r="V51" s="31"/>
      <c r="W51" s="31" t="b">
        <v>0</v>
      </c>
      <c r="X51" s="31" t="b">
        <v>0</v>
      </c>
      <c r="Y51" s="31"/>
      <c r="Z51" s="31"/>
      <c r="AA51" s="31"/>
      <c r="AB51" s="31"/>
      <c r="AC51" s="45"/>
      <c r="AD51" s="31"/>
      <c r="AE51" s="31"/>
      <c r="AF51" s="31"/>
      <c r="AG51" s="31"/>
      <c r="AH51" s="31"/>
      <c r="AI51" s="31"/>
      <c r="AJ51" s="25"/>
      <c r="AK51" s="34" t="s">
        <v>718</v>
      </c>
      <c r="AL51" s="3" t="s">
        <v>675</v>
      </c>
      <c r="AM51" s="3" t="s">
        <v>927</v>
      </c>
      <c r="AN51" s="35" t="s">
        <v>928</v>
      </c>
      <c r="AO51" s="24">
        <v>0.0021875</v>
      </c>
      <c r="AP51" s="7" t="s">
        <v>929</v>
      </c>
      <c r="AQ51" s="73">
        <v>42917.0</v>
      </c>
      <c r="AR51" s="35" t="s">
        <v>930</v>
      </c>
      <c r="AS51" s="7" t="b">
        <f>NOT(ISERROR(MATCH(A51,'Villages according to موسوعة ال'!C:C,0)))</f>
        <v>1</v>
      </c>
      <c r="AT51" s="25"/>
      <c r="AU51" s="25"/>
      <c r="AV51" s="25"/>
      <c r="AW51" s="25"/>
      <c r="AX51" s="25"/>
      <c r="AY51" s="25"/>
      <c r="AZ51" s="25"/>
      <c r="BA51" s="25"/>
      <c r="BB51" s="25"/>
      <c r="BC51" s="25"/>
      <c r="BD51" s="25"/>
      <c r="BE51" s="25"/>
      <c r="BF51" s="25"/>
      <c r="BG51" s="25"/>
      <c r="BH51" s="25"/>
      <c r="BI51" s="25"/>
      <c r="BJ51" s="25"/>
      <c r="BK51" s="25"/>
      <c r="BL51" s="25"/>
      <c r="BM51" s="25"/>
      <c r="BN51" s="25"/>
      <c r="BO51" s="25"/>
      <c r="BP51" s="25"/>
    </row>
    <row r="52">
      <c r="A52" s="3" t="s">
        <v>922</v>
      </c>
      <c r="B52" s="43" t="s">
        <v>923</v>
      </c>
      <c r="E52" s="7" t="s">
        <v>901</v>
      </c>
      <c r="F52" s="7" t="s">
        <v>614</v>
      </c>
      <c r="G52" s="28" t="s">
        <v>615</v>
      </c>
      <c r="H52" s="7" t="s">
        <v>931</v>
      </c>
      <c r="I52" s="7" t="s">
        <v>616</v>
      </c>
      <c r="J52" s="7" t="s">
        <v>932</v>
      </c>
      <c r="K52" s="54"/>
      <c r="L52" s="54"/>
      <c r="M52" s="31" t="b">
        <v>0</v>
      </c>
      <c r="N52" s="31" t="b">
        <v>0</v>
      </c>
      <c r="O52" s="31"/>
      <c r="P52" s="31" t="b">
        <v>0</v>
      </c>
      <c r="Q52" s="31" t="b">
        <v>0</v>
      </c>
      <c r="R52" s="31" t="b">
        <v>0</v>
      </c>
      <c r="S52" s="31"/>
      <c r="T52" s="32"/>
      <c r="U52" s="31" t="b">
        <v>0</v>
      </c>
      <c r="V52" s="31"/>
      <c r="W52" s="31" t="b">
        <v>0</v>
      </c>
      <c r="X52" s="31" t="b">
        <v>0</v>
      </c>
      <c r="Y52" s="31"/>
      <c r="Z52" s="31"/>
      <c r="AA52" s="31"/>
      <c r="AB52" s="31"/>
      <c r="AC52" s="45"/>
      <c r="AD52" s="31"/>
      <c r="AE52" s="31"/>
      <c r="AF52" s="31"/>
      <c r="AG52" s="31"/>
      <c r="AH52" s="31"/>
      <c r="AI52" s="31"/>
      <c r="AJ52" s="25"/>
      <c r="AK52" s="34" t="s">
        <v>631</v>
      </c>
      <c r="AL52" s="3"/>
      <c r="AM52" s="3"/>
      <c r="AN52" s="35" t="s">
        <v>933</v>
      </c>
      <c r="AO52" s="76">
        <v>0.001400462962962963</v>
      </c>
      <c r="AP52" s="7"/>
      <c r="AQ52" s="73"/>
      <c r="AR52" s="36"/>
      <c r="AS52" s="7" t="b">
        <f>NOT(ISERROR(MATCH(A52,'Villages according to موسوعة ال'!C:C,0)))</f>
        <v>1</v>
      </c>
      <c r="AT52" s="25"/>
      <c r="AU52" s="25"/>
      <c r="AV52" s="25"/>
      <c r="AW52" s="25"/>
      <c r="AX52" s="25"/>
      <c r="AY52" s="25"/>
      <c r="AZ52" s="25"/>
      <c r="BA52" s="25"/>
      <c r="BB52" s="25"/>
      <c r="BC52" s="25"/>
      <c r="BD52" s="25"/>
      <c r="BE52" s="25"/>
      <c r="BF52" s="25"/>
      <c r="BG52" s="25"/>
      <c r="BH52" s="25"/>
      <c r="BI52" s="25"/>
      <c r="BJ52" s="25"/>
      <c r="BK52" s="25"/>
      <c r="BL52" s="25"/>
      <c r="BM52" s="25"/>
      <c r="BN52" s="25"/>
      <c r="BO52" s="25"/>
      <c r="BP52" s="25"/>
    </row>
    <row r="53">
      <c r="A53" s="3" t="s">
        <v>922</v>
      </c>
      <c r="B53" s="43" t="s">
        <v>923</v>
      </c>
      <c r="E53" s="7" t="s">
        <v>901</v>
      </c>
      <c r="F53" s="7" t="s">
        <v>614</v>
      </c>
      <c r="G53" s="28" t="s">
        <v>615</v>
      </c>
      <c r="H53" s="7" t="s">
        <v>934</v>
      </c>
      <c r="I53" s="7" t="s">
        <v>638</v>
      </c>
      <c r="J53" s="7" t="s">
        <v>935</v>
      </c>
      <c r="K53" s="54"/>
      <c r="L53" s="54"/>
      <c r="M53" s="31" t="b">
        <v>0</v>
      </c>
      <c r="N53" s="31" t="b">
        <v>0</v>
      </c>
      <c r="O53" s="31"/>
      <c r="P53" s="31" t="b">
        <v>0</v>
      </c>
      <c r="Q53" s="31" t="b">
        <v>0</v>
      </c>
      <c r="R53" s="31" t="b">
        <v>0</v>
      </c>
      <c r="S53" s="31"/>
      <c r="T53" s="32"/>
      <c r="U53" s="31" t="b">
        <v>0</v>
      </c>
      <c r="V53" s="31"/>
      <c r="W53" s="31" t="b">
        <v>0</v>
      </c>
      <c r="X53" s="31" t="b">
        <v>0</v>
      </c>
      <c r="Y53" s="31"/>
      <c r="Z53" s="31"/>
      <c r="AA53" s="31"/>
      <c r="AB53" s="31"/>
      <c r="AC53" s="45"/>
      <c r="AD53" s="31"/>
      <c r="AE53" s="31"/>
      <c r="AF53" s="31"/>
      <c r="AG53" s="31"/>
      <c r="AH53" s="31"/>
      <c r="AI53" s="31"/>
      <c r="AJ53" s="3" t="s">
        <v>936</v>
      </c>
      <c r="AK53" s="34" t="s">
        <v>631</v>
      </c>
      <c r="AL53" s="3" t="s">
        <v>937</v>
      </c>
      <c r="AM53" s="3"/>
      <c r="AN53" s="35" t="s">
        <v>938</v>
      </c>
      <c r="AO53" s="76">
        <v>0.004907407407407407</v>
      </c>
      <c r="AP53" s="7"/>
      <c r="AQ53" s="73"/>
      <c r="AR53" s="36"/>
      <c r="AS53" s="7" t="b">
        <f>NOT(ISERROR(MATCH(A53,'Villages according to موسوعة ال'!C:C,0)))</f>
        <v>1</v>
      </c>
      <c r="AT53" s="25"/>
      <c r="AU53" s="25"/>
      <c r="AV53" s="25"/>
      <c r="AW53" s="25"/>
      <c r="AX53" s="25"/>
      <c r="AY53" s="25"/>
      <c r="AZ53" s="25"/>
      <c r="BA53" s="25"/>
      <c r="BB53" s="25"/>
      <c r="BC53" s="25"/>
      <c r="BD53" s="25"/>
      <c r="BE53" s="25"/>
      <c r="BF53" s="25"/>
      <c r="BG53" s="25"/>
      <c r="BH53" s="25"/>
      <c r="BI53" s="25"/>
      <c r="BJ53" s="25"/>
      <c r="BK53" s="25"/>
      <c r="BL53" s="25"/>
      <c r="BM53" s="25"/>
      <c r="BN53" s="25"/>
      <c r="BO53" s="25"/>
      <c r="BP53" s="25"/>
    </row>
    <row r="54">
      <c r="A54" s="3" t="s">
        <v>939</v>
      </c>
      <c r="B54" s="43" t="s">
        <v>940</v>
      </c>
      <c r="C54" s="75" t="s">
        <v>940</v>
      </c>
      <c r="D54" s="7" t="s">
        <v>941</v>
      </c>
      <c r="E54" s="7" t="s">
        <v>901</v>
      </c>
      <c r="F54" s="7" t="s">
        <v>614</v>
      </c>
      <c r="G54" s="28" t="s">
        <v>835</v>
      </c>
      <c r="H54" s="7"/>
      <c r="I54" s="7" t="s">
        <v>616</v>
      </c>
      <c r="J54" s="7" t="s">
        <v>942</v>
      </c>
      <c r="K54" s="54"/>
      <c r="L54" s="54" t="s">
        <v>943</v>
      </c>
      <c r="M54" s="31" t="b">
        <v>0</v>
      </c>
      <c r="N54" s="31" t="b">
        <v>0</v>
      </c>
      <c r="O54" s="31"/>
      <c r="P54" s="31" t="b">
        <v>0</v>
      </c>
      <c r="Q54" s="31" t="b">
        <v>0</v>
      </c>
      <c r="R54" s="31" t="b">
        <v>0</v>
      </c>
      <c r="S54" s="31"/>
      <c r="T54" s="32"/>
      <c r="U54" s="31" t="b">
        <v>0</v>
      </c>
      <c r="V54" s="31"/>
      <c r="W54" s="31" t="b">
        <v>0</v>
      </c>
      <c r="X54" s="31" t="b">
        <v>0</v>
      </c>
      <c r="Y54" s="31"/>
      <c r="Z54" s="31"/>
      <c r="AA54" s="31"/>
      <c r="AB54" s="31"/>
      <c r="AC54" s="45"/>
      <c r="AD54" s="31"/>
      <c r="AE54" s="31"/>
      <c r="AF54" s="31"/>
      <c r="AG54" s="31"/>
      <c r="AH54" s="31"/>
      <c r="AI54" s="31"/>
      <c r="AJ54" s="3" t="s">
        <v>944</v>
      </c>
      <c r="AK54" s="34" t="s">
        <v>631</v>
      </c>
      <c r="AL54" s="3"/>
      <c r="AM54" s="3"/>
      <c r="AN54" s="35" t="s">
        <v>945</v>
      </c>
      <c r="AO54" s="76">
        <v>0.0016550925925925926</v>
      </c>
      <c r="AP54" s="7"/>
      <c r="AQ54" s="73"/>
      <c r="AR54" s="36"/>
      <c r="AS54" s="7" t="b">
        <f>NOT(ISERROR(MATCH(A54,'Villages according to موسوعة ال'!C:C,0)))</f>
        <v>1</v>
      </c>
      <c r="AT54" s="25"/>
      <c r="AU54" s="25"/>
      <c r="AV54" s="25"/>
      <c r="AW54" s="25"/>
      <c r="AX54" s="25"/>
      <c r="AY54" s="25"/>
      <c r="AZ54" s="25"/>
      <c r="BA54" s="25"/>
      <c r="BB54" s="25"/>
      <c r="BC54" s="25"/>
      <c r="BD54" s="25"/>
      <c r="BE54" s="25"/>
      <c r="BF54" s="25"/>
      <c r="BG54" s="25"/>
      <c r="BH54" s="25"/>
      <c r="BI54" s="25"/>
      <c r="BJ54" s="25"/>
      <c r="BK54" s="25"/>
      <c r="BL54" s="25"/>
      <c r="BM54" s="25"/>
      <c r="BN54" s="25"/>
      <c r="BO54" s="25"/>
      <c r="BP54" s="25"/>
    </row>
    <row r="55">
      <c r="A55" s="3" t="s">
        <v>939</v>
      </c>
      <c r="B55" s="43" t="s">
        <v>940</v>
      </c>
      <c r="K55" s="54"/>
      <c r="L55" s="54"/>
      <c r="M55" s="31" t="b">
        <v>0</v>
      </c>
      <c r="N55" s="31" t="b">
        <v>0</v>
      </c>
      <c r="O55" s="31"/>
      <c r="P55" s="31" t="b">
        <v>0</v>
      </c>
      <c r="Q55" s="31" t="b">
        <v>0</v>
      </c>
      <c r="R55" s="31" t="b">
        <v>0</v>
      </c>
      <c r="S55" s="31"/>
      <c r="T55" s="32"/>
      <c r="U55" s="31" t="b">
        <v>0</v>
      </c>
      <c r="V55" s="31"/>
      <c r="W55" s="31" t="b">
        <v>0</v>
      </c>
      <c r="X55" s="31" t="b">
        <v>0</v>
      </c>
      <c r="Y55" s="31"/>
      <c r="Z55" s="31"/>
      <c r="AA55" s="31"/>
      <c r="AB55" s="31"/>
      <c r="AC55" s="45"/>
      <c r="AD55" s="31"/>
      <c r="AE55" s="31"/>
      <c r="AF55" s="31"/>
      <c r="AG55" s="31"/>
      <c r="AH55" s="31"/>
      <c r="AI55" s="31"/>
      <c r="AJ55" s="3" t="s">
        <v>946</v>
      </c>
      <c r="AK55" s="34" t="s">
        <v>631</v>
      </c>
      <c r="AL55" s="3"/>
      <c r="AM55" s="3"/>
      <c r="AN55" s="35" t="s">
        <v>947</v>
      </c>
      <c r="AO55" s="76">
        <v>0.0014583333333333334</v>
      </c>
      <c r="AP55" s="7"/>
      <c r="AQ55" s="73"/>
      <c r="AR55" s="36"/>
      <c r="AS55" s="7" t="b">
        <f>NOT(ISERROR(MATCH(A55,'Villages according to موسوعة ال'!C:C,0)))</f>
        <v>1</v>
      </c>
      <c r="AT55" s="25"/>
      <c r="AU55" s="25"/>
      <c r="AV55" s="25"/>
      <c r="AW55" s="25"/>
      <c r="AX55" s="25"/>
      <c r="AY55" s="25"/>
      <c r="AZ55" s="25"/>
      <c r="BA55" s="25"/>
      <c r="BB55" s="25"/>
      <c r="BC55" s="25"/>
      <c r="BD55" s="25"/>
      <c r="BE55" s="25"/>
      <c r="BF55" s="25"/>
      <c r="BG55" s="25"/>
      <c r="BH55" s="25"/>
      <c r="BI55" s="25"/>
      <c r="BJ55" s="25"/>
      <c r="BK55" s="25"/>
      <c r="BL55" s="25"/>
      <c r="BM55" s="25"/>
      <c r="BN55" s="25"/>
      <c r="BO55" s="25"/>
      <c r="BP55" s="25"/>
    </row>
    <row r="56">
      <c r="A56" s="3" t="s">
        <v>939</v>
      </c>
      <c r="B56" s="43" t="s">
        <v>940</v>
      </c>
      <c r="K56" s="54"/>
      <c r="L56" s="54"/>
      <c r="M56" s="31" t="b">
        <v>0</v>
      </c>
      <c r="N56" s="31" t="b">
        <v>0</v>
      </c>
      <c r="O56" s="31"/>
      <c r="P56" s="31" t="b">
        <v>0</v>
      </c>
      <c r="Q56" s="31" t="b">
        <v>0</v>
      </c>
      <c r="R56" s="31" t="b">
        <v>0</v>
      </c>
      <c r="S56" s="31"/>
      <c r="T56" s="32"/>
      <c r="U56" s="31" t="b">
        <v>0</v>
      </c>
      <c r="V56" s="31"/>
      <c r="W56" s="31" t="b">
        <v>0</v>
      </c>
      <c r="X56" s="31" t="b">
        <v>0</v>
      </c>
      <c r="Y56" s="31"/>
      <c r="Z56" s="31"/>
      <c r="AA56" s="31"/>
      <c r="AB56" s="31"/>
      <c r="AC56" s="45"/>
      <c r="AD56" s="31"/>
      <c r="AE56" s="31"/>
      <c r="AF56" s="31"/>
      <c r="AG56" s="31"/>
      <c r="AH56" s="31"/>
      <c r="AI56" s="31"/>
      <c r="AJ56" s="3"/>
      <c r="AK56" s="34" t="s">
        <v>631</v>
      </c>
      <c r="AL56" s="3"/>
      <c r="AM56" s="3"/>
      <c r="AN56" s="35" t="s">
        <v>948</v>
      </c>
      <c r="AO56" s="76">
        <v>0.001099537037037037</v>
      </c>
      <c r="AP56" s="7"/>
      <c r="AQ56" s="73"/>
      <c r="AR56" s="36"/>
      <c r="AS56" s="7" t="b">
        <f>NOT(ISERROR(MATCH(A56,'Villages according to موسوعة ال'!C:C,0)))</f>
        <v>1</v>
      </c>
      <c r="AT56" s="25"/>
      <c r="AU56" s="25"/>
      <c r="AV56" s="25"/>
      <c r="AW56" s="25"/>
      <c r="AX56" s="25"/>
      <c r="AY56" s="25"/>
      <c r="AZ56" s="25"/>
      <c r="BA56" s="25"/>
      <c r="BB56" s="25"/>
      <c r="BC56" s="25"/>
      <c r="BD56" s="25"/>
      <c r="BE56" s="25"/>
      <c r="BF56" s="25"/>
      <c r="BG56" s="25"/>
      <c r="BH56" s="25"/>
      <c r="BI56" s="25"/>
      <c r="BJ56" s="25"/>
      <c r="BK56" s="25"/>
      <c r="BL56" s="25"/>
      <c r="BM56" s="25"/>
      <c r="BN56" s="25"/>
      <c r="BO56" s="25"/>
      <c r="BP56" s="25"/>
    </row>
    <row r="57">
      <c r="A57" s="3" t="s">
        <v>939</v>
      </c>
      <c r="B57" s="43" t="s">
        <v>940</v>
      </c>
      <c r="E57" s="7" t="s">
        <v>901</v>
      </c>
      <c r="F57" s="7" t="s">
        <v>614</v>
      </c>
      <c r="G57" s="28" t="s">
        <v>835</v>
      </c>
      <c r="H57" s="7"/>
      <c r="I57" s="7" t="s">
        <v>616</v>
      </c>
      <c r="J57" s="7" t="s">
        <v>949</v>
      </c>
      <c r="K57" s="54"/>
      <c r="L57" s="54"/>
      <c r="M57" s="31" t="b">
        <v>0</v>
      </c>
      <c r="N57" s="31" t="b">
        <v>0</v>
      </c>
      <c r="O57" s="31"/>
      <c r="P57" s="31" t="b">
        <v>0</v>
      </c>
      <c r="Q57" s="31" t="b">
        <v>0</v>
      </c>
      <c r="R57" s="31" t="b">
        <v>0</v>
      </c>
      <c r="S57" s="31"/>
      <c r="T57" s="32"/>
      <c r="U57" s="31" t="b">
        <v>0</v>
      </c>
      <c r="V57" s="31"/>
      <c r="W57" s="31" t="b">
        <v>0</v>
      </c>
      <c r="X57" s="31" t="b">
        <v>0</v>
      </c>
      <c r="Y57" s="31"/>
      <c r="Z57" s="31"/>
      <c r="AA57" s="31"/>
      <c r="AB57" s="31"/>
      <c r="AC57" s="45"/>
      <c r="AD57" s="31"/>
      <c r="AE57" s="31"/>
      <c r="AF57" s="31"/>
      <c r="AG57" s="31"/>
      <c r="AH57" s="31"/>
      <c r="AI57" s="31"/>
      <c r="AJ57" s="3"/>
      <c r="AK57" s="34" t="s">
        <v>631</v>
      </c>
      <c r="AL57" s="3"/>
      <c r="AM57" s="3"/>
      <c r="AN57" s="35" t="s">
        <v>950</v>
      </c>
      <c r="AO57" s="76">
        <v>9.953703703703704E-4</v>
      </c>
      <c r="AP57" s="7"/>
      <c r="AQ57" s="73"/>
      <c r="AR57" s="36"/>
      <c r="AS57" s="7" t="b">
        <f>NOT(ISERROR(MATCH(A57,'Villages according to موسوعة ال'!C:C,0)))</f>
        <v>1</v>
      </c>
      <c r="AT57" s="25"/>
      <c r="AU57" s="25"/>
      <c r="AV57" s="25"/>
      <c r="AW57" s="25"/>
      <c r="AX57" s="25"/>
      <c r="AY57" s="25"/>
      <c r="AZ57" s="25"/>
      <c r="BA57" s="25"/>
      <c r="BB57" s="25"/>
      <c r="BC57" s="25"/>
      <c r="BD57" s="25"/>
      <c r="BE57" s="25"/>
      <c r="BF57" s="25"/>
      <c r="BG57" s="25"/>
      <c r="BH57" s="25"/>
      <c r="BI57" s="25"/>
      <c r="BJ57" s="25"/>
      <c r="BK57" s="25"/>
      <c r="BL57" s="25"/>
      <c r="BM57" s="25"/>
      <c r="BN57" s="25"/>
      <c r="BO57" s="25"/>
      <c r="BP57" s="25"/>
    </row>
    <row r="58">
      <c r="A58" s="3" t="s">
        <v>939</v>
      </c>
      <c r="B58" s="43" t="s">
        <v>940</v>
      </c>
      <c r="K58" s="54"/>
      <c r="L58" s="54"/>
      <c r="M58" s="31" t="b">
        <v>0</v>
      </c>
      <c r="N58" s="31" t="b">
        <v>0</v>
      </c>
      <c r="O58" s="31"/>
      <c r="P58" s="31" t="b">
        <v>0</v>
      </c>
      <c r="Q58" s="31" t="b">
        <v>0</v>
      </c>
      <c r="R58" s="31" t="b">
        <v>0</v>
      </c>
      <c r="S58" s="31"/>
      <c r="T58" s="32"/>
      <c r="U58" s="31" t="b">
        <v>0</v>
      </c>
      <c r="V58" s="31"/>
      <c r="W58" s="31" t="b">
        <v>0</v>
      </c>
      <c r="X58" s="31" t="b">
        <v>0</v>
      </c>
      <c r="Y58" s="31"/>
      <c r="Z58" s="31"/>
      <c r="AA58" s="31"/>
      <c r="AB58" s="31"/>
      <c r="AC58" s="45"/>
      <c r="AD58" s="31"/>
      <c r="AE58" s="31"/>
      <c r="AF58" s="31"/>
      <c r="AG58" s="31"/>
      <c r="AH58" s="31"/>
      <c r="AI58" s="31"/>
      <c r="AJ58" s="3"/>
      <c r="AK58" s="34" t="s">
        <v>631</v>
      </c>
      <c r="AL58" s="3" t="s">
        <v>937</v>
      </c>
      <c r="AM58" s="3"/>
      <c r="AN58" s="35" t="s">
        <v>951</v>
      </c>
      <c r="AO58" s="76">
        <v>8.217592592592593E-4</v>
      </c>
      <c r="AP58" s="7"/>
      <c r="AQ58" s="73"/>
      <c r="AR58" s="36"/>
      <c r="AS58" s="7" t="b">
        <f>NOT(ISERROR(MATCH(A58,'Villages according to موسوعة ال'!C:C,0)))</f>
        <v>1</v>
      </c>
      <c r="AT58" s="25"/>
      <c r="AU58" s="25"/>
      <c r="AV58" s="25"/>
      <c r="AW58" s="25"/>
      <c r="AX58" s="25"/>
      <c r="AY58" s="25"/>
      <c r="AZ58" s="25"/>
      <c r="BA58" s="25"/>
      <c r="BB58" s="25"/>
      <c r="BC58" s="25"/>
      <c r="BD58" s="25"/>
      <c r="BE58" s="25"/>
      <c r="BF58" s="25"/>
      <c r="BG58" s="25"/>
      <c r="BH58" s="25"/>
      <c r="BI58" s="25"/>
      <c r="BJ58" s="25"/>
      <c r="BK58" s="25"/>
      <c r="BL58" s="25"/>
      <c r="BM58" s="25"/>
      <c r="BN58" s="25"/>
      <c r="BO58" s="25"/>
      <c r="BP58" s="25"/>
    </row>
    <row r="59">
      <c r="A59" s="3" t="s">
        <v>939</v>
      </c>
      <c r="B59" s="43" t="s">
        <v>940</v>
      </c>
      <c r="E59" s="7" t="s">
        <v>901</v>
      </c>
      <c r="F59" s="7" t="s">
        <v>614</v>
      </c>
      <c r="G59" s="28" t="s">
        <v>835</v>
      </c>
      <c r="H59" s="7" t="s">
        <v>952</v>
      </c>
      <c r="I59" s="7" t="s">
        <v>638</v>
      </c>
      <c r="J59" s="7" t="s">
        <v>953</v>
      </c>
      <c r="K59" s="54"/>
      <c r="L59" s="54"/>
      <c r="M59" s="31" t="b">
        <v>0</v>
      </c>
      <c r="N59" s="31" t="b">
        <v>0</v>
      </c>
      <c r="O59" s="31"/>
      <c r="P59" s="31" t="b">
        <v>0</v>
      </c>
      <c r="Q59" s="31" t="b">
        <v>0</v>
      </c>
      <c r="R59" s="31" t="b">
        <v>0</v>
      </c>
      <c r="S59" s="31"/>
      <c r="T59" s="32"/>
      <c r="U59" s="31" t="b">
        <v>0</v>
      </c>
      <c r="V59" s="31"/>
      <c r="W59" s="31" t="b">
        <v>0</v>
      </c>
      <c r="X59" s="31" t="b">
        <v>0</v>
      </c>
      <c r="Y59" s="31"/>
      <c r="Z59" s="31"/>
      <c r="AA59" s="31"/>
      <c r="AB59" s="31"/>
      <c r="AC59" s="45"/>
      <c r="AD59" s="31"/>
      <c r="AE59" s="31"/>
      <c r="AF59" s="31"/>
      <c r="AG59" s="31"/>
      <c r="AH59" s="31"/>
      <c r="AI59" s="31"/>
      <c r="AJ59" s="3"/>
      <c r="AK59" s="34"/>
      <c r="AL59" s="3"/>
      <c r="AM59" s="3"/>
      <c r="AN59" s="35" t="s">
        <v>954</v>
      </c>
      <c r="AO59" s="76">
        <v>3.8194444444444446E-4</v>
      </c>
      <c r="AP59" s="7"/>
      <c r="AQ59" s="73"/>
      <c r="AR59" s="36"/>
      <c r="AS59" s="7" t="b">
        <f>NOT(ISERROR(MATCH(A59,'Villages according to موسوعة ال'!C:C,0)))</f>
        <v>1</v>
      </c>
      <c r="AT59" s="25"/>
      <c r="AU59" s="25"/>
      <c r="AV59" s="25"/>
      <c r="AW59" s="25"/>
      <c r="AX59" s="25"/>
      <c r="AY59" s="25"/>
      <c r="AZ59" s="25"/>
      <c r="BA59" s="25"/>
      <c r="BB59" s="25"/>
      <c r="BC59" s="25"/>
      <c r="BD59" s="25"/>
      <c r="BE59" s="25"/>
      <c r="BF59" s="25"/>
      <c r="BG59" s="25"/>
      <c r="BH59" s="25"/>
      <c r="BI59" s="25"/>
      <c r="BJ59" s="25"/>
      <c r="BK59" s="25"/>
      <c r="BL59" s="25"/>
      <c r="BM59" s="25"/>
      <c r="BN59" s="25"/>
      <c r="BO59" s="25"/>
      <c r="BP59" s="25"/>
    </row>
    <row r="60">
      <c r="A60" s="3" t="s">
        <v>939</v>
      </c>
      <c r="B60" s="43" t="s">
        <v>940</v>
      </c>
      <c r="K60" s="54"/>
      <c r="L60" s="54"/>
      <c r="M60" s="31" t="b">
        <v>0</v>
      </c>
      <c r="N60" s="31" t="b">
        <v>0</v>
      </c>
      <c r="O60" s="31"/>
      <c r="P60" s="31" t="b">
        <v>0</v>
      </c>
      <c r="Q60" s="31" t="b">
        <v>0</v>
      </c>
      <c r="R60" s="31" t="b">
        <v>0</v>
      </c>
      <c r="S60" s="31"/>
      <c r="T60" s="32"/>
      <c r="U60" s="31" t="b">
        <v>0</v>
      </c>
      <c r="V60" s="31"/>
      <c r="W60" s="31" t="b">
        <v>0</v>
      </c>
      <c r="X60" s="31" t="b">
        <v>0</v>
      </c>
      <c r="Y60" s="31"/>
      <c r="Z60" s="31"/>
      <c r="AA60" s="31"/>
      <c r="AB60" s="31"/>
      <c r="AC60" s="45"/>
      <c r="AD60" s="31"/>
      <c r="AE60" s="31"/>
      <c r="AF60" s="31"/>
      <c r="AG60" s="31"/>
      <c r="AH60" s="31"/>
      <c r="AI60" s="31"/>
      <c r="AJ60" s="3"/>
      <c r="AK60" s="34" t="s">
        <v>631</v>
      </c>
      <c r="AL60" s="3" t="s">
        <v>937</v>
      </c>
      <c r="AM60" s="3"/>
      <c r="AN60" s="35" t="s">
        <v>955</v>
      </c>
      <c r="AO60" s="76">
        <v>5.439814814814814E-4</v>
      </c>
      <c r="AP60" s="7"/>
      <c r="AQ60" s="73"/>
      <c r="AR60" s="36"/>
      <c r="AS60" s="7" t="b">
        <f>NOT(ISERROR(MATCH(A60,'Villages according to موسوعة ال'!C:C,0)))</f>
        <v>1</v>
      </c>
      <c r="AT60" s="25"/>
      <c r="AU60" s="25"/>
      <c r="AV60" s="25"/>
      <c r="AW60" s="25"/>
      <c r="AX60" s="25"/>
      <c r="AY60" s="25"/>
      <c r="AZ60" s="25"/>
      <c r="BA60" s="25"/>
      <c r="BB60" s="25"/>
      <c r="BC60" s="25"/>
      <c r="BD60" s="25"/>
      <c r="BE60" s="25"/>
      <c r="BF60" s="25"/>
      <c r="BG60" s="25"/>
      <c r="BH60" s="25"/>
      <c r="BI60" s="25"/>
      <c r="BJ60" s="25"/>
      <c r="BK60" s="25"/>
      <c r="BL60" s="25"/>
      <c r="BM60" s="25"/>
      <c r="BN60" s="25"/>
      <c r="BO60" s="25"/>
      <c r="BP60" s="25"/>
    </row>
    <row r="61">
      <c r="A61" s="3" t="s">
        <v>939</v>
      </c>
      <c r="B61" s="43" t="s">
        <v>940</v>
      </c>
      <c r="K61" s="54"/>
      <c r="L61" s="54"/>
      <c r="M61" s="31" t="b">
        <v>0</v>
      </c>
      <c r="N61" s="31" t="b">
        <v>0</v>
      </c>
      <c r="O61" s="31"/>
      <c r="P61" s="31" t="b">
        <v>0</v>
      </c>
      <c r="Q61" s="31" t="b">
        <v>0</v>
      </c>
      <c r="R61" s="31" t="b">
        <v>0</v>
      </c>
      <c r="S61" s="31"/>
      <c r="T61" s="32"/>
      <c r="U61" s="31" t="b">
        <v>0</v>
      </c>
      <c r="V61" s="31"/>
      <c r="W61" s="31" t="b">
        <v>0</v>
      </c>
      <c r="X61" s="31" t="b">
        <v>0</v>
      </c>
      <c r="Y61" s="31"/>
      <c r="Z61" s="31"/>
      <c r="AA61" s="31"/>
      <c r="AB61" s="31"/>
      <c r="AC61" s="45"/>
      <c r="AD61" s="31"/>
      <c r="AE61" s="31"/>
      <c r="AF61" s="31"/>
      <c r="AG61" s="31"/>
      <c r="AH61" s="31"/>
      <c r="AI61" s="31"/>
      <c r="AJ61" s="3" t="s">
        <v>956</v>
      </c>
      <c r="AK61" s="34" t="s">
        <v>631</v>
      </c>
      <c r="AL61" s="3"/>
      <c r="AM61" s="3"/>
      <c r="AN61" s="35" t="s">
        <v>957</v>
      </c>
      <c r="AO61" s="76">
        <v>0.001585648148148148</v>
      </c>
      <c r="AP61" s="7"/>
      <c r="AQ61" s="73"/>
      <c r="AR61" s="36"/>
      <c r="AS61" s="7" t="b">
        <f>NOT(ISERROR(MATCH(A61,'Villages according to موسوعة ال'!C:C,0)))</f>
        <v>1</v>
      </c>
      <c r="AT61" s="25"/>
      <c r="AU61" s="25"/>
      <c r="AV61" s="25"/>
      <c r="AW61" s="25"/>
      <c r="AX61" s="25"/>
      <c r="AY61" s="25"/>
      <c r="AZ61" s="25"/>
      <c r="BA61" s="25"/>
      <c r="BB61" s="25"/>
      <c r="BC61" s="25"/>
      <c r="BD61" s="25"/>
      <c r="BE61" s="25"/>
      <c r="BF61" s="25"/>
      <c r="BG61" s="25"/>
      <c r="BH61" s="25"/>
      <c r="BI61" s="25"/>
      <c r="BJ61" s="25"/>
      <c r="BK61" s="25"/>
      <c r="BL61" s="25"/>
      <c r="BM61" s="25"/>
      <c r="BN61" s="25"/>
      <c r="BO61" s="25"/>
      <c r="BP61" s="25"/>
    </row>
    <row r="62">
      <c r="A62" s="7" t="s">
        <v>333</v>
      </c>
      <c r="B62" s="43" t="s">
        <v>334</v>
      </c>
      <c r="C62" s="7" t="s">
        <v>334</v>
      </c>
      <c r="D62" s="46" t="s">
        <v>335</v>
      </c>
      <c r="E62" s="7" t="s">
        <v>958</v>
      </c>
      <c r="F62" s="7" t="s">
        <v>959</v>
      </c>
      <c r="G62" s="28" t="s">
        <v>960</v>
      </c>
      <c r="H62" s="7" t="s">
        <v>961</v>
      </c>
      <c r="I62" s="7" t="s">
        <v>616</v>
      </c>
      <c r="J62" s="7" t="s">
        <v>962</v>
      </c>
      <c r="K62" s="77" t="s">
        <v>963</v>
      </c>
      <c r="L62" s="30" t="s">
        <v>964</v>
      </c>
      <c r="M62" s="60" t="b">
        <v>1</v>
      </c>
      <c r="N62" s="48" t="b">
        <v>0</v>
      </c>
      <c r="O62" s="60" t="s">
        <v>965</v>
      </c>
      <c r="P62" s="60" t="b">
        <v>1</v>
      </c>
      <c r="Q62" s="48" t="b">
        <v>0</v>
      </c>
      <c r="R62" s="48" t="b">
        <v>0</v>
      </c>
      <c r="S62" s="60" t="s">
        <v>966</v>
      </c>
      <c r="T62" s="60" t="s">
        <v>967</v>
      </c>
      <c r="U62" s="48" t="b">
        <v>0</v>
      </c>
      <c r="V62" s="60" t="s">
        <v>685</v>
      </c>
      <c r="W62" s="60" t="b">
        <v>0</v>
      </c>
      <c r="X62" s="48" t="b">
        <v>0</v>
      </c>
      <c r="Y62" s="60" t="s">
        <v>671</v>
      </c>
      <c r="Z62" s="60"/>
      <c r="AA62" s="48"/>
      <c r="AB62" s="48"/>
      <c r="AC62" s="61" t="s">
        <v>968</v>
      </c>
      <c r="AD62" s="60" t="s">
        <v>969</v>
      </c>
      <c r="AE62" s="60" t="s">
        <v>970</v>
      </c>
      <c r="AF62" s="60" t="s">
        <v>627</v>
      </c>
      <c r="AG62" s="48"/>
      <c r="AH62" s="60" t="s">
        <v>971</v>
      </c>
      <c r="AI62" s="60" t="s">
        <v>673</v>
      </c>
      <c r="AJ62" s="3"/>
      <c r="AK62" s="34" t="s">
        <v>698</v>
      </c>
      <c r="AL62" s="3" t="s">
        <v>699</v>
      </c>
      <c r="AM62" s="3" t="s">
        <v>868</v>
      </c>
      <c r="AN62" s="35" t="s">
        <v>972</v>
      </c>
      <c r="AO62" s="24">
        <v>0.002627314814814815</v>
      </c>
      <c r="AP62" s="78" t="s">
        <v>973</v>
      </c>
      <c r="AQ62" s="25" t="s">
        <v>974</v>
      </c>
      <c r="AR62" s="35" t="s">
        <v>975</v>
      </c>
      <c r="AS62" s="7" t="b">
        <f>NOT(ISERROR(MATCH(A62,'Villages according to موسوعة ال'!C:C,0)))</f>
        <v>1</v>
      </c>
      <c r="AT62" s="25"/>
      <c r="AU62" s="25"/>
      <c r="AV62" s="25"/>
      <c r="AW62" s="25"/>
      <c r="AX62" s="25"/>
      <c r="AY62" s="25"/>
      <c r="AZ62" s="25"/>
      <c r="BA62" s="25"/>
      <c r="BB62" s="25"/>
      <c r="BC62" s="25"/>
      <c r="BD62" s="25"/>
      <c r="BE62" s="25"/>
      <c r="BF62" s="25"/>
      <c r="BG62" s="25"/>
      <c r="BH62" s="25"/>
      <c r="BI62" s="25"/>
      <c r="BJ62" s="25"/>
      <c r="BK62" s="25"/>
      <c r="BL62" s="25"/>
      <c r="BM62" s="25"/>
      <c r="BN62" s="25"/>
      <c r="BO62" s="25"/>
      <c r="BP62" s="25"/>
    </row>
    <row r="63">
      <c r="A63" s="7" t="s">
        <v>333</v>
      </c>
      <c r="B63" s="26" t="s">
        <v>334</v>
      </c>
      <c r="F63" s="7" t="s">
        <v>959</v>
      </c>
      <c r="K63" s="47" t="s">
        <v>976</v>
      </c>
      <c r="L63" s="47" t="s">
        <v>977</v>
      </c>
      <c r="M63" s="48" t="b">
        <v>0</v>
      </c>
      <c r="N63" s="48" t="b">
        <v>0</v>
      </c>
      <c r="O63" s="48"/>
      <c r="P63" s="48" t="b">
        <v>0</v>
      </c>
      <c r="Q63" s="48" t="b">
        <v>0</v>
      </c>
      <c r="R63" s="48" t="b">
        <v>0</v>
      </c>
      <c r="S63" s="48"/>
      <c r="T63" s="32"/>
      <c r="U63" s="48" t="b">
        <v>0</v>
      </c>
      <c r="V63" s="48"/>
      <c r="W63" s="48" t="b">
        <v>0</v>
      </c>
      <c r="X63" s="48" t="b">
        <v>0</v>
      </c>
      <c r="Y63" s="48"/>
      <c r="Z63" s="48"/>
      <c r="AA63" s="48"/>
      <c r="AB63" s="48"/>
      <c r="AC63" s="49"/>
      <c r="AD63" s="48"/>
      <c r="AE63" s="48"/>
      <c r="AF63" s="48"/>
      <c r="AG63" s="48"/>
      <c r="AH63" s="48"/>
      <c r="AI63" s="48"/>
      <c r="AJ63" s="25"/>
      <c r="AK63" s="34" t="s">
        <v>636</v>
      </c>
      <c r="AL63" s="25"/>
      <c r="AM63" s="25"/>
      <c r="AN63" s="35" t="s">
        <v>978</v>
      </c>
      <c r="AO63" s="24">
        <v>6.134259259259259E-4</v>
      </c>
      <c r="AP63" s="74" t="s">
        <v>973</v>
      </c>
      <c r="AQ63" s="25" t="s">
        <v>974</v>
      </c>
      <c r="AR63" s="35" t="s">
        <v>979</v>
      </c>
      <c r="AS63" s="7" t="b">
        <f>NOT(ISERROR(MATCH(A63,'Villages according to موسوعة ال'!C:C,0)))</f>
        <v>1</v>
      </c>
      <c r="AT63" s="37"/>
      <c r="AU63" s="37"/>
      <c r="AV63" s="37"/>
      <c r="AW63" s="37"/>
      <c r="AX63" s="37"/>
      <c r="AY63" s="37"/>
      <c r="AZ63" s="37"/>
      <c r="BA63" s="37"/>
      <c r="BB63" s="37"/>
      <c r="BC63" s="37"/>
      <c r="BD63" s="37"/>
      <c r="BE63" s="37"/>
      <c r="BF63" s="37"/>
      <c r="BG63" s="37"/>
      <c r="BH63" s="37"/>
      <c r="BI63" s="37"/>
      <c r="BJ63" s="37"/>
      <c r="BK63" s="37"/>
      <c r="BL63" s="37"/>
      <c r="BM63" s="37"/>
      <c r="BN63" s="37"/>
      <c r="BO63" s="37"/>
      <c r="BP63" s="37"/>
    </row>
    <row r="64">
      <c r="A64" s="7" t="s">
        <v>333</v>
      </c>
      <c r="B64" s="43" t="s">
        <v>334</v>
      </c>
      <c r="F64" s="7" t="s">
        <v>959</v>
      </c>
      <c r="K64" s="47" t="s">
        <v>980</v>
      </c>
      <c r="L64" s="47" t="s">
        <v>981</v>
      </c>
      <c r="M64" s="48" t="b">
        <v>0</v>
      </c>
      <c r="N64" s="48" t="b">
        <v>0</v>
      </c>
      <c r="O64" s="48"/>
      <c r="P64" s="48" t="b">
        <v>0</v>
      </c>
      <c r="Q64" s="48" t="b">
        <v>0</v>
      </c>
      <c r="R64" s="48" t="b">
        <v>0</v>
      </c>
      <c r="S64" s="48"/>
      <c r="T64" s="32"/>
      <c r="U64" s="48" t="b">
        <v>0</v>
      </c>
      <c r="V64" s="48"/>
      <c r="W64" s="48" t="b">
        <v>0</v>
      </c>
      <c r="X64" s="48" t="b">
        <v>0</v>
      </c>
      <c r="Y64" s="48"/>
      <c r="Z64" s="48"/>
      <c r="AA64" s="48"/>
      <c r="AB64" s="48"/>
      <c r="AC64" s="49"/>
      <c r="AD64" s="48"/>
      <c r="AE64" s="48"/>
      <c r="AF64" s="48"/>
      <c r="AG64" s="48"/>
      <c r="AH64" s="48"/>
      <c r="AI64" s="48"/>
      <c r="AJ64" s="25"/>
      <c r="AK64" s="34" t="s">
        <v>631</v>
      </c>
      <c r="AL64" s="25"/>
      <c r="AM64" s="25"/>
      <c r="AN64" s="35" t="s">
        <v>982</v>
      </c>
      <c r="AO64" s="24">
        <v>0.0013310185185185185</v>
      </c>
      <c r="AP64" s="78" t="s">
        <v>973</v>
      </c>
      <c r="AQ64" s="25" t="s">
        <v>974</v>
      </c>
      <c r="AS64" s="7" t="b">
        <f>NOT(ISERROR(MATCH(A64,'Villages according to موسوعة ال'!C:C,0)))</f>
        <v>1</v>
      </c>
      <c r="AT64" s="25"/>
      <c r="AU64" s="25"/>
      <c r="AV64" s="25"/>
      <c r="AW64" s="25"/>
      <c r="AX64" s="25"/>
      <c r="AY64" s="25"/>
      <c r="AZ64" s="25"/>
      <c r="BA64" s="25"/>
      <c r="BB64" s="25"/>
      <c r="BC64" s="25"/>
      <c r="BD64" s="25"/>
      <c r="BE64" s="25"/>
      <c r="BF64" s="25"/>
      <c r="BG64" s="25"/>
      <c r="BH64" s="25"/>
      <c r="BI64" s="25"/>
      <c r="BJ64" s="25"/>
      <c r="BK64" s="25"/>
      <c r="BL64" s="25"/>
      <c r="BM64" s="25"/>
      <c r="BN64" s="25"/>
      <c r="BO64" s="25"/>
      <c r="BP64" s="25"/>
    </row>
    <row r="65">
      <c r="A65" s="7" t="s">
        <v>333</v>
      </c>
      <c r="B65" s="43" t="s">
        <v>334</v>
      </c>
      <c r="F65" s="7" t="s">
        <v>959</v>
      </c>
      <c r="K65" s="47" t="s">
        <v>983</v>
      </c>
      <c r="L65" s="47" t="s">
        <v>984</v>
      </c>
      <c r="M65" s="48" t="b">
        <v>0</v>
      </c>
      <c r="N65" s="48" t="b">
        <v>0</v>
      </c>
      <c r="O65" s="48"/>
      <c r="P65" s="48" t="b">
        <v>0</v>
      </c>
      <c r="Q65" s="48" t="b">
        <v>0</v>
      </c>
      <c r="R65" s="48" t="b">
        <v>0</v>
      </c>
      <c r="S65" s="48"/>
      <c r="T65" s="32"/>
      <c r="U65" s="48" t="b">
        <v>0</v>
      </c>
      <c r="V65" s="48"/>
      <c r="W65" s="48" t="b">
        <v>0</v>
      </c>
      <c r="X65" s="48" t="b">
        <v>0</v>
      </c>
      <c r="Y65" s="48"/>
      <c r="Z65" s="48"/>
      <c r="AA65" s="48"/>
      <c r="AB65" s="48"/>
      <c r="AC65" s="49"/>
      <c r="AD65" s="48"/>
      <c r="AE65" s="48"/>
      <c r="AF65" s="48"/>
      <c r="AG65" s="48"/>
      <c r="AH65" s="48"/>
      <c r="AI65" s="48"/>
      <c r="AJ65" s="25"/>
      <c r="AK65" s="34" t="s">
        <v>631</v>
      </c>
      <c r="AL65" s="25"/>
      <c r="AM65" s="25"/>
      <c r="AN65" s="35" t="s">
        <v>985</v>
      </c>
      <c r="AO65" s="24">
        <v>8.449074074074074E-4</v>
      </c>
      <c r="AP65" s="78" t="s">
        <v>973</v>
      </c>
      <c r="AQ65" s="25" t="s">
        <v>974</v>
      </c>
      <c r="AS65" s="7" t="b">
        <f>NOT(ISERROR(MATCH(A65,'Villages according to موسوعة ال'!C:C,0)))</f>
        <v>1</v>
      </c>
      <c r="AT65" s="25"/>
      <c r="AU65" s="25"/>
      <c r="AV65" s="25"/>
      <c r="AW65" s="25"/>
      <c r="AX65" s="25"/>
      <c r="AY65" s="25"/>
      <c r="AZ65" s="25"/>
      <c r="BA65" s="25"/>
      <c r="BB65" s="25"/>
      <c r="BC65" s="25"/>
      <c r="BD65" s="25"/>
      <c r="BE65" s="25"/>
      <c r="BF65" s="25"/>
      <c r="BG65" s="25"/>
      <c r="BH65" s="25"/>
      <c r="BI65" s="25"/>
      <c r="BJ65" s="25"/>
      <c r="BK65" s="25"/>
      <c r="BL65" s="25"/>
      <c r="BM65" s="25"/>
      <c r="BN65" s="25"/>
      <c r="BO65" s="25"/>
      <c r="BP65" s="25"/>
    </row>
    <row r="66">
      <c r="A66" s="7" t="s">
        <v>333</v>
      </c>
      <c r="B66" s="43" t="s">
        <v>334</v>
      </c>
      <c r="F66" s="7" t="s">
        <v>959</v>
      </c>
      <c r="K66" s="47" t="s">
        <v>986</v>
      </c>
      <c r="L66" s="47"/>
      <c r="M66" s="48" t="b">
        <v>0</v>
      </c>
      <c r="N66" s="48" t="b">
        <v>0</v>
      </c>
      <c r="O66" s="48"/>
      <c r="P66" s="48" t="b">
        <v>0</v>
      </c>
      <c r="Q66" s="48" t="b">
        <v>0</v>
      </c>
      <c r="R66" s="48" t="b">
        <v>0</v>
      </c>
      <c r="S66" s="48"/>
      <c r="T66" s="32"/>
      <c r="U66" s="48" t="b">
        <v>0</v>
      </c>
      <c r="V66" s="48"/>
      <c r="W66" s="48" t="b">
        <v>0</v>
      </c>
      <c r="X66" s="48" t="b">
        <v>0</v>
      </c>
      <c r="Y66" s="48"/>
      <c r="Z66" s="48"/>
      <c r="AA66" s="48"/>
      <c r="AB66" s="48"/>
      <c r="AC66" s="49"/>
      <c r="AD66" s="48"/>
      <c r="AE66" s="48"/>
      <c r="AF66" s="48"/>
      <c r="AG66" s="48"/>
      <c r="AH66" s="48"/>
      <c r="AI66" s="48"/>
      <c r="AJ66" s="25"/>
      <c r="AK66" s="34" t="s">
        <v>631</v>
      </c>
      <c r="AL66" s="25"/>
      <c r="AM66" s="25"/>
      <c r="AN66" s="35" t="s">
        <v>987</v>
      </c>
      <c r="AO66" s="24">
        <v>9.25925925925926E-4</v>
      </c>
      <c r="AP66" s="78" t="s">
        <v>973</v>
      </c>
      <c r="AQ66" s="25" t="s">
        <v>974</v>
      </c>
      <c r="AS66" s="7" t="b">
        <f>NOT(ISERROR(MATCH(A66,'Villages according to موسوعة ال'!C:C,0)))</f>
        <v>1</v>
      </c>
      <c r="AT66" s="25"/>
      <c r="AU66" s="25"/>
      <c r="AV66" s="25"/>
      <c r="AW66" s="25"/>
      <c r="AX66" s="25"/>
      <c r="AY66" s="25"/>
      <c r="AZ66" s="25"/>
      <c r="BA66" s="25"/>
      <c r="BB66" s="25"/>
      <c r="BC66" s="25"/>
      <c r="BD66" s="25"/>
      <c r="BE66" s="25"/>
      <c r="BF66" s="25"/>
      <c r="BG66" s="25"/>
      <c r="BH66" s="25"/>
      <c r="BI66" s="25"/>
      <c r="BJ66" s="25"/>
      <c r="BK66" s="25"/>
      <c r="BL66" s="25"/>
      <c r="BM66" s="25"/>
      <c r="BN66" s="25"/>
      <c r="BO66" s="25"/>
      <c r="BP66" s="25"/>
    </row>
    <row r="67">
      <c r="A67" s="7" t="s">
        <v>333</v>
      </c>
      <c r="B67" s="43" t="s">
        <v>334</v>
      </c>
      <c r="F67" s="7" t="s">
        <v>959</v>
      </c>
      <c r="K67" s="47" t="s">
        <v>988</v>
      </c>
      <c r="L67" s="47" t="s">
        <v>989</v>
      </c>
      <c r="M67" s="48" t="b">
        <v>0</v>
      </c>
      <c r="N67" s="48" t="b">
        <v>0</v>
      </c>
      <c r="O67" s="48"/>
      <c r="P67" s="48" t="b">
        <v>0</v>
      </c>
      <c r="Q67" s="48" t="b">
        <v>0</v>
      </c>
      <c r="R67" s="48" t="b">
        <v>0</v>
      </c>
      <c r="S67" s="48"/>
      <c r="T67" s="32"/>
      <c r="U67" s="48" t="b">
        <v>0</v>
      </c>
      <c r="V67" s="48"/>
      <c r="W67" s="48" t="b">
        <v>0</v>
      </c>
      <c r="X67" s="48" t="b">
        <v>0</v>
      </c>
      <c r="Y67" s="48"/>
      <c r="Z67" s="48"/>
      <c r="AA67" s="48"/>
      <c r="AB67" s="48"/>
      <c r="AC67" s="49"/>
      <c r="AD67" s="48"/>
      <c r="AE67" s="48"/>
      <c r="AF67" s="48"/>
      <c r="AG67" s="48"/>
      <c r="AH67" s="48"/>
      <c r="AI67" s="48"/>
      <c r="AJ67" s="25"/>
      <c r="AK67" s="79" t="s">
        <v>631</v>
      </c>
      <c r="AL67" s="3" t="s">
        <v>937</v>
      </c>
      <c r="AM67" s="3" t="s">
        <v>700</v>
      </c>
      <c r="AN67" s="35" t="s">
        <v>990</v>
      </c>
      <c r="AO67" s="24">
        <v>0.004363425925925926</v>
      </c>
      <c r="AP67" s="78" t="s">
        <v>973</v>
      </c>
      <c r="AQ67" s="25" t="s">
        <v>974</v>
      </c>
      <c r="AS67" s="7" t="b">
        <f>NOT(ISERROR(MATCH(A67,'Villages according to موسوعة ال'!C:C,0)))</f>
        <v>1</v>
      </c>
      <c r="AT67" s="25"/>
      <c r="AU67" s="25"/>
      <c r="AV67" s="25"/>
      <c r="AW67" s="25"/>
      <c r="AX67" s="25"/>
      <c r="AY67" s="25"/>
      <c r="AZ67" s="25"/>
      <c r="BA67" s="25"/>
      <c r="BB67" s="25"/>
      <c r="BC67" s="25"/>
      <c r="BD67" s="25"/>
      <c r="BE67" s="25"/>
      <c r="BF67" s="25"/>
      <c r="BG67" s="25"/>
      <c r="BH67" s="25"/>
      <c r="BI67" s="25"/>
      <c r="BJ67" s="25"/>
      <c r="BK67" s="25"/>
      <c r="BL67" s="25"/>
      <c r="BM67" s="25"/>
      <c r="BN67" s="25"/>
      <c r="BO67" s="25"/>
      <c r="BP67" s="25"/>
    </row>
    <row r="68">
      <c r="A68" s="7" t="s">
        <v>54</v>
      </c>
      <c r="B68" s="43" t="s">
        <v>55</v>
      </c>
      <c r="C68" s="7" t="s">
        <v>55</v>
      </c>
      <c r="D68" s="7" t="s">
        <v>56</v>
      </c>
      <c r="E68" s="7" t="s">
        <v>850</v>
      </c>
      <c r="F68" s="7" t="s">
        <v>692</v>
      </c>
      <c r="G68" s="28" t="s">
        <v>693</v>
      </c>
      <c r="H68" s="7" t="s">
        <v>991</v>
      </c>
      <c r="I68" s="7" t="s">
        <v>616</v>
      </c>
      <c r="J68" s="7" t="s">
        <v>992</v>
      </c>
      <c r="K68" s="54" t="s">
        <v>993</v>
      </c>
      <c r="L68" s="80" t="s">
        <v>994</v>
      </c>
      <c r="M68" s="60" t="b">
        <v>0</v>
      </c>
      <c r="N68" s="60" t="b">
        <v>0</v>
      </c>
      <c r="O68" s="60" t="s">
        <v>620</v>
      </c>
      <c r="P68" s="60" t="b">
        <v>0</v>
      </c>
      <c r="Q68" s="60" t="b">
        <v>0</v>
      </c>
      <c r="R68" s="60" t="b">
        <v>1</v>
      </c>
      <c r="S68" s="60" t="s">
        <v>621</v>
      </c>
      <c r="T68" s="60" t="s">
        <v>670</v>
      </c>
      <c r="U68" s="60" t="b">
        <v>0</v>
      </c>
      <c r="V68" s="60"/>
      <c r="W68" s="60" t="b">
        <v>0</v>
      </c>
      <c r="X68" s="60" t="b">
        <v>1</v>
      </c>
      <c r="Y68" s="60" t="s">
        <v>671</v>
      </c>
      <c r="Z68" s="60"/>
      <c r="AA68" s="60"/>
      <c r="AB68" s="60"/>
      <c r="AC68" s="33" t="s">
        <v>995</v>
      </c>
      <c r="AD68" s="60" t="s">
        <v>686</v>
      </c>
      <c r="AE68" s="60" t="s">
        <v>711</v>
      </c>
      <c r="AF68" s="60" t="s">
        <v>627</v>
      </c>
      <c r="AG68" s="60"/>
      <c r="AH68" s="60"/>
      <c r="AI68" s="60" t="s">
        <v>673</v>
      </c>
      <c r="AJ68" s="3"/>
      <c r="AK68" s="34" t="s">
        <v>698</v>
      </c>
      <c r="AL68" s="3" t="s">
        <v>699</v>
      </c>
      <c r="AM68" s="3" t="s">
        <v>868</v>
      </c>
      <c r="AN68" s="35" t="s">
        <v>996</v>
      </c>
      <c r="AO68" s="24">
        <v>0.0013773148148148147</v>
      </c>
      <c r="AP68" s="7" t="s">
        <v>997</v>
      </c>
      <c r="AQ68" s="73">
        <v>42917.0</v>
      </c>
      <c r="AR68" s="35" t="s">
        <v>998</v>
      </c>
      <c r="AS68" s="7" t="b">
        <f>NOT(ISERROR(MATCH(A68,'Villages according to موسوعة ال'!C:C,0)))</f>
        <v>1</v>
      </c>
      <c r="AT68" s="25"/>
      <c r="AU68" s="25"/>
      <c r="AV68" s="25"/>
      <c r="AW68" s="25"/>
      <c r="AX68" s="25"/>
      <c r="AY68" s="25"/>
      <c r="AZ68" s="25"/>
      <c r="BA68" s="25"/>
      <c r="BB68" s="25"/>
      <c r="BC68" s="25"/>
      <c r="BD68" s="25"/>
      <c r="BE68" s="25"/>
      <c r="BF68" s="25"/>
      <c r="BG68" s="25"/>
      <c r="BH68" s="25"/>
      <c r="BI68" s="25"/>
      <c r="BJ68" s="25"/>
      <c r="BK68" s="25"/>
      <c r="BL68" s="25"/>
      <c r="BM68" s="25"/>
      <c r="BN68" s="25"/>
      <c r="BO68" s="25"/>
      <c r="BP68" s="25"/>
    </row>
    <row r="69">
      <c r="A69" s="7" t="s">
        <v>54</v>
      </c>
      <c r="B69" s="43" t="s">
        <v>55</v>
      </c>
      <c r="C69" s="7" t="s">
        <v>55</v>
      </c>
      <c r="E69" s="7" t="s">
        <v>999</v>
      </c>
      <c r="F69" s="7" t="s">
        <v>614</v>
      </c>
      <c r="G69" s="28" t="s">
        <v>615</v>
      </c>
      <c r="H69" s="7" t="s">
        <v>1000</v>
      </c>
      <c r="I69" s="7" t="s">
        <v>638</v>
      </c>
      <c r="J69" s="7" t="s">
        <v>1001</v>
      </c>
      <c r="K69" s="54"/>
      <c r="L69" s="80"/>
      <c r="M69" s="60" t="b">
        <v>0</v>
      </c>
      <c r="N69" s="60" t="b">
        <v>0</v>
      </c>
      <c r="O69" s="60" t="s">
        <v>620</v>
      </c>
      <c r="P69" s="60" t="b">
        <v>0</v>
      </c>
      <c r="Q69" s="60" t="b">
        <v>0</v>
      </c>
      <c r="R69" s="60" t="b">
        <v>1</v>
      </c>
      <c r="S69" s="60" t="s">
        <v>621</v>
      </c>
      <c r="T69" s="60" t="s">
        <v>670</v>
      </c>
      <c r="U69" s="60" t="b">
        <v>0</v>
      </c>
      <c r="V69" s="60"/>
      <c r="W69" s="60" t="b">
        <v>0</v>
      </c>
      <c r="X69" s="60" t="b">
        <v>1</v>
      </c>
      <c r="Y69" s="60" t="s">
        <v>671</v>
      </c>
      <c r="Z69" s="60"/>
      <c r="AA69" s="60"/>
      <c r="AB69" s="60"/>
      <c r="AC69" s="33" t="s">
        <v>995</v>
      </c>
      <c r="AD69" s="60" t="s">
        <v>686</v>
      </c>
      <c r="AE69" s="60" t="s">
        <v>711</v>
      </c>
      <c r="AF69" s="60" t="s">
        <v>627</v>
      </c>
      <c r="AG69" s="60"/>
      <c r="AH69" s="60"/>
      <c r="AI69" s="60" t="s">
        <v>673</v>
      </c>
      <c r="AJ69" s="3" t="s">
        <v>1002</v>
      </c>
      <c r="AK69" s="34" t="s">
        <v>631</v>
      </c>
      <c r="AL69" s="3"/>
      <c r="AM69" s="3"/>
      <c r="AN69" s="35" t="s">
        <v>1003</v>
      </c>
      <c r="AO69" s="76">
        <v>0.003912037037037037</v>
      </c>
      <c r="AP69" s="7" t="s">
        <v>1004</v>
      </c>
      <c r="AQ69" s="73"/>
      <c r="AR69" s="36"/>
      <c r="AS69" s="7" t="b">
        <f>NOT(ISERROR(MATCH(A69,'Villages according to موسوعة ال'!C:C,0)))</f>
        <v>1</v>
      </c>
      <c r="AT69" s="25"/>
      <c r="AU69" s="25"/>
      <c r="AV69" s="25"/>
      <c r="AW69" s="25"/>
      <c r="AX69" s="25"/>
      <c r="AY69" s="25"/>
      <c r="AZ69" s="25"/>
      <c r="BA69" s="25"/>
      <c r="BB69" s="25"/>
      <c r="BC69" s="25"/>
      <c r="BD69" s="25"/>
      <c r="BE69" s="25"/>
      <c r="BF69" s="25"/>
      <c r="BG69" s="25"/>
      <c r="BH69" s="25"/>
      <c r="BI69" s="25"/>
      <c r="BJ69" s="25"/>
      <c r="BK69" s="25"/>
      <c r="BL69" s="25"/>
      <c r="BM69" s="25"/>
      <c r="BN69" s="25"/>
      <c r="BO69" s="25"/>
      <c r="BP69" s="25"/>
    </row>
    <row r="70">
      <c r="A70" s="7" t="s">
        <v>54</v>
      </c>
      <c r="B70" s="43" t="s">
        <v>55</v>
      </c>
      <c r="C70" s="7" t="s">
        <v>55</v>
      </c>
      <c r="E70" s="7" t="s">
        <v>999</v>
      </c>
      <c r="F70" s="7" t="s">
        <v>614</v>
      </c>
      <c r="G70" s="28" t="s">
        <v>615</v>
      </c>
      <c r="H70" s="7" t="s">
        <v>1000</v>
      </c>
      <c r="I70" s="7" t="s">
        <v>638</v>
      </c>
      <c r="J70" s="7" t="s">
        <v>1001</v>
      </c>
      <c r="K70" s="54"/>
      <c r="L70" s="80"/>
      <c r="M70" s="60" t="b">
        <v>0</v>
      </c>
      <c r="N70" s="60" t="b">
        <v>0</v>
      </c>
      <c r="O70" s="60" t="s">
        <v>620</v>
      </c>
      <c r="P70" s="60" t="b">
        <v>0</v>
      </c>
      <c r="Q70" s="60" t="b">
        <v>0</v>
      </c>
      <c r="R70" s="60" t="b">
        <v>1</v>
      </c>
      <c r="S70" s="60" t="s">
        <v>621</v>
      </c>
      <c r="T70" s="60" t="s">
        <v>670</v>
      </c>
      <c r="U70" s="60" t="b">
        <v>0</v>
      </c>
      <c r="V70" s="60"/>
      <c r="W70" s="60" t="b">
        <v>0</v>
      </c>
      <c r="X70" s="60" t="b">
        <v>1</v>
      </c>
      <c r="Y70" s="60" t="s">
        <v>671</v>
      </c>
      <c r="Z70" s="60"/>
      <c r="AA70" s="60"/>
      <c r="AB70" s="60"/>
      <c r="AC70" s="33" t="s">
        <v>995</v>
      </c>
      <c r="AD70" s="60" t="s">
        <v>686</v>
      </c>
      <c r="AE70" s="60" t="s">
        <v>711</v>
      </c>
      <c r="AF70" s="60" t="s">
        <v>627</v>
      </c>
      <c r="AG70" s="60"/>
      <c r="AH70" s="60"/>
      <c r="AI70" s="60" t="s">
        <v>673</v>
      </c>
      <c r="AJ70" s="3" t="s">
        <v>1005</v>
      </c>
      <c r="AK70" s="34" t="s">
        <v>631</v>
      </c>
      <c r="AL70" s="3"/>
      <c r="AM70" s="3"/>
      <c r="AN70" s="35" t="s">
        <v>1003</v>
      </c>
      <c r="AO70" s="76">
        <v>0.003912037037037037</v>
      </c>
      <c r="AP70" s="7" t="s">
        <v>1004</v>
      </c>
      <c r="AQ70" s="73"/>
      <c r="AR70" s="36"/>
      <c r="AS70" s="7" t="b">
        <f>NOT(ISERROR(MATCH(A70,'Villages according to موسوعة ال'!C:C,0)))</f>
        <v>1</v>
      </c>
      <c r="AT70" s="25"/>
      <c r="AU70" s="25"/>
      <c r="AV70" s="25"/>
      <c r="AW70" s="25"/>
      <c r="AX70" s="25"/>
      <c r="AY70" s="25"/>
      <c r="AZ70" s="25"/>
      <c r="BA70" s="25"/>
      <c r="BB70" s="25"/>
      <c r="BC70" s="25"/>
      <c r="BD70" s="25"/>
      <c r="BE70" s="25"/>
      <c r="BF70" s="25"/>
      <c r="BG70" s="25"/>
      <c r="BH70" s="25"/>
      <c r="BI70" s="25"/>
      <c r="BJ70" s="25"/>
      <c r="BK70" s="25"/>
      <c r="BL70" s="25"/>
      <c r="BM70" s="25"/>
      <c r="BN70" s="25"/>
      <c r="BO70" s="25"/>
      <c r="BP70" s="25"/>
    </row>
    <row r="71">
      <c r="A71" s="7" t="s">
        <v>248</v>
      </c>
      <c r="B71" s="43" t="s">
        <v>249</v>
      </c>
      <c r="C71" s="7" t="s">
        <v>249</v>
      </c>
      <c r="D71" s="7" t="s">
        <v>250</v>
      </c>
      <c r="E71" s="25"/>
      <c r="F71" s="25"/>
      <c r="G71" s="28" t="s">
        <v>835</v>
      </c>
      <c r="H71" s="7" t="s">
        <v>633</v>
      </c>
      <c r="I71" s="7" t="s">
        <v>616</v>
      </c>
      <c r="J71" s="7" t="s">
        <v>1006</v>
      </c>
      <c r="K71" s="54" t="s">
        <v>1007</v>
      </c>
      <c r="L71" s="54" t="s">
        <v>1008</v>
      </c>
      <c r="M71" s="31" t="b">
        <v>0</v>
      </c>
      <c r="N71" s="31" t="b">
        <v>0</v>
      </c>
      <c r="O71" s="31"/>
      <c r="P71" s="31" t="b">
        <v>0</v>
      </c>
      <c r="Q71" s="31" t="b">
        <v>0</v>
      </c>
      <c r="R71" s="31" t="b">
        <v>0</v>
      </c>
      <c r="S71" s="31"/>
      <c r="T71" s="32"/>
      <c r="U71" s="31" t="b">
        <v>0</v>
      </c>
      <c r="V71" s="31"/>
      <c r="W71" s="31" t="b">
        <v>0</v>
      </c>
      <c r="X71" s="31" t="b">
        <v>0</v>
      </c>
      <c r="Y71" s="31"/>
      <c r="Z71" s="31"/>
      <c r="AA71" s="31"/>
      <c r="AB71" s="31"/>
      <c r="AC71" s="45"/>
      <c r="AD71" s="31"/>
      <c r="AE71" s="31"/>
      <c r="AF71" s="31"/>
      <c r="AG71" s="31"/>
      <c r="AH71" s="31"/>
      <c r="AI71" s="31"/>
      <c r="AJ71" s="25"/>
      <c r="AK71" s="34" t="s">
        <v>631</v>
      </c>
      <c r="AL71" s="25"/>
      <c r="AM71" s="25"/>
      <c r="AN71" s="35" t="s">
        <v>1009</v>
      </c>
      <c r="AO71" s="24">
        <v>0.017962962962962962</v>
      </c>
      <c r="AP71" s="74" t="s">
        <v>633</v>
      </c>
      <c r="AQ71" s="7" t="s">
        <v>633</v>
      </c>
      <c r="AR71" s="7" t="s">
        <v>633</v>
      </c>
      <c r="AS71" s="7" t="b">
        <f>NOT(ISERROR(MATCH(A71,'Villages according to موسوعة ال'!C:C,0)))</f>
        <v>1</v>
      </c>
      <c r="AT71" s="25"/>
      <c r="AU71" s="25"/>
      <c r="AV71" s="25"/>
      <c r="AW71" s="25"/>
      <c r="AX71" s="25"/>
      <c r="AY71" s="25"/>
      <c r="AZ71" s="25"/>
      <c r="BA71" s="25"/>
      <c r="BB71" s="25"/>
      <c r="BC71" s="25"/>
      <c r="BD71" s="25"/>
      <c r="BE71" s="25"/>
      <c r="BF71" s="25"/>
      <c r="BG71" s="25"/>
      <c r="BH71" s="25"/>
      <c r="BI71" s="25"/>
      <c r="BJ71" s="25"/>
      <c r="BK71" s="25"/>
      <c r="BL71" s="25"/>
      <c r="BM71" s="25"/>
      <c r="BN71" s="25"/>
      <c r="BO71" s="25"/>
      <c r="BP71" s="25"/>
    </row>
    <row r="72">
      <c r="A72" s="7" t="s">
        <v>563</v>
      </c>
      <c r="B72" s="43" t="s">
        <v>564</v>
      </c>
      <c r="C72" s="7" t="s">
        <v>564</v>
      </c>
      <c r="D72" s="11" t="s">
        <v>565</v>
      </c>
      <c r="E72" s="7" t="s">
        <v>901</v>
      </c>
      <c r="F72" s="7" t="s">
        <v>614</v>
      </c>
      <c r="G72" s="28" t="s">
        <v>835</v>
      </c>
      <c r="H72" s="7" t="s">
        <v>1010</v>
      </c>
      <c r="I72" s="7" t="s">
        <v>616</v>
      </c>
      <c r="J72" s="7" t="s">
        <v>1011</v>
      </c>
      <c r="K72" s="54" t="s">
        <v>1012</v>
      </c>
      <c r="L72" s="54" t="s">
        <v>1013</v>
      </c>
      <c r="M72" s="31" t="b">
        <v>0</v>
      </c>
      <c r="N72" s="31" t="b">
        <v>0</v>
      </c>
      <c r="O72" s="31"/>
      <c r="P72" s="31" t="b">
        <v>0</v>
      </c>
      <c r="Q72" s="31" t="b">
        <v>0</v>
      </c>
      <c r="R72" s="31" t="b">
        <v>0</v>
      </c>
      <c r="S72" s="31"/>
      <c r="T72" s="32"/>
      <c r="U72" s="31" t="b">
        <v>0</v>
      </c>
      <c r="V72" s="31"/>
      <c r="W72" s="31" t="b">
        <v>0</v>
      </c>
      <c r="X72" s="31" t="b">
        <v>0</v>
      </c>
      <c r="Y72" s="31"/>
      <c r="Z72" s="31"/>
      <c r="AA72" s="31"/>
      <c r="AB72" s="31"/>
      <c r="AC72" s="45"/>
      <c r="AD72" s="31"/>
      <c r="AE72" s="31"/>
      <c r="AF72" s="31"/>
      <c r="AG72" s="31"/>
      <c r="AH72" s="31"/>
      <c r="AI72" s="31"/>
      <c r="AJ72" s="3"/>
      <c r="AK72" s="34" t="s">
        <v>698</v>
      </c>
      <c r="AL72" s="3" t="s">
        <v>699</v>
      </c>
      <c r="AM72" s="3" t="s">
        <v>768</v>
      </c>
      <c r="AN72" s="35" t="s">
        <v>1014</v>
      </c>
      <c r="AO72" s="24">
        <v>0.001736111111111111</v>
      </c>
      <c r="AP72" s="74" t="s">
        <v>633</v>
      </c>
      <c r="AQ72" s="3" t="s">
        <v>1015</v>
      </c>
      <c r="AR72" s="35" t="s">
        <v>1016</v>
      </c>
      <c r="AS72" s="7" t="b">
        <f>NOT(ISERROR(MATCH(A72,'Villages according to موسوعة ال'!C:C,0)))</f>
        <v>1</v>
      </c>
      <c r="AT72" s="25"/>
      <c r="AU72" s="25"/>
      <c r="AV72" s="25"/>
      <c r="AW72" s="25"/>
      <c r="AX72" s="25"/>
      <c r="AY72" s="25"/>
      <c r="AZ72" s="25"/>
      <c r="BA72" s="25"/>
      <c r="BB72" s="25"/>
      <c r="BC72" s="25"/>
      <c r="BD72" s="25"/>
      <c r="BE72" s="25"/>
      <c r="BF72" s="25"/>
      <c r="BG72" s="25"/>
      <c r="BH72" s="25"/>
      <c r="BI72" s="25"/>
      <c r="BJ72" s="25"/>
      <c r="BK72" s="25"/>
      <c r="BL72" s="25"/>
      <c r="BM72" s="25"/>
      <c r="BN72" s="25"/>
      <c r="BO72" s="25"/>
      <c r="BP72" s="25"/>
    </row>
    <row r="73">
      <c r="A73" s="7" t="s">
        <v>563</v>
      </c>
      <c r="B73" s="43" t="s">
        <v>564</v>
      </c>
      <c r="C73" s="7" t="s">
        <v>564</v>
      </c>
      <c r="D73" s="11" t="s">
        <v>565</v>
      </c>
      <c r="E73" s="7" t="s">
        <v>901</v>
      </c>
      <c r="F73" s="7" t="s">
        <v>614</v>
      </c>
      <c r="G73" s="28" t="s">
        <v>835</v>
      </c>
      <c r="H73" s="7" t="s">
        <v>1017</v>
      </c>
      <c r="I73" s="7" t="s">
        <v>638</v>
      </c>
      <c r="J73" s="7" t="s">
        <v>1018</v>
      </c>
      <c r="K73" s="54"/>
      <c r="L73" s="54"/>
      <c r="M73" s="31" t="b">
        <v>0</v>
      </c>
      <c r="N73" s="31" t="b">
        <v>0</v>
      </c>
      <c r="O73" s="31"/>
      <c r="P73" s="31" t="b">
        <v>0</v>
      </c>
      <c r="Q73" s="31" t="b">
        <v>0</v>
      </c>
      <c r="R73" s="31" t="b">
        <v>0</v>
      </c>
      <c r="S73" s="31"/>
      <c r="T73" s="32"/>
      <c r="U73" s="31" t="b">
        <v>0</v>
      </c>
      <c r="V73" s="31"/>
      <c r="W73" s="31" t="b">
        <v>0</v>
      </c>
      <c r="X73" s="31" t="b">
        <v>0</v>
      </c>
      <c r="Y73" s="31"/>
      <c r="Z73" s="31"/>
      <c r="AA73" s="31"/>
      <c r="AB73" s="31"/>
      <c r="AC73" s="45"/>
      <c r="AD73" s="31"/>
      <c r="AE73" s="31"/>
      <c r="AF73" s="31"/>
      <c r="AG73" s="31"/>
      <c r="AH73" s="31"/>
      <c r="AI73" s="31"/>
      <c r="AJ73" s="3"/>
      <c r="AK73" s="34" t="s">
        <v>698</v>
      </c>
      <c r="AL73" s="3" t="s">
        <v>699</v>
      </c>
      <c r="AM73" s="3" t="s">
        <v>676</v>
      </c>
      <c r="AN73" s="35" t="s">
        <v>1019</v>
      </c>
      <c r="AO73" s="76">
        <v>0.0015046296296296296</v>
      </c>
      <c r="AP73" s="74" t="s">
        <v>1020</v>
      </c>
      <c r="AQ73" s="7">
        <v>2013.0</v>
      </c>
      <c r="AR73" s="35" t="s">
        <v>1021</v>
      </c>
      <c r="AS73" s="7" t="b">
        <f>NOT(ISERROR(MATCH(A73,'Villages according to موسوعة ال'!C:C,0)))</f>
        <v>1</v>
      </c>
      <c r="AT73" s="25"/>
      <c r="AU73" s="25"/>
      <c r="AV73" s="25"/>
      <c r="AW73" s="25"/>
      <c r="AX73" s="25"/>
      <c r="AY73" s="25"/>
      <c r="AZ73" s="25"/>
      <c r="BA73" s="25"/>
      <c r="BB73" s="25"/>
      <c r="BC73" s="25"/>
      <c r="BD73" s="25"/>
      <c r="BE73" s="25"/>
      <c r="BF73" s="25"/>
      <c r="BG73" s="25"/>
      <c r="BH73" s="25"/>
      <c r="BI73" s="25"/>
      <c r="BJ73" s="25"/>
      <c r="BK73" s="25"/>
      <c r="BL73" s="25"/>
      <c r="BM73" s="25"/>
      <c r="BN73" s="25"/>
      <c r="BO73" s="25"/>
      <c r="BP73" s="25"/>
    </row>
    <row r="74">
      <c r="A74" s="7" t="s">
        <v>563</v>
      </c>
      <c r="B74" s="43" t="s">
        <v>564</v>
      </c>
      <c r="C74" s="7" t="s">
        <v>564</v>
      </c>
      <c r="D74" s="11" t="s">
        <v>565</v>
      </c>
      <c r="E74" s="7" t="s">
        <v>901</v>
      </c>
      <c r="F74" s="7" t="s">
        <v>614</v>
      </c>
      <c r="G74" s="28" t="s">
        <v>835</v>
      </c>
      <c r="H74" s="7" t="s">
        <v>1022</v>
      </c>
      <c r="I74" s="7" t="s">
        <v>638</v>
      </c>
      <c r="J74" s="7" t="s">
        <v>1023</v>
      </c>
      <c r="K74" s="54"/>
      <c r="L74" s="54"/>
      <c r="M74" s="31" t="b">
        <v>0</v>
      </c>
      <c r="N74" s="31" t="b">
        <v>0</v>
      </c>
      <c r="O74" s="31"/>
      <c r="P74" s="31" t="b">
        <v>0</v>
      </c>
      <c r="Q74" s="31" t="b">
        <v>0</v>
      </c>
      <c r="R74" s="31" t="b">
        <v>0</v>
      </c>
      <c r="S74" s="31"/>
      <c r="T74" s="32"/>
      <c r="U74" s="31" t="b">
        <v>0</v>
      </c>
      <c r="V74" s="31"/>
      <c r="W74" s="31" t="b">
        <v>0</v>
      </c>
      <c r="X74" s="31" t="b">
        <v>0</v>
      </c>
      <c r="Y74" s="31"/>
      <c r="Z74" s="31"/>
      <c r="AA74" s="31"/>
      <c r="AB74" s="31"/>
      <c r="AC74" s="45"/>
      <c r="AD74" s="31"/>
      <c r="AE74" s="31"/>
      <c r="AF74" s="31"/>
      <c r="AG74" s="31"/>
      <c r="AH74" s="31"/>
      <c r="AI74" s="31"/>
      <c r="AJ74" s="81" t="s">
        <v>1024</v>
      </c>
      <c r="AK74" s="34"/>
      <c r="AL74" s="3"/>
      <c r="AM74" s="3"/>
      <c r="AN74" s="35" t="s">
        <v>1025</v>
      </c>
      <c r="AO74" s="76">
        <v>0.06157407407407407</v>
      </c>
      <c r="AP74" s="74" t="s">
        <v>1026</v>
      </c>
      <c r="AQ74" s="7"/>
      <c r="AR74" s="36"/>
      <c r="AS74" s="7" t="b">
        <f>NOT(ISERROR(MATCH(A74,'Villages according to موسوعة ال'!C:C,0)))</f>
        <v>1</v>
      </c>
      <c r="AT74" s="25"/>
      <c r="AU74" s="25"/>
      <c r="AV74" s="25"/>
      <c r="AW74" s="25"/>
      <c r="AX74" s="25"/>
      <c r="AY74" s="25"/>
      <c r="AZ74" s="25"/>
      <c r="BA74" s="25"/>
      <c r="BB74" s="25"/>
      <c r="BC74" s="25"/>
      <c r="BD74" s="25"/>
      <c r="BE74" s="25"/>
      <c r="BF74" s="25"/>
      <c r="BG74" s="25"/>
      <c r="BH74" s="25"/>
      <c r="BI74" s="25"/>
      <c r="BJ74" s="25"/>
      <c r="BK74" s="25"/>
      <c r="BL74" s="25"/>
      <c r="BM74" s="25"/>
      <c r="BN74" s="25"/>
      <c r="BO74" s="25"/>
      <c r="BP74" s="25"/>
    </row>
    <row r="75">
      <c r="A75" s="7" t="s">
        <v>563</v>
      </c>
      <c r="B75" s="43" t="s">
        <v>564</v>
      </c>
      <c r="C75" s="7" t="s">
        <v>564</v>
      </c>
      <c r="D75" s="11" t="s">
        <v>565</v>
      </c>
      <c r="E75" s="7" t="s">
        <v>901</v>
      </c>
      <c r="F75" s="7" t="s">
        <v>614</v>
      </c>
      <c r="G75" s="28" t="s">
        <v>835</v>
      </c>
      <c r="H75" s="7" t="s">
        <v>1022</v>
      </c>
      <c r="I75" s="7" t="s">
        <v>638</v>
      </c>
      <c r="J75" s="7" t="s">
        <v>1023</v>
      </c>
      <c r="K75" s="54"/>
      <c r="L75" s="54"/>
      <c r="M75" s="31" t="b">
        <v>0</v>
      </c>
      <c r="N75" s="31" t="b">
        <v>0</v>
      </c>
      <c r="O75" s="31"/>
      <c r="P75" s="31" t="b">
        <v>0</v>
      </c>
      <c r="Q75" s="31" t="b">
        <v>0</v>
      </c>
      <c r="R75" s="31" t="b">
        <v>0</v>
      </c>
      <c r="S75" s="31"/>
      <c r="T75" s="32"/>
      <c r="U75" s="31" t="b">
        <v>0</v>
      </c>
      <c r="V75" s="31"/>
      <c r="W75" s="31" t="b">
        <v>0</v>
      </c>
      <c r="X75" s="31" t="b">
        <v>0</v>
      </c>
      <c r="Y75" s="31"/>
      <c r="Z75" s="31"/>
      <c r="AA75" s="31"/>
      <c r="AB75" s="31"/>
      <c r="AC75" s="45"/>
      <c r="AD75" s="31"/>
      <c r="AE75" s="31"/>
      <c r="AF75" s="31"/>
      <c r="AG75" s="31"/>
      <c r="AH75" s="31"/>
      <c r="AI75" s="31"/>
      <c r="AJ75" s="81" t="s">
        <v>1027</v>
      </c>
      <c r="AK75" s="34" t="s">
        <v>631</v>
      </c>
      <c r="AL75" s="3" t="s">
        <v>937</v>
      </c>
      <c r="AM75" s="3"/>
      <c r="AN75" s="35" t="s">
        <v>1028</v>
      </c>
      <c r="AO75" s="76">
        <v>0.003125</v>
      </c>
      <c r="AP75" s="74" t="s">
        <v>1026</v>
      </c>
      <c r="AQ75" s="7"/>
      <c r="AR75" s="36"/>
      <c r="AS75" s="7" t="b">
        <f>NOT(ISERROR(MATCH(A75,'Villages according to موسوعة ال'!C:C,0)))</f>
        <v>1</v>
      </c>
      <c r="AT75" s="25"/>
      <c r="AU75" s="25"/>
      <c r="AV75" s="25"/>
      <c r="AW75" s="25"/>
      <c r="AX75" s="25"/>
      <c r="AY75" s="25"/>
      <c r="AZ75" s="25"/>
      <c r="BA75" s="25"/>
      <c r="BB75" s="25"/>
      <c r="BC75" s="25"/>
      <c r="BD75" s="25"/>
      <c r="BE75" s="25"/>
      <c r="BF75" s="25"/>
      <c r="BG75" s="25"/>
      <c r="BH75" s="25"/>
      <c r="BI75" s="25"/>
      <c r="BJ75" s="25"/>
      <c r="BK75" s="25"/>
      <c r="BL75" s="25"/>
      <c r="BM75" s="25"/>
      <c r="BN75" s="25"/>
      <c r="BO75" s="25"/>
      <c r="BP75" s="25"/>
    </row>
    <row r="76">
      <c r="A76" s="7" t="s">
        <v>3</v>
      </c>
      <c r="B76" s="43" t="s">
        <v>4</v>
      </c>
      <c r="C76" s="7" t="s">
        <v>4</v>
      </c>
      <c r="D76" s="7" t="s">
        <v>5</v>
      </c>
      <c r="E76" s="7" t="s">
        <v>850</v>
      </c>
      <c r="F76" s="7" t="s">
        <v>692</v>
      </c>
      <c r="G76" s="28" t="s">
        <v>693</v>
      </c>
      <c r="H76" s="7" t="s">
        <v>1029</v>
      </c>
      <c r="I76" s="7" t="s">
        <v>638</v>
      </c>
      <c r="J76" s="7" t="s">
        <v>1030</v>
      </c>
      <c r="K76" s="54" t="s">
        <v>1031</v>
      </c>
      <c r="L76" s="54" t="s">
        <v>1032</v>
      </c>
      <c r="M76" s="60" t="b">
        <v>0</v>
      </c>
      <c r="N76" s="60" t="b">
        <v>0</v>
      </c>
      <c r="O76" s="60" t="s">
        <v>620</v>
      </c>
      <c r="P76" s="60" t="b">
        <v>1</v>
      </c>
      <c r="Q76" s="60" t="b">
        <v>0</v>
      </c>
      <c r="R76" s="60" t="b">
        <v>0</v>
      </c>
      <c r="S76" s="60" t="s">
        <v>621</v>
      </c>
      <c r="T76" s="60" t="s">
        <v>670</v>
      </c>
      <c r="U76" s="60" t="b">
        <v>0</v>
      </c>
      <c r="V76" s="60"/>
      <c r="W76" s="60" t="b">
        <v>0</v>
      </c>
      <c r="X76" s="60" t="b">
        <v>0</v>
      </c>
      <c r="Y76" s="60"/>
      <c r="Z76" s="60" t="s">
        <v>652</v>
      </c>
      <c r="AA76" s="60"/>
      <c r="AB76" s="60" t="s">
        <v>624</v>
      </c>
      <c r="AC76" s="61" t="s">
        <v>672</v>
      </c>
      <c r="AD76" s="60" t="s">
        <v>686</v>
      </c>
      <c r="AE76" s="60"/>
      <c r="AF76" s="60" t="s">
        <v>627</v>
      </c>
      <c r="AG76" s="60"/>
      <c r="AH76" s="60"/>
      <c r="AI76" s="60" t="s">
        <v>673</v>
      </c>
      <c r="AJ76" s="3"/>
      <c r="AK76" s="34" t="s">
        <v>698</v>
      </c>
      <c r="AL76" s="3" t="s">
        <v>823</v>
      </c>
      <c r="AM76" s="3" t="s">
        <v>700</v>
      </c>
      <c r="AN76" s="35" t="s">
        <v>1033</v>
      </c>
      <c r="AO76" s="24">
        <v>0.0013078703703703703</v>
      </c>
      <c r="AP76" s="78"/>
      <c r="AQ76" s="25"/>
      <c r="AR76" s="35" t="s">
        <v>1034</v>
      </c>
      <c r="AS76" s="7" t="b">
        <f>NOT(ISERROR(MATCH(A76,'Villages according to موسوعة ال'!C:C,0)))</f>
        <v>1</v>
      </c>
      <c r="AT76" s="25"/>
      <c r="AU76" s="25"/>
      <c r="AV76" s="25"/>
      <c r="AW76" s="25"/>
      <c r="AX76" s="25"/>
      <c r="AY76" s="25"/>
      <c r="AZ76" s="25"/>
      <c r="BA76" s="25"/>
      <c r="BB76" s="25"/>
      <c r="BC76" s="25"/>
      <c r="BD76" s="25"/>
      <c r="BE76" s="25"/>
      <c r="BF76" s="25"/>
      <c r="BG76" s="25"/>
      <c r="BH76" s="25"/>
      <c r="BI76" s="25"/>
      <c r="BJ76" s="25"/>
      <c r="BK76" s="25"/>
      <c r="BL76" s="25"/>
      <c r="BM76" s="25"/>
      <c r="BN76" s="25"/>
      <c r="BO76" s="25"/>
      <c r="BP76" s="25"/>
    </row>
    <row r="77">
      <c r="A77" s="7" t="s">
        <v>3</v>
      </c>
      <c r="B77" s="43" t="s">
        <v>4</v>
      </c>
      <c r="E77" s="7" t="s">
        <v>850</v>
      </c>
      <c r="F77" s="7" t="s">
        <v>692</v>
      </c>
      <c r="G77" s="28" t="s">
        <v>693</v>
      </c>
      <c r="H77" s="7" t="s">
        <v>1035</v>
      </c>
      <c r="I77" s="7" t="s">
        <v>616</v>
      </c>
      <c r="J77" s="7" t="s">
        <v>1036</v>
      </c>
      <c r="K77" s="54" t="s">
        <v>1037</v>
      </c>
      <c r="L77" s="54" t="s">
        <v>1038</v>
      </c>
      <c r="M77" s="60" t="b">
        <v>0</v>
      </c>
      <c r="N77" s="60" t="b">
        <v>0</v>
      </c>
      <c r="O77" s="60"/>
      <c r="P77" s="60" t="b">
        <v>0</v>
      </c>
      <c r="Q77" s="60" t="b">
        <v>0</v>
      </c>
      <c r="R77" s="60" t="b">
        <v>0</v>
      </c>
      <c r="S77" s="60"/>
      <c r="T77" s="60"/>
      <c r="U77" s="60" t="b">
        <v>0</v>
      </c>
      <c r="V77" s="60"/>
      <c r="W77" s="60" t="b">
        <v>0</v>
      </c>
      <c r="X77" s="60" t="b">
        <v>0</v>
      </c>
      <c r="Y77" s="60"/>
      <c r="Z77" s="60"/>
      <c r="AA77" s="60"/>
      <c r="AB77" s="60"/>
      <c r="AC77" s="61"/>
      <c r="AD77" s="60"/>
      <c r="AE77" s="60"/>
      <c r="AF77" s="60"/>
      <c r="AG77" s="60"/>
      <c r="AH77" s="60"/>
      <c r="AI77" s="60"/>
      <c r="AJ77" s="3" t="s">
        <v>1039</v>
      </c>
      <c r="AK77" s="34" t="s">
        <v>698</v>
      </c>
      <c r="AL77" s="3" t="s">
        <v>699</v>
      </c>
      <c r="AM77" s="3" t="s">
        <v>868</v>
      </c>
      <c r="AN77" s="35" t="s">
        <v>1040</v>
      </c>
      <c r="AO77" s="24">
        <v>0.0024652777777777776</v>
      </c>
      <c r="AP77" s="74" t="s">
        <v>1041</v>
      </c>
      <c r="AQ77" s="73">
        <v>42887.0</v>
      </c>
      <c r="AR77" s="35" t="s">
        <v>1042</v>
      </c>
      <c r="AS77" s="7" t="b">
        <f>NOT(ISERROR(MATCH(A77,'Villages according to موسوعة ال'!C:C,0)))</f>
        <v>1</v>
      </c>
      <c r="AT77" s="25"/>
      <c r="AU77" s="25"/>
      <c r="AV77" s="25"/>
      <c r="AW77" s="25"/>
      <c r="AX77" s="25"/>
      <c r="AY77" s="25"/>
      <c r="AZ77" s="25"/>
      <c r="BA77" s="25"/>
      <c r="BB77" s="25"/>
      <c r="BC77" s="25"/>
      <c r="BD77" s="25"/>
      <c r="BE77" s="25"/>
      <c r="BF77" s="25"/>
      <c r="BG77" s="25"/>
      <c r="BH77" s="25"/>
      <c r="BI77" s="25"/>
      <c r="BJ77" s="25"/>
      <c r="BK77" s="25"/>
      <c r="BL77" s="25"/>
      <c r="BM77" s="25"/>
      <c r="BN77" s="25"/>
      <c r="BO77" s="25"/>
      <c r="BP77" s="25"/>
    </row>
    <row r="78">
      <c r="A78" s="7" t="s">
        <v>3</v>
      </c>
      <c r="B78" s="26" t="s">
        <v>4</v>
      </c>
      <c r="E78" s="7" t="s">
        <v>901</v>
      </c>
      <c r="F78" s="7" t="s">
        <v>614</v>
      </c>
      <c r="G78" s="28"/>
      <c r="H78" s="7" t="s">
        <v>1043</v>
      </c>
      <c r="I78" s="7" t="s">
        <v>638</v>
      </c>
      <c r="J78" s="7" t="s">
        <v>1044</v>
      </c>
      <c r="K78" s="29" t="s">
        <v>1045</v>
      </c>
      <c r="L78" s="54" t="s">
        <v>1046</v>
      </c>
      <c r="M78" s="31" t="b">
        <v>0</v>
      </c>
      <c r="N78" s="31" t="b">
        <v>0</v>
      </c>
      <c r="O78" s="31"/>
      <c r="P78" s="31" t="b">
        <v>0</v>
      </c>
      <c r="Q78" s="31" t="b">
        <v>0</v>
      </c>
      <c r="R78" s="31" t="b">
        <v>0</v>
      </c>
      <c r="S78" s="31"/>
      <c r="T78" s="32"/>
      <c r="U78" s="31" t="b">
        <v>0</v>
      </c>
      <c r="V78" s="31"/>
      <c r="W78" s="31" t="b">
        <v>0</v>
      </c>
      <c r="X78" s="31" t="b">
        <v>0</v>
      </c>
      <c r="Y78" s="31"/>
      <c r="Z78" s="31"/>
      <c r="AA78" s="31"/>
      <c r="AB78" s="31"/>
      <c r="AC78" s="45"/>
      <c r="AD78" s="31"/>
      <c r="AE78" s="31"/>
      <c r="AF78" s="31"/>
      <c r="AG78" s="31"/>
      <c r="AH78" s="31"/>
      <c r="AI78" s="31"/>
      <c r="AJ78" s="3"/>
      <c r="AK78" s="34" t="s">
        <v>636</v>
      </c>
      <c r="AL78" s="25"/>
      <c r="AM78" s="25"/>
      <c r="AN78" s="35" t="s">
        <v>1047</v>
      </c>
      <c r="AO78" s="24">
        <v>0.0013773148148148147</v>
      </c>
      <c r="AP78" s="74"/>
      <c r="AQ78" s="73"/>
      <c r="AR78" s="7" t="s">
        <v>633</v>
      </c>
      <c r="AS78" s="7" t="b">
        <f>NOT(ISERROR(MATCH(A78,'Villages according to موسوعة ال'!C:C,0)))</f>
        <v>1</v>
      </c>
      <c r="AT78" s="37"/>
      <c r="AU78" s="37"/>
      <c r="AV78" s="37"/>
      <c r="AW78" s="37"/>
      <c r="AX78" s="37"/>
      <c r="AY78" s="37"/>
      <c r="AZ78" s="37"/>
      <c r="BA78" s="37"/>
      <c r="BB78" s="37"/>
      <c r="BC78" s="37"/>
      <c r="BD78" s="37"/>
      <c r="BE78" s="37"/>
      <c r="BF78" s="37"/>
      <c r="BG78" s="37"/>
      <c r="BH78" s="37"/>
      <c r="BI78" s="37"/>
      <c r="BJ78" s="37"/>
      <c r="BK78" s="37"/>
      <c r="BL78" s="37"/>
      <c r="BM78" s="37"/>
      <c r="BN78" s="37"/>
      <c r="BO78" s="37"/>
      <c r="BP78" s="37"/>
    </row>
    <row r="79">
      <c r="A79" s="7" t="s">
        <v>3</v>
      </c>
      <c r="B79" s="26" t="s">
        <v>4</v>
      </c>
      <c r="E79" s="7" t="s">
        <v>826</v>
      </c>
      <c r="F79" s="7" t="s">
        <v>638</v>
      </c>
      <c r="G79" s="28"/>
      <c r="H79" s="7" t="s">
        <v>1048</v>
      </c>
      <c r="I79" s="7" t="s">
        <v>616</v>
      </c>
      <c r="J79" s="7" t="s">
        <v>1049</v>
      </c>
      <c r="K79" s="29" t="s">
        <v>1050</v>
      </c>
      <c r="L79" s="54" t="s">
        <v>1051</v>
      </c>
      <c r="M79" s="31" t="b">
        <v>0</v>
      </c>
      <c r="N79" s="31" t="b">
        <v>0</v>
      </c>
      <c r="O79" s="31"/>
      <c r="P79" s="31" t="b">
        <v>0</v>
      </c>
      <c r="Q79" s="31" t="b">
        <v>0</v>
      </c>
      <c r="R79" s="31" t="b">
        <v>0</v>
      </c>
      <c r="S79" s="31"/>
      <c r="T79" s="32"/>
      <c r="U79" s="31" t="b">
        <v>0</v>
      </c>
      <c r="V79" s="31"/>
      <c r="W79" s="31" t="b">
        <v>0</v>
      </c>
      <c r="X79" s="31" t="b">
        <v>0</v>
      </c>
      <c r="Y79" s="31"/>
      <c r="Z79" s="31"/>
      <c r="AA79" s="31"/>
      <c r="AB79" s="31"/>
      <c r="AC79" s="45"/>
      <c r="AD79" s="31"/>
      <c r="AE79" s="31"/>
      <c r="AF79" s="31"/>
      <c r="AG79" s="31"/>
      <c r="AH79" s="31"/>
      <c r="AI79" s="31"/>
      <c r="AJ79" s="3"/>
      <c r="AK79" s="34" t="s">
        <v>636</v>
      </c>
      <c r="AL79" s="25"/>
      <c r="AM79" s="25"/>
      <c r="AN79" s="35" t="s">
        <v>1052</v>
      </c>
      <c r="AO79" s="24">
        <v>0.0017592592592592592</v>
      </c>
      <c r="AP79" s="74"/>
      <c r="AQ79" s="73"/>
      <c r="AR79" s="7" t="s">
        <v>633</v>
      </c>
      <c r="AS79" s="7" t="b">
        <f>NOT(ISERROR(MATCH(A79,'Villages according to موسوعة ال'!C:C,0)))</f>
        <v>1</v>
      </c>
      <c r="AT79" s="37"/>
      <c r="AU79" s="37"/>
      <c r="AV79" s="37"/>
      <c r="AW79" s="37"/>
      <c r="AX79" s="37"/>
      <c r="AY79" s="37"/>
      <c r="AZ79" s="37"/>
      <c r="BA79" s="37"/>
      <c r="BB79" s="37"/>
      <c r="BC79" s="37"/>
      <c r="BD79" s="37"/>
      <c r="BE79" s="37"/>
      <c r="BF79" s="37"/>
      <c r="BG79" s="37"/>
      <c r="BH79" s="37"/>
      <c r="BI79" s="37"/>
      <c r="BJ79" s="37"/>
      <c r="BK79" s="37"/>
      <c r="BL79" s="37"/>
      <c r="BM79" s="37"/>
      <c r="BN79" s="37"/>
      <c r="BO79" s="37"/>
      <c r="BP79" s="37"/>
    </row>
    <row r="80">
      <c r="A80" s="7" t="s">
        <v>509</v>
      </c>
      <c r="B80" s="43" t="s">
        <v>510</v>
      </c>
      <c r="C80" s="7" t="s">
        <v>510</v>
      </c>
      <c r="D80" s="7" t="s">
        <v>511</v>
      </c>
      <c r="E80" s="7" t="s">
        <v>850</v>
      </c>
      <c r="F80" s="7" t="s">
        <v>692</v>
      </c>
      <c r="G80" s="28" t="s">
        <v>693</v>
      </c>
      <c r="H80" s="7" t="s">
        <v>1053</v>
      </c>
      <c r="I80" s="7" t="s">
        <v>616</v>
      </c>
      <c r="J80" s="7" t="s">
        <v>1054</v>
      </c>
      <c r="K80" s="54" t="s">
        <v>1055</v>
      </c>
      <c r="L80" s="29" t="s">
        <v>1056</v>
      </c>
      <c r="M80" s="60" t="b">
        <v>1</v>
      </c>
      <c r="N80" s="60" t="b">
        <v>0</v>
      </c>
      <c r="O80" s="60" t="s">
        <v>620</v>
      </c>
      <c r="P80" s="60" t="b">
        <v>0</v>
      </c>
      <c r="Q80" s="60" t="b">
        <v>0</v>
      </c>
      <c r="R80" s="60" t="b">
        <v>0</v>
      </c>
      <c r="S80" s="60" t="s">
        <v>621</v>
      </c>
      <c r="T80" s="60" t="s">
        <v>670</v>
      </c>
      <c r="U80" s="60" t="b">
        <v>0</v>
      </c>
      <c r="V80" s="60" t="s">
        <v>685</v>
      </c>
      <c r="W80" s="60" t="b">
        <v>0</v>
      </c>
      <c r="X80" s="60" t="b">
        <v>0</v>
      </c>
      <c r="Y80" s="60" t="s">
        <v>671</v>
      </c>
      <c r="Z80" s="60" t="s">
        <v>652</v>
      </c>
      <c r="AA80" s="60"/>
      <c r="AB80" s="60" t="s">
        <v>624</v>
      </c>
      <c r="AC80" s="61" t="s">
        <v>756</v>
      </c>
      <c r="AD80" s="60" t="s">
        <v>686</v>
      </c>
      <c r="AE80" s="60" t="s">
        <v>626</v>
      </c>
      <c r="AF80" s="60" t="s">
        <v>627</v>
      </c>
      <c r="AG80" s="60"/>
      <c r="AH80" s="60"/>
      <c r="AI80" s="60" t="s">
        <v>673</v>
      </c>
      <c r="AJ80" s="71"/>
      <c r="AK80" s="34" t="s">
        <v>698</v>
      </c>
      <c r="AL80" s="3" t="s">
        <v>675</v>
      </c>
      <c r="AM80" s="3" t="s">
        <v>700</v>
      </c>
      <c r="AN80" s="35" t="s">
        <v>1057</v>
      </c>
      <c r="AO80" s="24">
        <v>0.0011111111111111111</v>
      </c>
      <c r="AP80" s="74" t="s">
        <v>758</v>
      </c>
      <c r="AQ80" s="73">
        <v>43160.0</v>
      </c>
      <c r="AR80" s="35" t="s">
        <v>1058</v>
      </c>
      <c r="AS80" s="7" t="b">
        <f>NOT(ISERROR(MATCH(A80,'Villages according to موسوعة ال'!C:C,0)))</f>
        <v>1</v>
      </c>
      <c r="AT80" s="25"/>
      <c r="AU80" s="25"/>
      <c r="AV80" s="25"/>
      <c r="AW80" s="25"/>
      <c r="AX80" s="25"/>
      <c r="AY80" s="25"/>
      <c r="AZ80" s="25"/>
      <c r="BA80" s="25"/>
      <c r="BB80" s="25"/>
      <c r="BC80" s="25"/>
      <c r="BD80" s="25"/>
      <c r="BE80" s="25"/>
      <c r="BF80" s="25"/>
      <c r="BG80" s="25"/>
      <c r="BH80" s="25"/>
      <c r="BI80" s="25"/>
      <c r="BJ80" s="25"/>
      <c r="BK80" s="25"/>
      <c r="BL80" s="25"/>
      <c r="BM80" s="25"/>
      <c r="BN80" s="25"/>
      <c r="BO80" s="25"/>
      <c r="BP80" s="25"/>
    </row>
    <row r="81">
      <c r="A81" s="7" t="s">
        <v>509</v>
      </c>
      <c r="B81" s="43" t="s">
        <v>510</v>
      </c>
      <c r="F81" s="7" t="s">
        <v>692</v>
      </c>
      <c r="G81" s="28" t="s">
        <v>693</v>
      </c>
      <c r="K81" s="54" t="s">
        <v>1059</v>
      </c>
      <c r="L81" s="54" t="s">
        <v>1060</v>
      </c>
      <c r="M81" s="31" t="b">
        <v>0</v>
      </c>
      <c r="N81" s="31" t="b">
        <v>0</v>
      </c>
      <c r="O81" s="31"/>
      <c r="P81" s="31" t="b">
        <v>0</v>
      </c>
      <c r="Q81" s="31" t="b">
        <v>0</v>
      </c>
      <c r="R81" s="31" t="b">
        <v>0</v>
      </c>
      <c r="S81" s="31"/>
      <c r="T81" s="32"/>
      <c r="U81" s="31" t="b">
        <v>0</v>
      </c>
      <c r="V81" s="31"/>
      <c r="W81" s="31" t="b">
        <v>0</v>
      </c>
      <c r="X81" s="31" t="b">
        <v>0</v>
      </c>
      <c r="Y81" s="31"/>
      <c r="Z81" s="31"/>
      <c r="AA81" s="31"/>
      <c r="AB81" s="31"/>
      <c r="AC81" s="45"/>
      <c r="AD81" s="31"/>
      <c r="AE81" s="31"/>
      <c r="AF81" s="31"/>
      <c r="AG81" s="31"/>
      <c r="AH81" s="31"/>
      <c r="AI81" s="31"/>
      <c r="AJ81" s="3"/>
      <c r="AK81" s="34" t="s">
        <v>718</v>
      </c>
      <c r="AL81" s="3" t="s">
        <v>823</v>
      </c>
      <c r="AM81" s="3" t="s">
        <v>700</v>
      </c>
      <c r="AN81" s="35" t="s">
        <v>1061</v>
      </c>
      <c r="AO81" s="24">
        <v>7.175925925925926E-4</v>
      </c>
      <c r="AP81" s="78" t="s">
        <v>758</v>
      </c>
      <c r="AQ81" s="82">
        <v>43160.0</v>
      </c>
      <c r="AR81" s="35" t="s">
        <v>1062</v>
      </c>
      <c r="AS81" s="7" t="b">
        <f>NOT(ISERROR(MATCH(A81,'Villages according to موسوعة ال'!C:C,0)))</f>
        <v>1</v>
      </c>
      <c r="AT81" s="25"/>
      <c r="AU81" s="25"/>
      <c r="AV81" s="25"/>
      <c r="AW81" s="25"/>
      <c r="AX81" s="25"/>
      <c r="AY81" s="25"/>
      <c r="AZ81" s="25"/>
      <c r="BA81" s="25"/>
      <c r="BB81" s="25"/>
      <c r="BC81" s="25"/>
      <c r="BD81" s="25"/>
      <c r="BE81" s="25"/>
      <c r="BF81" s="25"/>
      <c r="BG81" s="25"/>
      <c r="BH81" s="25"/>
      <c r="BI81" s="25"/>
      <c r="BJ81" s="25"/>
      <c r="BK81" s="25"/>
      <c r="BL81" s="25"/>
      <c r="BM81" s="25"/>
      <c r="BN81" s="25"/>
      <c r="BO81" s="25"/>
      <c r="BP81" s="25"/>
    </row>
    <row r="82">
      <c r="A82" s="7" t="s">
        <v>509</v>
      </c>
      <c r="B82" s="43" t="s">
        <v>510</v>
      </c>
      <c r="E82" s="7" t="s">
        <v>850</v>
      </c>
      <c r="F82" s="7" t="s">
        <v>692</v>
      </c>
      <c r="G82" s="28" t="s">
        <v>693</v>
      </c>
      <c r="H82" s="7" t="s">
        <v>1063</v>
      </c>
      <c r="I82" s="7" t="s">
        <v>638</v>
      </c>
      <c r="J82" s="7" t="s">
        <v>1064</v>
      </c>
      <c r="K82" s="54" t="s">
        <v>1065</v>
      </c>
      <c r="L82" s="54"/>
      <c r="M82" s="60" t="b">
        <v>0</v>
      </c>
      <c r="N82" s="60" t="b">
        <v>0</v>
      </c>
      <c r="O82" s="60"/>
      <c r="P82" s="60" t="b">
        <v>0</v>
      </c>
      <c r="Q82" s="60" t="b">
        <v>0</v>
      </c>
      <c r="R82" s="60" t="b">
        <v>0</v>
      </c>
      <c r="S82" s="60"/>
      <c r="T82" s="60"/>
      <c r="U82" s="60" t="b">
        <v>0</v>
      </c>
      <c r="V82" s="60"/>
      <c r="W82" s="60" t="b">
        <v>0</v>
      </c>
      <c r="X82" s="60" t="b">
        <v>0</v>
      </c>
      <c r="Y82" s="60"/>
      <c r="Z82" s="60"/>
      <c r="AA82" s="60"/>
      <c r="AB82" s="60"/>
      <c r="AC82" s="61"/>
      <c r="AD82" s="60"/>
      <c r="AE82" s="60"/>
      <c r="AF82" s="60"/>
      <c r="AG82" s="60"/>
      <c r="AH82" s="60"/>
      <c r="AI82" s="60"/>
      <c r="AJ82" s="3"/>
      <c r="AK82" s="34" t="s">
        <v>698</v>
      </c>
      <c r="AL82" s="25"/>
      <c r="AM82" s="25"/>
      <c r="AN82" s="35" t="s">
        <v>1066</v>
      </c>
      <c r="AO82" s="24">
        <v>0.002384259259259259</v>
      </c>
      <c r="AP82" s="78" t="s">
        <v>758</v>
      </c>
      <c r="AQ82" s="82">
        <v>43161.0</v>
      </c>
      <c r="AR82" s="35" t="s">
        <v>1067</v>
      </c>
      <c r="AS82" s="7" t="b">
        <f>NOT(ISERROR(MATCH(A82,'Villages according to موسوعة ال'!C:C,0)))</f>
        <v>1</v>
      </c>
      <c r="AT82" s="25"/>
      <c r="AU82" s="25"/>
      <c r="AV82" s="25"/>
      <c r="AW82" s="25"/>
      <c r="AX82" s="25"/>
      <c r="AY82" s="25"/>
      <c r="AZ82" s="25"/>
      <c r="BA82" s="25"/>
      <c r="BB82" s="25"/>
      <c r="BC82" s="25"/>
      <c r="BD82" s="25"/>
      <c r="BE82" s="25"/>
      <c r="BF82" s="25"/>
      <c r="BG82" s="25"/>
      <c r="BH82" s="25"/>
      <c r="BI82" s="25"/>
      <c r="BJ82" s="25"/>
      <c r="BK82" s="25"/>
      <c r="BL82" s="25"/>
      <c r="BM82" s="25"/>
      <c r="BN82" s="25"/>
      <c r="BO82" s="25"/>
      <c r="BP82" s="25"/>
    </row>
    <row r="83">
      <c r="A83" s="7" t="s">
        <v>509</v>
      </c>
      <c r="B83" s="26" t="s">
        <v>510</v>
      </c>
      <c r="E83" s="7" t="s">
        <v>900</v>
      </c>
      <c r="F83" s="7" t="s">
        <v>900</v>
      </c>
      <c r="G83" s="28"/>
      <c r="H83" s="7" t="s">
        <v>633</v>
      </c>
      <c r="I83" s="7" t="s">
        <v>616</v>
      </c>
      <c r="J83" s="7" t="s">
        <v>1068</v>
      </c>
      <c r="K83" s="54"/>
      <c r="L83" s="54"/>
      <c r="M83" s="31" t="b">
        <v>0</v>
      </c>
      <c r="N83" s="31" t="b">
        <v>0</v>
      </c>
      <c r="O83" s="31"/>
      <c r="P83" s="31" t="b">
        <v>0</v>
      </c>
      <c r="Q83" s="31" t="b">
        <v>0</v>
      </c>
      <c r="R83" s="31" t="b">
        <v>0</v>
      </c>
      <c r="S83" s="31"/>
      <c r="T83" s="32"/>
      <c r="U83" s="31" t="b">
        <v>0</v>
      </c>
      <c r="V83" s="31"/>
      <c r="W83" s="31" t="b">
        <v>0</v>
      </c>
      <c r="X83" s="31" t="b">
        <v>0</v>
      </c>
      <c r="Y83" s="31"/>
      <c r="Z83" s="31"/>
      <c r="AA83" s="31"/>
      <c r="AB83" s="31"/>
      <c r="AC83" s="45"/>
      <c r="AD83" s="31"/>
      <c r="AE83" s="31"/>
      <c r="AF83" s="31"/>
      <c r="AG83" s="31"/>
      <c r="AH83" s="31"/>
      <c r="AI83" s="31"/>
      <c r="AJ83" s="3"/>
      <c r="AK83" s="34" t="s">
        <v>636</v>
      </c>
      <c r="AL83" s="25"/>
      <c r="AM83" s="25"/>
      <c r="AN83" s="35" t="s">
        <v>1069</v>
      </c>
      <c r="AO83" s="24">
        <v>8.101851851851852E-5</v>
      </c>
      <c r="AP83" s="74" t="s">
        <v>633</v>
      </c>
      <c r="AQ83" s="7" t="s">
        <v>633</v>
      </c>
      <c r="AR83" s="36" t="s">
        <v>633</v>
      </c>
      <c r="AS83" s="7" t="b">
        <f>NOT(ISERROR(MATCH(A83,'Villages according to موسوعة ال'!C:C,0)))</f>
        <v>1</v>
      </c>
      <c r="AT83" s="37"/>
      <c r="AU83" s="37"/>
      <c r="AV83" s="37"/>
      <c r="AW83" s="37"/>
      <c r="AX83" s="37"/>
      <c r="AY83" s="37"/>
      <c r="AZ83" s="37"/>
      <c r="BA83" s="37"/>
      <c r="BB83" s="37"/>
      <c r="BC83" s="37"/>
      <c r="BD83" s="37"/>
      <c r="BE83" s="37"/>
      <c r="BF83" s="37"/>
      <c r="BG83" s="37"/>
      <c r="BH83" s="37"/>
      <c r="BI83" s="37"/>
      <c r="BJ83" s="37"/>
      <c r="BK83" s="37"/>
      <c r="BL83" s="37"/>
      <c r="BM83" s="37"/>
      <c r="BN83" s="37"/>
      <c r="BO83" s="37"/>
      <c r="BP83" s="37"/>
    </row>
    <row r="84">
      <c r="A84" s="7" t="s">
        <v>438</v>
      </c>
      <c r="B84" s="26" t="s">
        <v>439</v>
      </c>
      <c r="C84" s="7" t="s">
        <v>439</v>
      </c>
      <c r="D84" s="7" t="s">
        <v>440</v>
      </c>
      <c r="E84" s="83"/>
      <c r="F84" s="25"/>
      <c r="G84" s="84"/>
      <c r="H84" s="7" t="s">
        <v>1070</v>
      </c>
      <c r="I84" s="7" t="s">
        <v>638</v>
      </c>
      <c r="J84" s="7" t="s">
        <v>1071</v>
      </c>
      <c r="K84" s="54" t="s">
        <v>1072</v>
      </c>
      <c r="L84" s="54" t="s">
        <v>1073</v>
      </c>
      <c r="M84" s="31" t="b">
        <v>0</v>
      </c>
      <c r="N84" s="31" t="b">
        <v>0</v>
      </c>
      <c r="O84" s="31"/>
      <c r="P84" s="31" t="b">
        <v>0</v>
      </c>
      <c r="Q84" s="31" t="b">
        <v>0</v>
      </c>
      <c r="R84" s="31" t="b">
        <v>0</v>
      </c>
      <c r="S84" s="31"/>
      <c r="T84" s="32"/>
      <c r="U84" s="31" t="b">
        <v>0</v>
      </c>
      <c r="V84" s="31"/>
      <c r="W84" s="31" t="b">
        <v>0</v>
      </c>
      <c r="X84" s="31" t="b">
        <v>0</v>
      </c>
      <c r="Y84" s="31"/>
      <c r="Z84" s="31"/>
      <c r="AA84" s="31"/>
      <c r="AB84" s="31"/>
      <c r="AC84" s="45"/>
      <c r="AD84" s="31"/>
      <c r="AE84" s="31"/>
      <c r="AF84" s="31"/>
      <c r="AG84" s="31"/>
      <c r="AH84" s="31"/>
      <c r="AI84" s="31"/>
      <c r="AJ84" s="3"/>
      <c r="AK84" s="34" t="s">
        <v>666</v>
      </c>
      <c r="AL84" s="25"/>
      <c r="AM84" s="25"/>
      <c r="AN84" s="35" t="s">
        <v>1074</v>
      </c>
      <c r="AO84" s="24">
        <v>0.001736111111111111</v>
      </c>
      <c r="AP84" s="78"/>
      <c r="AQ84" s="25"/>
      <c r="AR84" s="7" t="s">
        <v>633</v>
      </c>
      <c r="AS84" s="7" t="b">
        <f>NOT(ISERROR(MATCH(A84,'Villages according to موسوعة ال'!C:C,0)))</f>
        <v>1</v>
      </c>
      <c r="AT84" s="37"/>
      <c r="AU84" s="37"/>
      <c r="AV84" s="37"/>
      <c r="AW84" s="37"/>
      <c r="AX84" s="37"/>
      <c r="AY84" s="37"/>
      <c r="AZ84" s="37"/>
      <c r="BA84" s="37"/>
      <c r="BB84" s="37"/>
      <c r="BC84" s="37"/>
      <c r="BD84" s="37"/>
      <c r="BE84" s="37"/>
      <c r="BF84" s="37"/>
      <c r="BG84" s="37"/>
      <c r="BH84" s="37"/>
      <c r="BI84" s="37"/>
      <c r="BJ84" s="37"/>
      <c r="BK84" s="37"/>
      <c r="BL84" s="37"/>
      <c r="BM84" s="37"/>
      <c r="BN84" s="37"/>
      <c r="BO84" s="37"/>
      <c r="BP84" s="37"/>
    </row>
    <row r="85">
      <c r="A85" s="7" t="s">
        <v>539</v>
      </c>
      <c r="B85" s="26" t="s">
        <v>1075</v>
      </c>
      <c r="C85" s="7" t="s">
        <v>1075</v>
      </c>
      <c r="D85" s="7" t="s">
        <v>1076</v>
      </c>
      <c r="E85" s="7" t="s">
        <v>691</v>
      </c>
      <c r="F85" s="7" t="s">
        <v>692</v>
      </c>
      <c r="G85" s="28"/>
      <c r="H85" s="7" t="s">
        <v>1077</v>
      </c>
      <c r="I85" s="7" t="s">
        <v>638</v>
      </c>
      <c r="J85" s="7" t="s">
        <v>1078</v>
      </c>
      <c r="K85" s="54" t="s">
        <v>1079</v>
      </c>
      <c r="L85" s="29" t="s">
        <v>1080</v>
      </c>
      <c r="M85" s="64" t="b">
        <v>0</v>
      </c>
      <c r="N85" s="64" t="b">
        <v>0</v>
      </c>
      <c r="O85" s="64"/>
      <c r="P85" s="64" t="b">
        <v>0</v>
      </c>
      <c r="Q85" s="64" t="b">
        <v>0</v>
      </c>
      <c r="R85" s="64" t="b">
        <v>0</v>
      </c>
      <c r="S85" s="64"/>
      <c r="T85" s="32"/>
      <c r="U85" s="64" t="b">
        <v>0</v>
      </c>
      <c r="V85" s="64"/>
      <c r="W85" s="64" t="b">
        <v>0</v>
      </c>
      <c r="X85" s="64" t="b">
        <v>0</v>
      </c>
      <c r="Y85" s="64"/>
      <c r="Z85" s="64"/>
      <c r="AA85" s="64"/>
      <c r="AB85" s="64"/>
      <c r="AC85" s="65"/>
      <c r="AD85" s="64"/>
      <c r="AE85" s="64"/>
      <c r="AF85" s="64"/>
      <c r="AG85" s="64"/>
      <c r="AH85" s="64"/>
      <c r="AI85" s="64"/>
      <c r="AJ85" s="71"/>
      <c r="AK85" s="34" t="s">
        <v>636</v>
      </c>
      <c r="AL85" s="25"/>
      <c r="AM85" s="25"/>
      <c r="AN85" s="35" t="s">
        <v>1081</v>
      </c>
      <c r="AO85" s="24">
        <v>0.001990740740740741</v>
      </c>
      <c r="AP85" s="74" t="s">
        <v>633</v>
      </c>
      <c r="AQ85" s="7" t="s">
        <v>633</v>
      </c>
      <c r="AR85" s="7" t="s">
        <v>633</v>
      </c>
      <c r="AS85" s="7" t="b">
        <f>NOT(ISERROR(MATCH(A85,'Villages according to موسوعة ال'!C:C,0)))</f>
        <v>1</v>
      </c>
      <c r="AT85" s="37"/>
      <c r="AU85" s="37"/>
      <c r="AV85" s="37"/>
      <c r="AW85" s="37"/>
      <c r="AX85" s="37"/>
      <c r="AY85" s="37"/>
      <c r="AZ85" s="37"/>
      <c r="BA85" s="37"/>
      <c r="BB85" s="37"/>
      <c r="BC85" s="37"/>
      <c r="BD85" s="37"/>
      <c r="BE85" s="37"/>
      <c r="BF85" s="37"/>
      <c r="BG85" s="37"/>
      <c r="BH85" s="37"/>
      <c r="BI85" s="37"/>
      <c r="BJ85" s="37"/>
      <c r="BK85" s="37"/>
      <c r="BL85" s="37"/>
      <c r="BM85" s="37"/>
      <c r="BN85" s="37"/>
      <c r="BO85" s="37"/>
      <c r="BP85" s="37"/>
    </row>
    <row r="86">
      <c r="A86" s="7" t="s">
        <v>539</v>
      </c>
      <c r="B86" s="26" t="s">
        <v>1075</v>
      </c>
      <c r="E86" s="7" t="s">
        <v>691</v>
      </c>
      <c r="F86" s="7" t="s">
        <v>692</v>
      </c>
      <c r="G86" s="28"/>
      <c r="H86" s="7" t="s">
        <v>1082</v>
      </c>
      <c r="I86" s="7" t="s">
        <v>638</v>
      </c>
      <c r="J86" s="7" t="s">
        <v>1083</v>
      </c>
      <c r="K86" s="54" t="s">
        <v>1084</v>
      </c>
      <c r="L86" s="29" t="s">
        <v>1085</v>
      </c>
      <c r="M86" s="64" t="b">
        <v>0</v>
      </c>
      <c r="N86" s="64" t="b">
        <v>0</v>
      </c>
      <c r="O86" s="64"/>
      <c r="P86" s="64" t="b">
        <v>0</v>
      </c>
      <c r="Q86" s="64" t="b">
        <v>0</v>
      </c>
      <c r="R86" s="64" t="b">
        <v>0</v>
      </c>
      <c r="S86" s="64"/>
      <c r="T86" s="32"/>
      <c r="U86" s="64" t="b">
        <v>0</v>
      </c>
      <c r="V86" s="64"/>
      <c r="W86" s="64" t="b">
        <v>0</v>
      </c>
      <c r="X86" s="64" t="b">
        <v>0</v>
      </c>
      <c r="Y86" s="64"/>
      <c r="Z86" s="64"/>
      <c r="AA86" s="64"/>
      <c r="AB86" s="64"/>
      <c r="AC86" s="65"/>
      <c r="AD86" s="64"/>
      <c r="AE86" s="64"/>
      <c r="AF86" s="64"/>
      <c r="AG86" s="64"/>
      <c r="AH86" s="64"/>
      <c r="AI86" s="64"/>
      <c r="AJ86" s="71"/>
      <c r="AK86" s="34" t="s">
        <v>636</v>
      </c>
      <c r="AL86" s="25"/>
      <c r="AM86" s="25"/>
      <c r="AN86" s="35" t="s">
        <v>1086</v>
      </c>
      <c r="AO86" s="24">
        <v>0.0021180555555555558</v>
      </c>
      <c r="AP86" s="74" t="s">
        <v>633</v>
      </c>
      <c r="AQ86" s="7" t="s">
        <v>633</v>
      </c>
      <c r="AR86" s="7" t="s">
        <v>633</v>
      </c>
      <c r="AS86" s="7" t="b">
        <f>NOT(ISERROR(MATCH(A86,'Villages according to موسوعة ال'!C:C,0)))</f>
        <v>1</v>
      </c>
      <c r="AT86" s="37"/>
      <c r="AU86" s="37"/>
      <c r="AV86" s="37"/>
      <c r="AW86" s="37"/>
      <c r="AX86" s="37"/>
      <c r="AY86" s="37"/>
      <c r="AZ86" s="37"/>
      <c r="BA86" s="37"/>
      <c r="BB86" s="37"/>
      <c r="BC86" s="37"/>
      <c r="BD86" s="37"/>
      <c r="BE86" s="37"/>
      <c r="BF86" s="37"/>
      <c r="BG86" s="37"/>
      <c r="BH86" s="37"/>
      <c r="BI86" s="37"/>
      <c r="BJ86" s="37"/>
      <c r="BK86" s="37"/>
      <c r="BL86" s="37"/>
      <c r="BM86" s="37"/>
      <c r="BN86" s="37"/>
      <c r="BO86" s="37"/>
      <c r="BP86" s="37"/>
    </row>
    <row r="87">
      <c r="A87" s="7" t="s">
        <v>539</v>
      </c>
      <c r="B87" s="26" t="s">
        <v>1075</v>
      </c>
      <c r="E87" s="7" t="s">
        <v>691</v>
      </c>
      <c r="F87" s="7" t="s">
        <v>692</v>
      </c>
      <c r="G87" s="28"/>
      <c r="H87" s="7" t="s">
        <v>1087</v>
      </c>
      <c r="I87" s="7" t="s">
        <v>616</v>
      </c>
      <c r="J87" s="7" t="s">
        <v>1088</v>
      </c>
      <c r="K87" s="54" t="s">
        <v>1089</v>
      </c>
      <c r="L87" s="29" t="s">
        <v>1090</v>
      </c>
      <c r="M87" s="64" t="b">
        <v>0</v>
      </c>
      <c r="N87" s="64" t="b">
        <v>0</v>
      </c>
      <c r="O87" s="64"/>
      <c r="P87" s="64" t="b">
        <v>0</v>
      </c>
      <c r="Q87" s="64" t="b">
        <v>0</v>
      </c>
      <c r="R87" s="64" t="b">
        <v>0</v>
      </c>
      <c r="S87" s="64"/>
      <c r="T87" s="32"/>
      <c r="U87" s="64" t="b">
        <v>0</v>
      </c>
      <c r="V87" s="64"/>
      <c r="W87" s="64" t="b">
        <v>0</v>
      </c>
      <c r="X87" s="64" t="b">
        <v>0</v>
      </c>
      <c r="Y87" s="64"/>
      <c r="Z87" s="64"/>
      <c r="AA87" s="64"/>
      <c r="AB87" s="64"/>
      <c r="AC87" s="65"/>
      <c r="AD87" s="64"/>
      <c r="AE87" s="64"/>
      <c r="AF87" s="64"/>
      <c r="AG87" s="64"/>
      <c r="AH87" s="64"/>
      <c r="AI87" s="64"/>
      <c r="AJ87" s="71"/>
      <c r="AK87" s="34" t="s">
        <v>636</v>
      </c>
      <c r="AL87" s="25"/>
      <c r="AM87" s="25"/>
      <c r="AN87" s="35" t="s">
        <v>1091</v>
      </c>
      <c r="AO87" s="24">
        <v>0.0016782407407407408</v>
      </c>
      <c r="AP87" s="74" t="s">
        <v>633</v>
      </c>
      <c r="AQ87" s="7" t="s">
        <v>633</v>
      </c>
      <c r="AR87" s="7" t="s">
        <v>633</v>
      </c>
      <c r="AS87" s="7" t="b">
        <f>NOT(ISERROR(MATCH(A87,'Villages according to موسوعة ال'!C:C,0)))</f>
        <v>1</v>
      </c>
      <c r="AT87" s="37"/>
      <c r="AU87" s="37"/>
      <c r="AV87" s="37"/>
      <c r="AW87" s="37"/>
      <c r="AX87" s="37"/>
      <c r="AY87" s="37"/>
      <c r="AZ87" s="37"/>
      <c r="BA87" s="37"/>
      <c r="BB87" s="37"/>
      <c r="BC87" s="37"/>
      <c r="BD87" s="37"/>
      <c r="BE87" s="37"/>
      <c r="BF87" s="37"/>
      <c r="BG87" s="37"/>
      <c r="BH87" s="37"/>
      <c r="BI87" s="37"/>
      <c r="BJ87" s="37"/>
      <c r="BK87" s="37"/>
      <c r="BL87" s="37"/>
      <c r="BM87" s="37"/>
      <c r="BN87" s="37"/>
      <c r="BO87" s="37"/>
      <c r="BP87" s="37"/>
    </row>
    <row r="88">
      <c r="A88" s="7" t="s">
        <v>539</v>
      </c>
      <c r="B88" s="26" t="s">
        <v>1075</v>
      </c>
      <c r="E88" s="7" t="s">
        <v>901</v>
      </c>
      <c r="F88" s="7" t="s">
        <v>614</v>
      </c>
      <c r="G88" s="28"/>
      <c r="H88" s="7" t="s">
        <v>1092</v>
      </c>
      <c r="I88" s="7" t="s">
        <v>616</v>
      </c>
      <c r="J88" s="7" t="s">
        <v>1093</v>
      </c>
      <c r="K88" s="54" t="s">
        <v>1094</v>
      </c>
      <c r="L88" s="29"/>
      <c r="M88" s="64" t="b">
        <v>0</v>
      </c>
      <c r="N88" s="64" t="b">
        <v>0</v>
      </c>
      <c r="O88" s="64"/>
      <c r="P88" s="64" t="b">
        <v>0</v>
      </c>
      <c r="Q88" s="64" t="b">
        <v>0</v>
      </c>
      <c r="R88" s="64" t="b">
        <v>0</v>
      </c>
      <c r="S88" s="64"/>
      <c r="T88" s="32"/>
      <c r="U88" s="64" t="b">
        <v>0</v>
      </c>
      <c r="V88" s="64"/>
      <c r="W88" s="64" t="b">
        <v>0</v>
      </c>
      <c r="X88" s="64" t="b">
        <v>0</v>
      </c>
      <c r="Y88" s="64"/>
      <c r="Z88" s="64"/>
      <c r="AA88" s="64"/>
      <c r="AB88" s="64"/>
      <c r="AC88" s="65"/>
      <c r="AD88" s="64"/>
      <c r="AE88" s="64"/>
      <c r="AF88" s="64"/>
      <c r="AG88" s="64"/>
      <c r="AH88" s="64"/>
      <c r="AI88" s="64"/>
      <c r="AJ88" s="71"/>
      <c r="AK88" s="34" t="s">
        <v>636</v>
      </c>
      <c r="AL88" s="25"/>
      <c r="AM88" s="25"/>
      <c r="AN88" s="35" t="s">
        <v>1095</v>
      </c>
      <c r="AO88" s="24">
        <v>0.001400462962962963</v>
      </c>
      <c r="AP88" s="74" t="s">
        <v>633</v>
      </c>
      <c r="AQ88" s="7" t="s">
        <v>633</v>
      </c>
      <c r="AR88" s="7" t="s">
        <v>633</v>
      </c>
      <c r="AS88" s="7" t="b">
        <f>NOT(ISERROR(MATCH(A88,'Villages according to موسوعة ال'!C:C,0)))</f>
        <v>1</v>
      </c>
      <c r="AT88" s="37"/>
      <c r="AU88" s="37"/>
      <c r="AV88" s="37"/>
      <c r="AW88" s="37"/>
      <c r="AX88" s="37"/>
      <c r="AY88" s="37"/>
      <c r="AZ88" s="37"/>
      <c r="BA88" s="37"/>
      <c r="BB88" s="37"/>
      <c r="BC88" s="37"/>
      <c r="BD88" s="37"/>
      <c r="BE88" s="37"/>
      <c r="BF88" s="37"/>
      <c r="BG88" s="37"/>
      <c r="BH88" s="37"/>
      <c r="BI88" s="37"/>
      <c r="BJ88" s="37"/>
      <c r="BK88" s="37"/>
      <c r="BL88" s="37"/>
      <c r="BM88" s="37"/>
      <c r="BN88" s="37"/>
      <c r="BO88" s="37"/>
      <c r="BP88" s="37"/>
    </row>
    <row r="89">
      <c r="A89" s="7" t="s">
        <v>539</v>
      </c>
      <c r="B89" s="26" t="s">
        <v>1075</v>
      </c>
      <c r="E89" s="7" t="s">
        <v>901</v>
      </c>
      <c r="F89" s="7" t="s">
        <v>614</v>
      </c>
      <c r="G89" s="28"/>
      <c r="H89" s="7" t="s">
        <v>1096</v>
      </c>
      <c r="I89" s="7" t="s">
        <v>638</v>
      </c>
      <c r="J89" s="7" t="s">
        <v>1097</v>
      </c>
      <c r="K89" s="54" t="s">
        <v>1098</v>
      </c>
      <c r="L89" s="29" t="s">
        <v>1099</v>
      </c>
      <c r="M89" s="64" t="b">
        <v>0</v>
      </c>
      <c r="N89" s="64" t="b">
        <v>0</v>
      </c>
      <c r="O89" s="64"/>
      <c r="P89" s="64" t="b">
        <v>0</v>
      </c>
      <c r="Q89" s="64" t="b">
        <v>0</v>
      </c>
      <c r="R89" s="64" t="b">
        <v>0</v>
      </c>
      <c r="S89" s="64"/>
      <c r="T89" s="32"/>
      <c r="U89" s="64" t="b">
        <v>0</v>
      </c>
      <c r="V89" s="64"/>
      <c r="W89" s="64" t="b">
        <v>0</v>
      </c>
      <c r="X89" s="64" t="b">
        <v>0</v>
      </c>
      <c r="Y89" s="64"/>
      <c r="Z89" s="64"/>
      <c r="AA89" s="64"/>
      <c r="AB89" s="64"/>
      <c r="AC89" s="65"/>
      <c r="AD89" s="64"/>
      <c r="AE89" s="64"/>
      <c r="AF89" s="64"/>
      <c r="AG89" s="64"/>
      <c r="AH89" s="64"/>
      <c r="AI89" s="64"/>
      <c r="AJ89" s="71"/>
      <c r="AK89" s="34" t="s">
        <v>636</v>
      </c>
      <c r="AL89" s="25"/>
      <c r="AM89" s="25"/>
      <c r="AN89" s="35" t="s">
        <v>1100</v>
      </c>
      <c r="AO89" s="24">
        <v>0.0011921296296296296</v>
      </c>
      <c r="AP89" s="74" t="s">
        <v>633</v>
      </c>
      <c r="AQ89" s="7" t="s">
        <v>633</v>
      </c>
      <c r="AR89" s="7" t="s">
        <v>633</v>
      </c>
      <c r="AS89" s="7" t="b">
        <f>NOT(ISERROR(MATCH(A89,'Villages according to موسوعة ال'!C:C,0)))</f>
        <v>1</v>
      </c>
      <c r="AT89" s="37"/>
      <c r="AU89" s="37"/>
      <c r="AV89" s="37"/>
      <c r="AW89" s="37"/>
      <c r="AX89" s="37"/>
      <c r="AY89" s="37"/>
      <c r="AZ89" s="37"/>
      <c r="BA89" s="37"/>
      <c r="BB89" s="37"/>
      <c r="BC89" s="37"/>
      <c r="BD89" s="37"/>
      <c r="BE89" s="37"/>
      <c r="BF89" s="37"/>
      <c r="BG89" s="37"/>
      <c r="BH89" s="37"/>
      <c r="BI89" s="37"/>
      <c r="BJ89" s="37"/>
      <c r="BK89" s="37"/>
      <c r="BL89" s="37"/>
      <c r="BM89" s="37"/>
      <c r="BN89" s="37"/>
      <c r="BO89" s="37"/>
      <c r="BP89" s="37"/>
    </row>
    <row r="90">
      <c r="A90" s="7" t="s">
        <v>539</v>
      </c>
      <c r="B90" s="26" t="s">
        <v>1075</v>
      </c>
      <c r="E90" s="7" t="s">
        <v>901</v>
      </c>
      <c r="F90" s="7" t="s">
        <v>614</v>
      </c>
      <c r="G90" s="28"/>
      <c r="H90" s="7" t="s">
        <v>1101</v>
      </c>
      <c r="I90" s="7" t="s">
        <v>616</v>
      </c>
      <c r="J90" s="7" t="s">
        <v>1102</v>
      </c>
      <c r="K90" s="54" t="s">
        <v>1103</v>
      </c>
      <c r="L90" s="29" t="s">
        <v>1104</v>
      </c>
      <c r="M90" s="64" t="b">
        <v>0</v>
      </c>
      <c r="N90" s="64" t="b">
        <v>0</v>
      </c>
      <c r="O90" s="64"/>
      <c r="P90" s="64" t="b">
        <v>0</v>
      </c>
      <c r="Q90" s="64" t="b">
        <v>0</v>
      </c>
      <c r="R90" s="64" t="b">
        <v>0</v>
      </c>
      <c r="S90" s="64"/>
      <c r="T90" s="32"/>
      <c r="U90" s="64" t="b">
        <v>0</v>
      </c>
      <c r="V90" s="64"/>
      <c r="W90" s="64" t="b">
        <v>0</v>
      </c>
      <c r="X90" s="64" t="b">
        <v>0</v>
      </c>
      <c r="Y90" s="64"/>
      <c r="Z90" s="64"/>
      <c r="AA90" s="64"/>
      <c r="AB90" s="64"/>
      <c r="AC90" s="65"/>
      <c r="AD90" s="64"/>
      <c r="AE90" s="64"/>
      <c r="AF90" s="64"/>
      <c r="AG90" s="64"/>
      <c r="AH90" s="64"/>
      <c r="AI90" s="64"/>
      <c r="AJ90" s="71"/>
      <c r="AK90" s="34" t="s">
        <v>636</v>
      </c>
      <c r="AL90" s="25"/>
      <c r="AM90" s="25"/>
      <c r="AN90" s="35" t="s">
        <v>1105</v>
      </c>
      <c r="AO90" s="24">
        <v>0.0021296296296296298</v>
      </c>
      <c r="AP90" s="74" t="s">
        <v>633</v>
      </c>
      <c r="AQ90" s="7" t="s">
        <v>633</v>
      </c>
      <c r="AR90" s="7" t="s">
        <v>633</v>
      </c>
      <c r="AS90" s="7" t="b">
        <f>NOT(ISERROR(MATCH(A90,'Villages according to موسوعة ال'!C:C,0)))</f>
        <v>1</v>
      </c>
      <c r="AT90" s="37"/>
      <c r="AU90" s="37"/>
      <c r="AV90" s="37"/>
      <c r="AW90" s="37"/>
      <c r="AX90" s="37"/>
      <c r="AY90" s="37"/>
      <c r="AZ90" s="37"/>
      <c r="BA90" s="37"/>
      <c r="BB90" s="37"/>
      <c r="BC90" s="37"/>
      <c r="BD90" s="37"/>
      <c r="BE90" s="37"/>
      <c r="BF90" s="37"/>
      <c r="BG90" s="37"/>
      <c r="BH90" s="37"/>
      <c r="BI90" s="37"/>
      <c r="BJ90" s="37"/>
      <c r="BK90" s="37"/>
      <c r="BL90" s="37"/>
      <c r="BM90" s="37"/>
      <c r="BN90" s="37"/>
      <c r="BO90" s="37"/>
      <c r="BP90" s="37"/>
    </row>
    <row r="91">
      <c r="A91" s="7" t="s">
        <v>539</v>
      </c>
      <c r="B91" s="26" t="s">
        <v>1075</v>
      </c>
      <c r="E91" s="7" t="s">
        <v>826</v>
      </c>
      <c r="F91" s="7" t="s">
        <v>638</v>
      </c>
      <c r="G91" s="28"/>
      <c r="H91" s="7" t="s">
        <v>1106</v>
      </c>
      <c r="I91" s="7" t="s">
        <v>616</v>
      </c>
      <c r="J91" s="7" t="s">
        <v>1107</v>
      </c>
      <c r="K91" s="54" t="s">
        <v>1108</v>
      </c>
      <c r="L91" s="29" t="s">
        <v>1109</v>
      </c>
      <c r="M91" s="64" t="b">
        <v>0</v>
      </c>
      <c r="N91" s="64" t="b">
        <v>0</v>
      </c>
      <c r="O91" s="64"/>
      <c r="P91" s="64" t="b">
        <v>0</v>
      </c>
      <c r="Q91" s="64" t="b">
        <v>0</v>
      </c>
      <c r="R91" s="64" t="b">
        <v>0</v>
      </c>
      <c r="S91" s="64"/>
      <c r="T91" s="32"/>
      <c r="U91" s="64" t="b">
        <v>0</v>
      </c>
      <c r="V91" s="64"/>
      <c r="W91" s="64" t="b">
        <v>0</v>
      </c>
      <c r="X91" s="64" t="b">
        <v>0</v>
      </c>
      <c r="Y91" s="64"/>
      <c r="Z91" s="64"/>
      <c r="AA91" s="64"/>
      <c r="AB91" s="64"/>
      <c r="AC91" s="65"/>
      <c r="AD91" s="64"/>
      <c r="AE91" s="64"/>
      <c r="AF91" s="64"/>
      <c r="AG91" s="64"/>
      <c r="AH91" s="64"/>
      <c r="AI91" s="64"/>
      <c r="AJ91" s="71"/>
      <c r="AK91" s="34" t="s">
        <v>636</v>
      </c>
      <c r="AL91" s="25"/>
      <c r="AM91" s="25"/>
      <c r="AN91" s="35" t="s">
        <v>1110</v>
      </c>
      <c r="AO91" s="24">
        <v>0.003159722222222222</v>
      </c>
      <c r="AP91" s="74"/>
      <c r="AQ91" s="7"/>
      <c r="AR91" s="7" t="s">
        <v>633</v>
      </c>
      <c r="AS91" s="7" t="b">
        <f>NOT(ISERROR(MATCH(A91,'Villages according to موسوعة ال'!C:C,0)))</f>
        <v>1</v>
      </c>
      <c r="AT91" s="37"/>
      <c r="AU91" s="37"/>
      <c r="AV91" s="37"/>
      <c r="AW91" s="37"/>
      <c r="AX91" s="37"/>
      <c r="AY91" s="37"/>
      <c r="AZ91" s="37"/>
      <c r="BA91" s="37"/>
      <c r="BB91" s="37"/>
      <c r="BC91" s="37"/>
      <c r="BD91" s="37"/>
      <c r="BE91" s="37"/>
      <c r="BF91" s="37"/>
      <c r="BG91" s="37"/>
      <c r="BH91" s="37"/>
      <c r="BI91" s="37"/>
      <c r="BJ91" s="37"/>
      <c r="BK91" s="37"/>
      <c r="BL91" s="37"/>
      <c r="BM91" s="37"/>
      <c r="BN91" s="37"/>
      <c r="BO91" s="37"/>
      <c r="BP91" s="37"/>
    </row>
    <row r="92">
      <c r="A92" s="7" t="s">
        <v>539</v>
      </c>
      <c r="B92" s="43" t="s">
        <v>1075</v>
      </c>
      <c r="E92" s="7" t="s">
        <v>826</v>
      </c>
      <c r="F92" s="7" t="s">
        <v>638</v>
      </c>
      <c r="G92" s="28" t="s">
        <v>615</v>
      </c>
      <c r="H92" s="7" t="s">
        <v>1111</v>
      </c>
      <c r="I92" s="7" t="s">
        <v>638</v>
      </c>
      <c r="J92" s="7" t="s">
        <v>1112</v>
      </c>
      <c r="K92" s="54" t="s">
        <v>1113</v>
      </c>
      <c r="L92" s="44" t="s">
        <v>1114</v>
      </c>
      <c r="M92" s="60" t="b">
        <v>1</v>
      </c>
      <c r="N92" s="60" t="b">
        <v>0</v>
      </c>
      <c r="O92" s="60" t="s">
        <v>620</v>
      </c>
      <c r="P92" s="60" t="b">
        <v>0</v>
      </c>
      <c r="Q92" s="60" t="b">
        <v>1</v>
      </c>
      <c r="R92" s="60" t="b">
        <v>0</v>
      </c>
      <c r="S92" s="60" t="s">
        <v>621</v>
      </c>
      <c r="T92" s="60" t="s">
        <v>622</v>
      </c>
      <c r="U92" s="60" t="b">
        <v>0</v>
      </c>
      <c r="V92" s="60"/>
      <c r="W92" s="60" t="b">
        <v>0</v>
      </c>
      <c r="X92" s="60" t="b">
        <v>0</v>
      </c>
      <c r="Y92" s="60"/>
      <c r="Z92" s="60"/>
      <c r="AA92" s="60"/>
      <c r="AB92" s="60"/>
      <c r="AC92" s="61"/>
      <c r="AD92" s="60" t="s">
        <v>686</v>
      </c>
      <c r="AE92" s="60" t="s">
        <v>626</v>
      </c>
      <c r="AF92" s="60"/>
      <c r="AG92" s="60" t="s">
        <v>1115</v>
      </c>
      <c r="AH92" s="60" t="s">
        <v>687</v>
      </c>
      <c r="AI92" s="60" t="s">
        <v>673</v>
      </c>
      <c r="AJ92" s="71"/>
      <c r="AK92" s="34" t="s">
        <v>698</v>
      </c>
      <c r="AL92" s="3" t="s">
        <v>699</v>
      </c>
      <c r="AM92" s="3" t="s">
        <v>868</v>
      </c>
      <c r="AN92" s="35" t="s">
        <v>1116</v>
      </c>
      <c r="AO92" s="24">
        <v>0.0013425925925925925</v>
      </c>
      <c r="AP92" s="74" t="s">
        <v>847</v>
      </c>
      <c r="AQ92" s="7">
        <v>2017.0</v>
      </c>
      <c r="AR92" s="35" t="s">
        <v>1117</v>
      </c>
      <c r="AS92" s="7" t="b">
        <f>NOT(ISERROR(MATCH(A92,'Villages according to موسوعة ال'!C:C,0)))</f>
        <v>1</v>
      </c>
      <c r="AT92" s="25"/>
      <c r="AU92" s="25"/>
      <c r="AV92" s="25"/>
      <c r="AW92" s="25"/>
      <c r="AX92" s="25"/>
      <c r="AY92" s="25"/>
      <c r="AZ92" s="25"/>
      <c r="BA92" s="25"/>
      <c r="BB92" s="25"/>
      <c r="BC92" s="25"/>
      <c r="BD92" s="25"/>
      <c r="BE92" s="25"/>
      <c r="BF92" s="25"/>
      <c r="BG92" s="25"/>
      <c r="BH92" s="25"/>
      <c r="BI92" s="25"/>
      <c r="BJ92" s="25"/>
      <c r="BK92" s="25"/>
      <c r="BL92" s="25"/>
      <c r="BM92" s="25"/>
      <c r="BN92" s="25"/>
      <c r="BO92" s="25"/>
      <c r="BP92" s="25"/>
    </row>
    <row r="93">
      <c r="A93" s="7" t="s">
        <v>539</v>
      </c>
      <c r="B93" s="43" t="s">
        <v>1075</v>
      </c>
      <c r="E93" s="7" t="s">
        <v>826</v>
      </c>
      <c r="F93" s="7" t="s">
        <v>638</v>
      </c>
      <c r="G93" s="28" t="s">
        <v>615</v>
      </c>
      <c r="H93" s="7" t="s">
        <v>1118</v>
      </c>
      <c r="I93" s="7" t="s">
        <v>638</v>
      </c>
      <c r="J93" s="7" t="s">
        <v>1119</v>
      </c>
      <c r="K93" s="54" t="s">
        <v>1120</v>
      </c>
      <c r="L93" s="29" t="s">
        <v>1121</v>
      </c>
      <c r="M93" s="60" t="b">
        <v>0</v>
      </c>
      <c r="N93" s="60" t="b">
        <v>0</v>
      </c>
      <c r="O93" s="60"/>
      <c r="P93" s="60" t="b">
        <v>0</v>
      </c>
      <c r="Q93" s="60" t="b">
        <v>0</v>
      </c>
      <c r="R93" s="60" t="b">
        <v>0</v>
      </c>
      <c r="S93" s="60"/>
      <c r="T93" s="60"/>
      <c r="U93" s="60" t="b">
        <v>0</v>
      </c>
      <c r="V93" s="60"/>
      <c r="W93" s="60" t="b">
        <v>0</v>
      </c>
      <c r="X93" s="60" t="b">
        <v>0</v>
      </c>
      <c r="Y93" s="60"/>
      <c r="Z93" s="60"/>
      <c r="AA93" s="60"/>
      <c r="AB93" s="60"/>
      <c r="AC93" s="61"/>
      <c r="AD93" s="60"/>
      <c r="AE93" s="60"/>
      <c r="AF93" s="60"/>
      <c r="AG93" s="60"/>
      <c r="AH93" s="60"/>
      <c r="AI93" s="60"/>
      <c r="AJ93" s="71"/>
      <c r="AK93" s="34" t="s">
        <v>698</v>
      </c>
      <c r="AL93" s="25"/>
      <c r="AM93" s="25"/>
      <c r="AN93" s="35" t="s">
        <v>1122</v>
      </c>
      <c r="AO93" s="24">
        <v>0.0014583333333333334</v>
      </c>
      <c r="AP93" s="74" t="s">
        <v>847</v>
      </c>
      <c r="AQ93" s="7">
        <v>2017.0</v>
      </c>
      <c r="AR93" s="35" t="s">
        <v>1123</v>
      </c>
      <c r="AS93" s="7" t="b">
        <f>NOT(ISERROR(MATCH(A93,'Villages according to موسوعة ال'!C:C,0)))</f>
        <v>1</v>
      </c>
      <c r="AT93" s="25"/>
      <c r="AU93" s="25"/>
      <c r="AV93" s="25"/>
      <c r="AW93" s="25"/>
      <c r="AX93" s="25"/>
      <c r="AY93" s="25"/>
      <c r="AZ93" s="25"/>
      <c r="BA93" s="25"/>
      <c r="BB93" s="25"/>
      <c r="BC93" s="25"/>
      <c r="BD93" s="25"/>
      <c r="BE93" s="25"/>
      <c r="BF93" s="25"/>
      <c r="BG93" s="25"/>
      <c r="BH93" s="25"/>
      <c r="BI93" s="25"/>
      <c r="BJ93" s="25"/>
      <c r="BK93" s="25"/>
      <c r="BL93" s="25"/>
      <c r="BM93" s="25"/>
      <c r="BN93" s="25"/>
      <c r="BO93" s="25"/>
      <c r="BP93" s="25"/>
    </row>
    <row r="94">
      <c r="A94" s="7" t="s">
        <v>539</v>
      </c>
      <c r="B94" s="43" t="s">
        <v>1075</v>
      </c>
      <c r="E94" s="85" t="s">
        <v>901</v>
      </c>
      <c r="F94" s="85" t="s">
        <v>614</v>
      </c>
      <c r="G94" s="28" t="s">
        <v>615</v>
      </c>
      <c r="H94" s="85" t="s">
        <v>1124</v>
      </c>
      <c r="I94" s="85" t="s">
        <v>638</v>
      </c>
      <c r="J94" s="85" t="s">
        <v>1125</v>
      </c>
      <c r="K94" s="54"/>
      <c r="L94" s="29"/>
      <c r="M94" s="60" t="b">
        <v>0</v>
      </c>
      <c r="N94" s="60" t="b">
        <v>0</v>
      </c>
      <c r="O94" s="60" t="s">
        <v>620</v>
      </c>
      <c r="P94" s="60" t="b">
        <v>1</v>
      </c>
      <c r="Q94" s="60" t="b">
        <v>0</v>
      </c>
      <c r="R94" s="60" t="b">
        <v>1</v>
      </c>
      <c r="S94" s="60" t="s">
        <v>621</v>
      </c>
      <c r="T94" s="60" t="s">
        <v>622</v>
      </c>
      <c r="U94" s="60" t="b">
        <v>0</v>
      </c>
      <c r="V94" s="60"/>
      <c r="W94" s="60" t="b">
        <v>0</v>
      </c>
      <c r="X94" s="60" t="b">
        <v>1</v>
      </c>
      <c r="Y94" s="60"/>
      <c r="Z94" s="60"/>
      <c r="AA94" s="60"/>
      <c r="AB94" s="60"/>
      <c r="AC94" s="61"/>
      <c r="AD94" s="60"/>
      <c r="AE94" s="60" t="s">
        <v>626</v>
      </c>
      <c r="AF94" s="60" t="s">
        <v>627</v>
      </c>
      <c r="AG94" s="60"/>
      <c r="AH94" s="60"/>
      <c r="AI94" s="60" t="s">
        <v>673</v>
      </c>
      <c r="AJ94" s="71"/>
      <c r="AK94" s="34" t="s">
        <v>698</v>
      </c>
      <c r="AL94" s="3" t="s">
        <v>699</v>
      </c>
      <c r="AM94" s="3" t="s">
        <v>868</v>
      </c>
      <c r="AN94" s="35" t="s">
        <v>1126</v>
      </c>
      <c r="AO94" s="24">
        <v>0.0019675925925925924</v>
      </c>
      <c r="AP94" s="74" t="s">
        <v>1127</v>
      </c>
      <c r="AQ94" s="7" t="s">
        <v>633</v>
      </c>
      <c r="AR94" s="35" t="s">
        <v>1128</v>
      </c>
      <c r="AS94" s="7" t="b">
        <f>NOT(ISERROR(MATCH(A94,'Villages according to موسوعة ال'!C:C,0)))</f>
        <v>1</v>
      </c>
      <c r="AT94" s="25"/>
      <c r="AU94" s="25"/>
      <c r="AV94" s="25"/>
      <c r="AW94" s="25"/>
      <c r="AX94" s="25"/>
      <c r="AY94" s="25"/>
      <c r="AZ94" s="25"/>
      <c r="BA94" s="25"/>
      <c r="BB94" s="25"/>
      <c r="BC94" s="25"/>
      <c r="BD94" s="25"/>
      <c r="BE94" s="25"/>
      <c r="BF94" s="25"/>
      <c r="BG94" s="25"/>
      <c r="BH94" s="25"/>
      <c r="BI94" s="25"/>
      <c r="BJ94" s="25"/>
      <c r="BK94" s="25"/>
      <c r="BL94" s="25"/>
      <c r="BM94" s="25"/>
      <c r="BN94" s="25"/>
      <c r="BO94" s="25"/>
      <c r="BP94" s="25"/>
    </row>
    <row r="95">
      <c r="A95" s="7" t="s">
        <v>539</v>
      </c>
      <c r="B95" s="43" t="s">
        <v>1075</v>
      </c>
      <c r="F95" s="85" t="s">
        <v>614</v>
      </c>
      <c r="K95" s="54"/>
      <c r="L95" s="29"/>
      <c r="M95" s="64" t="b">
        <v>0</v>
      </c>
      <c r="N95" s="64" t="b">
        <v>0</v>
      </c>
      <c r="O95" s="64"/>
      <c r="P95" s="64" t="b">
        <v>0</v>
      </c>
      <c r="Q95" s="64" t="b">
        <v>0</v>
      </c>
      <c r="R95" s="64" t="b">
        <v>0</v>
      </c>
      <c r="S95" s="64"/>
      <c r="T95" s="32"/>
      <c r="U95" s="64" t="b">
        <v>0</v>
      </c>
      <c r="V95" s="64"/>
      <c r="W95" s="64" t="b">
        <v>0</v>
      </c>
      <c r="X95" s="64" t="b">
        <v>0</v>
      </c>
      <c r="Y95" s="64"/>
      <c r="Z95" s="64"/>
      <c r="AA95" s="64"/>
      <c r="AB95" s="64"/>
      <c r="AC95" s="65"/>
      <c r="AD95" s="64"/>
      <c r="AE95" s="64"/>
      <c r="AF95" s="64"/>
      <c r="AG95" s="64"/>
      <c r="AH95" s="64"/>
      <c r="AI95" s="64"/>
      <c r="AJ95" s="71"/>
      <c r="AK95" s="34" t="s">
        <v>631</v>
      </c>
      <c r="AL95" s="25"/>
      <c r="AM95" s="25"/>
      <c r="AN95" s="35" t="s">
        <v>1129</v>
      </c>
      <c r="AO95" s="24">
        <v>0.0012268518518518518</v>
      </c>
      <c r="AP95" s="74" t="s">
        <v>1130</v>
      </c>
      <c r="AQ95" s="7" t="s">
        <v>633</v>
      </c>
      <c r="AR95" s="36" t="s">
        <v>633</v>
      </c>
      <c r="AS95" s="7" t="b">
        <f>NOT(ISERROR(MATCH(A95,'Villages according to موسوعة ال'!C:C,0)))</f>
        <v>1</v>
      </c>
      <c r="AT95" s="25"/>
      <c r="AU95" s="25"/>
      <c r="AV95" s="25"/>
      <c r="AW95" s="25"/>
      <c r="AX95" s="25"/>
      <c r="AY95" s="25"/>
      <c r="AZ95" s="25"/>
      <c r="BA95" s="25"/>
      <c r="BB95" s="25"/>
      <c r="BC95" s="25"/>
      <c r="BD95" s="25"/>
      <c r="BE95" s="25"/>
      <c r="BF95" s="25"/>
      <c r="BG95" s="25"/>
      <c r="BH95" s="25"/>
      <c r="BI95" s="25"/>
      <c r="BJ95" s="25"/>
      <c r="BK95" s="25"/>
      <c r="BL95" s="25"/>
      <c r="BM95" s="25"/>
      <c r="BN95" s="25"/>
      <c r="BO95" s="25"/>
      <c r="BP95" s="25"/>
    </row>
    <row r="96">
      <c r="A96" s="7" t="s">
        <v>450</v>
      </c>
      <c r="B96" s="26" t="s">
        <v>451</v>
      </c>
      <c r="C96" s="7" t="s">
        <v>451</v>
      </c>
      <c r="D96" s="7" t="s">
        <v>452</v>
      </c>
      <c r="E96" s="7" t="s">
        <v>958</v>
      </c>
      <c r="F96" s="7" t="s">
        <v>959</v>
      </c>
      <c r="G96" s="28"/>
      <c r="H96" s="7" t="s">
        <v>900</v>
      </c>
      <c r="I96" s="7" t="s">
        <v>638</v>
      </c>
      <c r="J96" s="7" t="s">
        <v>1131</v>
      </c>
      <c r="K96" s="54" t="s">
        <v>1132</v>
      </c>
      <c r="L96" s="29" t="s">
        <v>1133</v>
      </c>
      <c r="M96" s="64" t="b">
        <v>0</v>
      </c>
      <c r="N96" s="64" t="b">
        <v>0</v>
      </c>
      <c r="O96" s="64"/>
      <c r="P96" s="64" t="b">
        <v>0</v>
      </c>
      <c r="Q96" s="64" t="b">
        <v>0</v>
      </c>
      <c r="R96" s="64" t="b">
        <v>0</v>
      </c>
      <c r="S96" s="64"/>
      <c r="T96" s="32"/>
      <c r="U96" s="64" t="b">
        <v>0</v>
      </c>
      <c r="V96" s="64"/>
      <c r="W96" s="64" t="b">
        <v>0</v>
      </c>
      <c r="X96" s="64" t="b">
        <v>0</v>
      </c>
      <c r="Y96" s="64"/>
      <c r="Z96" s="64"/>
      <c r="AA96" s="64"/>
      <c r="AB96" s="64"/>
      <c r="AC96" s="65"/>
      <c r="AD96" s="64"/>
      <c r="AE96" s="64"/>
      <c r="AF96" s="64"/>
      <c r="AG96" s="64"/>
      <c r="AH96" s="64"/>
      <c r="AI96" s="64"/>
      <c r="AJ96" s="71"/>
      <c r="AK96" s="34" t="s">
        <v>636</v>
      </c>
      <c r="AL96" s="25"/>
      <c r="AM96" s="25"/>
      <c r="AN96" s="35" t="s">
        <v>1134</v>
      </c>
      <c r="AO96" s="24">
        <v>0.03744212962962963</v>
      </c>
      <c r="AP96" s="74" t="s">
        <v>1135</v>
      </c>
      <c r="AQ96" s="7" t="s">
        <v>633</v>
      </c>
      <c r="AR96" s="7" t="s">
        <v>633</v>
      </c>
      <c r="AS96" s="7" t="b">
        <f>NOT(ISERROR(MATCH(A96,'Villages according to موسوعة ال'!C:C,0)))</f>
        <v>1</v>
      </c>
      <c r="AT96" s="37"/>
      <c r="AU96" s="37"/>
      <c r="AV96" s="37"/>
      <c r="AW96" s="37"/>
      <c r="AX96" s="37"/>
      <c r="AY96" s="37"/>
      <c r="AZ96" s="37"/>
      <c r="BA96" s="37"/>
      <c r="BB96" s="37"/>
      <c r="BC96" s="37"/>
      <c r="BD96" s="37"/>
      <c r="BE96" s="37"/>
      <c r="BF96" s="37"/>
      <c r="BG96" s="37"/>
      <c r="BH96" s="37"/>
      <c r="BI96" s="37"/>
      <c r="BJ96" s="37"/>
      <c r="BK96" s="37"/>
      <c r="BL96" s="37"/>
      <c r="BM96" s="37"/>
      <c r="BN96" s="37"/>
      <c r="BO96" s="37"/>
      <c r="BP96" s="37"/>
    </row>
    <row r="97">
      <c r="A97" s="7" t="s">
        <v>450</v>
      </c>
      <c r="B97" s="26" t="s">
        <v>451</v>
      </c>
      <c r="F97" s="7" t="s">
        <v>959</v>
      </c>
      <c r="K97" s="54" t="s">
        <v>1136</v>
      </c>
      <c r="L97" s="29"/>
      <c r="M97" s="64" t="b">
        <v>0</v>
      </c>
      <c r="N97" s="64" t="b">
        <v>0</v>
      </c>
      <c r="O97" s="64"/>
      <c r="P97" s="64" t="b">
        <v>0</v>
      </c>
      <c r="Q97" s="64" t="b">
        <v>0</v>
      </c>
      <c r="R97" s="64" t="b">
        <v>0</v>
      </c>
      <c r="S97" s="64"/>
      <c r="T97" s="32"/>
      <c r="U97" s="64" t="b">
        <v>0</v>
      </c>
      <c r="V97" s="64"/>
      <c r="W97" s="64" t="b">
        <v>0</v>
      </c>
      <c r="X97" s="64" t="b">
        <v>0</v>
      </c>
      <c r="Y97" s="64"/>
      <c r="Z97" s="64"/>
      <c r="AA97" s="64"/>
      <c r="AB97" s="64"/>
      <c r="AC97" s="65"/>
      <c r="AD97" s="64"/>
      <c r="AE97" s="64"/>
      <c r="AF97" s="64"/>
      <c r="AG97" s="64"/>
      <c r="AH97" s="64"/>
      <c r="AI97" s="64"/>
      <c r="AJ97" s="71"/>
      <c r="AK97" s="34" t="s">
        <v>636</v>
      </c>
      <c r="AL97" s="25"/>
      <c r="AM97" s="25"/>
      <c r="AN97" s="35" t="s">
        <v>1137</v>
      </c>
      <c r="AO97" s="24">
        <v>6.712962962962962E-4</v>
      </c>
      <c r="AP97" s="74" t="s">
        <v>1135</v>
      </c>
      <c r="AQ97" s="7" t="s">
        <v>633</v>
      </c>
      <c r="AR97" s="7" t="s">
        <v>633</v>
      </c>
      <c r="AS97" s="7" t="b">
        <f>NOT(ISERROR(MATCH(A97,'Villages according to موسوعة ال'!C:C,0)))</f>
        <v>1</v>
      </c>
      <c r="AT97" s="37"/>
      <c r="AU97" s="37"/>
      <c r="AV97" s="37"/>
      <c r="AW97" s="37"/>
      <c r="AX97" s="37"/>
      <c r="AY97" s="37"/>
      <c r="AZ97" s="37"/>
      <c r="BA97" s="37"/>
      <c r="BB97" s="37"/>
      <c r="BC97" s="37"/>
      <c r="BD97" s="37"/>
      <c r="BE97" s="37"/>
      <c r="BF97" s="37"/>
      <c r="BG97" s="37"/>
      <c r="BH97" s="37"/>
      <c r="BI97" s="37"/>
      <c r="BJ97" s="37"/>
      <c r="BK97" s="37"/>
      <c r="BL97" s="37"/>
      <c r="BM97" s="37"/>
      <c r="BN97" s="37"/>
      <c r="BO97" s="37"/>
      <c r="BP97" s="37"/>
    </row>
    <row r="98">
      <c r="A98" s="7" t="s">
        <v>450</v>
      </c>
      <c r="B98" s="26" t="s">
        <v>451</v>
      </c>
      <c r="F98" s="7" t="s">
        <v>959</v>
      </c>
      <c r="K98" s="54" t="s">
        <v>1138</v>
      </c>
      <c r="L98" s="29" t="s">
        <v>1139</v>
      </c>
      <c r="M98" s="64" t="b">
        <v>0</v>
      </c>
      <c r="N98" s="64" t="b">
        <v>0</v>
      </c>
      <c r="O98" s="64"/>
      <c r="P98" s="64" t="b">
        <v>0</v>
      </c>
      <c r="Q98" s="64" t="b">
        <v>0</v>
      </c>
      <c r="R98" s="64" t="b">
        <v>0</v>
      </c>
      <c r="S98" s="64"/>
      <c r="T98" s="32"/>
      <c r="U98" s="64" t="b">
        <v>0</v>
      </c>
      <c r="V98" s="64"/>
      <c r="W98" s="64" t="b">
        <v>0</v>
      </c>
      <c r="X98" s="64" t="b">
        <v>0</v>
      </c>
      <c r="Y98" s="64"/>
      <c r="Z98" s="64"/>
      <c r="AA98" s="64"/>
      <c r="AB98" s="64"/>
      <c r="AC98" s="65"/>
      <c r="AD98" s="64"/>
      <c r="AE98" s="64"/>
      <c r="AF98" s="64"/>
      <c r="AG98" s="64"/>
      <c r="AH98" s="64"/>
      <c r="AI98" s="64"/>
      <c r="AJ98" s="71"/>
      <c r="AK98" s="34" t="s">
        <v>636</v>
      </c>
      <c r="AL98" s="25"/>
      <c r="AM98" s="25"/>
      <c r="AN98" s="35" t="s">
        <v>1137</v>
      </c>
      <c r="AO98" s="24">
        <v>6.481481481481481E-4</v>
      </c>
      <c r="AP98" s="74" t="s">
        <v>1135</v>
      </c>
      <c r="AQ98" s="7" t="s">
        <v>633</v>
      </c>
      <c r="AR98" s="7" t="s">
        <v>633</v>
      </c>
      <c r="AS98" s="7" t="b">
        <f>NOT(ISERROR(MATCH(A98,'Villages according to موسوعة ال'!C:C,0)))</f>
        <v>1</v>
      </c>
      <c r="AT98" s="37"/>
      <c r="AU98" s="37"/>
      <c r="AV98" s="37"/>
      <c r="AW98" s="37"/>
      <c r="AX98" s="37"/>
      <c r="AY98" s="37"/>
      <c r="AZ98" s="37"/>
      <c r="BA98" s="37"/>
      <c r="BB98" s="37"/>
      <c r="BC98" s="37"/>
      <c r="BD98" s="37"/>
      <c r="BE98" s="37"/>
      <c r="BF98" s="37"/>
      <c r="BG98" s="37"/>
      <c r="BH98" s="37"/>
      <c r="BI98" s="37"/>
      <c r="BJ98" s="37"/>
      <c r="BK98" s="37"/>
      <c r="BL98" s="37"/>
      <c r="BM98" s="37"/>
      <c r="BN98" s="37"/>
      <c r="BO98" s="37"/>
      <c r="BP98" s="37"/>
    </row>
    <row r="99">
      <c r="A99" s="7" t="s">
        <v>450</v>
      </c>
      <c r="B99" s="26" t="s">
        <v>451</v>
      </c>
      <c r="F99" s="7" t="s">
        <v>959</v>
      </c>
      <c r="K99" s="54" t="s">
        <v>1140</v>
      </c>
      <c r="L99" s="29" t="s">
        <v>1141</v>
      </c>
      <c r="M99" s="64" t="b">
        <v>0</v>
      </c>
      <c r="N99" s="64" t="b">
        <v>0</v>
      </c>
      <c r="O99" s="64"/>
      <c r="P99" s="64" t="b">
        <v>0</v>
      </c>
      <c r="Q99" s="64" t="b">
        <v>0</v>
      </c>
      <c r="R99" s="64" t="b">
        <v>0</v>
      </c>
      <c r="S99" s="64"/>
      <c r="T99" s="32"/>
      <c r="U99" s="64" t="b">
        <v>0</v>
      </c>
      <c r="V99" s="64"/>
      <c r="W99" s="64" t="b">
        <v>0</v>
      </c>
      <c r="X99" s="64" t="b">
        <v>0</v>
      </c>
      <c r="Y99" s="64"/>
      <c r="Z99" s="64"/>
      <c r="AA99" s="64"/>
      <c r="AB99" s="64"/>
      <c r="AC99" s="65"/>
      <c r="AD99" s="64"/>
      <c r="AE99" s="64"/>
      <c r="AF99" s="64"/>
      <c r="AG99" s="64"/>
      <c r="AH99" s="64"/>
      <c r="AI99" s="64"/>
      <c r="AJ99" s="71"/>
      <c r="AK99" s="34" t="s">
        <v>636</v>
      </c>
      <c r="AL99" s="3"/>
      <c r="AM99" s="25"/>
      <c r="AN99" s="35" t="s">
        <v>1142</v>
      </c>
      <c r="AO99" s="24">
        <v>0.0021064814814814813</v>
      </c>
      <c r="AP99" s="74" t="s">
        <v>1135</v>
      </c>
      <c r="AQ99" s="7" t="s">
        <v>633</v>
      </c>
      <c r="AR99" s="7" t="s">
        <v>633</v>
      </c>
      <c r="AS99" s="7" t="b">
        <f>NOT(ISERROR(MATCH(A99,'Villages according to موسوعة ال'!C:C,0)))</f>
        <v>1</v>
      </c>
      <c r="AT99" s="37"/>
      <c r="AU99" s="37"/>
      <c r="AV99" s="37"/>
      <c r="AW99" s="37"/>
      <c r="AX99" s="37"/>
      <c r="AY99" s="37"/>
      <c r="AZ99" s="37"/>
      <c r="BA99" s="37"/>
      <c r="BB99" s="37"/>
      <c r="BC99" s="37"/>
      <c r="BD99" s="37"/>
      <c r="BE99" s="37"/>
      <c r="BF99" s="37"/>
      <c r="BG99" s="37"/>
      <c r="BH99" s="37"/>
      <c r="BI99" s="37"/>
      <c r="BJ99" s="37"/>
      <c r="BK99" s="37"/>
      <c r="BL99" s="37"/>
      <c r="BM99" s="37"/>
      <c r="BN99" s="37"/>
      <c r="BO99" s="37"/>
      <c r="BP99" s="37"/>
    </row>
    <row r="100">
      <c r="A100" s="7" t="s">
        <v>450</v>
      </c>
      <c r="B100" s="26" t="s">
        <v>451</v>
      </c>
      <c r="E100" s="7" t="s">
        <v>958</v>
      </c>
      <c r="F100" s="7" t="s">
        <v>959</v>
      </c>
      <c r="G100" s="28" t="s">
        <v>960</v>
      </c>
      <c r="H100" s="7" t="s">
        <v>1143</v>
      </c>
      <c r="I100" s="7" t="s">
        <v>616</v>
      </c>
      <c r="J100" s="7" t="s">
        <v>1144</v>
      </c>
      <c r="K100" s="54" t="s">
        <v>1145</v>
      </c>
      <c r="L100" s="29" t="s">
        <v>1146</v>
      </c>
      <c r="M100" s="64" t="b">
        <v>0</v>
      </c>
      <c r="N100" s="64" t="b">
        <v>0</v>
      </c>
      <c r="O100" s="64"/>
      <c r="P100" s="64" t="b">
        <v>0</v>
      </c>
      <c r="Q100" s="64" t="b">
        <v>0</v>
      </c>
      <c r="R100" s="64" t="b">
        <v>0</v>
      </c>
      <c r="S100" s="64"/>
      <c r="T100" s="32"/>
      <c r="U100" s="64" t="b">
        <v>0</v>
      </c>
      <c r="V100" s="64"/>
      <c r="W100" s="64" t="b">
        <v>0</v>
      </c>
      <c r="X100" s="64" t="b">
        <v>0</v>
      </c>
      <c r="Y100" s="64"/>
      <c r="Z100" s="64"/>
      <c r="AA100" s="64"/>
      <c r="AB100" s="64"/>
      <c r="AC100" s="65"/>
      <c r="AD100" s="64"/>
      <c r="AE100" s="64"/>
      <c r="AF100" s="64"/>
      <c r="AG100" s="64"/>
      <c r="AH100" s="64"/>
      <c r="AI100" s="64"/>
      <c r="AJ100" s="71"/>
      <c r="AK100" s="34" t="s">
        <v>636</v>
      </c>
      <c r="AL100" s="3"/>
      <c r="AM100" s="25"/>
      <c r="AN100" s="35" t="s">
        <v>1147</v>
      </c>
      <c r="AO100" s="24">
        <v>0.04181712962962963</v>
      </c>
      <c r="AP100" s="74" t="s">
        <v>1148</v>
      </c>
      <c r="AQ100" s="7" t="s">
        <v>633</v>
      </c>
      <c r="AR100" s="7" t="s">
        <v>633</v>
      </c>
      <c r="AS100" s="7" t="b">
        <f>NOT(ISERROR(MATCH(A100,'Villages according to موسوعة ال'!C:C,0)))</f>
        <v>1</v>
      </c>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row>
    <row r="101">
      <c r="A101" s="7" t="s">
        <v>450</v>
      </c>
      <c r="B101" s="43" t="s">
        <v>451</v>
      </c>
      <c r="F101" s="7" t="s">
        <v>959</v>
      </c>
      <c r="K101" s="54" t="s">
        <v>963</v>
      </c>
      <c r="L101" s="29" t="s">
        <v>1149</v>
      </c>
      <c r="M101" s="60" t="b">
        <v>0</v>
      </c>
      <c r="N101" s="60" t="b">
        <v>0</v>
      </c>
      <c r="O101" s="60" t="s">
        <v>965</v>
      </c>
      <c r="P101" s="60" t="b">
        <v>0</v>
      </c>
      <c r="Q101" s="60" t="b">
        <v>0</v>
      </c>
      <c r="R101" s="60" t="b">
        <v>0</v>
      </c>
      <c r="S101" s="60" t="s">
        <v>966</v>
      </c>
      <c r="T101" s="60" t="s">
        <v>967</v>
      </c>
      <c r="U101" s="60" t="b">
        <v>0</v>
      </c>
      <c r="V101" s="60"/>
      <c r="W101" s="60" t="b">
        <v>0</v>
      </c>
      <c r="X101" s="60" t="b">
        <v>0</v>
      </c>
      <c r="Y101" s="60"/>
      <c r="Z101" s="60"/>
      <c r="AA101" s="60"/>
      <c r="AB101" s="60" t="s">
        <v>1150</v>
      </c>
      <c r="AC101" s="61" t="s">
        <v>968</v>
      </c>
      <c r="AD101" s="60" t="s">
        <v>969</v>
      </c>
      <c r="AE101" s="60" t="s">
        <v>970</v>
      </c>
      <c r="AF101" s="60" t="s">
        <v>627</v>
      </c>
      <c r="AG101" s="60"/>
      <c r="AH101" s="60" t="s">
        <v>971</v>
      </c>
      <c r="AI101" s="60" t="s">
        <v>673</v>
      </c>
      <c r="AJ101" s="71"/>
      <c r="AK101" s="34" t="s">
        <v>698</v>
      </c>
      <c r="AL101" s="3" t="s">
        <v>699</v>
      </c>
      <c r="AM101" s="3" t="s">
        <v>868</v>
      </c>
      <c r="AN101" s="35" t="s">
        <v>1147</v>
      </c>
      <c r="AO101" s="24">
        <v>0.050694444444444445</v>
      </c>
      <c r="AP101" s="86" t="s">
        <v>1151</v>
      </c>
      <c r="AQ101" s="7"/>
      <c r="AR101" s="35" t="s">
        <v>1152</v>
      </c>
      <c r="AS101" s="7" t="b">
        <f>NOT(ISERROR(MATCH(A101,'Villages according to موسوعة ال'!C:C,0)))</f>
        <v>1</v>
      </c>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row>
    <row r="102">
      <c r="A102" s="7" t="s">
        <v>450</v>
      </c>
      <c r="B102" s="26" t="s">
        <v>451</v>
      </c>
      <c r="E102" s="7" t="s">
        <v>1153</v>
      </c>
      <c r="F102" s="7" t="s">
        <v>692</v>
      </c>
      <c r="G102" s="28"/>
      <c r="H102" s="7" t="s">
        <v>1154</v>
      </c>
      <c r="I102" s="7" t="s">
        <v>638</v>
      </c>
      <c r="J102" s="7" t="s">
        <v>1155</v>
      </c>
      <c r="K102" s="54"/>
      <c r="L102" s="29" t="s">
        <v>1156</v>
      </c>
      <c r="M102" s="64" t="b">
        <v>0</v>
      </c>
      <c r="N102" s="64" t="b">
        <v>0</v>
      </c>
      <c r="O102" s="64"/>
      <c r="P102" s="64" t="b">
        <v>0</v>
      </c>
      <c r="Q102" s="64" t="b">
        <v>0</v>
      </c>
      <c r="R102" s="64" t="b">
        <v>0</v>
      </c>
      <c r="S102" s="64"/>
      <c r="T102" s="32"/>
      <c r="U102" s="64" t="b">
        <v>0</v>
      </c>
      <c r="V102" s="64"/>
      <c r="W102" s="64" t="b">
        <v>0</v>
      </c>
      <c r="X102" s="64" t="b">
        <v>0</v>
      </c>
      <c r="Y102" s="64"/>
      <c r="Z102" s="64"/>
      <c r="AA102" s="64"/>
      <c r="AB102" s="64"/>
      <c r="AC102" s="65"/>
      <c r="AD102" s="64"/>
      <c r="AE102" s="64"/>
      <c r="AF102" s="64"/>
      <c r="AG102" s="64"/>
      <c r="AH102" s="64"/>
      <c r="AI102" s="64"/>
      <c r="AJ102" s="71" t="s">
        <v>1157</v>
      </c>
      <c r="AK102" s="34" t="s">
        <v>666</v>
      </c>
      <c r="AL102" s="3"/>
      <c r="AM102" s="25"/>
      <c r="AN102" s="35" t="s">
        <v>1158</v>
      </c>
      <c r="AO102" s="24">
        <v>0.0010416666666666667</v>
      </c>
      <c r="AP102" s="86" t="s">
        <v>1159</v>
      </c>
      <c r="AQ102" s="7"/>
      <c r="AR102" s="7" t="s">
        <v>633</v>
      </c>
      <c r="AS102" s="7" t="b">
        <f>NOT(ISERROR(MATCH(A102,'Villages according to موسوعة ال'!C:C,0)))</f>
        <v>1</v>
      </c>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row>
    <row r="103">
      <c r="A103" s="7" t="s">
        <v>450</v>
      </c>
      <c r="B103" s="26" t="s">
        <v>451</v>
      </c>
      <c r="F103" s="7" t="s">
        <v>692</v>
      </c>
      <c r="K103" s="54"/>
      <c r="L103" s="29"/>
      <c r="M103" s="64" t="b">
        <v>0</v>
      </c>
      <c r="N103" s="64" t="b">
        <v>0</v>
      </c>
      <c r="O103" s="64"/>
      <c r="P103" s="64" t="b">
        <v>0</v>
      </c>
      <c r="Q103" s="64" t="b">
        <v>0</v>
      </c>
      <c r="R103" s="64" t="b">
        <v>0</v>
      </c>
      <c r="S103" s="64"/>
      <c r="T103" s="32"/>
      <c r="U103" s="64" t="b">
        <v>0</v>
      </c>
      <c r="V103" s="64"/>
      <c r="W103" s="64" t="b">
        <v>0</v>
      </c>
      <c r="X103" s="64" t="b">
        <v>0</v>
      </c>
      <c r="Y103" s="64"/>
      <c r="Z103" s="64"/>
      <c r="AA103" s="64"/>
      <c r="AB103" s="64"/>
      <c r="AC103" s="65"/>
      <c r="AD103" s="64"/>
      <c r="AE103" s="64"/>
      <c r="AF103" s="64"/>
      <c r="AG103" s="64"/>
      <c r="AH103" s="64"/>
      <c r="AI103" s="64"/>
      <c r="AJ103" s="71"/>
      <c r="AK103" s="34" t="s">
        <v>666</v>
      </c>
      <c r="AL103" s="3"/>
      <c r="AM103" s="25"/>
      <c r="AN103" s="35" t="s">
        <v>1160</v>
      </c>
      <c r="AO103" s="24">
        <v>5.671296296296297E-4</v>
      </c>
      <c r="AP103" s="86" t="s">
        <v>1159</v>
      </c>
      <c r="AQ103" s="7"/>
      <c r="AR103" s="7" t="s">
        <v>633</v>
      </c>
      <c r="AS103" s="7" t="b">
        <f>NOT(ISERROR(MATCH(A103,'Villages according to موسوعة ال'!C:C,0)))</f>
        <v>1</v>
      </c>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row>
    <row r="104">
      <c r="A104" s="7" t="s">
        <v>450</v>
      </c>
      <c r="B104" s="26" t="s">
        <v>451</v>
      </c>
      <c r="F104" s="7" t="s">
        <v>692</v>
      </c>
      <c r="K104" s="54"/>
      <c r="L104" s="29"/>
      <c r="M104" s="64" t="b">
        <v>0</v>
      </c>
      <c r="N104" s="64" t="b">
        <v>0</v>
      </c>
      <c r="O104" s="64"/>
      <c r="P104" s="64" t="b">
        <v>0</v>
      </c>
      <c r="Q104" s="64" t="b">
        <v>0</v>
      </c>
      <c r="R104" s="64" t="b">
        <v>0</v>
      </c>
      <c r="S104" s="64"/>
      <c r="T104" s="32"/>
      <c r="U104" s="64" t="b">
        <v>0</v>
      </c>
      <c r="V104" s="64"/>
      <c r="W104" s="64" t="b">
        <v>0</v>
      </c>
      <c r="X104" s="64" t="b">
        <v>0</v>
      </c>
      <c r="Y104" s="64"/>
      <c r="Z104" s="64"/>
      <c r="AA104" s="64"/>
      <c r="AB104" s="64"/>
      <c r="AC104" s="65"/>
      <c r="AD104" s="64"/>
      <c r="AE104" s="64"/>
      <c r="AF104" s="64"/>
      <c r="AG104" s="64"/>
      <c r="AH104" s="64"/>
      <c r="AI104" s="64"/>
      <c r="AJ104" s="71"/>
      <c r="AK104" s="34" t="s">
        <v>666</v>
      </c>
      <c r="AL104" s="3"/>
      <c r="AM104" s="25"/>
      <c r="AN104" s="35" t="s">
        <v>1161</v>
      </c>
      <c r="AO104" s="24">
        <v>7.175925925925926E-4</v>
      </c>
      <c r="AP104" s="86" t="s">
        <v>1159</v>
      </c>
      <c r="AQ104" s="7"/>
      <c r="AR104" s="7" t="s">
        <v>633</v>
      </c>
      <c r="AS104" s="7" t="b">
        <f>NOT(ISERROR(MATCH(A104,'Villages according to موسوعة ال'!C:C,0)))</f>
        <v>1</v>
      </c>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row>
    <row r="105">
      <c r="A105" s="7" t="s">
        <v>450</v>
      </c>
      <c r="B105" s="26" t="s">
        <v>451</v>
      </c>
      <c r="F105" s="7" t="s">
        <v>692</v>
      </c>
      <c r="K105" s="54"/>
      <c r="L105" s="29"/>
      <c r="M105" s="64" t="b">
        <v>0</v>
      </c>
      <c r="N105" s="64" t="b">
        <v>0</v>
      </c>
      <c r="O105" s="64"/>
      <c r="P105" s="64" t="b">
        <v>0</v>
      </c>
      <c r="Q105" s="64" t="b">
        <v>0</v>
      </c>
      <c r="R105" s="64" t="b">
        <v>0</v>
      </c>
      <c r="S105" s="64"/>
      <c r="T105" s="32"/>
      <c r="U105" s="64" t="b">
        <v>0</v>
      </c>
      <c r="V105" s="64"/>
      <c r="W105" s="64" t="b">
        <v>0</v>
      </c>
      <c r="X105" s="64" t="b">
        <v>0</v>
      </c>
      <c r="Y105" s="64"/>
      <c r="Z105" s="64"/>
      <c r="AA105" s="64"/>
      <c r="AB105" s="64"/>
      <c r="AC105" s="65"/>
      <c r="AD105" s="64"/>
      <c r="AE105" s="64"/>
      <c r="AF105" s="64"/>
      <c r="AG105" s="64"/>
      <c r="AH105" s="64"/>
      <c r="AI105" s="64"/>
      <c r="AJ105" s="71"/>
      <c r="AK105" s="34" t="s">
        <v>666</v>
      </c>
      <c r="AL105" s="3"/>
      <c r="AM105" s="25"/>
      <c r="AN105" s="35" t="s">
        <v>1162</v>
      </c>
      <c r="AO105" s="24">
        <v>2.4305555555555555E-4</v>
      </c>
      <c r="AP105" s="86" t="s">
        <v>1159</v>
      </c>
      <c r="AQ105" s="7"/>
      <c r="AR105" s="7" t="s">
        <v>633</v>
      </c>
      <c r="AS105" s="7" t="b">
        <f>NOT(ISERROR(MATCH(A105,'Villages according to موسوعة ال'!C:C,0)))</f>
        <v>1</v>
      </c>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row>
    <row r="106">
      <c r="A106" s="3" t="s">
        <v>345</v>
      </c>
      <c r="B106" s="26" t="s">
        <v>1163</v>
      </c>
      <c r="C106" s="7" t="s">
        <v>1163</v>
      </c>
      <c r="D106" s="7" t="s">
        <v>347</v>
      </c>
      <c r="E106" s="7" t="s">
        <v>900</v>
      </c>
      <c r="F106" s="7"/>
      <c r="G106" s="28"/>
      <c r="H106" s="7" t="s">
        <v>633</v>
      </c>
      <c r="I106" s="7" t="s">
        <v>638</v>
      </c>
      <c r="J106" s="7" t="s">
        <v>1164</v>
      </c>
      <c r="K106" s="47"/>
      <c r="L106" s="47"/>
      <c r="M106" s="48" t="b">
        <v>0</v>
      </c>
      <c r="N106" s="48" t="b">
        <v>0</v>
      </c>
      <c r="O106" s="48"/>
      <c r="P106" s="48" t="b">
        <v>0</v>
      </c>
      <c r="Q106" s="48" t="b">
        <v>0</v>
      </c>
      <c r="R106" s="48" t="b">
        <v>0</v>
      </c>
      <c r="S106" s="48"/>
      <c r="T106" s="32"/>
      <c r="U106" s="48" t="b">
        <v>0</v>
      </c>
      <c r="V106" s="48"/>
      <c r="W106" s="48" t="b">
        <v>0</v>
      </c>
      <c r="X106" s="48" t="b">
        <v>0</v>
      </c>
      <c r="Y106" s="48"/>
      <c r="Z106" s="48"/>
      <c r="AA106" s="48"/>
      <c r="AB106" s="48"/>
      <c r="AC106" s="49"/>
      <c r="AD106" s="48"/>
      <c r="AE106" s="48"/>
      <c r="AF106" s="48"/>
      <c r="AG106" s="48"/>
      <c r="AH106" s="48"/>
      <c r="AI106" s="48"/>
      <c r="AJ106" s="25"/>
      <c r="AK106" s="34" t="s">
        <v>636</v>
      </c>
      <c r="AL106" s="25"/>
      <c r="AM106" s="25"/>
      <c r="AN106" s="35" t="s">
        <v>1165</v>
      </c>
      <c r="AO106" s="24">
        <v>1.9675925925925926E-4</v>
      </c>
      <c r="AP106" s="74" t="s">
        <v>633</v>
      </c>
      <c r="AQ106" s="7" t="s">
        <v>633</v>
      </c>
      <c r="AR106" s="7" t="s">
        <v>633</v>
      </c>
      <c r="AS106" s="7" t="b">
        <f>NOT(ISERROR(MATCH(A106,'Villages according to موسوعة ال'!C:C,0)))</f>
        <v>1</v>
      </c>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row>
    <row r="107">
      <c r="A107" s="3" t="s">
        <v>345</v>
      </c>
      <c r="B107" s="26" t="s">
        <v>1163</v>
      </c>
      <c r="F107" s="7"/>
      <c r="G107" s="28"/>
      <c r="K107" s="47"/>
      <c r="L107" s="47"/>
      <c r="M107" s="48" t="b">
        <v>0</v>
      </c>
      <c r="N107" s="48" t="b">
        <v>0</v>
      </c>
      <c r="O107" s="48"/>
      <c r="P107" s="48" t="b">
        <v>0</v>
      </c>
      <c r="Q107" s="48" t="b">
        <v>0</v>
      </c>
      <c r="R107" s="48" t="b">
        <v>0</v>
      </c>
      <c r="S107" s="48"/>
      <c r="T107" s="32"/>
      <c r="U107" s="48" t="b">
        <v>0</v>
      </c>
      <c r="V107" s="48"/>
      <c r="W107" s="48" t="b">
        <v>0</v>
      </c>
      <c r="X107" s="48" t="b">
        <v>0</v>
      </c>
      <c r="Y107" s="48"/>
      <c r="Z107" s="48"/>
      <c r="AA107" s="48"/>
      <c r="AB107" s="48"/>
      <c r="AC107" s="49"/>
      <c r="AD107" s="48"/>
      <c r="AE107" s="48"/>
      <c r="AF107" s="48"/>
      <c r="AG107" s="48"/>
      <c r="AH107" s="48"/>
      <c r="AI107" s="48"/>
      <c r="AJ107" s="25"/>
      <c r="AK107" s="34" t="s">
        <v>636</v>
      </c>
      <c r="AL107" s="25"/>
      <c r="AM107" s="25"/>
      <c r="AN107" s="35" t="s">
        <v>1166</v>
      </c>
      <c r="AO107" s="24">
        <v>1.9675925925925926E-4</v>
      </c>
      <c r="AP107" s="74" t="s">
        <v>633</v>
      </c>
      <c r="AQ107" s="7" t="s">
        <v>633</v>
      </c>
      <c r="AR107" s="7" t="s">
        <v>633</v>
      </c>
      <c r="AS107" s="7" t="b">
        <f>NOT(ISERROR(MATCH(A107,'Villages according to موسوعة ال'!C:C,0)))</f>
        <v>1</v>
      </c>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row>
    <row r="108">
      <c r="A108" s="3" t="s">
        <v>345</v>
      </c>
      <c r="B108" s="43" t="s">
        <v>1163</v>
      </c>
      <c r="E108" s="87"/>
      <c r="F108" s="25"/>
      <c r="G108" s="28" t="s">
        <v>615</v>
      </c>
      <c r="H108" s="7" t="s">
        <v>1167</v>
      </c>
      <c r="I108" s="7" t="s">
        <v>638</v>
      </c>
      <c r="J108" s="7" t="s">
        <v>1168</v>
      </c>
      <c r="K108" s="54" t="s">
        <v>1169</v>
      </c>
      <c r="L108" s="30" t="s">
        <v>1170</v>
      </c>
      <c r="M108" s="32" t="b">
        <v>0</v>
      </c>
      <c r="N108" s="32" t="b">
        <v>0</v>
      </c>
      <c r="O108" s="32"/>
      <c r="P108" s="32" t="b">
        <v>0</v>
      </c>
      <c r="Q108" s="32" t="b">
        <v>0</v>
      </c>
      <c r="R108" s="32" t="b">
        <v>0</v>
      </c>
      <c r="S108" s="32"/>
      <c r="T108" s="32"/>
      <c r="U108" s="32" t="b">
        <v>0</v>
      </c>
      <c r="V108" s="32"/>
      <c r="W108" s="32" t="b">
        <v>0</v>
      </c>
      <c r="X108" s="32" t="b">
        <v>0</v>
      </c>
      <c r="Y108" s="32"/>
      <c r="Z108" s="32"/>
      <c r="AA108" s="32"/>
      <c r="AB108" s="32"/>
      <c r="AC108" s="33"/>
      <c r="AD108" s="32"/>
      <c r="AE108" s="32"/>
      <c r="AF108" s="32"/>
      <c r="AG108" s="32"/>
      <c r="AH108" s="32"/>
      <c r="AI108" s="32"/>
      <c r="AJ108" s="25"/>
      <c r="AK108" s="34" t="s">
        <v>718</v>
      </c>
      <c r="AL108" s="3" t="s">
        <v>734</v>
      </c>
      <c r="AM108" s="3" t="s">
        <v>700</v>
      </c>
      <c r="AN108" s="35" t="s">
        <v>1171</v>
      </c>
      <c r="AO108" s="24">
        <v>0.001863425925925926</v>
      </c>
      <c r="AP108" s="74" t="s">
        <v>1172</v>
      </c>
      <c r="AQ108" s="7" t="s">
        <v>633</v>
      </c>
      <c r="AR108" s="35" t="s">
        <v>1173</v>
      </c>
      <c r="AS108" s="7" t="b">
        <f>NOT(ISERROR(MATCH(A108,'Villages according to موسوعة ال'!C:C,0)))</f>
        <v>1</v>
      </c>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row>
    <row r="109">
      <c r="A109" s="3" t="s">
        <v>345</v>
      </c>
      <c r="B109" s="26" t="s">
        <v>1163</v>
      </c>
      <c r="E109" s="7"/>
      <c r="F109" s="25"/>
      <c r="G109" s="84"/>
      <c r="H109" s="7" t="s">
        <v>633</v>
      </c>
      <c r="I109" s="7" t="s">
        <v>616</v>
      </c>
      <c r="J109" s="7" t="s">
        <v>1174</v>
      </c>
      <c r="K109" s="47"/>
      <c r="L109" s="30" t="s">
        <v>1175</v>
      </c>
      <c r="M109" s="32" t="b">
        <v>0</v>
      </c>
      <c r="N109" s="32" t="b">
        <v>0</v>
      </c>
      <c r="O109" s="32"/>
      <c r="P109" s="32" t="b">
        <v>0</v>
      </c>
      <c r="Q109" s="32" t="b">
        <v>0</v>
      </c>
      <c r="R109" s="32" t="b">
        <v>0</v>
      </c>
      <c r="S109" s="32"/>
      <c r="T109" s="32"/>
      <c r="U109" s="32" t="b">
        <v>0</v>
      </c>
      <c r="V109" s="32"/>
      <c r="W109" s="32" t="b">
        <v>0</v>
      </c>
      <c r="X109" s="32" t="b">
        <v>0</v>
      </c>
      <c r="Y109" s="32"/>
      <c r="Z109" s="32"/>
      <c r="AA109" s="32"/>
      <c r="AB109" s="32"/>
      <c r="AC109" s="33"/>
      <c r="AD109" s="32"/>
      <c r="AE109" s="32"/>
      <c r="AF109" s="32"/>
      <c r="AG109" s="32"/>
      <c r="AH109" s="32"/>
      <c r="AI109" s="32"/>
      <c r="AJ109" s="25"/>
      <c r="AK109" s="34" t="s">
        <v>636</v>
      </c>
      <c r="AL109" s="25"/>
      <c r="AM109" s="25"/>
      <c r="AN109" s="35" t="s">
        <v>1176</v>
      </c>
      <c r="AO109" s="24">
        <v>4.976851851851852E-4</v>
      </c>
      <c r="AP109" s="74" t="s">
        <v>1172</v>
      </c>
      <c r="AQ109" s="7" t="s">
        <v>633</v>
      </c>
      <c r="AR109" s="7" t="s">
        <v>633</v>
      </c>
      <c r="AS109" s="7" t="b">
        <f>NOT(ISERROR(MATCH(A109,'Villages according to موسوعة ال'!C:C,0)))</f>
        <v>1</v>
      </c>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row>
    <row r="110">
      <c r="A110" s="7" t="s">
        <v>280</v>
      </c>
      <c r="B110" s="43" t="s">
        <v>281</v>
      </c>
      <c r="C110" s="7" t="s">
        <v>281</v>
      </c>
      <c r="D110" s="7" t="s">
        <v>282</v>
      </c>
      <c r="E110" s="25"/>
      <c r="F110" s="25"/>
      <c r="G110" s="28" t="s">
        <v>835</v>
      </c>
      <c r="H110" s="25"/>
      <c r="I110" s="7" t="s">
        <v>616</v>
      </c>
      <c r="J110" s="7" t="s">
        <v>1177</v>
      </c>
      <c r="K110" s="47"/>
      <c r="L110" s="47"/>
      <c r="M110" s="48" t="b">
        <v>0</v>
      </c>
      <c r="N110" s="48" t="b">
        <v>0</v>
      </c>
      <c r="O110" s="48"/>
      <c r="P110" s="48" t="b">
        <v>0</v>
      </c>
      <c r="Q110" s="48" t="b">
        <v>0</v>
      </c>
      <c r="R110" s="48" t="b">
        <v>0</v>
      </c>
      <c r="S110" s="48"/>
      <c r="T110" s="32"/>
      <c r="U110" s="48" t="b">
        <v>0</v>
      </c>
      <c r="V110" s="48"/>
      <c r="W110" s="48" t="b">
        <v>0</v>
      </c>
      <c r="X110" s="48" t="b">
        <v>0</v>
      </c>
      <c r="Y110" s="48"/>
      <c r="Z110" s="48"/>
      <c r="AA110" s="48"/>
      <c r="AB110" s="48"/>
      <c r="AC110" s="49"/>
      <c r="AD110" s="48"/>
      <c r="AE110" s="48"/>
      <c r="AF110" s="48"/>
      <c r="AG110" s="48"/>
      <c r="AH110" s="48"/>
      <c r="AI110" s="48"/>
      <c r="AJ110" s="3" t="s">
        <v>1178</v>
      </c>
      <c r="AK110" s="34" t="s">
        <v>631</v>
      </c>
      <c r="AL110" s="25"/>
      <c r="AM110" s="25"/>
      <c r="AN110" s="35" t="s">
        <v>1179</v>
      </c>
      <c r="AO110" s="24">
        <v>0.0078125</v>
      </c>
      <c r="AP110" s="78"/>
      <c r="AQ110" s="25"/>
      <c r="AR110" s="7" t="s">
        <v>633</v>
      </c>
      <c r="AS110" s="7" t="b">
        <f>NOT(ISERROR(MATCH(A110,'Villages according to موسوعة ال'!C:C,0)))</f>
        <v>1</v>
      </c>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row>
    <row r="111">
      <c r="A111" s="7" t="s">
        <v>512</v>
      </c>
      <c r="B111" s="26" t="s">
        <v>513</v>
      </c>
      <c r="C111" s="7" t="s">
        <v>513</v>
      </c>
      <c r="D111" s="7" t="s">
        <v>514</v>
      </c>
      <c r="E111" s="25"/>
      <c r="F111" s="25"/>
      <c r="G111" s="84"/>
      <c r="H111" s="7" t="s">
        <v>1180</v>
      </c>
      <c r="I111" s="7" t="s">
        <v>638</v>
      </c>
      <c r="J111" s="7" t="s">
        <v>1181</v>
      </c>
      <c r="K111" s="54" t="s">
        <v>1182</v>
      </c>
      <c r="L111" s="54" t="s">
        <v>1183</v>
      </c>
      <c r="M111" s="31" t="b">
        <v>0</v>
      </c>
      <c r="N111" s="31" t="b">
        <v>0</v>
      </c>
      <c r="O111" s="31"/>
      <c r="P111" s="31" t="b">
        <v>0</v>
      </c>
      <c r="Q111" s="31" t="b">
        <v>0</v>
      </c>
      <c r="R111" s="31" t="b">
        <v>0</v>
      </c>
      <c r="S111" s="31"/>
      <c r="T111" s="32"/>
      <c r="U111" s="31" t="b">
        <v>0</v>
      </c>
      <c r="V111" s="31"/>
      <c r="W111" s="31" t="b">
        <v>0</v>
      </c>
      <c r="X111" s="31" t="b">
        <v>0</v>
      </c>
      <c r="Y111" s="31"/>
      <c r="Z111" s="31"/>
      <c r="AA111" s="31"/>
      <c r="AB111" s="31"/>
      <c r="AC111" s="45"/>
      <c r="AD111" s="31"/>
      <c r="AE111" s="31"/>
      <c r="AF111" s="31"/>
      <c r="AG111" s="31"/>
      <c r="AH111" s="31"/>
      <c r="AI111" s="31"/>
      <c r="AJ111" s="25"/>
      <c r="AK111" s="34" t="s">
        <v>636</v>
      </c>
      <c r="AL111" s="25"/>
      <c r="AM111" s="25"/>
      <c r="AN111" s="35" t="s">
        <v>1184</v>
      </c>
      <c r="AO111" s="24">
        <v>0.019189814814814816</v>
      </c>
      <c r="AP111" s="74" t="s">
        <v>1185</v>
      </c>
      <c r="AQ111" s="25"/>
      <c r="AR111" s="7" t="s">
        <v>633</v>
      </c>
      <c r="AS111" s="7" t="b">
        <f>NOT(ISERROR(MATCH(A111,'Villages according to موسوعة ال'!C:C,0)))</f>
        <v>1</v>
      </c>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row>
    <row r="112">
      <c r="A112" s="7" t="s">
        <v>512</v>
      </c>
      <c r="B112" s="43" t="s">
        <v>513</v>
      </c>
      <c r="E112" s="25"/>
      <c r="F112" s="25"/>
      <c r="G112" s="28" t="s">
        <v>615</v>
      </c>
      <c r="H112" s="7" t="s">
        <v>1186</v>
      </c>
      <c r="I112" s="7" t="s">
        <v>616</v>
      </c>
      <c r="J112" s="7" t="s">
        <v>1187</v>
      </c>
      <c r="K112" s="54" t="s">
        <v>1188</v>
      </c>
      <c r="L112" s="47"/>
      <c r="M112" s="48" t="b">
        <v>0</v>
      </c>
      <c r="N112" s="48" t="b">
        <v>0</v>
      </c>
      <c r="O112" s="48"/>
      <c r="P112" s="48" t="b">
        <v>0</v>
      </c>
      <c r="Q112" s="48" t="b">
        <v>0</v>
      </c>
      <c r="R112" s="48" t="b">
        <v>0</v>
      </c>
      <c r="S112" s="48"/>
      <c r="T112" s="32"/>
      <c r="U112" s="48" t="b">
        <v>0</v>
      </c>
      <c r="V112" s="48"/>
      <c r="W112" s="48" t="b">
        <v>0</v>
      </c>
      <c r="X112" s="48" t="b">
        <v>0</v>
      </c>
      <c r="Y112" s="48"/>
      <c r="Z112" s="48"/>
      <c r="AA112" s="48"/>
      <c r="AB112" s="48"/>
      <c r="AC112" s="49"/>
      <c r="AD112" s="48"/>
      <c r="AE112" s="48"/>
      <c r="AF112" s="48"/>
      <c r="AG112" s="48"/>
      <c r="AH112" s="48"/>
      <c r="AI112" s="48"/>
      <c r="AJ112" s="3" t="s">
        <v>1189</v>
      </c>
      <c r="AK112" s="34" t="s">
        <v>631</v>
      </c>
      <c r="AL112" s="25"/>
      <c r="AM112" s="25"/>
      <c r="AN112" s="35" t="s">
        <v>1190</v>
      </c>
      <c r="AO112" s="24">
        <v>0.024444444444444446</v>
      </c>
      <c r="AP112" s="74" t="s">
        <v>1185</v>
      </c>
      <c r="AQ112" s="25"/>
      <c r="AR112" s="7" t="s">
        <v>633</v>
      </c>
      <c r="AS112" s="7" t="b">
        <f>NOT(ISERROR(MATCH(A112,'Villages according to موسوعة ال'!C:C,0)))</f>
        <v>1</v>
      </c>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row>
    <row r="113">
      <c r="A113" s="3" t="s">
        <v>503</v>
      </c>
      <c r="B113" s="43" t="s">
        <v>504</v>
      </c>
      <c r="C113" s="7" t="s">
        <v>504</v>
      </c>
      <c r="D113" s="7" t="s">
        <v>505</v>
      </c>
      <c r="E113" s="25"/>
      <c r="F113" s="25"/>
      <c r="G113" s="28" t="s">
        <v>615</v>
      </c>
      <c r="H113" s="7" t="s">
        <v>1191</v>
      </c>
      <c r="I113" s="7" t="s">
        <v>638</v>
      </c>
      <c r="J113" s="7" t="s">
        <v>1192</v>
      </c>
      <c r="K113" s="47"/>
      <c r="L113" s="47"/>
      <c r="M113" s="60" t="b">
        <v>1</v>
      </c>
      <c r="N113" s="48" t="b">
        <v>0</v>
      </c>
      <c r="O113" s="60" t="s">
        <v>620</v>
      </c>
      <c r="P113" s="48" t="b">
        <v>0</v>
      </c>
      <c r="Q113" s="48" t="b">
        <v>0</v>
      </c>
      <c r="R113" s="48" t="b">
        <v>0</v>
      </c>
      <c r="S113" s="60" t="s">
        <v>621</v>
      </c>
      <c r="T113" s="60" t="s">
        <v>622</v>
      </c>
      <c r="U113" s="48" t="b">
        <v>0</v>
      </c>
      <c r="V113" s="60" t="s">
        <v>685</v>
      </c>
      <c r="W113" s="48" t="b">
        <v>0</v>
      </c>
      <c r="X113" s="48" t="b">
        <v>0</v>
      </c>
      <c r="Y113" s="48"/>
      <c r="Z113" s="60" t="s">
        <v>652</v>
      </c>
      <c r="AA113" s="48"/>
      <c r="AB113" s="60" t="s">
        <v>1193</v>
      </c>
      <c r="AC113" s="49"/>
      <c r="AD113" s="32" t="s">
        <v>686</v>
      </c>
      <c r="AE113" s="48"/>
      <c r="AF113" s="32" t="s">
        <v>627</v>
      </c>
      <c r="AG113" s="48"/>
      <c r="AH113" s="48"/>
      <c r="AI113" s="32" t="s">
        <v>673</v>
      </c>
      <c r="AJ113" s="3" t="s">
        <v>1194</v>
      </c>
      <c r="AK113" s="34" t="s">
        <v>698</v>
      </c>
      <c r="AL113" s="3" t="s">
        <v>675</v>
      </c>
      <c r="AM113" s="3" t="s">
        <v>868</v>
      </c>
      <c r="AN113" s="35" t="s">
        <v>1195</v>
      </c>
      <c r="AO113" s="24">
        <v>0.019895833333333335</v>
      </c>
      <c r="AP113" s="74" t="s">
        <v>1185</v>
      </c>
      <c r="AQ113" s="25"/>
      <c r="AR113" s="35" t="s">
        <v>1196</v>
      </c>
      <c r="AS113" s="7" t="b">
        <f>NOT(ISERROR(MATCH(A113,'Villages according to موسوعة ال'!C:C,0)))</f>
        <v>1</v>
      </c>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row>
    <row r="114">
      <c r="A114" s="3" t="s">
        <v>503</v>
      </c>
      <c r="B114" s="26" t="s">
        <v>504</v>
      </c>
      <c r="E114" s="25"/>
      <c r="F114" s="25"/>
      <c r="G114" s="84"/>
      <c r="K114" s="47"/>
      <c r="L114" s="47"/>
      <c r="M114" s="48" t="b">
        <v>0</v>
      </c>
      <c r="N114" s="48" t="b">
        <v>0</v>
      </c>
      <c r="O114" s="48"/>
      <c r="P114" s="48" t="b">
        <v>0</v>
      </c>
      <c r="Q114" s="48" t="b">
        <v>0</v>
      </c>
      <c r="R114" s="48" t="b">
        <v>0</v>
      </c>
      <c r="S114" s="48"/>
      <c r="T114" s="32"/>
      <c r="U114" s="48" t="b">
        <v>0</v>
      </c>
      <c r="V114" s="48"/>
      <c r="W114" s="48" t="b">
        <v>0</v>
      </c>
      <c r="X114" s="48" t="b">
        <v>0</v>
      </c>
      <c r="Y114" s="48"/>
      <c r="Z114" s="48"/>
      <c r="AA114" s="48"/>
      <c r="AB114" s="48"/>
      <c r="AC114" s="49"/>
      <c r="AD114" s="48"/>
      <c r="AE114" s="48"/>
      <c r="AF114" s="48"/>
      <c r="AG114" s="48"/>
      <c r="AH114" s="48"/>
      <c r="AI114" s="48"/>
      <c r="AJ114" s="25"/>
      <c r="AK114" s="34" t="s">
        <v>636</v>
      </c>
      <c r="AL114" s="25"/>
      <c r="AM114" s="25"/>
      <c r="AN114" s="35" t="s">
        <v>1197</v>
      </c>
      <c r="AO114" s="24">
        <v>0.0014930555555555556</v>
      </c>
      <c r="AP114" s="74" t="s">
        <v>1185</v>
      </c>
      <c r="AQ114" s="25"/>
      <c r="AR114" s="35" t="s">
        <v>1198</v>
      </c>
      <c r="AS114" s="7" t="b">
        <f>NOT(ISERROR(MATCH(A114,'Villages according to موسوعة ال'!C:C,0)))</f>
        <v>1</v>
      </c>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row>
    <row r="115">
      <c r="A115" s="3" t="s">
        <v>503</v>
      </c>
      <c r="B115" s="26" t="s">
        <v>504</v>
      </c>
      <c r="E115" s="25"/>
      <c r="F115" s="25"/>
      <c r="G115" s="84"/>
      <c r="H115" s="7"/>
      <c r="I115" s="7" t="s">
        <v>616</v>
      </c>
      <c r="J115" s="7" t="s">
        <v>1199</v>
      </c>
      <c r="K115" s="47"/>
      <c r="L115" s="47"/>
      <c r="M115" s="48" t="b">
        <v>0</v>
      </c>
      <c r="N115" s="48" t="b">
        <v>0</v>
      </c>
      <c r="O115" s="48"/>
      <c r="P115" s="48" t="b">
        <v>0</v>
      </c>
      <c r="Q115" s="48" t="b">
        <v>0</v>
      </c>
      <c r="R115" s="48" t="b">
        <v>0</v>
      </c>
      <c r="S115" s="48"/>
      <c r="T115" s="32"/>
      <c r="U115" s="48" t="b">
        <v>0</v>
      </c>
      <c r="V115" s="48"/>
      <c r="W115" s="48" t="b">
        <v>0</v>
      </c>
      <c r="X115" s="48" t="b">
        <v>0</v>
      </c>
      <c r="Y115" s="48"/>
      <c r="Z115" s="48"/>
      <c r="AA115" s="48"/>
      <c r="AB115" s="48"/>
      <c r="AC115" s="49"/>
      <c r="AD115" s="48"/>
      <c r="AE115" s="48"/>
      <c r="AF115" s="48"/>
      <c r="AG115" s="48"/>
      <c r="AH115" s="48"/>
      <c r="AI115" s="48"/>
      <c r="AJ115" s="25"/>
      <c r="AK115" s="34" t="s">
        <v>636</v>
      </c>
      <c r="AL115" s="25"/>
      <c r="AM115" s="25"/>
      <c r="AN115" s="35" t="s">
        <v>1200</v>
      </c>
      <c r="AO115" s="24">
        <v>0.0010532407407407407</v>
      </c>
      <c r="AP115" s="74" t="s">
        <v>1185</v>
      </c>
      <c r="AQ115" s="25"/>
      <c r="AR115" s="7" t="s">
        <v>633</v>
      </c>
      <c r="AS115" s="7" t="b">
        <f>NOT(ISERROR(MATCH(A115,'Villages according to موسوعة ال'!C:C,0)))</f>
        <v>1</v>
      </c>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row>
    <row r="116">
      <c r="A116" s="3" t="s">
        <v>503</v>
      </c>
      <c r="B116" s="26" t="s">
        <v>504</v>
      </c>
      <c r="E116" s="25"/>
      <c r="F116" s="25"/>
      <c r="G116" s="84"/>
      <c r="K116" s="47"/>
      <c r="L116" s="47"/>
      <c r="M116" s="48" t="b">
        <v>0</v>
      </c>
      <c r="N116" s="48" t="b">
        <v>0</v>
      </c>
      <c r="O116" s="48"/>
      <c r="P116" s="48" t="b">
        <v>0</v>
      </c>
      <c r="Q116" s="48" t="b">
        <v>0</v>
      </c>
      <c r="R116" s="48" t="b">
        <v>0</v>
      </c>
      <c r="S116" s="48"/>
      <c r="T116" s="32"/>
      <c r="U116" s="48" t="b">
        <v>0</v>
      </c>
      <c r="V116" s="48"/>
      <c r="W116" s="48" t="b">
        <v>0</v>
      </c>
      <c r="X116" s="48" t="b">
        <v>0</v>
      </c>
      <c r="Y116" s="48"/>
      <c r="Z116" s="48"/>
      <c r="AA116" s="48"/>
      <c r="AB116" s="48"/>
      <c r="AC116" s="49"/>
      <c r="AD116" s="48"/>
      <c r="AE116" s="48"/>
      <c r="AF116" s="48"/>
      <c r="AG116" s="48"/>
      <c r="AH116" s="48"/>
      <c r="AI116" s="48"/>
      <c r="AJ116" s="25"/>
      <c r="AK116" s="34" t="s">
        <v>636</v>
      </c>
      <c r="AL116" s="25"/>
      <c r="AM116" s="25"/>
      <c r="AN116" s="35" t="s">
        <v>1201</v>
      </c>
      <c r="AO116" s="24">
        <v>9.143518518518518E-4</v>
      </c>
      <c r="AP116" s="74" t="s">
        <v>1185</v>
      </c>
      <c r="AQ116" s="25"/>
      <c r="AR116" s="7" t="s">
        <v>633</v>
      </c>
      <c r="AS116" s="7" t="b">
        <f>NOT(ISERROR(MATCH(A116,'Villages according to موسوعة ال'!C:C,0)))</f>
        <v>1</v>
      </c>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row>
    <row r="117">
      <c r="A117" s="3" t="s">
        <v>503</v>
      </c>
      <c r="B117" s="43" t="s">
        <v>504</v>
      </c>
      <c r="E117" s="25"/>
      <c r="F117" s="25"/>
      <c r="G117" s="28" t="s">
        <v>615</v>
      </c>
      <c r="K117" s="47"/>
      <c r="L117" s="47"/>
      <c r="M117" s="48" t="b">
        <v>0</v>
      </c>
      <c r="N117" s="48" t="b">
        <v>0</v>
      </c>
      <c r="O117" s="48"/>
      <c r="P117" s="48" t="b">
        <v>0</v>
      </c>
      <c r="Q117" s="48" t="b">
        <v>0</v>
      </c>
      <c r="R117" s="48" t="b">
        <v>0</v>
      </c>
      <c r="S117" s="48"/>
      <c r="T117" s="32"/>
      <c r="U117" s="48" t="b">
        <v>0</v>
      </c>
      <c r="V117" s="48"/>
      <c r="W117" s="48" t="b">
        <v>0</v>
      </c>
      <c r="X117" s="48" t="b">
        <v>0</v>
      </c>
      <c r="Y117" s="48"/>
      <c r="Z117" s="48"/>
      <c r="AA117" s="48"/>
      <c r="AB117" s="48"/>
      <c r="AC117" s="49"/>
      <c r="AD117" s="48"/>
      <c r="AE117" s="48"/>
      <c r="AF117" s="48"/>
      <c r="AG117" s="48"/>
      <c r="AH117" s="48"/>
      <c r="AI117" s="48"/>
      <c r="AJ117" s="25"/>
      <c r="AK117" s="34" t="s">
        <v>631</v>
      </c>
      <c r="AL117" s="25"/>
      <c r="AM117" s="25"/>
      <c r="AN117" s="35" t="s">
        <v>1202</v>
      </c>
      <c r="AO117" s="24">
        <v>4.7453703703703704E-4</v>
      </c>
      <c r="AP117" s="74" t="s">
        <v>1185</v>
      </c>
      <c r="AQ117" s="25"/>
      <c r="AR117" s="7" t="s">
        <v>633</v>
      </c>
      <c r="AS117" s="7" t="b">
        <f>NOT(ISERROR(MATCH(A117,'Villages according to موسوعة ال'!C:C,0)))</f>
        <v>1</v>
      </c>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row>
    <row r="118">
      <c r="A118" s="3" t="s">
        <v>503</v>
      </c>
      <c r="B118" s="26" t="s">
        <v>504</v>
      </c>
      <c r="E118" s="25"/>
      <c r="F118" s="25"/>
      <c r="G118" s="84"/>
      <c r="K118" s="47"/>
      <c r="L118" s="47"/>
      <c r="M118" s="48" t="b">
        <v>0</v>
      </c>
      <c r="N118" s="48" t="b">
        <v>0</v>
      </c>
      <c r="O118" s="48"/>
      <c r="P118" s="48" t="b">
        <v>0</v>
      </c>
      <c r="Q118" s="48" t="b">
        <v>0</v>
      </c>
      <c r="R118" s="48" t="b">
        <v>0</v>
      </c>
      <c r="S118" s="48"/>
      <c r="T118" s="32"/>
      <c r="U118" s="48" t="b">
        <v>0</v>
      </c>
      <c r="V118" s="48"/>
      <c r="W118" s="48" t="b">
        <v>0</v>
      </c>
      <c r="X118" s="48" t="b">
        <v>0</v>
      </c>
      <c r="Y118" s="48"/>
      <c r="Z118" s="48"/>
      <c r="AA118" s="48"/>
      <c r="AB118" s="48"/>
      <c r="AC118" s="49"/>
      <c r="AD118" s="48"/>
      <c r="AE118" s="48"/>
      <c r="AF118" s="48"/>
      <c r="AG118" s="48"/>
      <c r="AH118" s="48"/>
      <c r="AI118" s="48"/>
      <c r="AJ118" s="25"/>
      <c r="AK118" s="34" t="s">
        <v>636</v>
      </c>
      <c r="AL118" s="25"/>
      <c r="AM118" s="25"/>
      <c r="AN118" s="35" t="s">
        <v>1203</v>
      </c>
      <c r="AO118" s="24">
        <v>0.0014467592592592592</v>
      </c>
      <c r="AP118" s="74" t="s">
        <v>1185</v>
      </c>
      <c r="AQ118" s="25"/>
      <c r="AR118" s="7" t="s">
        <v>633</v>
      </c>
      <c r="AS118" s="7" t="b">
        <f>NOT(ISERROR(MATCH(A118,'Villages according to موسوعة ال'!C:C,0)))</f>
        <v>1</v>
      </c>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row>
    <row r="119">
      <c r="A119" s="3" t="s">
        <v>503</v>
      </c>
      <c r="B119" s="43" t="s">
        <v>504</v>
      </c>
      <c r="E119" s="25"/>
      <c r="F119" s="25"/>
      <c r="G119" s="28" t="s">
        <v>615</v>
      </c>
      <c r="K119" s="47"/>
      <c r="L119" s="47"/>
      <c r="M119" s="48" t="b">
        <v>0</v>
      </c>
      <c r="N119" s="48" t="b">
        <v>0</v>
      </c>
      <c r="O119" s="48"/>
      <c r="P119" s="48" t="b">
        <v>0</v>
      </c>
      <c r="Q119" s="48" t="b">
        <v>0</v>
      </c>
      <c r="R119" s="48" t="b">
        <v>0</v>
      </c>
      <c r="S119" s="48"/>
      <c r="T119" s="32"/>
      <c r="U119" s="48" t="b">
        <v>0</v>
      </c>
      <c r="V119" s="48"/>
      <c r="W119" s="48" t="b">
        <v>0</v>
      </c>
      <c r="X119" s="48" t="b">
        <v>0</v>
      </c>
      <c r="Y119" s="48"/>
      <c r="Z119" s="48"/>
      <c r="AA119" s="48"/>
      <c r="AB119" s="48"/>
      <c r="AC119" s="49"/>
      <c r="AD119" s="48"/>
      <c r="AE119" s="48"/>
      <c r="AF119" s="48"/>
      <c r="AG119" s="48"/>
      <c r="AH119" s="48"/>
      <c r="AI119" s="48"/>
      <c r="AJ119" s="25"/>
      <c r="AK119" s="34" t="s">
        <v>631</v>
      </c>
      <c r="AL119" s="25"/>
      <c r="AM119" s="25"/>
      <c r="AN119" s="35" t="s">
        <v>1204</v>
      </c>
      <c r="AO119" s="24">
        <v>9.375E-4</v>
      </c>
      <c r="AP119" s="74" t="s">
        <v>1185</v>
      </c>
      <c r="AQ119" s="25"/>
      <c r="AR119" s="7" t="s">
        <v>633</v>
      </c>
      <c r="AS119" s="7" t="b">
        <f>NOT(ISERROR(MATCH(A119,'Villages according to موسوعة ال'!C:C,0)))</f>
        <v>1</v>
      </c>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row>
    <row r="120">
      <c r="A120" s="3" t="s">
        <v>1205</v>
      </c>
      <c r="B120" s="7" t="s">
        <v>1206</v>
      </c>
      <c r="C120" s="7" t="s">
        <v>358</v>
      </c>
      <c r="D120" s="7" t="s">
        <v>1207</v>
      </c>
      <c r="E120" s="7" t="s">
        <v>958</v>
      </c>
      <c r="F120" s="7" t="s">
        <v>959</v>
      </c>
      <c r="G120" s="28" t="s">
        <v>960</v>
      </c>
      <c r="H120" s="7" t="s">
        <v>1208</v>
      </c>
      <c r="I120" s="7" t="s">
        <v>638</v>
      </c>
      <c r="J120" s="7" t="s">
        <v>1209</v>
      </c>
      <c r="K120" s="54" t="s">
        <v>1210</v>
      </c>
      <c r="L120" s="54" t="s">
        <v>1211</v>
      </c>
      <c r="M120" s="31" t="b">
        <v>0</v>
      </c>
      <c r="N120" s="31" t="b">
        <v>0</v>
      </c>
      <c r="O120" s="31"/>
      <c r="P120" s="31" t="b">
        <v>0</v>
      </c>
      <c r="Q120" s="31" t="b">
        <v>0</v>
      </c>
      <c r="R120" s="31" t="b">
        <v>0</v>
      </c>
      <c r="S120" s="31"/>
      <c r="T120" s="32"/>
      <c r="U120" s="31" t="b">
        <v>0</v>
      </c>
      <c r="V120" s="31"/>
      <c r="W120" s="31" t="b">
        <v>0</v>
      </c>
      <c r="X120" s="31" t="b">
        <v>0</v>
      </c>
      <c r="Y120" s="31"/>
      <c r="Z120" s="31"/>
      <c r="AA120" s="31"/>
      <c r="AB120" s="31"/>
      <c r="AC120" s="45"/>
      <c r="AD120" s="31"/>
      <c r="AE120" s="31"/>
      <c r="AF120" s="31"/>
      <c r="AG120" s="31"/>
      <c r="AH120" s="31"/>
      <c r="AI120" s="31"/>
      <c r="AJ120" s="3"/>
      <c r="AK120" s="34" t="s">
        <v>631</v>
      </c>
      <c r="AL120" s="25"/>
      <c r="AM120" s="3"/>
      <c r="AN120" s="35" t="s">
        <v>1212</v>
      </c>
      <c r="AO120" s="24">
        <v>0.0016666666666666668</v>
      </c>
      <c r="AP120" s="74" t="s">
        <v>1213</v>
      </c>
      <c r="AQ120" s="25"/>
      <c r="AR120" s="7" t="s">
        <v>633</v>
      </c>
      <c r="AS120" s="7" t="b">
        <f>NOT(ISERROR(MATCH(A120,'Villages according to موسوعة ال'!C:C,0)))</f>
        <v>1</v>
      </c>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row>
    <row r="121">
      <c r="A121" s="3" t="s">
        <v>327</v>
      </c>
      <c r="B121" s="7" t="s">
        <v>328</v>
      </c>
      <c r="C121" s="7" t="s">
        <v>328</v>
      </c>
      <c r="D121" s="7" t="s">
        <v>329</v>
      </c>
      <c r="E121" s="7"/>
      <c r="F121" s="7"/>
      <c r="G121" s="28"/>
      <c r="H121" s="7" t="s">
        <v>1214</v>
      </c>
      <c r="I121" s="7" t="s">
        <v>616</v>
      </c>
      <c r="J121" s="7" t="s">
        <v>1215</v>
      </c>
      <c r="K121" s="54"/>
      <c r="L121" s="54"/>
      <c r="M121" s="31" t="b">
        <v>0</v>
      </c>
      <c r="N121" s="31" t="b">
        <v>0</v>
      </c>
      <c r="O121" s="31"/>
      <c r="P121" s="31" t="b">
        <v>0</v>
      </c>
      <c r="Q121" s="31" t="b">
        <v>0</v>
      </c>
      <c r="R121" s="31" t="b">
        <v>0</v>
      </c>
      <c r="S121" s="31"/>
      <c r="T121" s="32"/>
      <c r="U121" s="31" t="b">
        <v>0</v>
      </c>
      <c r="V121" s="31"/>
      <c r="W121" s="31" t="b">
        <v>0</v>
      </c>
      <c r="X121" s="31" t="b">
        <v>0</v>
      </c>
      <c r="Y121" s="31"/>
      <c r="Z121" s="31"/>
      <c r="AA121" s="31"/>
      <c r="AB121" s="31"/>
      <c r="AC121" s="45"/>
      <c r="AD121" s="31"/>
      <c r="AE121" s="31"/>
      <c r="AF121" s="31"/>
      <c r="AG121" s="31"/>
      <c r="AH121" s="31"/>
      <c r="AI121" s="31"/>
      <c r="AJ121" s="3"/>
      <c r="AK121" s="34" t="s">
        <v>698</v>
      </c>
      <c r="AL121" s="3" t="s">
        <v>699</v>
      </c>
      <c r="AM121" s="3" t="s">
        <v>868</v>
      </c>
      <c r="AN121" s="35" t="s">
        <v>1216</v>
      </c>
      <c r="AO121" s="24">
        <v>0.0028125</v>
      </c>
      <c r="AP121" s="74"/>
      <c r="AQ121" s="25"/>
      <c r="AR121" s="35" t="s">
        <v>1217</v>
      </c>
      <c r="AS121" s="7" t="b">
        <f>NOT(ISERROR(MATCH(A121,'Villages according to موسوعة ال'!C:C,0)))</f>
        <v>1</v>
      </c>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row>
    <row r="122">
      <c r="A122" s="7" t="s">
        <v>227</v>
      </c>
      <c r="B122" s="43" t="s">
        <v>228</v>
      </c>
      <c r="C122" s="7" t="s">
        <v>228</v>
      </c>
      <c r="D122" s="7" t="s">
        <v>229</v>
      </c>
      <c r="E122" s="7" t="s">
        <v>691</v>
      </c>
      <c r="F122" s="7" t="s">
        <v>692</v>
      </c>
      <c r="G122" s="28" t="s">
        <v>693</v>
      </c>
      <c r="H122" s="7" t="s">
        <v>1218</v>
      </c>
      <c r="I122" s="7" t="s">
        <v>616</v>
      </c>
      <c r="J122" s="7" t="s">
        <v>1219</v>
      </c>
      <c r="K122" s="54" t="s">
        <v>1220</v>
      </c>
      <c r="L122" s="29" t="s">
        <v>1221</v>
      </c>
      <c r="M122" s="32" t="b">
        <v>1</v>
      </c>
      <c r="N122" s="60" t="b">
        <v>0</v>
      </c>
      <c r="O122" s="32" t="s">
        <v>620</v>
      </c>
      <c r="P122" s="60" t="b">
        <v>0</v>
      </c>
      <c r="Q122" s="60" t="b">
        <v>0</v>
      </c>
      <c r="R122" s="60" t="b">
        <v>0</v>
      </c>
      <c r="S122" s="32" t="s">
        <v>621</v>
      </c>
      <c r="T122" s="32" t="s">
        <v>670</v>
      </c>
      <c r="U122" s="60" t="b">
        <v>0</v>
      </c>
      <c r="V122" s="60"/>
      <c r="W122" s="32" t="b">
        <v>1</v>
      </c>
      <c r="X122" s="60" t="b">
        <v>0</v>
      </c>
      <c r="Y122" s="32" t="s">
        <v>671</v>
      </c>
      <c r="Z122" s="60"/>
      <c r="AA122" s="60"/>
      <c r="AB122" s="32" t="s">
        <v>624</v>
      </c>
      <c r="AC122" s="33" t="s">
        <v>995</v>
      </c>
      <c r="AD122" s="32" t="s">
        <v>686</v>
      </c>
      <c r="AE122" s="60"/>
      <c r="AF122" s="32" t="s">
        <v>627</v>
      </c>
      <c r="AG122" s="60"/>
      <c r="AH122" s="60"/>
      <c r="AI122" s="32" t="s">
        <v>673</v>
      </c>
      <c r="AJ122" s="71"/>
      <c r="AK122" s="34" t="s">
        <v>698</v>
      </c>
      <c r="AL122" s="3" t="s">
        <v>699</v>
      </c>
      <c r="AM122" s="3" t="s">
        <v>868</v>
      </c>
      <c r="AN122" s="35" t="s">
        <v>1222</v>
      </c>
      <c r="AO122" s="24">
        <v>0.001863425925925926</v>
      </c>
      <c r="AP122" s="74" t="s">
        <v>1223</v>
      </c>
      <c r="AQ122" s="73">
        <v>43009.0</v>
      </c>
      <c r="AR122" s="35" t="s">
        <v>1224</v>
      </c>
      <c r="AS122" s="7" t="b">
        <f>NOT(ISERROR(MATCH(A122,'Villages according to موسوعة ال'!C:C,0)))</f>
        <v>1</v>
      </c>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row>
    <row r="123">
      <c r="A123" s="7" t="s">
        <v>227</v>
      </c>
      <c r="B123" s="26" t="s">
        <v>228</v>
      </c>
      <c r="E123" s="7" t="s">
        <v>691</v>
      </c>
      <c r="F123" s="7" t="s">
        <v>692</v>
      </c>
      <c r="G123" s="28"/>
      <c r="H123" s="7" t="s">
        <v>1225</v>
      </c>
      <c r="I123" s="7" t="s">
        <v>616</v>
      </c>
      <c r="J123" s="7" t="s">
        <v>1226</v>
      </c>
      <c r="K123" s="54" t="s">
        <v>1227</v>
      </c>
      <c r="L123" s="29" t="s">
        <v>1228</v>
      </c>
      <c r="M123" s="64" t="b">
        <v>0</v>
      </c>
      <c r="N123" s="64" t="b">
        <v>0</v>
      </c>
      <c r="O123" s="64"/>
      <c r="P123" s="64" t="b">
        <v>0</v>
      </c>
      <c r="Q123" s="64" t="b">
        <v>0</v>
      </c>
      <c r="R123" s="64" t="b">
        <v>0</v>
      </c>
      <c r="S123" s="64"/>
      <c r="T123" s="32"/>
      <c r="U123" s="64" t="b">
        <v>0</v>
      </c>
      <c r="V123" s="64"/>
      <c r="W123" s="64" t="b">
        <v>0</v>
      </c>
      <c r="X123" s="64" t="b">
        <v>0</v>
      </c>
      <c r="Y123" s="64"/>
      <c r="Z123" s="64"/>
      <c r="AA123" s="64"/>
      <c r="AB123" s="64"/>
      <c r="AC123" s="65"/>
      <c r="AD123" s="64"/>
      <c r="AE123" s="64"/>
      <c r="AF123" s="64"/>
      <c r="AG123" s="64"/>
      <c r="AH123" s="64"/>
      <c r="AI123" s="64"/>
      <c r="AJ123" s="71"/>
      <c r="AK123" s="34" t="s">
        <v>636</v>
      </c>
      <c r="AL123" s="25"/>
      <c r="AM123" s="25"/>
      <c r="AN123" s="35" t="s">
        <v>1229</v>
      </c>
      <c r="AO123" s="24">
        <v>0.0011226851851851851</v>
      </c>
      <c r="AP123" s="74"/>
      <c r="AQ123" s="73"/>
      <c r="AR123" s="7" t="s">
        <v>633</v>
      </c>
      <c r="AS123" s="7" t="b">
        <f>NOT(ISERROR(MATCH(A123,'Villages according to موسوعة ال'!C:C,0)))</f>
        <v>1</v>
      </c>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row>
    <row r="124">
      <c r="A124" s="7" t="s">
        <v>227</v>
      </c>
      <c r="B124" s="43" t="s">
        <v>228</v>
      </c>
      <c r="E124" s="7" t="s">
        <v>850</v>
      </c>
      <c r="F124" s="7" t="s">
        <v>692</v>
      </c>
      <c r="G124" s="28" t="s">
        <v>693</v>
      </c>
      <c r="H124" s="7" t="s">
        <v>1230</v>
      </c>
      <c r="I124" s="7" t="s">
        <v>638</v>
      </c>
      <c r="J124" s="7" t="s">
        <v>1231</v>
      </c>
      <c r="K124" s="54" t="s">
        <v>1232</v>
      </c>
      <c r="L124" s="29" t="s">
        <v>1233</v>
      </c>
      <c r="M124" s="60" t="b">
        <v>0</v>
      </c>
      <c r="N124" s="60" t="b">
        <v>0</v>
      </c>
      <c r="O124" s="32" t="s">
        <v>620</v>
      </c>
      <c r="P124" s="60" t="b">
        <v>0</v>
      </c>
      <c r="Q124" s="60" t="b">
        <v>0</v>
      </c>
      <c r="R124" s="60" t="b">
        <v>0</v>
      </c>
      <c r="S124" s="32" t="s">
        <v>621</v>
      </c>
      <c r="T124" s="32" t="s">
        <v>670</v>
      </c>
      <c r="U124" s="60" t="b">
        <v>0</v>
      </c>
      <c r="V124" s="60"/>
      <c r="W124" s="60" t="b">
        <v>0</v>
      </c>
      <c r="X124" s="60" t="b">
        <v>0</v>
      </c>
      <c r="Y124" s="32" t="s">
        <v>671</v>
      </c>
      <c r="Z124" s="32" t="s">
        <v>652</v>
      </c>
      <c r="AA124" s="32" t="s">
        <v>775</v>
      </c>
      <c r="AB124" s="32" t="s">
        <v>1193</v>
      </c>
      <c r="AC124" s="61"/>
      <c r="AD124" s="32" t="s">
        <v>806</v>
      </c>
      <c r="AE124" s="32" t="s">
        <v>711</v>
      </c>
      <c r="AF124" s="32" t="s">
        <v>627</v>
      </c>
      <c r="AG124" s="60"/>
      <c r="AH124" s="32" t="s">
        <v>687</v>
      </c>
      <c r="AI124" s="32" t="s">
        <v>673</v>
      </c>
      <c r="AJ124" s="71"/>
      <c r="AK124" s="34" t="s">
        <v>698</v>
      </c>
      <c r="AL124" s="3" t="s">
        <v>699</v>
      </c>
      <c r="AM124" s="3" t="s">
        <v>868</v>
      </c>
      <c r="AN124" s="35" t="s">
        <v>1234</v>
      </c>
      <c r="AO124" s="24">
        <v>0.0025462962962962965</v>
      </c>
      <c r="AP124" s="74" t="s">
        <v>702</v>
      </c>
      <c r="AQ124" s="7">
        <v>2017.0</v>
      </c>
      <c r="AR124" s="35" t="s">
        <v>1235</v>
      </c>
      <c r="AS124" s="7" t="b">
        <f>NOT(ISERROR(MATCH(A124,'Villages according to موسوعة ال'!C:C,0)))</f>
        <v>1</v>
      </c>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row>
    <row r="125">
      <c r="A125" s="7" t="s">
        <v>227</v>
      </c>
      <c r="B125" s="43" t="s">
        <v>228</v>
      </c>
      <c r="E125" s="7" t="s">
        <v>850</v>
      </c>
      <c r="F125" s="7" t="s">
        <v>692</v>
      </c>
      <c r="G125" s="28" t="s">
        <v>693</v>
      </c>
      <c r="H125" s="7" t="s">
        <v>1236</v>
      </c>
      <c r="I125" s="7" t="s">
        <v>638</v>
      </c>
      <c r="J125" s="7" t="s">
        <v>1237</v>
      </c>
      <c r="K125" s="54" t="s">
        <v>1238</v>
      </c>
      <c r="L125" s="29" t="s">
        <v>1239</v>
      </c>
      <c r="M125" s="60" t="b">
        <v>0</v>
      </c>
      <c r="N125" s="60" t="b">
        <v>0</v>
      </c>
      <c r="O125" s="32" t="s">
        <v>620</v>
      </c>
      <c r="P125" s="60" t="b">
        <v>0</v>
      </c>
      <c r="Q125" s="60" t="b">
        <v>0</v>
      </c>
      <c r="R125" s="32" t="b">
        <v>1</v>
      </c>
      <c r="S125" s="32" t="s">
        <v>621</v>
      </c>
      <c r="T125" s="32" t="s">
        <v>670</v>
      </c>
      <c r="U125" s="32" t="b">
        <v>1</v>
      </c>
      <c r="V125" s="32" t="s">
        <v>685</v>
      </c>
      <c r="W125" s="32" t="b">
        <v>1</v>
      </c>
      <c r="X125" s="32" t="b">
        <v>1</v>
      </c>
      <c r="Y125" s="32" t="s">
        <v>671</v>
      </c>
      <c r="Z125" s="32" t="s">
        <v>652</v>
      </c>
      <c r="AA125" s="60"/>
      <c r="AB125" s="32" t="s">
        <v>1193</v>
      </c>
      <c r="AC125" s="33" t="s">
        <v>756</v>
      </c>
      <c r="AD125" s="60"/>
      <c r="AE125" s="32" t="s">
        <v>711</v>
      </c>
      <c r="AF125" s="32" t="s">
        <v>627</v>
      </c>
      <c r="AG125" s="60"/>
      <c r="AH125" s="60"/>
      <c r="AI125" s="32" t="s">
        <v>673</v>
      </c>
      <c r="AJ125" s="71"/>
      <c r="AK125" s="34" t="s">
        <v>698</v>
      </c>
      <c r="AL125" s="3" t="s">
        <v>699</v>
      </c>
      <c r="AM125" s="3" t="s">
        <v>868</v>
      </c>
      <c r="AN125" s="35" t="s">
        <v>1240</v>
      </c>
      <c r="AO125" s="24">
        <v>0.003715277777777778</v>
      </c>
      <c r="AP125" s="74" t="s">
        <v>1241</v>
      </c>
      <c r="AQ125" s="73">
        <v>43040.0</v>
      </c>
      <c r="AR125" s="35" t="s">
        <v>1242</v>
      </c>
      <c r="AS125" s="7" t="b">
        <f>NOT(ISERROR(MATCH(A125,'Villages according to موسوعة ال'!C:C,0)))</f>
        <v>1</v>
      </c>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row>
    <row r="126">
      <c r="A126" s="7" t="s">
        <v>227</v>
      </c>
      <c r="B126" s="43" t="s">
        <v>228</v>
      </c>
      <c r="E126" s="7" t="s">
        <v>850</v>
      </c>
      <c r="F126" s="7" t="s">
        <v>692</v>
      </c>
      <c r="G126" s="28" t="s">
        <v>693</v>
      </c>
      <c r="H126" s="7" t="s">
        <v>1243</v>
      </c>
      <c r="I126" s="7" t="s">
        <v>616</v>
      </c>
      <c r="J126" s="7" t="s">
        <v>1244</v>
      </c>
      <c r="K126" s="54" t="s">
        <v>1245</v>
      </c>
      <c r="L126" s="29" t="s">
        <v>1246</v>
      </c>
      <c r="M126" s="60" t="b">
        <v>0</v>
      </c>
      <c r="N126" s="60" t="b">
        <v>0</v>
      </c>
      <c r="O126" s="60"/>
      <c r="P126" s="60" t="b">
        <v>0</v>
      </c>
      <c r="Q126" s="60" t="b">
        <v>0</v>
      </c>
      <c r="R126" s="60" t="b">
        <v>0</v>
      </c>
      <c r="S126" s="60"/>
      <c r="T126" s="60"/>
      <c r="U126" s="60" t="b">
        <v>0</v>
      </c>
      <c r="V126" s="60"/>
      <c r="W126" s="60" t="b">
        <v>0</v>
      </c>
      <c r="X126" s="60" t="b">
        <v>0</v>
      </c>
      <c r="Y126" s="60"/>
      <c r="Z126" s="60"/>
      <c r="AA126" s="60"/>
      <c r="AB126" s="60"/>
      <c r="AC126" s="61"/>
      <c r="AD126" s="60"/>
      <c r="AE126" s="60"/>
      <c r="AF126" s="60"/>
      <c r="AG126" s="60"/>
      <c r="AH126" s="60"/>
      <c r="AI126" s="60"/>
      <c r="AJ126" s="71"/>
      <c r="AK126" s="34" t="s">
        <v>698</v>
      </c>
      <c r="AL126" s="3" t="s">
        <v>675</v>
      </c>
      <c r="AM126" s="3" t="s">
        <v>831</v>
      </c>
      <c r="AN126" s="35" t="s">
        <v>1247</v>
      </c>
      <c r="AO126" s="24">
        <v>0.0013541666666666667</v>
      </c>
      <c r="AP126" s="74" t="s">
        <v>1241</v>
      </c>
      <c r="AQ126" s="73">
        <v>43009.0</v>
      </c>
      <c r="AR126" s="35" t="s">
        <v>1248</v>
      </c>
      <c r="AS126" s="7" t="b">
        <f>NOT(ISERROR(MATCH(A126,'Villages according to موسوعة ال'!C:C,0)))</f>
        <v>1</v>
      </c>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row>
    <row r="127">
      <c r="A127" s="7" t="s">
        <v>227</v>
      </c>
      <c r="B127" s="43" t="s">
        <v>228</v>
      </c>
      <c r="E127" s="7" t="s">
        <v>1249</v>
      </c>
      <c r="F127" s="7" t="s">
        <v>692</v>
      </c>
      <c r="G127" s="28" t="s">
        <v>693</v>
      </c>
      <c r="H127" s="7" t="s">
        <v>1250</v>
      </c>
      <c r="I127" s="7" t="s">
        <v>638</v>
      </c>
      <c r="J127" s="7" t="s">
        <v>1251</v>
      </c>
      <c r="K127" s="54" t="s">
        <v>1252</v>
      </c>
      <c r="L127" s="29" t="s">
        <v>1253</v>
      </c>
      <c r="M127" s="60" t="b">
        <v>0</v>
      </c>
      <c r="N127" s="32" t="b">
        <v>0</v>
      </c>
      <c r="O127" s="32" t="s">
        <v>620</v>
      </c>
      <c r="P127" s="60" t="b">
        <v>0</v>
      </c>
      <c r="Q127" s="60" t="b">
        <v>0</v>
      </c>
      <c r="R127" s="60" t="b">
        <v>0</v>
      </c>
      <c r="S127" s="32" t="s">
        <v>621</v>
      </c>
      <c r="T127" s="32" t="s">
        <v>670</v>
      </c>
      <c r="U127" s="60" t="b">
        <v>0</v>
      </c>
      <c r="V127" s="60"/>
      <c r="W127" s="32" t="b">
        <v>1</v>
      </c>
      <c r="X127" s="32" t="b">
        <v>1</v>
      </c>
      <c r="Y127" s="32" t="s">
        <v>671</v>
      </c>
      <c r="Z127" s="60"/>
      <c r="AA127" s="60"/>
      <c r="AB127" s="60"/>
      <c r="AC127" s="33" t="s">
        <v>672</v>
      </c>
      <c r="AD127" s="32" t="s">
        <v>686</v>
      </c>
      <c r="AE127" s="60"/>
      <c r="AF127" s="32" t="s">
        <v>627</v>
      </c>
      <c r="AG127" s="60"/>
      <c r="AH127" s="32" t="s">
        <v>687</v>
      </c>
      <c r="AI127" s="32" t="s">
        <v>673</v>
      </c>
      <c r="AJ127" s="88" t="s">
        <v>1254</v>
      </c>
      <c r="AK127" s="34" t="s">
        <v>698</v>
      </c>
      <c r="AL127" s="3" t="s">
        <v>699</v>
      </c>
      <c r="AM127" s="3" t="s">
        <v>1255</v>
      </c>
      <c r="AN127" s="35" t="s">
        <v>1256</v>
      </c>
      <c r="AO127" s="24">
        <v>0.002488425925925926</v>
      </c>
      <c r="AP127" s="74" t="s">
        <v>702</v>
      </c>
      <c r="AQ127" s="7">
        <v>2017.0</v>
      </c>
      <c r="AR127" s="35" t="s">
        <v>1257</v>
      </c>
      <c r="AS127" s="7" t="b">
        <f>NOT(ISERROR(MATCH(A127,'Villages according to موسوعة ال'!C:C,0)))</f>
        <v>1</v>
      </c>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row>
    <row r="128">
      <c r="A128" s="7" t="s">
        <v>227</v>
      </c>
      <c r="B128" s="43" t="s">
        <v>228</v>
      </c>
      <c r="E128" s="7" t="s">
        <v>1249</v>
      </c>
      <c r="F128" s="7" t="s">
        <v>692</v>
      </c>
      <c r="G128" s="28" t="s">
        <v>693</v>
      </c>
      <c r="H128" s="7" t="s">
        <v>1258</v>
      </c>
      <c r="I128" s="7" t="s">
        <v>616</v>
      </c>
      <c r="J128" s="7" t="s">
        <v>1259</v>
      </c>
      <c r="K128" s="54" t="s">
        <v>1260</v>
      </c>
      <c r="L128" s="29" t="s">
        <v>1261</v>
      </c>
      <c r="M128" s="60" t="b">
        <v>0</v>
      </c>
      <c r="N128" s="60" t="b">
        <v>0</v>
      </c>
      <c r="O128" s="60"/>
      <c r="P128" s="60" t="b">
        <v>0</v>
      </c>
      <c r="Q128" s="60" t="b">
        <v>0</v>
      </c>
      <c r="R128" s="60" t="b">
        <v>0</v>
      </c>
      <c r="S128" s="60"/>
      <c r="T128" s="60"/>
      <c r="U128" s="60" t="b">
        <v>0</v>
      </c>
      <c r="V128" s="60"/>
      <c r="W128" s="60" t="b">
        <v>0</v>
      </c>
      <c r="X128" s="60" t="b">
        <v>0</v>
      </c>
      <c r="Y128" s="60"/>
      <c r="Z128" s="60"/>
      <c r="AA128" s="60"/>
      <c r="AB128" s="60"/>
      <c r="AC128" s="61"/>
      <c r="AD128" s="60"/>
      <c r="AE128" s="60"/>
      <c r="AF128" s="60"/>
      <c r="AG128" s="60"/>
      <c r="AH128" s="60"/>
      <c r="AI128" s="60"/>
      <c r="AJ128" s="71"/>
      <c r="AK128" s="34" t="s">
        <v>698</v>
      </c>
      <c r="AL128" s="25"/>
      <c r="AM128" s="25"/>
      <c r="AN128" s="35" t="s">
        <v>1262</v>
      </c>
      <c r="AO128" s="24">
        <v>0.003981481481481482</v>
      </c>
      <c r="AP128" s="74" t="s">
        <v>1263</v>
      </c>
      <c r="AQ128" s="7">
        <v>2017.0</v>
      </c>
      <c r="AR128" s="35" t="s">
        <v>1264</v>
      </c>
      <c r="AS128" s="7" t="b">
        <f>NOT(ISERROR(MATCH(A128,'Villages according to موسوعة ال'!C:C,0)))</f>
        <v>1</v>
      </c>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row>
    <row r="129">
      <c r="A129" s="7" t="s">
        <v>227</v>
      </c>
      <c r="B129" s="26" t="s">
        <v>228</v>
      </c>
      <c r="E129" s="7"/>
      <c r="F129" s="7"/>
      <c r="G129" s="28"/>
      <c r="H129" s="7"/>
      <c r="I129" s="7" t="s">
        <v>638</v>
      </c>
      <c r="J129" s="7" t="s">
        <v>1265</v>
      </c>
      <c r="K129" s="54"/>
      <c r="L129" s="29"/>
      <c r="M129" s="64" t="b">
        <v>0</v>
      </c>
      <c r="N129" s="64" t="b">
        <v>0</v>
      </c>
      <c r="O129" s="64"/>
      <c r="P129" s="64" t="b">
        <v>0</v>
      </c>
      <c r="Q129" s="64" t="b">
        <v>0</v>
      </c>
      <c r="R129" s="64" t="b">
        <v>0</v>
      </c>
      <c r="S129" s="64"/>
      <c r="T129" s="32"/>
      <c r="U129" s="64" t="b">
        <v>0</v>
      </c>
      <c r="V129" s="64"/>
      <c r="W129" s="64" t="b">
        <v>0</v>
      </c>
      <c r="X129" s="64" t="b">
        <v>0</v>
      </c>
      <c r="Y129" s="64"/>
      <c r="Z129" s="64"/>
      <c r="AA129" s="64"/>
      <c r="AB129" s="64"/>
      <c r="AC129" s="65"/>
      <c r="AD129" s="64"/>
      <c r="AE129" s="64"/>
      <c r="AF129" s="64"/>
      <c r="AG129" s="64"/>
      <c r="AH129" s="64"/>
      <c r="AI129" s="64"/>
      <c r="AJ129" s="71"/>
      <c r="AK129" s="34" t="s">
        <v>636</v>
      </c>
      <c r="AL129" s="25"/>
      <c r="AM129" s="25"/>
      <c r="AN129" s="35" t="s">
        <v>1266</v>
      </c>
      <c r="AO129" s="24">
        <v>6.944444444444444E-5</v>
      </c>
      <c r="AP129" s="74" t="s">
        <v>633</v>
      </c>
      <c r="AQ129" s="7" t="s">
        <v>633</v>
      </c>
      <c r="AR129" s="36" t="s">
        <v>633</v>
      </c>
      <c r="AS129" s="7" t="b">
        <f>NOT(ISERROR(MATCH(A129,'Villages according to موسوعة ال'!C:C,0)))</f>
        <v>1</v>
      </c>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row>
    <row r="130">
      <c r="A130" s="7" t="s">
        <v>227</v>
      </c>
      <c r="B130" s="43" t="s">
        <v>228</v>
      </c>
      <c r="E130" s="7"/>
      <c r="F130" s="7"/>
      <c r="G130" s="28" t="s">
        <v>693</v>
      </c>
      <c r="H130" s="7" t="s">
        <v>1267</v>
      </c>
      <c r="I130" s="7" t="s">
        <v>638</v>
      </c>
      <c r="J130" s="7" t="s">
        <v>1268</v>
      </c>
      <c r="K130" s="54"/>
      <c r="L130" s="29"/>
      <c r="M130" s="64" t="b">
        <v>0</v>
      </c>
      <c r="N130" s="64" t="b">
        <v>0</v>
      </c>
      <c r="O130" s="64"/>
      <c r="P130" s="64" t="b">
        <v>0</v>
      </c>
      <c r="Q130" s="64" t="b">
        <v>0</v>
      </c>
      <c r="R130" s="64" t="b">
        <v>0</v>
      </c>
      <c r="S130" s="64"/>
      <c r="T130" s="32"/>
      <c r="U130" s="64" t="b">
        <v>0</v>
      </c>
      <c r="V130" s="64"/>
      <c r="W130" s="64" t="b">
        <v>0</v>
      </c>
      <c r="X130" s="64" t="b">
        <v>0</v>
      </c>
      <c r="Y130" s="64"/>
      <c r="Z130" s="64"/>
      <c r="AA130" s="64"/>
      <c r="AB130" s="64"/>
      <c r="AC130" s="65"/>
      <c r="AD130" s="64"/>
      <c r="AE130" s="64"/>
      <c r="AF130" s="64"/>
      <c r="AG130" s="64"/>
      <c r="AH130" s="64"/>
      <c r="AI130" s="64"/>
      <c r="AJ130" s="71" t="s">
        <v>1269</v>
      </c>
      <c r="AK130" s="34" t="s">
        <v>631</v>
      </c>
      <c r="AL130" s="25"/>
      <c r="AM130" s="25"/>
      <c r="AN130" s="35" t="s">
        <v>1270</v>
      </c>
      <c r="AO130" s="24">
        <v>0.052569444444444446</v>
      </c>
      <c r="AP130" s="74" t="s">
        <v>1271</v>
      </c>
      <c r="AQ130" s="7"/>
      <c r="AR130" s="7" t="s">
        <v>633</v>
      </c>
      <c r="AS130" s="7" t="b">
        <f>NOT(ISERROR(MATCH(A130,'Villages according to موسوعة ال'!C:C,0)))</f>
        <v>1</v>
      </c>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row>
    <row r="131">
      <c r="A131" s="7" t="s">
        <v>227</v>
      </c>
      <c r="B131" s="26" t="s">
        <v>228</v>
      </c>
      <c r="E131" s="7" t="s">
        <v>1272</v>
      </c>
      <c r="F131" s="7" t="s">
        <v>1273</v>
      </c>
      <c r="G131" s="28"/>
      <c r="H131" s="7" t="s">
        <v>1274</v>
      </c>
      <c r="I131" s="7" t="s">
        <v>616</v>
      </c>
      <c r="J131" s="7" t="s">
        <v>1275</v>
      </c>
      <c r="K131" s="54"/>
      <c r="L131" s="29"/>
      <c r="M131" s="64" t="b">
        <v>0</v>
      </c>
      <c r="N131" s="64" t="b">
        <v>0</v>
      </c>
      <c r="O131" s="64"/>
      <c r="P131" s="64" t="b">
        <v>0</v>
      </c>
      <c r="Q131" s="64" t="b">
        <v>0</v>
      </c>
      <c r="R131" s="64" t="b">
        <v>0</v>
      </c>
      <c r="S131" s="64"/>
      <c r="T131" s="32"/>
      <c r="U131" s="64" t="b">
        <v>0</v>
      </c>
      <c r="V131" s="64"/>
      <c r="W131" s="64" t="b">
        <v>0</v>
      </c>
      <c r="X131" s="64" t="b">
        <v>0</v>
      </c>
      <c r="Y131" s="64"/>
      <c r="Z131" s="64"/>
      <c r="AA131" s="64"/>
      <c r="AB131" s="64"/>
      <c r="AC131" s="65"/>
      <c r="AD131" s="64"/>
      <c r="AE131" s="64"/>
      <c r="AF131" s="64"/>
      <c r="AG131" s="64"/>
      <c r="AH131" s="64"/>
      <c r="AI131" s="64"/>
      <c r="AJ131" s="71"/>
      <c r="AK131" s="34" t="s">
        <v>666</v>
      </c>
      <c r="AL131" s="25"/>
      <c r="AM131" s="25"/>
      <c r="AN131" s="35" t="s">
        <v>1276</v>
      </c>
      <c r="AO131" s="24">
        <v>0.037175925925925925</v>
      </c>
      <c r="AP131" s="74" t="s">
        <v>1277</v>
      </c>
      <c r="AQ131" s="7"/>
      <c r="AR131" s="7" t="s">
        <v>633</v>
      </c>
      <c r="AS131" s="7" t="b">
        <f>NOT(ISERROR(MATCH(A131,'Villages according to موسوعة ال'!C:C,0)))</f>
        <v>1</v>
      </c>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row>
    <row r="132">
      <c r="A132" s="3" t="s">
        <v>1278</v>
      </c>
      <c r="B132" s="43" t="s">
        <v>1279</v>
      </c>
      <c r="C132" s="7" t="s">
        <v>1279</v>
      </c>
      <c r="D132" s="7" t="s">
        <v>95</v>
      </c>
      <c r="E132" s="7"/>
      <c r="F132" s="7"/>
      <c r="G132" s="28" t="s">
        <v>615</v>
      </c>
      <c r="H132" s="7" t="s">
        <v>1280</v>
      </c>
      <c r="I132" s="7" t="s">
        <v>616</v>
      </c>
      <c r="J132" s="7" t="s">
        <v>1281</v>
      </c>
      <c r="K132" s="54"/>
      <c r="L132" s="29" t="s">
        <v>1282</v>
      </c>
      <c r="M132" s="64" t="b">
        <v>0</v>
      </c>
      <c r="N132" s="64" t="b">
        <v>0</v>
      </c>
      <c r="O132" s="64"/>
      <c r="P132" s="64" t="b">
        <v>0</v>
      </c>
      <c r="Q132" s="64" t="b">
        <v>0</v>
      </c>
      <c r="R132" s="64" t="b">
        <v>0</v>
      </c>
      <c r="S132" s="64"/>
      <c r="T132" s="32"/>
      <c r="U132" s="64" t="b">
        <v>0</v>
      </c>
      <c r="V132" s="64"/>
      <c r="W132" s="64" t="b">
        <v>0</v>
      </c>
      <c r="X132" s="64" t="b">
        <v>0</v>
      </c>
      <c r="Y132" s="64"/>
      <c r="Z132" s="64"/>
      <c r="AA132" s="64"/>
      <c r="AB132" s="64"/>
      <c r="AC132" s="65"/>
      <c r="AD132" s="64"/>
      <c r="AE132" s="64"/>
      <c r="AF132" s="64"/>
      <c r="AG132" s="64"/>
      <c r="AH132" s="64"/>
      <c r="AI132" s="64"/>
      <c r="AJ132" s="71" t="s">
        <v>1283</v>
      </c>
      <c r="AK132" s="34" t="s">
        <v>631</v>
      </c>
      <c r="AL132" s="3" t="s">
        <v>937</v>
      </c>
      <c r="AM132" s="3"/>
      <c r="AN132" s="35" t="s">
        <v>1284</v>
      </c>
      <c r="AO132" s="24">
        <v>0.046747685185185184</v>
      </c>
      <c r="AP132" s="74" t="s">
        <v>1285</v>
      </c>
      <c r="AQ132" s="7"/>
      <c r="AR132" s="35" t="s">
        <v>1286</v>
      </c>
      <c r="AS132" s="7" t="b">
        <f>NOT(ISERROR(MATCH(A132,'Villages according to موسوعة ال'!C:C,0)))</f>
        <v>0</v>
      </c>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row>
    <row r="133">
      <c r="A133" s="3" t="s">
        <v>1287</v>
      </c>
      <c r="B133" s="43" t="s">
        <v>1288</v>
      </c>
      <c r="C133" s="7" t="s">
        <v>1288</v>
      </c>
      <c r="D133" s="7" t="s">
        <v>1289</v>
      </c>
      <c r="E133" s="7" t="s">
        <v>958</v>
      </c>
      <c r="F133" s="7" t="s">
        <v>959</v>
      </c>
      <c r="G133" s="28"/>
      <c r="H133" s="7" t="s">
        <v>633</v>
      </c>
      <c r="I133" s="7" t="s">
        <v>638</v>
      </c>
      <c r="J133" s="7" t="s">
        <v>1290</v>
      </c>
      <c r="K133" s="54"/>
      <c r="L133" s="29" t="s">
        <v>1291</v>
      </c>
      <c r="M133" s="64" t="b">
        <v>0</v>
      </c>
      <c r="N133" s="64" t="b">
        <v>0</v>
      </c>
      <c r="O133" s="64"/>
      <c r="P133" s="64" t="b">
        <v>0</v>
      </c>
      <c r="Q133" s="64" t="b">
        <v>0</v>
      </c>
      <c r="R133" s="64" t="b">
        <v>0</v>
      </c>
      <c r="S133" s="64"/>
      <c r="T133" s="32"/>
      <c r="U133" s="64" t="b">
        <v>0</v>
      </c>
      <c r="V133" s="64"/>
      <c r="W133" s="64" t="b">
        <v>0</v>
      </c>
      <c r="X133" s="64" t="b">
        <v>0</v>
      </c>
      <c r="Y133" s="64"/>
      <c r="Z133" s="64"/>
      <c r="AA133" s="64"/>
      <c r="AB133" s="64"/>
      <c r="AC133" s="65"/>
      <c r="AD133" s="64"/>
      <c r="AE133" s="64"/>
      <c r="AF133" s="64"/>
      <c r="AG133" s="64"/>
      <c r="AH133" s="64"/>
      <c r="AI133" s="64"/>
      <c r="AJ133" s="71" t="s">
        <v>1292</v>
      </c>
      <c r="AK133" s="34" t="s">
        <v>631</v>
      </c>
      <c r="AL133" s="3" t="s">
        <v>937</v>
      </c>
      <c r="AM133" s="25"/>
      <c r="AN133" s="35" t="s">
        <v>1293</v>
      </c>
      <c r="AO133" s="24">
        <v>0.04353009259259259</v>
      </c>
      <c r="AP133" s="74" t="s">
        <v>1294</v>
      </c>
      <c r="AQ133" s="7" t="s">
        <v>633</v>
      </c>
      <c r="AR133" s="36" t="s">
        <v>633</v>
      </c>
      <c r="AS133" s="7" t="b">
        <f>NOT(ISERROR(MATCH(A133,'Villages according to موسوعة ال'!C:C,0)))</f>
        <v>1</v>
      </c>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row>
    <row r="134">
      <c r="A134" s="3" t="s">
        <v>1287</v>
      </c>
      <c r="B134" s="26" t="s">
        <v>1288</v>
      </c>
      <c r="E134" s="7" t="s">
        <v>958</v>
      </c>
      <c r="F134" s="7" t="s">
        <v>959</v>
      </c>
      <c r="G134" s="28"/>
      <c r="H134" s="7" t="s">
        <v>633</v>
      </c>
      <c r="I134" s="7" t="s">
        <v>638</v>
      </c>
      <c r="J134" s="7" t="s">
        <v>1295</v>
      </c>
      <c r="K134" s="54"/>
      <c r="L134" s="29"/>
      <c r="M134" s="64" t="b">
        <v>0</v>
      </c>
      <c r="N134" s="64" t="b">
        <v>0</v>
      </c>
      <c r="O134" s="64"/>
      <c r="P134" s="64" t="b">
        <v>0</v>
      </c>
      <c r="Q134" s="64" t="b">
        <v>0</v>
      </c>
      <c r="R134" s="64" t="b">
        <v>0</v>
      </c>
      <c r="S134" s="64"/>
      <c r="T134" s="32"/>
      <c r="U134" s="64" t="b">
        <v>0</v>
      </c>
      <c r="V134" s="64"/>
      <c r="W134" s="64" t="b">
        <v>0</v>
      </c>
      <c r="X134" s="64" t="b">
        <v>0</v>
      </c>
      <c r="Y134" s="64"/>
      <c r="Z134" s="64"/>
      <c r="AA134" s="64"/>
      <c r="AB134" s="64"/>
      <c r="AC134" s="65"/>
      <c r="AD134" s="64"/>
      <c r="AE134" s="64"/>
      <c r="AF134" s="64"/>
      <c r="AG134" s="64"/>
      <c r="AH134" s="64"/>
      <c r="AI134" s="64"/>
      <c r="AJ134" s="71"/>
      <c r="AK134" s="34" t="s">
        <v>636</v>
      </c>
      <c r="AL134" s="25"/>
      <c r="AM134" s="25"/>
      <c r="AN134" s="35" t="s">
        <v>1296</v>
      </c>
      <c r="AO134" s="24">
        <v>0.0016898148148148148</v>
      </c>
      <c r="AP134" s="74" t="s">
        <v>633</v>
      </c>
      <c r="AQ134" s="7" t="s">
        <v>633</v>
      </c>
      <c r="AR134" s="36" t="s">
        <v>633</v>
      </c>
      <c r="AS134" s="7" t="b">
        <f>NOT(ISERROR(MATCH(A134,'Villages according to موسوعة ال'!C:C,0)))</f>
        <v>1</v>
      </c>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row>
    <row r="135">
      <c r="A135" s="3" t="s">
        <v>1287</v>
      </c>
      <c r="B135" s="43" t="s">
        <v>1288</v>
      </c>
      <c r="F135" s="7" t="s">
        <v>959</v>
      </c>
      <c r="G135" s="28"/>
      <c r="K135" s="54"/>
      <c r="L135" s="29"/>
      <c r="M135" s="64" t="b">
        <v>0</v>
      </c>
      <c r="N135" s="64" t="b">
        <v>0</v>
      </c>
      <c r="O135" s="64"/>
      <c r="P135" s="64" t="b">
        <v>0</v>
      </c>
      <c r="Q135" s="64" t="b">
        <v>0</v>
      </c>
      <c r="R135" s="64" t="b">
        <v>0</v>
      </c>
      <c r="S135" s="64"/>
      <c r="T135" s="32"/>
      <c r="U135" s="64" t="b">
        <v>0</v>
      </c>
      <c r="V135" s="64"/>
      <c r="W135" s="64" t="b">
        <v>0</v>
      </c>
      <c r="X135" s="64" t="b">
        <v>0</v>
      </c>
      <c r="Y135" s="64"/>
      <c r="Z135" s="64"/>
      <c r="AA135" s="64"/>
      <c r="AB135" s="64"/>
      <c r="AC135" s="65"/>
      <c r="AD135" s="64"/>
      <c r="AE135" s="64"/>
      <c r="AF135" s="64"/>
      <c r="AG135" s="64"/>
      <c r="AH135" s="64"/>
      <c r="AI135" s="64"/>
      <c r="AJ135" s="71" t="s">
        <v>1297</v>
      </c>
      <c r="AK135" s="34" t="s">
        <v>631</v>
      </c>
      <c r="AL135" s="25"/>
      <c r="AM135" s="25"/>
      <c r="AN135" s="35" t="s">
        <v>1298</v>
      </c>
      <c r="AO135" s="24">
        <v>0.001851851851851852</v>
      </c>
      <c r="AP135" s="74" t="s">
        <v>633</v>
      </c>
      <c r="AQ135" s="7" t="s">
        <v>633</v>
      </c>
      <c r="AR135" s="36" t="s">
        <v>633</v>
      </c>
      <c r="AS135" s="7" t="b">
        <f>NOT(ISERROR(MATCH(A135,'Villages according to موسوعة ال'!C:C,0)))</f>
        <v>1</v>
      </c>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row>
    <row r="136">
      <c r="A136" s="3" t="s">
        <v>1287</v>
      </c>
      <c r="B136" s="26" t="s">
        <v>1288</v>
      </c>
      <c r="F136" s="7" t="s">
        <v>959</v>
      </c>
      <c r="G136" s="28"/>
      <c r="K136" s="54"/>
      <c r="L136" s="29"/>
      <c r="M136" s="64" t="b">
        <v>0</v>
      </c>
      <c r="N136" s="64" t="b">
        <v>0</v>
      </c>
      <c r="O136" s="64"/>
      <c r="P136" s="64" t="b">
        <v>0</v>
      </c>
      <c r="Q136" s="64" t="b">
        <v>0</v>
      </c>
      <c r="R136" s="64" t="b">
        <v>0</v>
      </c>
      <c r="S136" s="64"/>
      <c r="T136" s="32"/>
      <c r="U136" s="64" t="b">
        <v>0</v>
      </c>
      <c r="V136" s="64"/>
      <c r="W136" s="64" t="b">
        <v>0</v>
      </c>
      <c r="X136" s="64" t="b">
        <v>0</v>
      </c>
      <c r="Y136" s="64"/>
      <c r="Z136" s="64"/>
      <c r="AA136" s="64"/>
      <c r="AB136" s="64"/>
      <c r="AC136" s="65"/>
      <c r="AD136" s="64"/>
      <c r="AE136" s="64"/>
      <c r="AF136" s="64"/>
      <c r="AG136" s="64"/>
      <c r="AH136" s="64"/>
      <c r="AI136" s="64"/>
      <c r="AJ136" s="71"/>
      <c r="AK136" s="34" t="s">
        <v>636</v>
      </c>
      <c r="AL136" s="25"/>
      <c r="AM136" s="25"/>
      <c r="AN136" s="35" t="s">
        <v>1299</v>
      </c>
      <c r="AO136" s="24">
        <v>2.0833333333333335E-4</v>
      </c>
      <c r="AP136" s="74" t="s">
        <v>633</v>
      </c>
      <c r="AQ136" s="7" t="s">
        <v>633</v>
      </c>
      <c r="AR136" s="36" t="s">
        <v>633</v>
      </c>
      <c r="AS136" s="7" t="b">
        <f>NOT(ISERROR(MATCH(A136,'Villages according to موسوعة ال'!C:C,0)))</f>
        <v>1</v>
      </c>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row>
    <row r="137">
      <c r="A137" s="3" t="s">
        <v>1287</v>
      </c>
      <c r="B137" s="26" t="s">
        <v>1288</v>
      </c>
      <c r="F137" s="7" t="s">
        <v>959</v>
      </c>
      <c r="G137" s="28"/>
      <c r="K137" s="54"/>
      <c r="L137" s="29"/>
      <c r="M137" s="64" t="b">
        <v>0</v>
      </c>
      <c r="N137" s="64" t="b">
        <v>0</v>
      </c>
      <c r="O137" s="64"/>
      <c r="P137" s="64" t="b">
        <v>0</v>
      </c>
      <c r="Q137" s="64" t="b">
        <v>0</v>
      </c>
      <c r="R137" s="64" t="b">
        <v>0</v>
      </c>
      <c r="S137" s="64"/>
      <c r="T137" s="32"/>
      <c r="U137" s="64" t="b">
        <v>0</v>
      </c>
      <c r="V137" s="64"/>
      <c r="W137" s="64" t="b">
        <v>0</v>
      </c>
      <c r="X137" s="64" t="b">
        <v>0</v>
      </c>
      <c r="Y137" s="64"/>
      <c r="Z137" s="64"/>
      <c r="AA137" s="64"/>
      <c r="AB137" s="64"/>
      <c r="AC137" s="65"/>
      <c r="AD137" s="64"/>
      <c r="AE137" s="64"/>
      <c r="AF137" s="64"/>
      <c r="AG137" s="64"/>
      <c r="AH137" s="64"/>
      <c r="AI137" s="64"/>
      <c r="AJ137" s="71"/>
      <c r="AK137" s="34" t="s">
        <v>636</v>
      </c>
      <c r="AL137" s="25"/>
      <c r="AM137" s="25"/>
      <c r="AN137" s="35" t="s">
        <v>1300</v>
      </c>
      <c r="AO137" s="24">
        <v>0.0021759259259259258</v>
      </c>
      <c r="AP137" s="74" t="s">
        <v>633</v>
      </c>
      <c r="AQ137" s="7" t="s">
        <v>633</v>
      </c>
      <c r="AR137" s="36" t="s">
        <v>633</v>
      </c>
      <c r="AS137" s="7" t="b">
        <f>NOT(ISERROR(MATCH(A137,'Villages according to موسوعة ال'!C:C,0)))</f>
        <v>1</v>
      </c>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row>
    <row r="138">
      <c r="A138" s="3" t="s">
        <v>1287</v>
      </c>
      <c r="B138" s="26" t="s">
        <v>1288</v>
      </c>
      <c r="F138" s="7" t="s">
        <v>959</v>
      </c>
      <c r="G138" s="28"/>
      <c r="K138" s="54"/>
      <c r="L138" s="29"/>
      <c r="M138" s="64" t="b">
        <v>0</v>
      </c>
      <c r="N138" s="64" t="b">
        <v>0</v>
      </c>
      <c r="O138" s="64"/>
      <c r="P138" s="64" t="b">
        <v>0</v>
      </c>
      <c r="Q138" s="64" t="b">
        <v>0</v>
      </c>
      <c r="R138" s="64" t="b">
        <v>0</v>
      </c>
      <c r="S138" s="64"/>
      <c r="T138" s="32"/>
      <c r="U138" s="64" t="b">
        <v>0</v>
      </c>
      <c r="V138" s="64"/>
      <c r="W138" s="64" t="b">
        <v>0</v>
      </c>
      <c r="X138" s="64" t="b">
        <v>0</v>
      </c>
      <c r="Y138" s="64"/>
      <c r="Z138" s="64"/>
      <c r="AA138" s="64"/>
      <c r="AB138" s="64"/>
      <c r="AC138" s="65"/>
      <c r="AD138" s="64"/>
      <c r="AE138" s="64"/>
      <c r="AF138" s="64"/>
      <c r="AG138" s="64"/>
      <c r="AH138" s="64"/>
      <c r="AI138" s="64"/>
      <c r="AJ138" s="71"/>
      <c r="AK138" s="34" t="s">
        <v>636</v>
      </c>
      <c r="AL138" s="25"/>
      <c r="AM138" s="25"/>
      <c r="AN138" s="35" t="s">
        <v>1301</v>
      </c>
      <c r="AO138" s="24">
        <v>4.7453703703703704E-4</v>
      </c>
      <c r="AP138" s="74" t="s">
        <v>633</v>
      </c>
      <c r="AQ138" s="7" t="s">
        <v>633</v>
      </c>
      <c r="AR138" s="36" t="s">
        <v>633</v>
      </c>
      <c r="AS138" s="7" t="b">
        <f>NOT(ISERROR(MATCH(A138,'Villages according to موسوعة ال'!C:C,0)))</f>
        <v>1</v>
      </c>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row>
    <row r="139">
      <c r="A139" s="3" t="s">
        <v>1287</v>
      </c>
      <c r="B139" s="26" t="s">
        <v>1288</v>
      </c>
      <c r="F139" s="7" t="s">
        <v>959</v>
      </c>
      <c r="G139" s="28"/>
      <c r="K139" s="54"/>
      <c r="L139" s="29"/>
      <c r="M139" s="64" t="b">
        <v>0</v>
      </c>
      <c r="N139" s="64" t="b">
        <v>0</v>
      </c>
      <c r="O139" s="64"/>
      <c r="P139" s="64" t="b">
        <v>0</v>
      </c>
      <c r="Q139" s="64" t="b">
        <v>0</v>
      </c>
      <c r="R139" s="64" t="b">
        <v>0</v>
      </c>
      <c r="S139" s="64"/>
      <c r="T139" s="32"/>
      <c r="U139" s="64" t="b">
        <v>0</v>
      </c>
      <c r="V139" s="64"/>
      <c r="W139" s="64" t="b">
        <v>0</v>
      </c>
      <c r="X139" s="64" t="b">
        <v>0</v>
      </c>
      <c r="Y139" s="64"/>
      <c r="Z139" s="64"/>
      <c r="AA139" s="64"/>
      <c r="AB139" s="64"/>
      <c r="AC139" s="65"/>
      <c r="AD139" s="64"/>
      <c r="AE139" s="64"/>
      <c r="AF139" s="64"/>
      <c r="AG139" s="64"/>
      <c r="AH139" s="64"/>
      <c r="AI139" s="64"/>
      <c r="AJ139" s="71"/>
      <c r="AK139" s="34" t="s">
        <v>636</v>
      </c>
      <c r="AL139" s="25"/>
      <c r="AM139" s="25"/>
      <c r="AN139" s="35" t="s">
        <v>1302</v>
      </c>
      <c r="AO139" s="24">
        <v>8.101851851851852E-4</v>
      </c>
      <c r="AP139" s="74" t="s">
        <v>633</v>
      </c>
      <c r="AQ139" s="7" t="s">
        <v>633</v>
      </c>
      <c r="AR139" s="36" t="s">
        <v>633</v>
      </c>
      <c r="AS139" s="7" t="b">
        <f>NOT(ISERROR(MATCH(A139,'Villages according to موسوعة ال'!C:C,0)))</f>
        <v>1</v>
      </c>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row>
    <row r="140">
      <c r="A140" s="3" t="s">
        <v>1287</v>
      </c>
      <c r="B140" s="26" t="s">
        <v>1288</v>
      </c>
      <c r="F140" s="7" t="s">
        <v>959</v>
      </c>
      <c r="G140" s="28"/>
      <c r="K140" s="54"/>
      <c r="L140" s="29"/>
      <c r="M140" s="64" t="b">
        <v>0</v>
      </c>
      <c r="N140" s="64" t="b">
        <v>0</v>
      </c>
      <c r="O140" s="64"/>
      <c r="P140" s="64" t="b">
        <v>0</v>
      </c>
      <c r="Q140" s="64" t="b">
        <v>0</v>
      </c>
      <c r="R140" s="64" t="b">
        <v>0</v>
      </c>
      <c r="S140" s="64"/>
      <c r="T140" s="32"/>
      <c r="U140" s="64" t="b">
        <v>0</v>
      </c>
      <c r="V140" s="64"/>
      <c r="W140" s="64" t="b">
        <v>0</v>
      </c>
      <c r="X140" s="64" t="b">
        <v>0</v>
      </c>
      <c r="Y140" s="64"/>
      <c r="Z140" s="64"/>
      <c r="AA140" s="64"/>
      <c r="AB140" s="64"/>
      <c r="AC140" s="65"/>
      <c r="AD140" s="64"/>
      <c r="AE140" s="64"/>
      <c r="AF140" s="64"/>
      <c r="AG140" s="64"/>
      <c r="AH140" s="64"/>
      <c r="AI140" s="64"/>
      <c r="AJ140" s="71"/>
      <c r="AK140" s="34" t="s">
        <v>636</v>
      </c>
      <c r="AL140" s="25"/>
      <c r="AM140" s="25"/>
      <c r="AN140" s="35" t="s">
        <v>1303</v>
      </c>
      <c r="AO140" s="24">
        <v>0.009652777777777777</v>
      </c>
      <c r="AP140" s="74" t="s">
        <v>633</v>
      </c>
      <c r="AQ140" s="7" t="s">
        <v>633</v>
      </c>
      <c r="AR140" s="36" t="s">
        <v>633</v>
      </c>
      <c r="AS140" s="7" t="b">
        <f>NOT(ISERROR(MATCH(A140,'Villages according to موسوعة ال'!C:C,0)))</f>
        <v>1</v>
      </c>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row>
    <row r="141">
      <c r="A141" s="3" t="s">
        <v>414</v>
      </c>
      <c r="B141" s="26" t="s">
        <v>415</v>
      </c>
      <c r="C141" s="46" t="s">
        <v>415</v>
      </c>
      <c r="D141" s="7" t="s">
        <v>416</v>
      </c>
      <c r="E141" s="7" t="s">
        <v>958</v>
      </c>
      <c r="F141" s="7" t="s">
        <v>959</v>
      </c>
      <c r="G141" s="28" t="s">
        <v>960</v>
      </c>
      <c r="H141" s="7" t="s">
        <v>1304</v>
      </c>
      <c r="I141" s="7" t="s">
        <v>616</v>
      </c>
      <c r="J141" s="7" t="s">
        <v>1305</v>
      </c>
      <c r="K141" s="54" t="s">
        <v>1306</v>
      </c>
      <c r="L141" s="29" t="s">
        <v>1307</v>
      </c>
      <c r="M141" s="64" t="b">
        <v>0</v>
      </c>
      <c r="N141" s="64" t="b">
        <v>0</v>
      </c>
      <c r="O141" s="64"/>
      <c r="P141" s="64" t="b">
        <v>0</v>
      </c>
      <c r="Q141" s="64" t="b">
        <v>0</v>
      </c>
      <c r="R141" s="64" t="b">
        <v>0</v>
      </c>
      <c r="S141" s="64"/>
      <c r="T141" s="32"/>
      <c r="U141" s="64" t="b">
        <v>0</v>
      </c>
      <c r="V141" s="64"/>
      <c r="W141" s="64" t="b">
        <v>0</v>
      </c>
      <c r="X141" s="64" t="b">
        <v>0</v>
      </c>
      <c r="Y141" s="64"/>
      <c r="Z141" s="64"/>
      <c r="AA141" s="64"/>
      <c r="AB141" s="64"/>
      <c r="AC141" s="65"/>
      <c r="AD141" s="64"/>
      <c r="AE141" s="64"/>
      <c r="AF141" s="64"/>
      <c r="AG141" s="64"/>
      <c r="AH141" s="64"/>
      <c r="AI141" s="64"/>
      <c r="AJ141" s="71"/>
      <c r="AK141" s="34" t="s">
        <v>636</v>
      </c>
      <c r="AL141" s="25"/>
      <c r="AM141" s="25"/>
      <c r="AN141" s="35" t="s">
        <v>1308</v>
      </c>
      <c r="AO141" s="24">
        <v>0.054560185185185184</v>
      </c>
      <c r="AP141" s="74" t="s">
        <v>1309</v>
      </c>
      <c r="AQ141" s="7" t="s">
        <v>900</v>
      </c>
      <c r="AR141" s="81" t="s">
        <v>1310</v>
      </c>
      <c r="AS141" s="7" t="b">
        <f>NOT(ISERROR(MATCH(A141,'Villages according to موسوعة ال'!C:C,0)))</f>
        <v>1</v>
      </c>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row>
    <row r="142">
      <c r="A142" s="3" t="s">
        <v>414</v>
      </c>
      <c r="B142" s="43" t="s">
        <v>415</v>
      </c>
      <c r="F142" s="7" t="s">
        <v>959</v>
      </c>
      <c r="K142" s="54" t="s">
        <v>1311</v>
      </c>
      <c r="L142" s="29" t="s">
        <v>1312</v>
      </c>
      <c r="M142" s="64" t="b">
        <v>0</v>
      </c>
      <c r="N142" s="64" t="b">
        <v>0</v>
      </c>
      <c r="O142" s="64"/>
      <c r="P142" s="64" t="b">
        <v>0</v>
      </c>
      <c r="Q142" s="64" t="b">
        <v>0</v>
      </c>
      <c r="R142" s="64" t="b">
        <v>0</v>
      </c>
      <c r="S142" s="64"/>
      <c r="T142" s="32"/>
      <c r="U142" s="64" t="b">
        <v>0</v>
      </c>
      <c r="V142" s="64"/>
      <c r="W142" s="64" t="b">
        <v>0</v>
      </c>
      <c r="X142" s="64" t="b">
        <v>0</v>
      </c>
      <c r="Y142" s="64"/>
      <c r="Z142" s="64"/>
      <c r="AA142" s="64"/>
      <c r="AB142" s="64"/>
      <c r="AC142" s="65"/>
      <c r="AD142" s="64"/>
      <c r="AE142" s="64"/>
      <c r="AF142" s="64"/>
      <c r="AG142" s="64"/>
      <c r="AH142" s="64"/>
      <c r="AI142" s="64"/>
      <c r="AJ142" s="71" t="s">
        <v>1313</v>
      </c>
      <c r="AK142" s="34" t="s">
        <v>698</v>
      </c>
      <c r="AL142" s="3" t="s">
        <v>675</v>
      </c>
      <c r="AM142" s="3" t="s">
        <v>868</v>
      </c>
      <c r="AN142" s="35" t="s">
        <v>1314</v>
      </c>
      <c r="AO142" s="24">
        <v>0.0027199074074074074</v>
      </c>
      <c r="AP142" s="74" t="s">
        <v>1309</v>
      </c>
      <c r="AQ142" s="73">
        <v>43160.0</v>
      </c>
      <c r="AS142" s="7" t="b">
        <f>NOT(ISERROR(MATCH(A142,'Villages according to موسوعة ال'!C:C,0)))</f>
        <v>1</v>
      </c>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row>
    <row r="143">
      <c r="A143" s="3" t="s">
        <v>414</v>
      </c>
      <c r="B143" s="43" t="s">
        <v>415</v>
      </c>
      <c r="F143" s="7" t="s">
        <v>959</v>
      </c>
      <c r="K143" s="54" t="s">
        <v>1315</v>
      </c>
      <c r="L143" s="29" t="s">
        <v>1316</v>
      </c>
      <c r="M143" s="64" t="b">
        <v>0</v>
      </c>
      <c r="N143" s="64" t="b">
        <v>0</v>
      </c>
      <c r="O143" s="64"/>
      <c r="P143" s="64" t="b">
        <v>0</v>
      </c>
      <c r="Q143" s="64" t="b">
        <v>0</v>
      </c>
      <c r="R143" s="64" t="b">
        <v>0</v>
      </c>
      <c r="S143" s="64"/>
      <c r="T143" s="32"/>
      <c r="U143" s="64" t="b">
        <v>0</v>
      </c>
      <c r="V143" s="64"/>
      <c r="W143" s="64" t="b">
        <v>0</v>
      </c>
      <c r="X143" s="64" t="b">
        <v>0</v>
      </c>
      <c r="Y143" s="64"/>
      <c r="Z143" s="64"/>
      <c r="AA143" s="64"/>
      <c r="AB143" s="64"/>
      <c r="AC143" s="65"/>
      <c r="AD143" s="64"/>
      <c r="AE143" s="64"/>
      <c r="AF143" s="64"/>
      <c r="AG143" s="64"/>
      <c r="AH143" s="64"/>
      <c r="AI143" s="64"/>
      <c r="AJ143" s="71"/>
      <c r="AK143" s="34" t="s">
        <v>631</v>
      </c>
      <c r="AL143" s="25"/>
      <c r="AM143" s="25"/>
      <c r="AN143" s="35" t="s">
        <v>1317</v>
      </c>
      <c r="AO143" s="24">
        <v>0.0017824074074074075</v>
      </c>
      <c r="AP143" s="74" t="s">
        <v>1309</v>
      </c>
      <c r="AQ143" s="73">
        <v>43160.0</v>
      </c>
      <c r="AS143" s="7" t="b">
        <f>NOT(ISERROR(MATCH(A143,'Villages according to موسوعة ال'!C:C,0)))</f>
        <v>1</v>
      </c>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row>
    <row r="144">
      <c r="A144" s="3" t="s">
        <v>360</v>
      </c>
      <c r="B144" s="26" t="s">
        <v>361</v>
      </c>
      <c r="C144" s="89" t="s">
        <v>361</v>
      </c>
      <c r="D144" s="7" t="s">
        <v>365</v>
      </c>
      <c r="E144" s="7" t="s">
        <v>958</v>
      </c>
      <c r="F144" s="7" t="s">
        <v>959</v>
      </c>
      <c r="G144" s="28" t="s">
        <v>960</v>
      </c>
      <c r="H144" s="7" t="s">
        <v>1318</v>
      </c>
      <c r="I144" s="7" t="s">
        <v>616</v>
      </c>
      <c r="J144" s="7" t="s">
        <v>1319</v>
      </c>
      <c r="K144" s="47"/>
      <c r="L144" s="54" t="s">
        <v>1320</v>
      </c>
      <c r="M144" s="48" t="b">
        <v>0</v>
      </c>
      <c r="N144" s="48" t="b">
        <v>0</v>
      </c>
      <c r="O144" s="48"/>
      <c r="P144" s="48" t="b">
        <v>0</v>
      </c>
      <c r="Q144" s="48" t="b">
        <v>0</v>
      </c>
      <c r="R144" s="48" t="b">
        <v>0</v>
      </c>
      <c r="S144" s="48"/>
      <c r="T144" s="32"/>
      <c r="U144" s="48" t="b">
        <v>0</v>
      </c>
      <c r="V144" s="48"/>
      <c r="W144" s="48" t="b">
        <v>0</v>
      </c>
      <c r="X144" s="48" t="b">
        <v>0</v>
      </c>
      <c r="Y144" s="48"/>
      <c r="Z144" s="48"/>
      <c r="AA144" s="48"/>
      <c r="AB144" s="48"/>
      <c r="AC144" s="49"/>
      <c r="AD144" s="48"/>
      <c r="AE144" s="48"/>
      <c r="AF144" s="48"/>
      <c r="AG144" s="48"/>
      <c r="AH144" s="48"/>
      <c r="AI144" s="48"/>
      <c r="AJ144" s="3" t="s">
        <v>1321</v>
      </c>
      <c r="AK144" s="34" t="s">
        <v>698</v>
      </c>
      <c r="AL144" s="3" t="s">
        <v>675</v>
      </c>
      <c r="AM144" s="3" t="s">
        <v>868</v>
      </c>
      <c r="AN144" s="35" t="s">
        <v>1322</v>
      </c>
      <c r="AO144" s="24">
        <v>0.024166666666666666</v>
      </c>
      <c r="AP144" s="74" t="s">
        <v>1323</v>
      </c>
      <c r="AQ144" s="25"/>
      <c r="AR144" s="35" t="s">
        <v>1324</v>
      </c>
      <c r="AS144" s="7" t="b">
        <f>NOT(ISERROR(MATCH(A144,'Villages according to موسوعة ال'!C:C,0)))</f>
        <v>1</v>
      </c>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row>
    <row r="145">
      <c r="A145" s="7" t="s">
        <v>324</v>
      </c>
      <c r="B145" s="43" t="s">
        <v>325</v>
      </c>
      <c r="C145" s="7" t="s">
        <v>325</v>
      </c>
      <c r="D145" s="7" t="s">
        <v>326</v>
      </c>
      <c r="E145" s="7" t="s">
        <v>691</v>
      </c>
      <c r="F145" s="7" t="s">
        <v>692</v>
      </c>
      <c r="G145" s="28" t="s">
        <v>615</v>
      </c>
      <c r="H145" s="7" t="s">
        <v>1325</v>
      </c>
      <c r="I145" s="7" t="s">
        <v>638</v>
      </c>
      <c r="J145" s="7" t="s">
        <v>1326</v>
      </c>
      <c r="K145" s="47"/>
      <c r="L145" s="54" t="s">
        <v>1327</v>
      </c>
      <c r="M145" s="60" t="b">
        <v>0</v>
      </c>
      <c r="N145" s="60" t="b">
        <v>0</v>
      </c>
      <c r="O145" s="60"/>
      <c r="P145" s="60" t="b">
        <v>0</v>
      </c>
      <c r="Q145" s="60" t="b">
        <v>0</v>
      </c>
      <c r="R145" s="60" t="b">
        <v>0</v>
      </c>
      <c r="S145" s="60"/>
      <c r="T145" s="60"/>
      <c r="U145" s="60" t="b">
        <v>0</v>
      </c>
      <c r="V145" s="60"/>
      <c r="W145" s="60" t="b">
        <v>0</v>
      </c>
      <c r="X145" s="60" t="b">
        <v>0</v>
      </c>
      <c r="Y145" s="60"/>
      <c r="Z145" s="60"/>
      <c r="AA145" s="60"/>
      <c r="AB145" s="60"/>
      <c r="AC145" s="61"/>
      <c r="AD145" s="60"/>
      <c r="AE145" s="60"/>
      <c r="AF145" s="60"/>
      <c r="AG145" s="60"/>
      <c r="AH145" s="60"/>
      <c r="AI145" s="60"/>
      <c r="AJ145" s="3"/>
      <c r="AK145" s="34" t="s">
        <v>698</v>
      </c>
      <c r="AL145" s="3"/>
      <c r="AM145" s="3" t="s">
        <v>868</v>
      </c>
      <c r="AN145" s="35" t="s">
        <v>1328</v>
      </c>
      <c r="AO145" s="24">
        <v>0.0021527777777777778</v>
      </c>
      <c r="AP145" s="74" t="s">
        <v>900</v>
      </c>
      <c r="AQ145" s="73">
        <v>43009.0</v>
      </c>
      <c r="AR145" s="35" t="s">
        <v>1329</v>
      </c>
      <c r="AS145" s="7" t="b">
        <f>NOT(ISERROR(MATCH(A145,'Villages according to موسوعة ال'!C:C,0)))</f>
        <v>1</v>
      </c>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row>
    <row r="146">
      <c r="A146" s="7" t="s">
        <v>324</v>
      </c>
      <c r="B146" s="43" t="s">
        <v>325</v>
      </c>
      <c r="E146" s="7" t="s">
        <v>691</v>
      </c>
      <c r="F146" s="7" t="s">
        <v>692</v>
      </c>
      <c r="G146" s="28" t="s">
        <v>615</v>
      </c>
      <c r="H146" s="7" t="s">
        <v>1330</v>
      </c>
      <c r="I146" s="7" t="s">
        <v>616</v>
      </c>
      <c r="J146" s="7" t="s">
        <v>1331</v>
      </c>
      <c r="K146" s="54" t="s">
        <v>1332</v>
      </c>
      <c r="L146" s="54" t="s">
        <v>1333</v>
      </c>
      <c r="M146" s="60" t="b">
        <v>0</v>
      </c>
      <c r="N146" s="60" t="b">
        <v>0</v>
      </c>
      <c r="O146" s="60"/>
      <c r="P146" s="60" t="b">
        <v>0</v>
      </c>
      <c r="Q146" s="60" t="b">
        <v>0</v>
      </c>
      <c r="R146" s="60" t="b">
        <v>0</v>
      </c>
      <c r="S146" s="60"/>
      <c r="T146" s="60"/>
      <c r="U146" s="60" t="b">
        <v>0</v>
      </c>
      <c r="V146" s="60"/>
      <c r="W146" s="60" t="b">
        <v>0</v>
      </c>
      <c r="X146" s="60" t="b">
        <v>0</v>
      </c>
      <c r="Y146" s="60"/>
      <c r="Z146" s="60"/>
      <c r="AA146" s="60"/>
      <c r="AB146" s="60"/>
      <c r="AC146" s="61"/>
      <c r="AD146" s="60"/>
      <c r="AE146" s="60"/>
      <c r="AF146" s="60"/>
      <c r="AG146" s="60"/>
      <c r="AH146" s="60"/>
      <c r="AI146" s="60"/>
      <c r="AJ146" s="3"/>
      <c r="AK146" s="34" t="s">
        <v>698</v>
      </c>
      <c r="AL146" s="3" t="s">
        <v>823</v>
      </c>
      <c r="AM146" s="3" t="s">
        <v>700</v>
      </c>
      <c r="AN146" s="35" t="s">
        <v>1334</v>
      </c>
      <c r="AO146" s="24">
        <v>0.0021875</v>
      </c>
      <c r="AP146" s="74" t="s">
        <v>1335</v>
      </c>
      <c r="AQ146" s="73">
        <v>43282.0</v>
      </c>
      <c r="AR146" s="35" t="s">
        <v>1336</v>
      </c>
      <c r="AS146" s="7" t="b">
        <f>NOT(ISERROR(MATCH(A146,'Villages according to موسوعة ال'!C:C,0)))</f>
        <v>1</v>
      </c>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row>
    <row r="147">
      <c r="A147" s="7" t="s">
        <v>324</v>
      </c>
      <c r="B147" s="26" t="s">
        <v>325</v>
      </c>
      <c r="E147" s="7" t="s">
        <v>691</v>
      </c>
      <c r="F147" s="7" t="s">
        <v>692</v>
      </c>
      <c r="G147" s="28"/>
      <c r="H147" s="7" t="s">
        <v>1337</v>
      </c>
      <c r="I147" s="7" t="s">
        <v>616</v>
      </c>
      <c r="J147" s="7" t="s">
        <v>1338</v>
      </c>
      <c r="K147" s="54" t="s">
        <v>1339</v>
      </c>
      <c r="L147" s="54" t="s">
        <v>1340</v>
      </c>
      <c r="M147" s="31" t="b">
        <v>0</v>
      </c>
      <c r="N147" s="31" t="b">
        <v>0</v>
      </c>
      <c r="O147" s="31"/>
      <c r="P147" s="31" t="b">
        <v>0</v>
      </c>
      <c r="Q147" s="31" t="b">
        <v>0</v>
      </c>
      <c r="R147" s="31" t="b">
        <v>0</v>
      </c>
      <c r="S147" s="31"/>
      <c r="T147" s="32"/>
      <c r="U147" s="31" t="b">
        <v>0</v>
      </c>
      <c r="V147" s="31"/>
      <c r="W147" s="31" t="b">
        <v>0</v>
      </c>
      <c r="X147" s="31" t="b">
        <v>0</v>
      </c>
      <c r="Y147" s="31"/>
      <c r="Z147" s="31"/>
      <c r="AA147" s="31"/>
      <c r="AB147" s="31"/>
      <c r="AC147" s="45"/>
      <c r="AD147" s="31"/>
      <c r="AE147" s="31"/>
      <c r="AF147" s="31"/>
      <c r="AG147" s="31"/>
      <c r="AH147" s="31"/>
      <c r="AI147" s="31"/>
      <c r="AJ147" s="3"/>
      <c r="AK147" s="34" t="s">
        <v>636</v>
      </c>
      <c r="AL147" s="3"/>
      <c r="AM147" s="25"/>
      <c r="AN147" s="35" t="s">
        <v>1341</v>
      </c>
      <c r="AO147" s="24">
        <v>0.0012847222222222223</v>
      </c>
      <c r="AP147" s="74" t="s">
        <v>633</v>
      </c>
      <c r="AQ147" s="7" t="s">
        <v>633</v>
      </c>
      <c r="AR147" s="36" t="s">
        <v>633</v>
      </c>
      <c r="AS147" s="7" t="b">
        <f>NOT(ISERROR(MATCH(A147,'Villages according to موسوعة ال'!C:C,0)))</f>
        <v>1</v>
      </c>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row>
    <row r="148">
      <c r="A148" s="7" t="s">
        <v>324</v>
      </c>
      <c r="B148" s="26" t="s">
        <v>325</v>
      </c>
      <c r="E148" s="7" t="s">
        <v>826</v>
      </c>
      <c r="F148" s="7" t="s">
        <v>638</v>
      </c>
      <c r="G148" s="28"/>
      <c r="H148" s="7" t="s">
        <v>1342</v>
      </c>
      <c r="I148" s="7" t="s">
        <v>638</v>
      </c>
      <c r="J148" s="7" t="s">
        <v>1343</v>
      </c>
      <c r="K148" s="54" t="s">
        <v>1344</v>
      </c>
      <c r="L148" s="29" t="s">
        <v>1345</v>
      </c>
      <c r="M148" s="64" t="b">
        <v>0</v>
      </c>
      <c r="N148" s="64" t="b">
        <v>0</v>
      </c>
      <c r="O148" s="64"/>
      <c r="P148" s="64" t="b">
        <v>0</v>
      </c>
      <c r="Q148" s="64" t="b">
        <v>0</v>
      </c>
      <c r="R148" s="64" t="b">
        <v>0</v>
      </c>
      <c r="S148" s="64"/>
      <c r="T148" s="32"/>
      <c r="U148" s="64" t="b">
        <v>0</v>
      </c>
      <c r="V148" s="64"/>
      <c r="W148" s="64" t="b">
        <v>0</v>
      </c>
      <c r="X148" s="64" t="b">
        <v>0</v>
      </c>
      <c r="Y148" s="64"/>
      <c r="Z148" s="64"/>
      <c r="AA148" s="64"/>
      <c r="AB148" s="64"/>
      <c r="AC148" s="65"/>
      <c r="AD148" s="64"/>
      <c r="AE148" s="64"/>
      <c r="AF148" s="64"/>
      <c r="AG148" s="64"/>
      <c r="AH148" s="64"/>
      <c r="AI148" s="64"/>
      <c r="AJ148" s="71"/>
      <c r="AK148" s="34" t="s">
        <v>636</v>
      </c>
      <c r="AL148" s="3"/>
      <c r="AM148" s="25"/>
      <c r="AN148" s="35" t="s">
        <v>1346</v>
      </c>
      <c r="AO148" s="24">
        <v>0.0022800925925925927</v>
      </c>
      <c r="AP148" s="74" t="s">
        <v>633</v>
      </c>
      <c r="AQ148" s="7" t="s">
        <v>633</v>
      </c>
      <c r="AR148" s="36" t="s">
        <v>633</v>
      </c>
      <c r="AS148" s="7" t="b">
        <f>NOT(ISERROR(MATCH(A148,'Villages according to موسوعة ال'!C:C,0)))</f>
        <v>1</v>
      </c>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row>
    <row r="149">
      <c r="A149" s="7" t="s">
        <v>324</v>
      </c>
      <c r="B149" s="26" t="s">
        <v>325</v>
      </c>
      <c r="E149" s="7" t="s">
        <v>826</v>
      </c>
      <c r="F149" s="7" t="s">
        <v>638</v>
      </c>
      <c r="G149" s="28"/>
      <c r="H149" s="7" t="s">
        <v>1347</v>
      </c>
      <c r="I149" s="7" t="s">
        <v>616</v>
      </c>
      <c r="J149" s="7" t="s">
        <v>1348</v>
      </c>
      <c r="K149" s="54" t="s">
        <v>1349</v>
      </c>
      <c r="L149" s="29" t="s">
        <v>1350</v>
      </c>
      <c r="M149" s="64" t="b">
        <v>0</v>
      </c>
      <c r="N149" s="64" t="b">
        <v>0</v>
      </c>
      <c r="O149" s="64"/>
      <c r="P149" s="64" t="b">
        <v>0</v>
      </c>
      <c r="Q149" s="64" t="b">
        <v>0</v>
      </c>
      <c r="R149" s="64" t="b">
        <v>0</v>
      </c>
      <c r="S149" s="64"/>
      <c r="T149" s="32"/>
      <c r="U149" s="64" t="b">
        <v>0</v>
      </c>
      <c r="V149" s="64"/>
      <c r="W149" s="64" t="b">
        <v>0</v>
      </c>
      <c r="X149" s="64" t="b">
        <v>0</v>
      </c>
      <c r="Y149" s="64"/>
      <c r="Z149" s="64"/>
      <c r="AA149" s="64"/>
      <c r="AB149" s="64"/>
      <c r="AC149" s="65"/>
      <c r="AD149" s="64"/>
      <c r="AE149" s="64"/>
      <c r="AF149" s="64"/>
      <c r="AG149" s="64"/>
      <c r="AH149" s="64"/>
      <c r="AI149" s="64"/>
      <c r="AJ149" s="71"/>
      <c r="AK149" s="34" t="s">
        <v>636</v>
      </c>
      <c r="AL149" s="3"/>
      <c r="AM149" s="25"/>
      <c r="AN149" s="35" t="s">
        <v>1351</v>
      </c>
      <c r="AO149" s="24">
        <v>0.0020833333333333333</v>
      </c>
      <c r="AP149" s="74"/>
      <c r="AQ149" s="7"/>
      <c r="AR149" s="7" t="s">
        <v>633</v>
      </c>
      <c r="AS149" s="7" t="b">
        <f>NOT(ISERROR(MATCH(A149,'Villages according to موسوعة ال'!C:C,0)))</f>
        <v>1</v>
      </c>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row>
    <row r="150">
      <c r="A150" s="7" t="s">
        <v>324</v>
      </c>
      <c r="B150" s="26" t="s">
        <v>325</v>
      </c>
      <c r="E150" s="7" t="s">
        <v>826</v>
      </c>
      <c r="F150" s="7" t="s">
        <v>638</v>
      </c>
      <c r="G150" s="28"/>
      <c r="H150" s="7" t="s">
        <v>1352</v>
      </c>
      <c r="I150" s="7" t="s">
        <v>616</v>
      </c>
      <c r="J150" s="7" t="s">
        <v>1353</v>
      </c>
      <c r="K150" s="54" t="s">
        <v>1354</v>
      </c>
      <c r="L150" s="29" t="s">
        <v>1355</v>
      </c>
      <c r="M150" s="64" t="b">
        <v>0</v>
      </c>
      <c r="N150" s="64" t="b">
        <v>0</v>
      </c>
      <c r="O150" s="64"/>
      <c r="P150" s="64" t="b">
        <v>0</v>
      </c>
      <c r="Q150" s="64" t="b">
        <v>0</v>
      </c>
      <c r="R150" s="64" t="b">
        <v>0</v>
      </c>
      <c r="S150" s="64"/>
      <c r="T150" s="32"/>
      <c r="U150" s="64" t="b">
        <v>0</v>
      </c>
      <c r="V150" s="64"/>
      <c r="W150" s="64" t="b">
        <v>0</v>
      </c>
      <c r="X150" s="64" t="b">
        <v>0</v>
      </c>
      <c r="Y150" s="64"/>
      <c r="Z150" s="64"/>
      <c r="AA150" s="64"/>
      <c r="AB150" s="64"/>
      <c r="AC150" s="65"/>
      <c r="AD150" s="64"/>
      <c r="AE150" s="64"/>
      <c r="AF150" s="64"/>
      <c r="AG150" s="64"/>
      <c r="AH150" s="64"/>
      <c r="AI150" s="64"/>
      <c r="AJ150" s="71"/>
      <c r="AK150" s="34" t="s">
        <v>636</v>
      </c>
      <c r="AL150" s="3"/>
      <c r="AM150" s="25"/>
      <c r="AN150" s="35" t="s">
        <v>1356</v>
      </c>
      <c r="AO150" s="24">
        <v>0.0016319444444444445</v>
      </c>
      <c r="AP150" s="74" t="s">
        <v>633</v>
      </c>
      <c r="AQ150" s="7" t="s">
        <v>633</v>
      </c>
      <c r="AR150" s="36" t="s">
        <v>633</v>
      </c>
      <c r="AS150" s="7" t="b">
        <f>NOT(ISERROR(MATCH(A150,'Villages according to موسوعة ال'!C:C,0)))</f>
        <v>1</v>
      </c>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row>
    <row r="151">
      <c r="A151" s="7" t="s">
        <v>324</v>
      </c>
      <c r="B151" s="26" t="s">
        <v>325</v>
      </c>
      <c r="E151" s="7" t="s">
        <v>850</v>
      </c>
      <c r="F151" s="7" t="s">
        <v>692</v>
      </c>
      <c r="G151" s="28"/>
      <c r="H151" s="7" t="s">
        <v>1357</v>
      </c>
      <c r="I151" s="7" t="s">
        <v>638</v>
      </c>
      <c r="J151" s="7" t="s">
        <v>1358</v>
      </c>
      <c r="K151" s="54" t="s">
        <v>1359</v>
      </c>
      <c r="L151" s="29"/>
      <c r="M151" s="64" t="b">
        <v>0</v>
      </c>
      <c r="N151" s="64" t="b">
        <v>0</v>
      </c>
      <c r="O151" s="64"/>
      <c r="P151" s="64" t="b">
        <v>0</v>
      </c>
      <c r="Q151" s="64" t="b">
        <v>0</v>
      </c>
      <c r="R151" s="64" t="b">
        <v>0</v>
      </c>
      <c r="S151" s="64"/>
      <c r="T151" s="32"/>
      <c r="U151" s="64" t="b">
        <v>0</v>
      </c>
      <c r="V151" s="64"/>
      <c r="W151" s="64" t="b">
        <v>0</v>
      </c>
      <c r="X151" s="64" t="b">
        <v>0</v>
      </c>
      <c r="Y151" s="64"/>
      <c r="Z151" s="64"/>
      <c r="AA151" s="64"/>
      <c r="AB151" s="64"/>
      <c r="AC151" s="65"/>
      <c r="AD151" s="64"/>
      <c r="AE151" s="64"/>
      <c r="AF151" s="64"/>
      <c r="AG151" s="64"/>
      <c r="AH151" s="64"/>
      <c r="AI151" s="64"/>
      <c r="AJ151" s="71"/>
      <c r="AK151" s="34" t="s">
        <v>636</v>
      </c>
      <c r="AL151" s="3"/>
      <c r="AM151" s="25"/>
      <c r="AN151" s="35" t="s">
        <v>1360</v>
      </c>
      <c r="AO151" s="24">
        <v>0.0021180555555555558</v>
      </c>
      <c r="AP151" s="74"/>
      <c r="AQ151" s="7"/>
      <c r="AR151" s="7" t="s">
        <v>633</v>
      </c>
      <c r="AS151" s="7" t="b">
        <f>NOT(ISERROR(MATCH(A151,'Villages according to موسوعة ال'!C:C,0)))</f>
        <v>1</v>
      </c>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row>
    <row r="152">
      <c r="A152" s="7" t="s">
        <v>324</v>
      </c>
      <c r="B152" s="43" t="s">
        <v>325</v>
      </c>
      <c r="E152" s="7"/>
      <c r="F152" s="7"/>
      <c r="G152" s="28" t="s">
        <v>615</v>
      </c>
      <c r="H152" s="7"/>
      <c r="I152" s="7" t="s">
        <v>616</v>
      </c>
      <c r="J152" s="7" t="s">
        <v>1361</v>
      </c>
      <c r="K152" s="54" t="s">
        <v>1362</v>
      </c>
      <c r="L152" s="29"/>
      <c r="M152" s="64" t="b">
        <v>0</v>
      </c>
      <c r="N152" s="64" t="b">
        <v>0</v>
      </c>
      <c r="O152" s="64"/>
      <c r="P152" s="64" t="b">
        <v>0</v>
      </c>
      <c r="Q152" s="64" t="b">
        <v>0</v>
      </c>
      <c r="R152" s="64" t="b">
        <v>0</v>
      </c>
      <c r="S152" s="64"/>
      <c r="T152" s="32"/>
      <c r="U152" s="64" t="b">
        <v>0</v>
      </c>
      <c r="V152" s="64"/>
      <c r="W152" s="64" t="b">
        <v>0</v>
      </c>
      <c r="X152" s="64" t="b">
        <v>0</v>
      </c>
      <c r="Y152" s="64"/>
      <c r="Z152" s="64"/>
      <c r="AA152" s="64"/>
      <c r="AB152" s="64"/>
      <c r="AC152" s="65"/>
      <c r="AD152" s="64"/>
      <c r="AE152" s="64"/>
      <c r="AF152" s="64"/>
      <c r="AG152" s="64"/>
      <c r="AH152" s="64"/>
      <c r="AI152" s="64"/>
      <c r="AJ152" s="71" t="s">
        <v>1363</v>
      </c>
      <c r="AK152" s="34" t="s">
        <v>631</v>
      </c>
      <c r="AL152" s="3"/>
      <c r="AM152" s="25"/>
      <c r="AN152" s="35" t="s">
        <v>1364</v>
      </c>
      <c r="AO152" s="24">
        <v>0.05883101851851852</v>
      </c>
      <c r="AP152" s="74" t="s">
        <v>1365</v>
      </c>
      <c r="AQ152" s="7"/>
      <c r="AR152" s="7" t="s">
        <v>633</v>
      </c>
      <c r="AS152" s="7" t="b">
        <f>NOT(ISERROR(MATCH(A152,'Villages according to موسوعة ال'!C:C,0)))</f>
        <v>1</v>
      </c>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row>
    <row r="153">
      <c r="A153" s="7" t="s">
        <v>324</v>
      </c>
      <c r="B153" s="43" t="s">
        <v>325</v>
      </c>
      <c r="E153" s="7" t="s">
        <v>1153</v>
      </c>
      <c r="F153" s="7" t="s">
        <v>692</v>
      </c>
      <c r="G153" s="28" t="s">
        <v>615</v>
      </c>
      <c r="H153" s="7" t="s">
        <v>1366</v>
      </c>
      <c r="I153" s="7" t="s">
        <v>616</v>
      </c>
      <c r="J153" s="7" t="s">
        <v>1367</v>
      </c>
      <c r="K153" s="54"/>
      <c r="L153" s="29"/>
      <c r="M153" s="60" t="b">
        <v>0</v>
      </c>
      <c r="N153" s="60" t="b">
        <v>0</v>
      </c>
      <c r="O153" s="60"/>
      <c r="P153" s="60" t="b">
        <v>0</v>
      </c>
      <c r="Q153" s="60" t="b">
        <v>0</v>
      </c>
      <c r="R153" s="60" t="b">
        <v>0</v>
      </c>
      <c r="S153" s="60"/>
      <c r="T153" s="60"/>
      <c r="U153" s="60" t="b">
        <v>0</v>
      </c>
      <c r="V153" s="60"/>
      <c r="W153" s="60" t="b">
        <v>0</v>
      </c>
      <c r="X153" s="60" t="b">
        <v>0</v>
      </c>
      <c r="Y153" s="60"/>
      <c r="Z153" s="60"/>
      <c r="AA153" s="60"/>
      <c r="AB153" s="60"/>
      <c r="AC153" s="61"/>
      <c r="AD153" s="60"/>
      <c r="AE153" s="60"/>
      <c r="AF153" s="60"/>
      <c r="AG153" s="60"/>
      <c r="AH153" s="60"/>
      <c r="AI153" s="60"/>
      <c r="AJ153" s="71"/>
      <c r="AK153" s="34" t="s">
        <v>698</v>
      </c>
      <c r="AL153" s="3"/>
      <c r="AM153" s="25"/>
      <c r="AN153" s="35" t="s">
        <v>1368</v>
      </c>
      <c r="AO153" s="24">
        <v>0.015613425925925926</v>
      </c>
      <c r="AP153" s="74" t="s">
        <v>1369</v>
      </c>
      <c r="AQ153" s="7"/>
      <c r="AR153" s="35" t="s">
        <v>1370</v>
      </c>
      <c r="AS153" s="7" t="b">
        <f>NOT(ISERROR(MATCH(A153,'Villages according to موسوعة ال'!C:C,0)))</f>
        <v>1</v>
      </c>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row>
    <row r="154">
      <c r="A154" s="7" t="s">
        <v>390</v>
      </c>
      <c r="B154" s="43" t="s">
        <v>391</v>
      </c>
      <c r="C154" s="7" t="s">
        <v>391</v>
      </c>
      <c r="D154" s="7" t="s">
        <v>392</v>
      </c>
      <c r="E154" s="7" t="s">
        <v>958</v>
      </c>
      <c r="F154" s="7" t="s">
        <v>959</v>
      </c>
      <c r="G154" s="28"/>
      <c r="H154" s="7" t="s">
        <v>1371</v>
      </c>
      <c r="I154" s="7" t="s">
        <v>638</v>
      </c>
      <c r="J154" s="7" t="s">
        <v>1372</v>
      </c>
      <c r="K154" s="47"/>
      <c r="L154" s="47"/>
      <c r="M154" s="48" t="b">
        <v>0</v>
      </c>
      <c r="N154" s="48" t="b">
        <v>0</v>
      </c>
      <c r="O154" s="48"/>
      <c r="P154" s="48" t="b">
        <v>0</v>
      </c>
      <c r="Q154" s="48" t="b">
        <v>0</v>
      </c>
      <c r="R154" s="48" t="b">
        <v>0</v>
      </c>
      <c r="S154" s="48"/>
      <c r="T154" s="32"/>
      <c r="U154" s="48" t="b">
        <v>0</v>
      </c>
      <c r="V154" s="48"/>
      <c r="W154" s="48" t="b">
        <v>0</v>
      </c>
      <c r="X154" s="48" t="b">
        <v>0</v>
      </c>
      <c r="Y154" s="48"/>
      <c r="Z154" s="48"/>
      <c r="AA154" s="48"/>
      <c r="AB154" s="48"/>
      <c r="AC154" s="49"/>
      <c r="AD154" s="48"/>
      <c r="AE154" s="48"/>
      <c r="AF154" s="48"/>
      <c r="AG154" s="48"/>
      <c r="AH154" s="48"/>
      <c r="AI154" s="48"/>
      <c r="AJ154" s="3" t="s">
        <v>1373</v>
      </c>
      <c r="AK154" s="34" t="s">
        <v>631</v>
      </c>
      <c r="AL154" s="25"/>
      <c r="AM154" s="25"/>
      <c r="AN154" s="35" t="s">
        <v>1374</v>
      </c>
      <c r="AO154" s="24">
        <v>0.003553240740740741</v>
      </c>
      <c r="AP154" s="86" t="s">
        <v>1375</v>
      </c>
      <c r="AQ154" s="7" t="s">
        <v>633</v>
      </c>
      <c r="AR154" s="7" t="s">
        <v>633</v>
      </c>
      <c r="AS154" s="7" t="b">
        <f>NOT(ISERROR(MATCH(A154,'Villages according to موسوعة ال'!C:C,0)))</f>
        <v>1</v>
      </c>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row>
    <row r="155">
      <c r="A155" s="7" t="s">
        <v>390</v>
      </c>
      <c r="B155" s="43" t="s">
        <v>391</v>
      </c>
      <c r="F155" s="7" t="s">
        <v>959</v>
      </c>
      <c r="G155" s="28"/>
      <c r="K155" s="47"/>
      <c r="L155" s="47"/>
      <c r="M155" s="32" t="b">
        <v>1</v>
      </c>
      <c r="N155" s="48" t="b">
        <v>0</v>
      </c>
      <c r="O155" s="32" t="s">
        <v>965</v>
      </c>
      <c r="P155" s="48" t="b">
        <v>0</v>
      </c>
      <c r="Q155" s="48" t="b">
        <v>0</v>
      </c>
      <c r="R155" s="48" t="b">
        <v>0</v>
      </c>
      <c r="S155" s="32" t="s">
        <v>966</v>
      </c>
      <c r="T155" s="32" t="s">
        <v>967</v>
      </c>
      <c r="U155" s="48" t="b">
        <v>0</v>
      </c>
      <c r="V155" s="48"/>
      <c r="W155" s="48" t="b">
        <v>0</v>
      </c>
      <c r="X155" s="48" t="b">
        <v>0</v>
      </c>
      <c r="Y155" s="48"/>
      <c r="Z155" s="48"/>
      <c r="AA155" s="32" t="s">
        <v>822</v>
      </c>
      <c r="AB155" s="48"/>
      <c r="AC155" s="33" t="s">
        <v>995</v>
      </c>
      <c r="AD155" s="32" t="s">
        <v>969</v>
      </c>
      <c r="AE155" s="32" t="s">
        <v>970</v>
      </c>
      <c r="AF155" s="32" t="s">
        <v>627</v>
      </c>
      <c r="AG155" s="48"/>
      <c r="AH155" s="48"/>
      <c r="AI155" s="32" t="s">
        <v>673</v>
      </c>
      <c r="AJ155" s="3" t="s">
        <v>1376</v>
      </c>
      <c r="AK155" s="34" t="s">
        <v>698</v>
      </c>
      <c r="AL155" s="3" t="s">
        <v>699</v>
      </c>
      <c r="AM155" s="3" t="s">
        <v>868</v>
      </c>
      <c r="AN155" s="35" t="s">
        <v>1377</v>
      </c>
      <c r="AO155" s="24">
        <v>0.002650462962962963</v>
      </c>
      <c r="AP155" s="86" t="s">
        <v>1375</v>
      </c>
      <c r="AQ155" s="7" t="s">
        <v>633</v>
      </c>
      <c r="AR155" s="90" t="s">
        <v>1378</v>
      </c>
      <c r="AS155" s="7" t="b">
        <f>NOT(ISERROR(MATCH(A155,'Villages according to موسوعة ال'!C:C,0)))</f>
        <v>1</v>
      </c>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row>
    <row r="156">
      <c r="A156" s="7" t="s">
        <v>390</v>
      </c>
      <c r="B156" s="26" t="s">
        <v>391</v>
      </c>
      <c r="E156" s="7" t="s">
        <v>958</v>
      </c>
      <c r="F156" s="7" t="s">
        <v>959</v>
      </c>
      <c r="G156" s="28"/>
      <c r="H156" s="7" t="s">
        <v>633</v>
      </c>
      <c r="I156" s="7" t="s">
        <v>638</v>
      </c>
      <c r="J156" s="7" t="s">
        <v>1379</v>
      </c>
      <c r="K156" s="54" t="s">
        <v>1380</v>
      </c>
      <c r="L156" s="47"/>
      <c r="M156" s="48" t="b">
        <v>0</v>
      </c>
      <c r="N156" s="48" t="b">
        <v>0</v>
      </c>
      <c r="O156" s="48"/>
      <c r="P156" s="48" t="b">
        <v>0</v>
      </c>
      <c r="Q156" s="48" t="b">
        <v>0</v>
      </c>
      <c r="R156" s="48" t="b">
        <v>0</v>
      </c>
      <c r="S156" s="48"/>
      <c r="T156" s="32"/>
      <c r="U156" s="48" t="b">
        <v>0</v>
      </c>
      <c r="V156" s="48"/>
      <c r="W156" s="48" t="b">
        <v>0</v>
      </c>
      <c r="X156" s="48" t="b">
        <v>0</v>
      </c>
      <c r="Y156" s="48"/>
      <c r="Z156" s="48"/>
      <c r="AA156" s="48"/>
      <c r="AB156" s="48"/>
      <c r="AC156" s="49"/>
      <c r="AD156" s="48"/>
      <c r="AE156" s="48"/>
      <c r="AF156" s="48"/>
      <c r="AG156" s="48"/>
      <c r="AH156" s="48"/>
      <c r="AI156" s="48"/>
      <c r="AJ156" s="25"/>
      <c r="AK156" s="34" t="s">
        <v>636</v>
      </c>
      <c r="AL156" s="25"/>
      <c r="AM156" s="25"/>
      <c r="AN156" s="35" t="s">
        <v>1381</v>
      </c>
      <c r="AO156" s="24">
        <v>0.006168981481481482</v>
      </c>
      <c r="AP156" s="86" t="s">
        <v>1382</v>
      </c>
      <c r="AQ156" s="7" t="s">
        <v>633</v>
      </c>
      <c r="AR156" s="7" t="s">
        <v>633</v>
      </c>
      <c r="AS156" s="7" t="b">
        <f>NOT(ISERROR(MATCH(A156,'Villages according to موسوعة ال'!C:C,0)))</f>
        <v>1</v>
      </c>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row>
    <row r="157">
      <c r="A157" s="7" t="s">
        <v>390</v>
      </c>
      <c r="B157" s="26" t="s">
        <v>391</v>
      </c>
      <c r="E157" s="7" t="s">
        <v>958</v>
      </c>
      <c r="F157" s="7" t="s">
        <v>959</v>
      </c>
      <c r="G157" s="28"/>
      <c r="H157" s="7" t="s">
        <v>633</v>
      </c>
      <c r="I157" s="7" t="s">
        <v>638</v>
      </c>
      <c r="J157" s="7" t="s">
        <v>1383</v>
      </c>
      <c r="K157" s="47"/>
      <c r="L157" s="47"/>
      <c r="M157" s="48" t="b">
        <v>0</v>
      </c>
      <c r="N157" s="48" t="b">
        <v>0</v>
      </c>
      <c r="O157" s="48"/>
      <c r="P157" s="48" t="b">
        <v>0</v>
      </c>
      <c r="Q157" s="48" t="b">
        <v>0</v>
      </c>
      <c r="R157" s="48" t="b">
        <v>0</v>
      </c>
      <c r="S157" s="48"/>
      <c r="T157" s="32"/>
      <c r="U157" s="48" t="b">
        <v>0</v>
      </c>
      <c r="V157" s="48"/>
      <c r="W157" s="48" t="b">
        <v>0</v>
      </c>
      <c r="X157" s="48" t="b">
        <v>0</v>
      </c>
      <c r="Y157" s="48"/>
      <c r="Z157" s="48"/>
      <c r="AA157" s="48"/>
      <c r="AB157" s="48"/>
      <c r="AC157" s="49"/>
      <c r="AD157" s="48"/>
      <c r="AE157" s="48"/>
      <c r="AF157" s="48"/>
      <c r="AG157" s="48"/>
      <c r="AH157" s="48"/>
      <c r="AI157" s="48"/>
      <c r="AJ157" s="25"/>
      <c r="AK157" s="34" t="s">
        <v>666</v>
      </c>
      <c r="AL157" s="25"/>
      <c r="AM157" s="25"/>
      <c r="AN157" s="35" t="s">
        <v>1384</v>
      </c>
      <c r="AO157" s="24">
        <v>0.02792824074074074</v>
      </c>
      <c r="AP157" s="86" t="s">
        <v>1385</v>
      </c>
      <c r="AQ157" s="7" t="s">
        <v>633</v>
      </c>
      <c r="AR157" s="7" t="s">
        <v>633</v>
      </c>
      <c r="AS157" s="7" t="b">
        <f>NOT(ISERROR(MATCH(A157,'Villages according to موسوعة ال'!C:C,0)))</f>
        <v>1</v>
      </c>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row>
    <row r="158">
      <c r="A158" s="7" t="s">
        <v>390</v>
      </c>
      <c r="B158" s="43" t="s">
        <v>391</v>
      </c>
      <c r="F158" s="7" t="s">
        <v>959</v>
      </c>
      <c r="G158" s="28"/>
      <c r="K158" s="47"/>
      <c r="L158" s="47"/>
      <c r="M158" s="48" t="b">
        <v>0</v>
      </c>
      <c r="N158" s="48" t="b">
        <v>0</v>
      </c>
      <c r="O158" s="48"/>
      <c r="P158" s="48" t="b">
        <v>0</v>
      </c>
      <c r="Q158" s="48" t="b">
        <v>0</v>
      </c>
      <c r="R158" s="48" t="b">
        <v>0</v>
      </c>
      <c r="S158" s="48"/>
      <c r="T158" s="32"/>
      <c r="U158" s="48" t="b">
        <v>0</v>
      </c>
      <c r="V158" s="48"/>
      <c r="W158" s="48" t="b">
        <v>0</v>
      </c>
      <c r="X158" s="48" t="b">
        <v>0</v>
      </c>
      <c r="Y158" s="48"/>
      <c r="Z158" s="48"/>
      <c r="AA158" s="48"/>
      <c r="AB158" s="48"/>
      <c r="AC158" s="49"/>
      <c r="AD158" s="48"/>
      <c r="AE158" s="48"/>
      <c r="AF158" s="48"/>
      <c r="AG158" s="48"/>
      <c r="AH158" s="48"/>
      <c r="AI158" s="48"/>
      <c r="AJ158" s="3" t="s">
        <v>1386</v>
      </c>
      <c r="AK158" s="34" t="s">
        <v>631</v>
      </c>
      <c r="AL158" s="25"/>
      <c r="AM158" s="25"/>
      <c r="AN158" s="35" t="s">
        <v>1387</v>
      </c>
      <c r="AO158" s="24">
        <v>0.027118055555555555</v>
      </c>
      <c r="AP158" s="86" t="s">
        <v>1385</v>
      </c>
      <c r="AQ158" s="7" t="s">
        <v>633</v>
      </c>
      <c r="AR158" s="7" t="s">
        <v>633</v>
      </c>
      <c r="AS158" s="7" t="b">
        <f>NOT(ISERROR(MATCH(A158,'Villages according to موسوعة ال'!C:C,0)))</f>
        <v>1</v>
      </c>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row>
    <row r="159">
      <c r="A159" s="7" t="s">
        <v>105</v>
      </c>
      <c r="B159" s="43" t="s">
        <v>106</v>
      </c>
      <c r="C159" s="7" t="s">
        <v>106</v>
      </c>
      <c r="D159" s="7" t="s">
        <v>107</v>
      </c>
      <c r="E159" s="7" t="s">
        <v>706</v>
      </c>
      <c r="F159" s="7" t="s">
        <v>692</v>
      </c>
      <c r="G159" s="28" t="s">
        <v>693</v>
      </c>
      <c r="H159" s="7" t="s">
        <v>1388</v>
      </c>
      <c r="I159" s="7" t="s">
        <v>616</v>
      </c>
      <c r="J159" s="7" t="s">
        <v>1389</v>
      </c>
      <c r="K159" s="54" t="s">
        <v>1390</v>
      </c>
      <c r="L159" s="44" t="s">
        <v>1391</v>
      </c>
      <c r="M159" s="32" t="b">
        <v>1</v>
      </c>
      <c r="N159" s="60" t="b">
        <v>0</v>
      </c>
      <c r="O159" s="32" t="s">
        <v>620</v>
      </c>
      <c r="P159" s="60" t="b">
        <v>0</v>
      </c>
      <c r="Q159" s="60" t="b">
        <v>0</v>
      </c>
      <c r="R159" s="32" t="b">
        <v>1</v>
      </c>
      <c r="S159" s="32" t="s">
        <v>621</v>
      </c>
      <c r="T159" s="32" t="s">
        <v>670</v>
      </c>
      <c r="U159" s="60" t="b">
        <v>0</v>
      </c>
      <c r="V159" s="60"/>
      <c r="W159" s="60" t="b">
        <v>0</v>
      </c>
      <c r="X159" s="60" t="b">
        <v>0</v>
      </c>
      <c r="Y159" s="32" t="s">
        <v>671</v>
      </c>
      <c r="Z159" s="32" t="s">
        <v>652</v>
      </c>
      <c r="AA159" s="60"/>
      <c r="AB159" s="32" t="s">
        <v>1193</v>
      </c>
      <c r="AC159" s="33" t="s">
        <v>672</v>
      </c>
      <c r="AD159" s="32" t="s">
        <v>686</v>
      </c>
      <c r="AE159" s="60"/>
      <c r="AF159" s="32" t="s">
        <v>627</v>
      </c>
      <c r="AG159" s="60"/>
      <c r="AH159" s="60"/>
      <c r="AI159" s="32" t="s">
        <v>673</v>
      </c>
      <c r="AJ159" s="71"/>
      <c r="AK159" s="34" t="s">
        <v>698</v>
      </c>
      <c r="AL159" s="3" t="s">
        <v>699</v>
      </c>
      <c r="AM159" s="3" t="s">
        <v>868</v>
      </c>
      <c r="AN159" s="35" t="s">
        <v>1392</v>
      </c>
      <c r="AO159" s="24">
        <v>0.001979166666666667</v>
      </c>
      <c r="AP159" s="74" t="s">
        <v>702</v>
      </c>
      <c r="AQ159" s="7">
        <v>2017.0</v>
      </c>
      <c r="AR159" s="35" t="s">
        <v>1393</v>
      </c>
      <c r="AS159" s="7" t="b">
        <f>NOT(ISERROR(MATCH(A159,'Villages according to موسوعة ال'!C:C,0)))</f>
        <v>1</v>
      </c>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row>
    <row r="160">
      <c r="A160" s="7" t="s">
        <v>105</v>
      </c>
      <c r="B160" s="26" t="s">
        <v>106</v>
      </c>
      <c r="E160" s="7" t="s">
        <v>900</v>
      </c>
      <c r="F160" s="7" t="s">
        <v>900</v>
      </c>
      <c r="G160" s="28"/>
      <c r="H160" s="7" t="s">
        <v>1394</v>
      </c>
      <c r="I160" s="7" t="s">
        <v>638</v>
      </c>
      <c r="J160" s="7" t="s">
        <v>1395</v>
      </c>
      <c r="K160" s="54"/>
      <c r="L160" s="29"/>
      <c r="M160" s="64" t="b">
        <v>0</v>
      </c>
      <c r="N160" s="64" t="b">
        <v>0</v>
      </c>
      <c r="O160" s="64"/>
      <c r="P160" s="64" t="b">
        <v>0</v>
      </c>
      <c r="Q160" s="64" t="b">
        <v>0</v>
      </c>
      <c r="R160" s="64" t="b">
        <v>0</v>
      </c>
      <c r="S160" s="64"/>
      <c r="T160" s="32"/>
      <c r="U160" s="64" t="b">
        <v>0</v>
      </c>
      <c r="V160" s="64"/>
      <c r="W160" s="64" t="b">
        <v>0</v>
      </c>
      <c r="X160" s="64" t="b">
        <v>0</v>
      </c>
      <c r="Y160" s="64"/>
      <c r="Z160" s="64"/>
      <c r="AA160" s="64"/>
      <c r="AB160" s="64"/>
      <c r="AC160" s="65"/>
      <c r="AD160" s="64"/>
      <c r="AE160" s="64"/>
      <c r="AF160" s="64"/>
      <c r="AG160" s="64"/>
      <c r="AH160" s="64"/>
      <c r="AI160" s="64"/>
      <c r="AJ160" s="71"/>
      <c r="AK160" s="34" t="s">
        <v>636</v>
      </c>
      <c r="AL160" s="25"/>
      <c r="AM160" s="25"/>
      <c r="AN160" s="35" t="s">
        <v>1396</v>
      </c>
      <c r="AO160" s="24">
        <v>9.259259259259259E-5</v>
      </c>
      <c r="AP160" s="74" t="s">
        <v>633</v>
      </c>
      <c r="AQ160" s="7" t="s">
        <v>633</v>
      </c>
      <c r="AR160" s="36" t="s">
        <v>633</v>
      </c>
      <c r="AS160" s="7" t="b">
        <f>NOT(ISERROR(MATCH(A160,'Villages according to موسوعة ال'!C:C,0)))</f>
        <v>1</v>
      </c>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row>
    <row r="161">
      <c r="A161" s="7" t="s">
        <v>105</v>
      </c>
      <c r="B161" s="26" t="s">
        <v>106</v>
      </c>
      <c r="F161" s="7"/>
      <c r="G161" s="28"/>
      <c r="K161" s="54"/>
      <c r="L161" s="29"/>
      <c r="M161" s="64" t="b">
        <v>0</v>
      </c>
      <c r="N161" s="64" t="b">
        <v>0</v>
      </c>
      <c r="O161" s="64"/>
      <c r="P161" s="64" t="b">
        <v>0</v>
      </c>
      <c r="Q161" s="64" t="b">
        <v>0</v>
      </c>
      <c r="R161" s="64" t="b">
        <v>0</v>
      </c>
      <c r="S161" s="64"/>
      <c r="T161" s="32"/>
      <c r="U161" s="64" t="b">
        <v>0</v>
      </c>
      <c r="V161" s="64"/>
      <c r="W161" s="64" t="b">
        <v>0</v>
      </c>
      <c r="X161" s="64" t="b">
        <v>0</v>
      </c>
      <c r="Y161" s="64"/>
      <c r="Z161" s="64"/>
      <c r="AA161" s="64"/>
      <c r="AB161" s="64"/>
      <c r="AC161" s="65"/>
      <c r="AD161" s="64"/>
      <c r="AE161" s="64"/>
      <c r="AF161" s="64"/>
      <c r="AG161" s="64"/>
      <c r="AH161" s="64"/>
      <c r="AI161" s="64"/>
      <c r="AJ161" s="71"/>
      <c r="AK161" s="34" t="s">
        <v>636</v>
      </c>
      <c r="AL161" s="25"/>
      <c r="AM161" s="25"/>
      <c r="AN161" s="35" t="s">
        <v>1397</v>
      </c>
      <c r="AO161" s="24">
        <v>8.101851851851852E-5</v>
      </c>
      <c r="AP161" s="74" t="s">
        <v>633</v>
      </c>
      <c r="AQ161" s="7" t="s">
        <v>633</v>
      </c>
      <c r="AR161" s="36" t="s">
        <v>633</v>
      </c>
      <c r="AS161" s="7" t="b">
        <f>NOT(ISERROR(MATCH(A161,'Villages according to موسوعة ال'!C:C,0)))</f>
        <v>1</v>
      </c>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row>
    <row r="162">
      <c r="A162" s="7" t="s">
        <v>105</v>
      </c>
      <c r="B162" s="43" t="s">
        <v>106</v>
      </c>
      <c r="E162" s="7" t="s">
        <v>1153</v>
      </c>
      <c r="F162" s="7" t="s">
        <v>692</v>
      </c>
      <c r="G162" s="28" t="s">
        <v>693</v>
      </c>
      <c r="H162" s="7" t="s">
        <v>1398</v>
      </c>
      <c r="I162" s="7" t="s">
        <v>616</v>
      </c>
      <c r="J162" s="7" t="s">
        <v>1399</v>
      </c>
      <c r="K162" s="54"/>
      <c r="L162" s="29"/>
      <c r="M162" s="64" t="b">
        <v>0</v>
      </c>
      <c r="N162" s="64" t="b">
        <v>0</v>
      </c>
      <c r="O162" s="64"/>
      <c r="P162" s="64" t="b">
        <v>0</v>
      </c>
      <c r="Q162" s="64" t="b">
        <v>0</v>
      </c>
      <c r="R162" s="64" t="b">
        <v>0</v>
      </c>
      <c r="S162" s="64"/>
      <c r="T162" s="32"/>
      <c r="U162" s="64" t="b">
        <v>0</v>
      </c>
      <c r="V162" s="64"/>
      <c r="W162" s="64" t="b">
        <v>0</v>
      </c>
      <c r="X162" s="64" t="b">
        <v>0</v>
      </c>
      <c r="Y162" s="64"/>
      <c r="Z162" s="64"/>
      <c r="AA162" s="64"/>
      <c r="AB162" s="64"/>
      <c r="AC162" s="65"/>
      <c r="AD162" s="64"/>
      <c r="AE162" s="64"/>
      <c r="AF162" s="64"/>
      <c r="AG162" s="64"/>
      <c r="AH162" s="64"/>
      <c r="AI162" s="64"/>
      <c r="AJ162" s="71" t="s">
        <v>1400</v>
      </c>
      <c r="AK162" s="34" t="s">
        <v>631</v>
      </c>
      <c r="AL162" s="25"/>
      <c r="AM162" s="25"/>
      <c r="AN162" s="35" t="s">
        <v>1401</v>
      </c>
      <c r="AO162" s="24">
        <v>0.011805555555555555</v>
      </c>
      <c r="AP162" s="74" t="s">
        <v>1402</v>
      </c>
      <c r="AQ162" s="7"/>
      <c r="AR162" s="7" t="s">
        <v>633</v>
      </c>
      <c r="AS162" s="7" t="b">
        <f>NOT(ISERROR(MATCH(A162,'Villages according to موسوعة ال'!C:C,0)))</f>
        <v>1</v>
      </c>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row>
    <row r="163">
      <c r="A163" s="7" t="s">
        <v>105</v>
      </c>
      <c r="B163" s="26" t="s">
        <v>106</v>
      </c>
      <c r="F163" s="7" t="s">
        <v>692</v>
      </c>
      <c r="G163" s="28"/>
      <c r="K163" s="54"/>
      <c r="L163" s="29"/>
      <c r="M163" s="64" t="b">
        <v>0</v>
      </c>
      <c r="N163" s="64" t="b">
        <v>0</v>
      </c>
      <c r="O163" s="64"/>
      <c r="P163" s="64" t="b">
        <v>0</v>
      </c>
      <c r="Q163" s="64" t="b">
        <v>0</v>
      </c>
      <c r="R163" s="64" t="b">
        <v>0</v>
      </c>
      <c r="S163" s="64"/>
      <c r="T163" s="32"/>
      <c r="U163" s="64" t="b">
        <v>0</v>
      </c>
      <c r="V163" s="64"/>
      <c r="W163" s="64" t="b">
        <v>0</v>
      </c>
      <c r="X163" s="64" t="b">
        <v>0</v>
      </c>
      <c r="Y163" s="64"/>
      <c r="Z163" s="64"/>
      <c r="AA163" s="64"/>
      <c r="AB163" s="64"/>
      <c r="AC163" s="65"/>
      <c r="AD163" s="64"/>
      <c r="AE163" s="64"/>
      <c r="AF163" s="64"/>
      <c r="AG163" s="64"/>
      <c r="AH163" s="64"/>
      <c r="AI163" s="64"/>
      <c r="AJ163" s="71"/>
      <c r="AK163" s="34" t="s">
        <v>636</v>
      </c>
      <c r="AL163" s="25"/>
      <c r="AM163" s="25"/>
      <c r="AN163" s="35" t="s">
        <v>1403</v>
      </c>
      <c r="AO163" s="24">
        <v>0.004131944444444444</v>
      </c>
      <c r="AP163" s="74" t="s">
        <v>1402</v>
      </c>
      <c r="AQ163" s="7"/>
      <c r="AR163" s="7" t="s">
        <v>633</v>
      </c>
      <c r="AS163" s="7" t="b">
        <f>NOT(ISERROR(MATCH(A163,'Villages according to موسوعة ال'!C:C,0)))</f>
        <v>1</v>
      </c>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row>
    <row r="164">
      <c r="A164" s="7" t="s">
        <v>105</v>
      </c>
      <c r="B164" s="26" t="s">
        <v>106</v>
      </c>
      <c r="E164" s="7"/>
      <c r="F164" s="7"/>
      <c r="G164" s="28"/>
      <c r="H164" s="7"/>
      <c r="I164" s="7" t="s">
        <v>638</v>
      </c>
      <c r="J164" s="7" t="s">
        <v>1404</v>
      </c>
      <c r="K164" s="54"/>
      <c r="L164" s="29"/>
      <c r="M164" s="64" t="b">
        <v>0</v>
      </c>
      <c r="N164" s="64" t="b">
        <v>0</v>
      </c>
      <c r="O164" s="64"/>
      <c r="P164" s="64" t="b">
        <v>0</v>
      </c>
      <c r="Q164" s="64" t="b">
        <v>0</v>
      </c>
      <c r="R164" s="64" t="b">
        <v>0</v>
      </c>
      <c r="S164" s="64"/>
      <c r="T164" s="32"/>
      <c r="U164" s="64" t="b">
        <v>0</v>
      </c>
      <c r="V164" s="64"/>
      <c r="W164" s="64" t="b">
        <v>0</v>
      </c>
      <c r="X164" s="64" t="b">
        <v>0</v>
      </c>
      <c r="Y164" s="64"/>
      <c r="Z164" s="64"/>
      <c r="AA164" s="64"/>
      <c r="AB164" s="64"/>
      <c r="AC164" s="65"/>
      <c r="AD164" s="64"/>
      <c r="AE164" s="64"/>
      <c r="AF164" s="64"/>
      <c r="AG164" s="64"/>
      <c r="AH164" s="64"/>
      <c r="AI164" s="64"/>
      <c r="AJ164" s="71"/>
      <c r="AK164" s="34" t="s">
        <v>636</v>
      </c>
      <c r="AL164" s="25"/>
      <c r="AM164" s="25"/>
      <c r="AN164" s="35" t="s">
        <v>1405</v>
      </c>
      <c r="AO164" s="24">
        <v>7.87037037037037E-4</v>
      </c>
      <c r="AP164" s="74" t="s">
        <v>1406</v>
      </c>
      <c r="AQ164" s="7"/>
      <c r="AR164" s="7" t="s">
        <v>633</v>
      </c>
      <c r="AS164" s="7" t="b">
        <f>NOT(ISERROR(MATCH(A164,'Villages according to موسوعة ال'!C:C,0)))</f>
        <v>1</v>
      </c>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row>
    <row r="165">
      <c r="A165" s="7" t="s">
        <v>105</v>
      </c>
      <c r="B165" s="26" t="s">
        <v>106</v>
      </c>
      <c r="E165" s="7"/>
      <c r="F165" s="7"/>
      <c r="G165" s="28"/>
      <c r="H165" s="7"/>
      <c r="I165" s="7" t="s">
        <v>638</v>
      </c>
      <c r="J165" s="7" t="s">
        <v>1407</v>
      </c>
      <c r="K165" s="54"/>
      <c r="L165" s="29" t="s">
        <v>1408</v>
      </c>
      <c r="M165" s="64" t="b">
        <v>0</v>
      </c>
      <c r="N165" s="64" t="b">
        <v>0</v>
      </c>
      <c r="O165" s="64"/>
      <c r="P165" s="64" t="b">
        <v>0</v>
      </c>
      <c r="Q165" s="64" t="b">
        <v>0</v>
      </c>
      <c r="R165" s="64" t="b">
        <v>0</v>
      </c>
      <c r="S165" s="64"/>
      <c r="T165" s="32"/>
      <c r="U165" s="64" t="b">
        <v>0</v>
      </c>
      <c r="V165" s="64"/>
      <c r="W165" s="64" t="b">
        <v>0</v>
      </c>
      <c r="X165" s="64" t="b">
        <v>0</v>
      </c>
      <c r="Y165" s="64"/>
      <c r="Z165" s="64"/>
      <c r="AA165" s="64"/>
      <c r="AB165" s="64"/>
      <c r="AC165" s="65"/>
      <c r="AD165" s="64"/>
      <c r="AE165" s="64"/>
      <c r="AF165" s="64"/>
      <c r="AG165" s="64"/>
      <c r="AH165" s="64"/>
      <c r="AI165" s="64"/>
      <c r="AJ165" s="71"/>
      <c r="AK165" s="34" t="s">
        <v>636</v>
      </c>
      <c r="AL165" s="25"/>
      <c r="AM165" s="25"/>
      <c r="AN165" s="35" t="s">
        <v>1409</v>
      </c>
      <c r="AO165" s="24">
        <v>8.217592592592593E-4</v>
      </c>
      <c r="AP165" s="74" t="s">
        <v>1406</v>
      </c>
      <c r="AQ165" s="7"/>
      <c r="AR165" s="7" t="s">
        <v>633</v>
      </c>
      <c r="AS165" s="7" t="b">
        <f>NOT(ISERROR(MATCH(A165,'Villages according to موسوعة ال'!C:C,0)))</f>
        <v>1</v>
      </c>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row>
    <row r="166">
      <c r="A166" s="7" t="s">
        <v>105</v>
      </c>
      <c r="B166" s="26" t="s">
        <v>106</v>
      </c>
      <c r="E166" s="7"/>
      <c r="F166" s="7"/>
      <c r="G166" s="28"/>
      <c r="H166" s="7" t="s">
        <v>1410</v>
      </c>
      <c r="I166" s="7" t="s">
        <v>616</v>
      </c>
      <c r="J166" s="7" t="s">
        <v>1411</v>
      </c>
      <c r="K166" s="54"/>
      <c r="L166" s="29" t="s">
        <v>1412</v>
      </c>
      <c r="M166" s="64" t="b">
        <v>0</v>
      </c>
      <c r="N166" s="64" t="b">
        <v>0</v>
      </c>
      <c r="O166" s="64"/>
      <c r="P166" s="64" t="b">
        <v>0</v>
      </c>
      <c r="Q166" s="64" t="b">
        <v>0</v>
      </c>
      <c r="R166" s="64" t="b">
        <v>0</v>
      </c>
      <c r="S166" s="64"/>
      <c r="T166" s="32"/>
      <c r="U166" s="64" t="b">
        <v>0</v>
      </c>
      <c r="V166" s="64"/>
      <c r="W166" s="64" t="b">
        <v>0</v>
      </c>
      <c r="X166" s="64" t="b">
        <v>0</v>
      </c>
      <c r="Y166" s="64"/>
      <c r="Z166" s="64"/>
      <c r="AA166" s="64"/>
      <c r="AB166" s="64"/>
      <c r="AC166" s="65"/>
      <c r="AD166" s="64"/>
      <c r="AE166" s="64"/>
      <c r="AF166" s="64"/>
      <c r="AG166" s="64"/>
      <c r="AH166" s="64"/>
      <c r="AI166" s="64"/>
      <c r="AJ166" s="71"/>
      <c r="AK166" s="34" t="s">
        <v>636</v>
      </c>
      <c r="AL166" s="25"/>
      <c r="AM166" s="25"/>
      <c r="AN166" s="35" t="s">
        <v>1413</v>
      </c>
      <c r="AO166" s="24">
        <v>9.143518518518518E-4</v>
      </c>
      <c r="AP166" s="74" t="s">
        <v>1402</v>
      </c>
      <c r="AQ166" s="7"/>
      <c r="AR166" s="7" t="s">
        <v>633</v>
      </c>
      <c r="AS166" s="7" t="b">
        <f>NOT(ISERROR(MATCH(A166,'Villages according to موسوعة ال'!C:C,0)))</f>
        <v>1</v>
      </c>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row>
    <row r="167">
      <c r="A167" s="3" t="s">
        <v>1414</v>
      </c>
      <c r="B167" s="43" t="s">
        <v>373</v>
      </c>
      <c r="C167" s="7" t="s">
        <v>373</v>
      </c>
      <c r="D167" s="7" t="s">
        <v>374</v>
      </c>
      <c r="E167" s="7" t="s">
        <v>958</v>
      </c>
      <c r="F167" s="7" t="s">
        <v>959</v>
      </c>
      <c r="G167" s="28"/>
      <c r="H167" s="7" t="s">
        <v>1415</v>
      </c>
      <c r="I167" s="7" t="s">
        <v>638</v>
      </c>
      <c r="J167" s="7" t="s">
        <v>1416</v>
      </c>
      <c r="K167" s="47"/>
      <c r="L167" s="47"/>
      <c r="M167" s="48" t="b">
        <v>0</v>
      </c>
      <c r="N167" s="48" t="b">
        <v>0</v>
      </c>
      <c r="O167" s="48"/>
      <c r="P167" s="48" t="b">
        <v>0</v>
      </c>
      <c r="Q167" s="48" t="b">
        <v>0</v>
      </c>
      <c r="R167" s="48" t="b">
        <v>0</v>
      </c>
      <c r="S167" s="48"/>
      <c r="T167" s="32"/>
      <c r="U167" s="48" t="b">
        <v>0</v>
      </c>
      <c r="V167" s="48"/>
      <c r="W167" s="48" t="b">
        <v>0</v>
      </c>
      <c r="X167" s="48" t="b">
        <v>0</v>
      </c>
      <c r="Y167" s="48"/>
      <c r="Z167" s="48"/>
      <c r="AA167" s="48"/>
      <c r="AB167" s="48"/>
      <c r="AC167" s="49"/>
      <c r="AD167" s="48"/>
      <c r="AE167" s="48"/>
      <c r="AF167" s="48"/>
      <c r="AG167" s="48"/>
      <c r="AH167" s="48"/>
      <c r="AI167" s="48"/>
      <c r="AJ167" s="3" t="s">
        <v>1417</v>
      </c>
      <c r="AK167" s="34" t="s">
        <v>631</v>
      </c>
      <c r="AL167" s="25"/>
      <c r="AM167" s="25"/>
      <c r="AN167" s="35" t="s">
        <v>1418</v>
      </c>
      <c r="AO167" s="24">
        <v>0.009641203703703704</v>
      </c>
      <c r="AP167" s="74" t="s">
        <v>1323</v>
      </c>
      <c r="AQ167" s="25"/>
      <c r="AR167" s="7" t="s">
        <v>633</v>
      </c>
      <c r="AS167" s="7" t="b">
        <f>NOT(ISERROR(MATCH(A167,'Villages according to موسوعة ال'!C:C,0)))</f>
        <v>1</v>
      </c>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row>
    <row r="168">
      <c r="A168" s="7" t="s">
        <v>203</v>
      </c>
      <c r="B168" s="43" t="s">
        <v>204</v>
      </c>
      <c r="C168" s="7" t="s">
        <v>204</v>
      </c>
      <c r="D168" s="7" t="s">
        <v>205</v>
      </c>
      <c r="E168" s="25"/>
      <c r="F168" s="25"/>
      <c r="G168" s="84"/>
      <c r="H168" s="25"/>
      <c r="I168" s="7" t="s">
        <v>638</v>
      </c>
      <c r="J168" s="7" t="s">
        <v>1419</v>
      </c>
      <c r="K168" s="47"/>
      <c r="L168" s="54" t="s">
        <v>1420</v>
      </c>
      <c r="M168" s="31" t="b">
        <v>0</v>
      </c>
      <c r="N168" s="31" t="b">
        <v>0</v>
      </c>
      <c r="O168" s="31"/>
      <c r="P168" s="31" t="b">
        <v>0</v>
      </c>
      <c r="Q168" s="31" t="b">
        <v>0</v>
      </c>
      <c r="R168" s="31" t="b">
        <v>0</v>
      </c>
      <c r="S168" s="31"/>
      <c r="T168" s="32"/>
      <c r="U168" s="31" t="b">
        <v>0</v>
      </c>
      <c r="V168" s="31"/>
      <c r="W168" s="31" t="b">
        <v>0</v>
      </c>
      <c r="X168" s="31" t="b">
        <v>0</v>
      </c>
      <c r="Y168" s="31"/>
      <c r="Z168" s="31"/>
      <c r="AA168" s="31"/>
      <c r="AB168" s="31"/>
      <c r="AC168" s="45"/>
      <c r="AD168" s="31"/>
      <c r="AE168" s="31"/>
      <c r="AF168" s="31"/>
      <c r="AG168" s="31"/>
      <c r="AH168" s="31"/>
      <c r="AI168" s="31"/>
      <c r="AJ168" s="3" t="s">
        <v>1421</v>
      </c>
      <c r="AK168" s="34" t="s">
        <v>631</v>
      </c>
      <c r="AL168" s="25"/>
      <c r="AM168" s="25"/>
      <c r="AN168" s="35" t="s">
        <v>1422</v>
      </c>
      <c r="AO168" s="24">
        <v>0.09438657407407407</v>
      </c>
      <c r="AP168" s="78"/>
      <c r="AQ168" s="25"/>
      <c r="AR168" s="7" t="s">
        <v>633</v>
      </c>
      <c r="AS168" s="7" t="b">
        <f>NOT(ISERROR(MATCH(A168,'Villages according to موسوعة ال'!C:C,0)))</f>
        <v>1</v>
      </c>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row>
    <row r="169">
      <c r="A169" s="7" t="s">
        <v>111</v>
      </c>
      <c r="B169" s="26" t="s">
        <v>112</v>
      </c>
      <c r="C169" s="7" t="s">
        <v>112</v>
      </c>
      <c r="D169" s="46" t="s">
        <v>113</v>
      </c>
      <c r="E169" s="7"/>
      <c r="F169" s="7"/>
      <c r="G169" s="28"/>
      <c r="H169" s="7" t="s">
        <v>633</v>
      </c>
      <c r="I169" s="7" t="s">
        <v>638</v>
      </c>
      <c r="J169" s="7" t="s">
        <v>1423</v>
      </c>
      <c r="K169" s="54" t="s">
        <v>1424</v>
      </c>
      <c r="L169" s="54"/>
      <c r="M169" s="31" t="b">
        <v>0</v>
      </c>
      <c r="N169" s="31" t="b">
        <v>0</v>
      </c>
      <c r="O169" s="31"/>
      <c r="P169" s="31" t="b">
        <v>0</v>
      </c>
      <c r="Q169" s="31" t="b">
        <v>0</v>
      </c>
      <c r="R169" s="31" t="b">
        <v>0</v>
      </c>
      <c r="S169" s="31"/>
      <c r="T169" s="32"/>
      <c r="U169" s="31" t="b">
        <v>0</v>
      </c>
      <c r="V169" s="31"/>
      <c r="W169" s="31" t="b">
        <v>0</v>
      </c>
      <c r="X169" s="31" t="b">
        <v>0</v>
      </c>
      <c r="Y169" s="31"/>
      <c r="Z169" s="31"/>
      <c r="AA169" s="31"/>
      <c r="AB169" s="31"/>
      <c r="AC169" s="45"/>
      <c r="AD169" s="31"/>
      <c r="AE169" s="31"/>
      <c r="AF169" s="31"/>
      <c r="AG169" s="31"/>
      <c r="AH169" s="31"/>
      <c r="AI169" s="31"/>
      <c r="AJ169" s="3"/>
      <c r="AK169" s="34" t="s">
        <v>636</v>
      </c>
      <c r="AL169" s="3"/>
      <c r="AM169" s="25"/>
      <c r="AN169" s="35" t="s">
        <v>1425</v>
      </c>
      <c r="AO169" s="24">
        <v>7.638888888888889E-4</v>
      </c>
      <c r="AP169" s="7" t="s">
        <v>1426</v>
      </c>
      <c r="AQ169" s="7" t="s">
        <v>633</v>
      </c>
      <c r="AR169" s="7" t="s">
        <v>633</v>
      </c>
      <c r="AS169" s="7" t="b">
        <f>NOT(ISERROR(MATCH(A169,'Villages according to موسوعة ال'!C:C,0)))</f>
        <v>1</v>
      </c>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row>
    <row r="170">
      <c r="A170" s="7" t="s">
        <v>111</v>
      </c>
      <c r="B170" s="26" t="s">
        <v>112</v>
      </c>
      <c r="E170" s="7"/>
      <c r="F170" s="7"/>
      <c r="G170" s="28"/>
      <c r="H170" s="7" t="s">
        <v>633</v>
      </c>
      <c r="I170" s="7" t="s">
        <v>616</v>
      </c>
      <c r="J170" s="7" t="s">
        <v>1427</v>
      </c>
      <c r="K170" s="54" t="s">
        <v>1428</v>
      </c>
      <c r="L170" s="91" t="s">
        <v>1429</v>
      </c>
      <c r="M170" s="32" t="b">
        <v>0</v>
      </c>
      <c r="N170" s="32" t="b">
        <v>0</v>
      </c>
      <c r="O170" s="32"/>
      <c r="P170" s="32" t="b">
        <v>0</v>
      </c>
      <c r="Q170" s="32" t="b">
        <v>0</v>
      </c>
      <c r="R170" s="32" t="b">
        <v>0</v>
      </c>
      <c r="S170" s="32"/>
      <c r="T170" s="32"/>
      <c r="U170" s="32" t="b">
        <v>0</v>
      </c>
      <c r="V170" s="32"/>
      <c r="W170" s="32" t="b">
        <v>0</v>
      </c>
      <c r="X170" s="32" t="b">
        <v>0</v>
      </c>
      <c r="Y170" s="32"/>
      <c r="Z170" s="32"/>
      <c r="AA170" s="32"/>
      <c r="AB170" s="32"/>
      <c r="AC170" s="33"/>
      <c r="AD170" s="32"/>
      <c r="AE170" s="32"/>
      <c r="AF170" s="32"/>
      <c r="AG170" s="32"/>
      <c r="AH170" s="32"/>
      <c r="AI170" s="32"/>
      <c r="AJ170" s="46"/>
      <c r="AK170" s="34" t="s">
        <v>636</v>
      </c>
      <c r="AL170" s="3"/>
      <c r="AM170" s="25"/>
      <c r="AN170" s="35" t="s">
        <v>1430</v>
      </c>
      <c r="AO170" s="24">
        <v>0.0014467592592592592</v>
      </c>
      <c r="AP170" s="7" t="s">
        <v>1426</v>
      </c>
      <c r="AQ170" s="7" t="s">
        <v>633</v>
      </c>
      <c r="AR170" s="7" t="s">
        <v>633</v>
      </c>
      <c r="AS170" s="7" t="b">
        <f>NOT(ISERROR(MATCH(A170,'Villages according to موسوعة ال'!C:C,0)))</f>
        <v>1</v>
      </c>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row>
    <row r="171">
      <c r="A171" s="7" t="s">
        <v>111</v>
      </c>
      <c r="B171" s="43" t="s">
        <v>112</v>
      </c>
      <c r="E171" s="7"/>
      <c r="F171" s="7"/>
      <c r="G171" s="28"/>
      <c r="H171" s="7" t="s">
        <v>1431</v>
      </c>
      <c r="I171" s="7" t="s">
        <v>616</v>
      </c>
      <c r="J171" s="7" t="s">
        <v>1432</v>
      </c>
      <c r="K171" s="54" t="s">
        <v>1433</v>
      </c>
      <c r="L171" s="54" t="s">
        <v>1434</v>
      </c>
      <c r="M171" s="31" t="b">
        <v>0</v>
      </c>
      <c r="N171" s="31" t="b">
        <v>0</v>
      </c>
      <c r="O171" s="31"/>
      <c r="P171" s="31" t="b">
        <v>0</v>
      </c>
      <c r="Q171" s="31" t="b">
        <v>0</v>
      </c>
      <c r="R171" s="31" t="b">
        <v>0</v>
      </c>
      <c r="S171" s="31"/>
      <c r="T171" s="32"/>
      <c r="U171" s="31" t="b">
        <v>0</v>
      </c>
      <c r="V171" s="31"/>
      <c r="W171" s="31" t="b">
        <v>0</v>
      </c>
      <c r="X171" s="31" t="b">
        <v>0</v>
      </c>
      <c r="Y171" s="31"/>
      <c r="Z171" s="31"/>
      <c r="AA171" s="31"/>
      <c r="AB171" s="31"/>
      <c r="AC171" s="45"/>
      <c r="AD171" s="31"/>
      <c r="AE171" s="31"/>
      <c r="AF171" s="31"/>
      <c r="AG171" s="31"/>
      <c r="AH171" s="31"/>
      <c r="AI171" s="31"/>
      <c r="AJ171" s="3" t="s">
        <v>1435</v>
      </c>
      <c r="AK171" s="34" t="s">
        <v>698</v>
      </c>
      <c r="AL171" s="3" t="s">
        <v>675</v>
      </c>
      <c r="AM171" s="3" t="s">
        <v>831</v>
      </c>
      <c r="AN171" s="35" t="s">
        <v>1436</v>
      </c>
      <c r="AO171" s="24">
        <v>0.0013541666666666667</v>
      </c>
      <c r="AP171" s="7" t="s">
        <v>633</v>
      </c>
      <c r="AQ171" s="3" t="s">
        <v>1437</v>
      </c>
      <c r="AR171" s="35" t="s">
        <v>1438</v>
      </c>
      <c r="AS171" s="7" t="b">
        <f>NOT(ISERROR(MATCH(A171,'Villages according to موسوعة ال'!C:C,0)))</f>
        <v>1</v>
      </c>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row>
    <row r="172">
      <c r="A172" s="3" t="s">
        <v>1439</v>
      </c>
      <c r="B172" s="26" t="s">
        <v>1440</v>
      </c>
      <c r="C172" s="7" t="s">
        <v>1440</v>
      </c>
      <c r="D172" s="46" t="s">
        <v>1441</v>
      </c>
      <c r="E172" s="7" t="s">
        <v>958</v>
      </c>
      <c r="F172" s="7" t="s">
        <v>959</v>
      </c>
      <c r="G172" s="28"/>
      <c r="H172" s="7" t="s">
        <v>633</v>
      </c>
      <c r="I172" s="7" t="s">
        <v>638</v>
      </c>
      <c r="J172" s="7" t="s">
        <v>1442</v>
      </c>
      <c r="K172" s="54" t="s">
        <v>1443</v>
      </c>
      <c r="L172" s="54"/>
      <c r="M172" s="31" t="b">
        <v>0</v>
      </c>
      <c r="N172" s="31" t="b">
        <v>0</v>
      </c>
      <c r="O172" s="31"/>
      <c r="P172" s="31" t="b">
        <v>0</v>
      </c>
      <c r="Q172" s="31" t="b">
        <v>0</v>
      </c>
      <c r="R172" s="31" t="b">
        <v>0</v>
      </c>
      <c r="S172" s="31"/>
      <c r="T172" s="32"/>
      <c r="U172" s="31" t="b">
        <v>0</v>
      </c>
      <c r="V172" s="31"/>
      <c r="W172" s="31" t="b">
        <v>0</v>
      </c>
      <c r="X172" s="31" t="b">
        <v>0</v>
      </c>
      <c r="Y172" s="31"/>
      <c r="Z172" s="31"/>
      <c r="AA172" s="31"/>
      <c r="AB172" s="31"/>
      <c r="AC172" s="45"/>
      <c r="AD172" s="31"/>
      <c r="AE172" s="31"/>
      <c r="AF172" s="31"/>
      <c r="AG172" s="31"/>
      <c r="AH172" s="31"/>
      <c r="AI172" s="31"/>
      <c r="AJ172" s="3" t="s">
        <v>1444</v>
      </c>
      <c r="AK172" s="34" t="s">
        <v>636</v>
      </c>
      <c r="AL172" s="3"/>
      <c r="AM172" s="3"/>
      <c r="AN172" s="35" t="s">
        <v>1445</v>
      </c>
      <c r="AO172" s="24">
        <v>0.0035416666666666665</v>
      </c>
      <c r="AP172" s="7" t="s">
        <v>633</v>
      </c>
      <c r="AQ172" s="7" t="s">
        <v>633</v>
      </c>
      <c r="AR172" s="7" t="s">
        <v>633</v>
      </c>
      <c r="AS172" s="7" t="b">
        <f>NOT(ISERROR(MATCH(A172,'Villages according to موسوعة ال'!C:C,0)))</f>
        <v>0</v>
      </c>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row>
    <row r="173">
      <c r="A173" s="3" t="s">
        <v>1439</v>
      </c>
      <c r="B173" s="26" t="s">
        <v>1440</v>
      </c>
      <c r="E173" s="7" t="s">
        <v>958</v>
      </c>
      <c r="F173" s="7" t="s">
        <v>959</v>
      </c>
      <c r="G173" s="28"/>
      <c r="H173" s="7" t="s">
        <v>633</v>
      </c>
      <c r="I173" s="7" t="s">
        <v>616</v>
      </c>
      <c r="J173" s="7" t="s">
        <v>1446</v>
      </c>
      <c r="K173" s="54"/>
      <c r="L173" s="54"/>
      <c r="M173" s="31" t="b">
        <v>0</v>
      </c>
      <c r="N173" s="31" t="b">
        <v>0</v>
      </c>
      <c r="O173" s="31"/>
      <c r="P173" s="31" t="b">
        <v>0</v>
      </c>
      <c r="Q173" s="31" t="b">
        <v>0</v>
      </c>
      <c r="R173" s="31" t="b">
        <v>0</v>
      </c>
      <c r="S173" s="31"/>
      <c r="T173" s="32"/>
      <c r="U173" s="31" t="b">
        <v>0</v>
      </c>
      <c r="V173" s="31"/>
      <c r="W173" s="31" t="b">
        <v>0</v>
      </c>
      <c r="X173" s="31" t="b">
        <v>0</v>
      </c>
      <c r="Y173" s="31"/>
      <c r="Z173" s="31"/>
      <c r="AA173" s="31"/>
      <c r="AB173" s="31"/>
      <c r="AC173" s="45"/>
      <c r="AD173" s="31"/>
      <c r="AE173" s="31"/>
      <c r="AF173" s="31"/>
      <c r="AG173" s="31"/>
      <c r="AH173" s="31"/>
      <c r="AI173" s="31"/>
      <c r="AJ173" s="3"/>
      <c r="AK173" s="34" t="s">
        <v>636</v>
      </c>
      <c r="AL173" s="3"/>
      <c r="AM173" s="3"/>
      <c r="AN173" s="35" t="s">
        <v>1447</v>
      </c>
      <c r="AO173" s="24">
        <v>0.001990740740740741</v>
      </c>
      <c r="AP173" s="7" t="s">
        <v>633</v>
      </c>
      <c r="AQ173" s="7" t="s">
        <v>633</v>
      </c>
      <c r="AR173" s="7" t="s">
        <v>633</v>
      </c>
      <c r="AS173" s="7" t="b">
        <f>NOT(ISERROR(MATCH(A173,'Villages according to موسوعة ال'!C:C,0)))</f>
        <v>0</v>
      </c>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row>
    <row r="174">
      <c r="A174" s="3" t="s">
        <v>1439</v>
      </c>
      <c r="B174" s="43" t="s">
        <v>1440</v>
      </c>
      <c r="F174" s="7" t="s">
        <v>959</v>
      </c>
      <c r="G174" s="28"/>
      <c r="K174" s="54"/>
      <c r="L174" s="54"/>
      <c r="M174" s="31" t="b">
        <v>0</v>
      </c>
      <c r="N174" s="31" t="b">
        <v>0</v>
      </c>
      <c r="O174" s="31"/>
      <c r="P174" s="31" t="b">
        <v>0</v>
      </c>
      <c r="Q174" s="31" t="b">
        <v>0</v>
      </c>
      <c r="R174" s="31" t="b">
        <v>0</v>
      </c>
      <c r="S174" s="31"/>
      <c r="T174" s="32"/>
      <c r="U174" s="31" t="b">
        <v>0</v>
      </c>
      <c r="V174" s="31"/>
      <c r="W174" s="31" t="b">
        <v>0</v>
      </c>
      <c r="X174" s="31" t="b">
        <v>0</v>
      </c>
      <c r="Y174" s="31"/>
      <c r="Z174" s="31"/>
      <c r="AA174" s="31"/>
      <c r="AB174" s="31"/>
      <c r="AC174" s="45"/>
      <c r="AD174" s="31"/>
      <c r="AE174" s="31"/>
      <c r="AF174" s="31"/>
      <c r="AG174" s="31"/>
      <c r="AH174" s="31"/>
      <c r="AI174" s="31"/>
      <c r="AJ174" s="3"/>
      <c r="AK174" s="34" t="s">
        <v>631</v>
      </c>
      <c r="AL174" s="3"/>
      <c r="AM174" s="3"/>
      <c r="AN174" s="35" t="s">
        <v>1448</v>
      </c>
      <c r="AO174" s="24">
        <v>0.003136574074074074</v>
      </c>
      <c r="AP174" s="7" t="s">
        <v>633</v>
      </c>
      <c r="AQ174" s="7" t="s">
        <v>633</v>
      </c>
      <c r="AR174" s="7" t="s">
        <v>633</v>
      </c>
      <c r="AS174" s="7" t="b">
        <f>NOT(ISERROR(MATCH(A174,'Villages according to موسوعة ال'!C:C,0)))</f>
        <v>0</v>
      </c>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row>
    <row r="175">
      <c r="A175" s="3" t="s">
        <v>1439</v>
      </c>
      <c r="B175" s="43" t="s">
        <v>1440</v>
      </c>
      <c r="F175" s="7" t="s">
        <v>959</v>
      </c>
      <c r="G175" s="28"/>
      <c r="K175" s="54"/>
      <c r="L175" s="54"/>
      <c r="M175" s="31" t="b">
        <v>0</v>
      </c>
      <c r="N175" s="31" t="b">
        <v>0</v>
      </c>
      <c r="O175" s="31"/>
      <c r="P175" s="31" t="b">
        <v>0</v>
      </c>
      <c r="Q175" s="31" t="b">
        <v>0</v>
      </c>
      <c r="R175" s="31" t="b">
        <v>0</v>
      </c>
      <c r="S175" s="31"/>
      <c r="T175" s="32"/>
      <c r="U175" s="31" t="b">
        <v>0</v>
      </c>
      <c r="V175" s="31"/>
      <c r="W175" s="31" t="b">
        <v>0</v>
      </c>
      <c r="X175" s="31" t="b">
        <v>0</v>
      </c>
      <c r="Y175" s="31"/>
      <c r="Z175" s="31"/>
      <c r="AA175" s="31"/>
      <c r="AB175" s="31"/>
      <c r="AC175" s="45"/>
      <c r="AD175" s="31"/>
      <c r="AE175" s="31"/>
      <c r="AF175" s="31"/>
      <c r="AG175" s="31"/>
      <c r="AH175" s="31"/>
      <c r="AI175" s="31"/>
      <c r="AJ175" s="3"/>
      <c r="AK175" s="34" t="s">
        <v>631</v>
      </c>
      <c r="AL175" s="3"/>
      <c r="AM175" s="3"/>
      <c r="AN175" s="35" t="s">
        <v>1449</v>
      </c>
      <c r="AO175" s="24">
        <v>0.004560185185185185</v>
      </c>
      <c r="AP175" s="7" t="s">
        <v>633</v>
      </c>
      <c r="AQ175" s="7" t="s">
        <v>633</v>
      </c>
      <c r="AR175" s="7" t="s">
        <v>633</v>
      </c>
      <c r="AS175" s="7" t="b">
        <f>NOT(ISERROR(MATCH(A175,'Villages according to موسوعة ال'!C:C,0)))</f>
        <v>0</v>
      </c>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row>
    <row r="176">
      <c r="A176" s="7" t="s">
        <v>114</v>
      </c>
      <c r="B176" s="43" t="s">
        <v>115</v>
      </c>
      <c r="C176" s="7" t="s">
        <v>115</v>
      </c>
      <c r="D176" s="7" t="s">
        <v>1450</v>
      </c>
      <c r="E176" s="7"/>
      <c r="F176" s="7"/>
      <c r="G176" s="28"/>
      <c r="H176" s="7" t="s">
        <v>633</v>
      </c>
      <c r="I176" s="7" t="s">
        <v>616</v>
      </c>
      <c r="J176" s="7" t="s">
        <v>1451</v>
      </c>
      <c r="K176" s="54" t="s">
        <v>1452</v>
      </c>
      <c r="L176" s="54" t="s">
        <v>1453</v>
      </c>
      <c r="M176" s="31" t="b">
        <v>0</v>
      </c>
      <c r="N176" s="31" t="b">
        <v>0</v>
      </c>
      <c r="O176" s="31"/>
      <c r="P176" s="31" t="b">
        <v>0</v>
      </c>
      <c r="Q176" s="31" t="b">
        <v>0</v>
      </c>
      <c r="R176" s="31" t="b">
        <v>0</v>
      </c>
      <c r="S176" s="31"/>
      <c r="T176" s="32"/>
      <c r="U176" s="31" t="b">
        <v>0</v>
      </c>
      <c r="V176" s="31"/>
      <c r="W176" s="31" t="b">
        <v>0</v>
      </c>
      <c r="X176" s="31" t="b">
        <v>0</v>
      </c>
      <c r="Y176" s="31"/>
      <c r="Z176" s="31"/>
      <c r="AA176" s="31"/>
      <c r="AB176" s="31"/>
      <c r="AC176" s="45"/>
      <c r="AD176" s="31"/>
      <c r="AE176" s="31"/>
      <c r="AF176" s="31"/>
      <c r="AG176" s="31"/>
      <c r="AH176" s="31"/>
      <c r="AI176" s="31"/>
      <c r="AJ176" s="3" t="s">
        <v>1454</v>
      </c>
      <c r="AK176" s="34" t="s">
        <v>631</v>
      </c>
      <c r="AL176" s="3" t="s">
        <v>675</v>
      </c>
      <c r="AM176" s="3" t="s">
        <v>768</v>
      </c>
      <c r="AN176" s="35" t="s">
        <v>1455</v>
      </c>
      <c r="AO176" s="24">
        <v>0.004409722222222222</v>
      </c>
      <c r="AP176" s="7" t="s">
        <v>1456</v>
      </c>
      <c r="AQ176" s="3" t="s">
        <v>1457</v>
      </c>
      <c r="AR176" s="35" t="s">
        <v>1458</v>
      </c>
      <c r="AS176" s="7" t="b">
        <f>NOT(ISERROR(MATCH(A176,'Villages according to موسوعة ال'!C:C,0)))</f>
        <v>1</v>
      </c>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row>
    <row r="177">
      <c r="A177" s="7" t="s">
        <v>336</v>
      </c>
      <c r="B177" s="43" t="s">
        <v>337</v>
      </c>
      <c r="C177" s="7" t="s">
        <v>337</v>
      </c>
      <c r="D177" s="6" t="s">
        <v>338</v>
      </c>
      <c r="E177" s="7"/>
      <c r="F177" s="7"/>
      <c r="G177" s="28"/>
      <c r="H177" s="7" t="s">
        <v>1459</v>
      </c>
      <c r="I177" s="7" t="s">
        <v>616</v>
      </c>
      <c r="J177" s="46" t="s">
        <v>1460</v>
      </c>
      <c r="K177" s="54" t="s">
        <v>1461</v>
      </c>
      <c r="L177" s="54" t="s">
        <v>1462</v>
      </c>
      <c r="M177" s="60" t="b">
        <v>0</v>
      </c>
      <c r="N177" s="60" t="b">
        <v>0</v>
      </c>
      <c r="O177" s="60"/>
      <c r="P177" s="60" t="b">
        <v>0</v>
      </c>
      <c r="Q177" s="60" t="b">
        <v>0</v>
      </c>
      <c r="R177" s="60" t="b">
        <v>0</v>
      </c>
      <c r="S177" s="60"/>
      <c r="T177" s="60"/>
      <c r="U177" s="60" t="b">
        <v>0</v>
      </c>
      <c r="V177" s="60"/>
      <c r="W177" s="60" t="b">
        <v>0</v>
      </c>
      <c r="X177" s="60" t="b">
        <v>0</v>
      </c>
      <c r="Y177" s="60"/>
      <c r="Z177" s="60"/>
      <c r="AA177" s="60"/>
      <c r="AB177" s="60"/>
      <c r="AC177" s="61"/>
      <c r="AD177" s="60"/>
      <c r="AE177" s="60"/>
      <c r="AF177" s="60"/>
      <c r="AG177" s="60"/>
      <c r="AH177" s="60"/>
      <c r="AI177" s="60"/>
      <c r="AJ177" s="3"/>
      <c r="AK177" s="34" t="s">
        <v>698</v>
      </c>
      <c r="AL177" s="3" t="s">
        <v>699</v>
      </c>
      <c r="AM177" s="3" t="s">
        <v>676</v>
      </c>
      <c r="AN177" s="35" t="s">
        <v>1463</v>
      </c>
      <c r="AO177" s="24">
        <v>0.0016087962962962963</v>
      </c>
      <c r="AP177" s="7" t="s">
        <v>1464</v>
      </c>
      <c r="AQ177" s="7">
        <v>2017.0</v>
      </c>
      <c r="AR177" s="35" t="s">
        <v>1465</v>
      </c>
      <c r="AS177" s="7" t="b">
        <f>NOT(ISERROR(MATCH(A177,'Villages according to موسوعة ال'!C:C,0)))</f>
        <v>1</v>
      </c>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row>
    <row r="178">
      <c r="A178" s="7" t="s">
        <v>548</v>
      </c>
      <c r="B178" s="43" t="s">
        <v>549</v>
      </c>
      <c r="C178" s="7" t="s">
        <v>549</v>
      </c>
      <c r="D178" s="46" t="s">
        <v>550</v>
      </c>
      <c r="E178" s="3"/>
      <c r="F178" s="3"/>
      <c r="G178" s="92"/>
      <c r="H178" s="7" t="s">
        <v>1466</v>
      </c>
      <c r="I178" s="7" t="s">
        <v>638</v>
      </c>
      <c r="J178" s="7" t="s">
        <v>1467</v>
      </c>
      <c r="K178" s="54" t="s">
        <v>1468</v>
      </c>
      <c r="L178" s="54" t="s">
        <v>1469</v>
      </c>
      <c r="M178" s="31" t="b">
        <v>0</v>
      </c>
      <c r="N178" s="31" t="b">
        <v>0</v>
      </c>
      <c r="O178" s="31"/>
      <c r="P178" s="31" t="b">
        <v>0</v>
      </c>
      <c r="Q178" s="31" t="b">
        <v>0</v>
      </c>
      <c r="R178" s="31" t="b">
        <v>0</v>
      </c>
      <c r="S178" s="31"/>
      <c r="T178" s="32"/>
      <c r="U178" s="31" t="b">
        <v>0</v>
      </c>
      <c r="V178" s="31"/>
      <c r="W178" s="31" t="b">
        <v>0</v>
      </c>
      <c r="X178" s="31" t="b">
        <v>0</v>
      </c>
      <c r="Y178" s="31"/>
      <c r="Z178" s="31"/>
      <c r="AA178" s="31"/>
      <c r="AB178" s="31"/>
      <c r="AC178" s="45"/>
      <c r="AD178" s="31"/>
      <c r="AE178" s="31"/>
      <c r="AF178" s="31"/>
      <c r="AG178" s="31"/>
      <c r="AH178" s="31"/>
      <c r="AI178" s="31"/>
      <c r="AJ178" s="3"/>
      <c r="AK178" s="34" t="s">
        <v>718</v>
      </c>
      <c r="AL178" s="3" t="s">
        <v>823</v>
      </c>
      <c r="AM178" s="3" t="s">
        <v>700</v>
      </c>
      <c r="AN178" s="35" t="s">
        <v>1470</v>
      </c>
      <c r="AO178" s="24">
        <v>0.0077314814814814815</v>
      </c>
      <c r="AP178" s="7" t="s">
        <v>1471</v>
      </c>
      <c r="AQ178" s="7" t="s">
        <v>633</v>
      </c>
      <c r="AR178" s="35" t="s">
        <v>1472</v>
      </c>
      <c r="AS178" s="7" t="b">
        <f>NOT(ISERROR(MATCH(A178,'Villages according to موسوعة ال'!C:C,0)))</f>
        <v>1</v>
      </c>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row>
    <row r="179">
      <c r="A179" s="7" t="s">
        <v>548</v>
      </c>
      <c r="B179" s="43" t="s">
        <v>549</v>
      </c>
      <c r="E179" s="3"/>
      <c r="F179" s="3"/>
      <c r="G179" s="92"/>
      <c r="H179" s="7" t="s">
        <v>1473</v>
      </c>
      <c r="I179" s="7" t="s">
        <v>616</v>
      </c>
      <c r="J179" s="7" t="s">
        <v>1474</v>
      </c>
      <c r="K179" s="54" t="s">
        <v>1475</v>
      </c>
      <c r="L179" s="54" t="s">
        <v>1476</v>
      </c>
      <c r="M179" s="31" t="b">
        <v>0</v>
      </c>
      <c r="N179" s="31" t="b">
        <v>0</v>
      </c>
      <c r="O179" s="31"/>
      <c r="P179" s="31" t="b">
        <v>0</v>
      </c>
      <c r="Q179" s="31" t="b">
        <v>0</v>
      </c>
      <c r="R179" s="31" t="b">
        <v>0</v>
      </c>
      <c r="S179" s="31"/>
      <c r="T179" s="32"/>
      <c r="U179" s="31" t="b">
        <v>0</v>
      </c>
      <c r="V179" s="31"/>
      <c r="W179" s="31" t="b">
        <v>0</v>
      </c>
      <c r="X179" s="31" t="b">
        <v>0</v>
      </c>
      <c r="Y179" s="31"/>
      <c r="Z179" s="31"/>
      <c r="AA179" s="31"/>
      <c r="AB179" s="31"/>
      <c r="AC179" s="45"/>
      <c r="AD179" s="31"/>
      <c r="AE179" s="31"/>
      <c r="AF179" s="31"/>
      <c r="AG179" s="31"/>
      <c r="AH179" s="31"/>
      <c r="AI179" s="31"/>
      <c r="AJ179" s="3"/>
      <c r="AK179" s="34" t="s">
        <v>718</v>
      </c>
      <c r="AL179" s="25"/>
      <c r="AM179" s="3" t="s">
        <v>700</v>
      </c>
      <c r="AN179" s="35" t="s">
        <v>1477</v>
      </c>
      <c r="AO179" s="24">
        <v>0.013368055555555555</v>
      </c>
      <c r="AP179" s="7" t="s">
        <v>633</v>
      </c>
      <c r="AQ179" s="7" t="s">
        <v>633</v>
      </c>
      <c r="AR179" s="35" t="s">
        <v>1478</v>
      </c>
      <c r="AS179" s="7" t="b">
        <f>NOT(ISERROR(MATCH(A179,'Villages according to موسوعة ال'!C:C,0)))</f>
        <v>1</v>
      </c>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row>
    <row r="180">
      <c r="A180" s="7" t="s">
        <v>548</v>
      </c>
      <c r="B180" s="26" t="s">
        <v>549</v>
      </c>
      <c r="E180" s="3"/>
      <c r="F180" s="3"/>
      <c r="G180" s="92"/>
      <c r="L180" s="30"/>
      <c r="M180" s="32" t="b">
        <v>0</v>
      </c>
      <c r="N180" s="32" t="b">
        <v>0</v>
      </c>
      <c r="O180" s="32"/>
      <c r="P180" s="32" t="b">
        <v>0</v>
      </c>
      <c r="Q180" s="32" t="b">
        <v>0</v>
      </c>
      <c r="R180" s="32" t="b">
        <v>0</v>
      </c>
      <c r="S180" s="32"/>
      <c r="T180" s="32"/>
      <c r="U180" s="32" t="b">
        <v>0</v>
      </c>
      <c r="V180" s="32"/>
      <c r="W180" s="32" t="b">
        <v>0</v>
      </c>
      <c r="X180" s="32" t="b">
        <v>0</v>
      </c>
      <c r="Y180" s="32"/>
      <c r="Z180" s="32"/>
      <c r="AA180" s="32"/>
      <c r="AB180" s="32"/>
      <c r="AC180" s="33"/>
      <c r="AD180" s="32"/>
      <c r="AE180" s="32"/>
      <c r="AF180" s="32"/>
      <c r="AG180" s="32"/>
      <c r="AH180" s="32"/>
      <c r="AI180" s="32"/>
      <c r="AJ180" s="7"/>
      <c r="AK180" s="34" t="s">
        <v>666</v>
      </c>
      <c r="AL180" s="3"/>
      <c r="AM180" s="25"/>
      <c r="AN180" s="35" t="s">
        <v>1479</v>
      </c>
      <c r="AO180" s="24">
        <v>0.002013888888888889</v>
      </c>
      <c r="AP180" s="7" t="s">
        <v>633</v>
      </c>
      <c r="AQ180" s="7" t="s">
        <v>633</v>
      </c>
      <c r="AR180" s="7" t="s">
        <v>633</v>
      </c>
      <c r="AS180" s="7" t="b">
        <f>NOT(ISERROR(MATCH(A180,'Villages according to موسوعة ال'!C:C,0)))</f>
        <v>1</v>
      </c>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row>
    <row r="181">
      <c r="A181" s="7" t="s">
        <v>548</v>
      </c>
      <c r="B181" s="43" t="s">
        <v>549</v>
      </c>
      <c r="E181" s="25"/>
      <c r="F181" s="7" t="s">
        <v>638</v>
      </c>
      <c r="G181" s="84"/>
      <c r="H181" s="7" t="s">
        <v>1480</v>
      </c>
      <c r="I181" s="7" t="s">
        <v>638</v>
      </c>
      <c r="J181" s="7" t="s">
        <v>1481</v>
      </c>
      <c r="K181" s="54" t="s">
        <v>1482</v>
      </c>
      <c r="L181" s="54" t="s">
        <v>1483</v>
      </c>
      <c r="M181" s="31" t="b">
        <v>0</v>
      </c>
      <c r="N181" s="31" t="b">
        <v>0</v>
      </c>
      <c r="O181" s="31"/>
      <c r="P181" s="31" t="b">
        <v>0</v>
      </c>
      <c r="Q181" s="31" t="b">
        <v>0</v>
      </c>
      <c r="R181" s="31" t="b">
        <v>0</v>
      </c>
      <c r="S181" s="31"/>
      <c r="T181" s="32"/>
      <c r="U181" s="31" t="b">
        <v>0</v>
      </c>
      <c r="V181" s="31"/>
      <c r="W181" s="31" t="b">
        <v>0</v>
      </c>
      <c r="X181" s="31" t="b">
        <v>0</v>
      </c>
      <c r="Y181" s="31"/>
      <c r="Z181" s="31"/>
      <c r="AA181" s="31"/>
      <c r="AB181" s="31"/>
      <c r="AC181" s="45"/>
      <c r="AD181" s="31"/>
      <c r="AE181" s="31"/>
      <c r="AF181" s="31"/>
      <c r="AG181" s="31"/>
      <c r="AH181" s="31"/>
      <c r="AI181" s="31"/>
      <c r="AJ181" s="3" t="s">
        <v>1484</v>
      </c>
      <c r="AK181" s="34" t="s">
        <v>718</v>
      </c>
      <c r="AL181" s="3" t="s">
        <v>675</v>
      </c>
      <c r="AM181" s="3" t="s">
        <v>735</v>
      </c>
      <c r="AN181" s="35" t="s">
        <v>1485</v>
      </c>
      <c r="AO181" s="24">
        <v>0.0033449074074074076</v>
      </c>
      <c r="AP181" s="7" t="s">
        <v>1486</v>
      </c>
      <c r="AQ181" s="7" t="s">
        <v>633</v>
      </c>
      <c r="AR181" s="35" t="s">
        <v>1487</v>
      </c>
      <c r="AS181" s="7" t="b">
        <f>NOT(ISERROR(MATCH(A181,'Villages according to موسوعة ال'!C:C,0)))</f>
        <v>1</v>
      </c>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row>
    <row r="182">
      <c r="A182" s="7" t="s">
        <v>548</v>
      </c>
      <c r="B182" s="26" t="s">
        <v>549</v>
      </c>
      <c r="E182" s="7" t="s">
        <v>1488</v>
      </c>
      <c r="F182" s="7" t="s">
        <v>1489</v>
      </c>
      <c r="G182" s="28"/>
      <c r="H182" s="3" t="s">
        <v>1490</v>
      </c>
      <c r="I182" s="7" t="s">
        <v>638</v>
      </c>
      <c r="J182" s="93" t="s">
        <v>1491</v>
      </c>
      <c r="K182" s="54" t="s">
        <v>1492</v>
      </c>
      <c r="L182" s="54" t="s">
        <v>1493</v>
      </c>
      <c r="M182" s="31" t="b">
        <v>0</v>
      </c>
      <c r="N182" s="31" t="b">
        <v>0</v>
      </c>
      <c r="O182" s="31"/>
      <c r="P182" s="31" t="b">
        <v>0</v>
      </c>
      <c r="Q182" s="31" t="b">
        <v>0</v>
      </c>
      <c r="R182" s="31" t="b">
        <v>0</v>
      </c>
      <c r="S182" s="31"/>
      <c r="T182" s="32"/>
      <c r="U182" s="31" t="b">
        <v>0</v>
      </c>
      <c r="V182" s="31"/>
      <c r="W182" s="31" t="b">
        <v>0</v>
      </c>
      <c r="X182" s="31" t="b">
        <v>0</v>
      </c>
      <c r="Y182" s="31"/>
      <c r="Z182" s="31"/>
      <c r="AA182" s="31"/>
      <c r="AB182" s="31"/>
      <c r="AC182" s="45"/>
      <c r="AD182" s="31"/>
      <c r="AE182" s="31"/>
      <c r="AF182" s="31"/>
      <c r="AG182" s="31"/>
      <c r="AH182" s="31"/>
      <c r="AI182" s="31"/>
      <c r="AJ182" s="3"/>
      <c r="AK182" s="34" t="s">
        <v>636</v>
      </c>
      <c r="AL182" s="3"/>
      <c r="AM182" s="25"/>
      <c r="AN182" s="35" t="s">
        <v>1494</v>
      </c>
      <c r="AO182" s="24">
        <v>0.012418981481481482</v>
      </c>
      <c r="AP182" s="7" t="s">
        <v>1495</v>
      </c>
      <c r="AQ182" s="7" t="s">
        <v>633</v>
      </c>
      <c r="AR182" s="7" t="s">
        <v>633</v>
      </c>
      <c r="AS182" s="7" t="b">
        <f>NOT(ISERROR(MATCH(A182,'Villages according to موسوعة ال'!C:C,0)))</f>
        <v>1</v>
      </c>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row>
    <row r="183">
      <c r="A183" s="7" t="s">
        <v>548</v>
      </c>
      <c r="B183" s="43" t="s">
        <v>549</v>
      </c>
      <c r="E183" s="7" t="s">
        <v>1488</v>
      </c>
      <c r="F183" s="7" t="s">
        <v>1489</v>
      </c>
      <c r="G183" s="28"/>
      <c r="I183" s="7" t="s">
        <v>638</v>
      </c>
      <c r="L183" s="54" t="s">
        <v>1496</v>
      </c>
      <c r="M183" s="31" t="b">
        <v>0</v>
      </c>
      <c r="N183" s="31" t="b">
        <v>0</v>
      </c>
      <c r="O183" s="31"/>
      <c r="P183" s="31" t="b">
        <v>0</v>
      </c>
      <c r="Q183" s="31" t="b">
        <v>0</v>
      </c>
      <c r="R183" s="31" t="b">
        <v>0</v>
      </c>
      <c r="S183" s="31"/>
      <c r="T183" s="32"/>
      <c r="U183" s="31" t="b">
        <v>0</v>
      </c>
      <c r="V183" s="31"/>
      <c r="W183" s="31" t="b">
        <v>0</v>
      </c>
      <c r="X183" s="31" t="b">
        <v>0</v>
      </c>
      <c r="Y183" s="31"/>
      <c r="Z183" s="31"/>
      <c r="AA183" s="31"/>
      <c r="AB183" s="31"/>
      <c r="AC183" s="45"/>
      <c r="AD183" s="31"/>
      <c r="AE183" s="31"/>
      <c r="AF183" s="31"/>
      <c r="AG183" s="31"/>
      <c r="AH183" s="31"/>
      <c r="AI183" s="31"/>
      <c r="AJ183" s="3"/>
      <c r="AK183" s="34" t="s">
        <v>631</v>
      </c>
      <c r="AL183" s="3"/>
      <c r="AM183" s="25"/>
      <c r="AN183" s="35" t="s">
        <v>1497</v>
      </c>
      <c r="AO183" s="24">
        <v>0.009328703703703704</v>
      </c>
      <c r="AP183" s="7" t="s">
        <v>1495</v>
      </c>
      <c r="AQ183" s="7" t="s">
        <v>633</v>
      </c>
      <c r="AR183" s="7" t="s">
        <v>633</v>
      </c>
      <c r="AS183" s="7" t="b">
        <f>NOT(ISERROR(MATCH(A183,'Villages according to موسوعة ال'!C:C,0)))</f>
        <v>1</v>
      </c>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row>
    <row r="184">
      <c r="A184" s="7" t="s">
        <v>548</v>
      </c>
      <c r="B184" s="43" t="s">
        <v>549</v>
      </c>
      <c r="E184" s="7" t="s">
        <v>1488</v>
      </c>
      <c r="F184" s="7" t="s">
        <v>1489</v>
      </c>
      <c r="G184" s="28"/>
      <c r="I184" s="7" t="s">
        <v>638</v>
      </c>
      <c r="L184" s="54" t="s">
        <v>1498</v>
      </c>
      <c r="M184" s="31" t="b">
        <v>0</v>
      </c>
      <c r="N184" s="31" t="b">
        <v>0</v>
      </c>
      <c r="O184" s="31"/>
      <c r="P184" s="31" t="b">
        <v>0</v>
      </c>
      <c r="Q184" s="31" t="b">
        <v>0</v>
      </c>
      <c r="R184" s="31" t="b">
        <v>0</v>
      </c>
      <c r="S184" s="31"/>
      <c r="T184" s="32"/>
      <c r="U184" s="31" t="b">
        <v>0</v>
      </c>
      <c r="V184" s="31"/>
      <c r="W184" s="31" t="b">
        <v>0</v>
      </c>
      <c r="X184" s="31" t="b">
        <v>0</v>
      </c>
      <c r="Y184" s="31"/>
      <c r="Z184" s="31"/>
      <c r="AA184" s="31"/>
      <c r="AB184" s="31"/>
      <c r="AC184" s="45"/>
      <c r="AD184" s="31"/>
      <c r="AE184" s="31"/>
      <c r="AF184" s="31"/>
      <c r="AG184" s="31"/>
      <c r="AH184" s="31"/>
      <c r="AI184" s="31"/>
      <c r="AJ184" s="3"/>
      <c r="AK184" s="34" t="s">
        <v>718</v>
      </c>
      <c r="AL184" s="3" t="s">
        <v>734</v>
      </c>
      <c r="AM184" s="3" t="s">
        <v>735</v>
      </c>
      <c r="AN184" s="35" t="s">
        <v>1499</v>
      </c>
      <c r="AO184" s="24">
        <v>0.014756944444444444</v>
      </c>
      <c r="AP184" s="7" t="s">
        <v>1495</v>
      </c>
      <c r="AQ184" s="7" t="s">
        <v>633</v>
      </c>
      <c r="AR184" s="35" t="s">
        <v>1500</v>
      </c>
      <c r="AS184" s="7" t="b">
        <f>NOT(ISERROR(MATCH(A184,'Villages according to موسوعة ال'!C:C,0)))</f>
        <v>1</v>
      </c>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row>
    <row r="185">
      <c r="A185" s="7" t="s">
        <v>548</v>
      </c>
      <c r="B185" s="26" t="s">
        <v>549</v>
      </c>
      <c r="E185" s="7" t="s">
        <v>1488</v>
      </c>
      <c r="F185" s="7" t="s">
        <v>1489</v>
      </c>
      <c r="G185" s="28"/>
      <c r="H185" s="7" t="s">
        <v>633</v>
      </c>
      <c r="I185" s="7" t="s">
        <v>638</v>
      </c>
      <c r="J185" s="94" t="s">
        <v>1501</v>
      </c>
      <c r="K185" s="54" t="s">
        <v>1502</v>
      </c>
      <c r="L185" s="30" t="s">
        <v>1503</v>
      </c>
      <c r="M185" s="32" t="b">
        <v>0</v>
      </c>
      <c r="N185" s="32" t="b">
        <v>0</v>
      </c>
      <c r="O185" s="32"/>
      <c r="P185" s="32" t="b">
        <v>0</v>
      </c>
      <c r="Q185" s="32" t="b">
        <v>0</v>
      </c>
      <c r="R185" s="32" t="b">
        <v>0</v>
      </c>
      <c r="S185" s="32"/>
      <c r="T185" s="32"/>
      <c r="U185" s="32" t="b">
        <v>0</v>
      </c>
      <c r="V185" s="32"/>
      <c r="W185" s="32" t="b">
        <v>0</v>
      </c>
      <c r="X185" s="32" t="b">
        <v>0</v>
      </c>
      <c r="Y185" s="32"/>
      <c r="Z185" s="32"/>
      <c r="AA185" s="32"/>
      <c r="AB185" s="32"/>
      <c r="AC185" s="33"/>
      <c r="AD185" s="32"/>
      <c r="AE185" s="32"/>
      <c r="AF185" s="32"/>
      <c r="AG185" s="32"/>
      <c r="AH185" s="32"/>
      <c r="AI185" s="32"/>
      <c r="AJ185" s="7"/>
      <c r="AK185" s="34" t="s">
        <v>636</v>
      </c>
      <c r="AL185" s="3"/>
      <c r="AM185" s="25"/>
      <c r="AN185" s="35" t="s">
        <v>1504</v>
      </c>
      <c r="AO185" s="24">
        <v>0.003715277777777778</v>
      </c>
      <c r="AP185" s="7" t="s">
        <v>1495</v>
      </c>
      <c r="AQ185" s="7" t="s">
        <v>633</v>
      </c>
      <c r="AR185" s="7" t="s">
        <v>633</v>
      </c>
      <c r="AS185" s="7" t="b">
        <f>NOT(ISERROR(MATCH(A185,'Villages according to موسوعة ال'!C:C,0)))</f>
        <v>1</v>
      </c>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row>
    <row r="186">
      <c r="A186" s="7" t="s">
        <v>548</v>
      </c>
      <c r="B186" s="26" t="s">
        <v>549</v>
      </c>
      <c r="E186" s="7" t="s">
        <v>1488</v>
      </c>
      <c r="F186" s="7" t="s">
        <v>1489</v>
      </c>
      <c r="G186" s="28"/>
      <c r="H186" s="3" t="s">
        <v>1505</v>
      </c>
      <c r="I186" s="7" t="s">
        <v>616</v>
      </c>
      <c r="J186" s="93" t="s">
        <v>1506</v>
      </c>
      <c r="K186" s="54" t="s">
        <v>1507</v>
      </c>
      <c r="L186" s="30" t="s">
        <v>1508</v>
      </c>
      <c r="M186" s="32" t="b">
        <v>0</v>
      </c>
      <c r="N186" s="32" t="b">
        <v>0</v>
      </c>
      <c r="O186" s="32"/>
      <c r="P186" s="32" t="b">
        <v>0</v>
      </c>
      <c r="Q186" s="32" t="b">
        <v>0</v>
      </c>
      <c r="R186" s="32" t="b">
        <v>0</v>
      </c>
      <c r="S186" s="32"/>
      <c r="T186" s="32"/>
      <c r="U186" s="32" t="b">
        <v>0</v>
      </c>
      <c r="V186" s="32"/>
      <c r="W186" s="32" t="b">
        <v>0</v>
      </c>
      <c r="X186" s="32" t="b">
        <v>0</v>
      </c>
      <c r="Y186" s="32"/>
      <c r="Z186" s="32"/>
      <c r="AA186" s="32"/>
      <c r="AB186" s="32"/>
      <c r="AC186" s="33"/>
      <c r="AD186" s="32"/>
      <c r="AE186" s="32"/>
      <c r="AF186" s="32"/>
      <c r="AG186" s="32"/>
      <c r="AH186" s="32"/>
      <c r="AI186" s="32"/>
      <c r="AJ186" s="7"/>
      <c r="AK186" s="34" t="s">
        <v>636</v>
      </c>
      <c r="AL186" s="3"/>
      <c r="AM186" s="25"/>
      <c r="AN186" s="95" t="s">
        <v>1509</v>
      </c>
      <c r="AO186" s="24">
        <v>0.0017476851851851852</v>
      </c>
      <c r="AP186" s="7" t="s">
        <v>1495</v>
      </c>
      <c r="AQ186" s="7" t="s">
        <v>633</v>
      </c>
      <c r="AR186" s="7" t="s">
        <v>633</v>
      </c>
      <c r="AS186" s="7" t="b">
        <f>NOT(ISERROR(MATCH(A186,'Villages according to موسوعة ال'!C:C,0)))</f>
        <v>1</v>
      </c>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row>
    <row r="187">
      <c r="A187" s="7" t="s">
        <v>548</v>
      </c>
      <c r="B187" s="26" t="s">
        <v>549</v>
      </c>
      <c r="E187" s="7" t="s">
        <v>1488</v>
      </c>
      <c r="F187" s="7" t="s">
        <v>1489</v>
      </c>
      <c r="G187" s="28"/>
      <c r="H187" s="3" t="s">
        <v>1510</v>
      </c>
      <c r="I187" s="7" t="s">
        <v>616</v>
      </c>
      <c r="J187" s="94" t="s">
        <v>1511</v>
      </c>
      <c r="K187" s="54" t="s">
        <v>1512</v>
      </c>
      <c r="L187" s="30" t="s">
        <v>1513</v>
      </c>
      <c r="M187" s="32" t="b">
        <v>0</v>
      </c>
      <c r="N187" s="32" t="b">
        <v>0</v>
      </c>
      <c r="O187" s="32"/>
      <c r="P187" s="32" t="b">
        <v>0</v>
      </c>
      <c r="Q187" s="32" t="b">
        <v>0</v>
      </c>
      <c r="R187" s="32" t="b">
        <v>0</v>
      </c>
      <c r="S187" s="32"/>
      <c r="T187" s="32"/>
      <c r="U187" s="32" t="b">
        <v>0</v>
      </c>
      <c r="V187" s="32"/>
      <c r="W187" s="32" t="b">
        <v>0</v>
      </c>
      <c r="X187" s="32" t="b">
        <v>0</v>
      </c>
      <c r="Y187" s="32"/>
      <c r="Z187" s="32"/>
      <c r="AA187" s="32"/>
      <c r="AB187" s="32"/>
      <c r="AC187" s="33"/>
      <c r="AD187" s="32"/>
      <c r="AE187" s="32"/>
      <c r="AF187" s="32"/>
      <c r="AG187" s="32"/>
      <c r="AH187" s="32"/>
      <c r="AI187" s="32"/>
      <c r="AJ187" s="7"/>
      <c r="AK187" s="34" t="s">
        <v>636</v>
      </c>
      <c r="AL187" s="3"/>
      <c r="AM187" s="25"/>
      <c r="AN187" s="35" t="s">
        <v>1514</v>
      </c>
      <c r="AO187" s="24">
        <v>0.0027083333333333334</v>
      </c>
      <c r="AP187" s="7" t="s">
        <v>1495</v>
      </c>
      <c r="AQ187" s="7" t="s">
        <v>633</v>
      </c>
      <c r="AR187" s="7" t="s">
        <v>633</v>
      </c>
      <c r="AS187" s="7" t="b">
        <f>NOT(ISERROR(MATCH(A187,'Villages according to موسوعة ال'!C:C,0)))</f>
        <v>1</v>
      </c>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row>
    <row r="188">
      <c r="A188" s="7" t="s">
        <v>285</v>
      </c>
      <c r="B188" s="26" t="s">
        <v>286</v>
      </c>
      <c r="C188" s="7" t="s">
        <v>286</v>
      </c>
      <c r="D188" s="7" t="s">
        <v>287</v>
      </c>
      <c r="E188" s="7"/>
      <c r="F188" s="7"/>
      <c r="G188" s="28"/>
      <c r="H188" s="7" t="s">
        <v>633</v>
      </c>
      <c r="I188" s="7" t="s">
        <v>616</v>
      </c>
      <c r="J188" s="7" t="s">
        <v>1515</v>
      </c>
      <c r="K188" s="54" t="s">
        <v>1516</v>
      </c>
      <c r="L188" s="54" t="s">
        <v>1517</v>
      </c>
      <c r="M188" s="31" t="b">
        <v>0</v>
      </c>
      <c r="N188" s="31" t="b">
        <v>0</v>
      </c>
      <c r="O188" s="31"/>
      <c r="P188" s="31" t="b">
        <v>0</v>
      </c>
      <c r="Q188" s="31" t="b">
        <v>0</v>
      </c>
      <c r="R188" s="31" t="b">
        <v>0</v>
      </c>
      <c r="S188" s="31"/>
      <c r="T188" s="32"/>
      <c r="U188" s="31" t="b">
        <v>0</v>
      </c>
      <c r="V188" s="31"/>
      <c r="W188" s="31" t="b">
        <v>0</v>
      </c>
      <c r="X188" s="31" t="b">
        <v>0</v>
      </c>
      <c r="Y188" s="31"/>
      <c r="Z188" s="31"/>
      <c r="AA188" s="31"/>
      <c r="AB188" s="31"/>
      <c r="AC188" s="45"/>
      <c r="AD188" s="31"/>
      <c r="AE188" s="31"/>
      <c r="AF188" s="31"/>
      <c r="AG188" s="31"/>
      <c r="AH188" s="31"/>
      <c r="AI188" s="31"/>
      <c r="AJ188" s="3"/>
      <c r="AK188" s="34" t="s">
        <v>636</v>
      </c>
      <c r="AL188" s="3"/>
      <c r="AM188" s="25"/>
      <c r="AN188" s="35" t="s">
        <v>1518</v>
      </c>
      <c r="AO188" s="24">
        <v>0.004930555555555555</v>
      </c>
      <c r="AP188" s="7" t="s">
        <v>1519</v>
      </c>
      <c r="AQ188" s="7">
        <v>2020.0</v>
      </c>
      <c r="AR188" s="7" t="s">
        <v>633</v>
      </c>
      <c r="AS188" s="7" t="b">
        <f>NOT(ISERROR(MATCH(A188,'Villages according to موسوعة ال'!C:C,0)))</f>
        <v>1</v>
      </c>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row>
    <row r="189">
      <c r="A189" s="7" t="s">
        <v>285</v>
      </c>
      <c r="B189" s="43" t="s">
        <v>286</v>
      </c>
      <c r="E189" s="7"/>
      <c r="F189" s="7"/>
      <c r="G189" s="28"/>
      <c r="I189" s="7" t="s">
        <v>616</v>
      </c>
      <c r="L189" s="54" t="s">
        <v>1520</v>
      </c>
      <c r="M189" s="32" t="b">
        <v>1</v>
      </c>
      <c r="N189" s="60" t="b">
        <v>0</v>
      </c>
      <c r="O189" s="32" t="s">
        <v>661</v>
      </c>
      <c r="P189" s="60" t="b">
        <v>0</v>
      </c>
      <c r="Q189" s="60" t="b">
        <v>0</v>
      </c>
      <c r="R189" s="60" t="b">
        <v>0</v>
      </c>
      <c r="S189" s="32" t="s">
        <v>966</v>
      </c>
      <c r="T189" s="32" t="s">
        <v>1521</v>
      </c>
      <c r="U189" s="60" t="b">
        <v>0</v>
      </c>
      <c r="V189" s="60"/>
      <c r="W189" s="60" t="b">
        <v>0</v>
      </c>
      <c r="X189" s="60" t="b">
        <v>0</v>
      </c>
      <c r="Y189" s="32" t="s">
        <v>671</v>
      </c>
      <c r="Z189" s="60"/>
      <c r="AA189" s="32" t="s">
        <v>1522</v>
      </c>
      <c r="AB189" s="32" t="s">
        <v>1193</v>
      </c>
      <c r="AC189" s="33" t="s">
        <v>672</v>
      </c>
      <c r="AD189" s="32" t="s">
        <v>686</v>
      </c>
      <c r="AE189" s="60"/>
      <c r="AF189" s="60"/>
      <c r="AG189" s="60"/>
      <c r="AH189" s="60"/>
      <c r="AI189" s="32" t="s">
        <v>1523</v>
      </c>
      <c r="AJ189" s="96" t="s">
        <v>1524</v>
      </c>
      <c r="AK189" s="34" t="s">
        <v>698</v>
      </c>
      <c r="AL189" s="3" t="s">
        <v>675</v>
      </c>
      <c r="AM189" s="3" t="s">
        <v>868</v>
      </c>
      <c r="AN189" s="35" t="s">
        <v>1525</v>
      </c>
      <c r="AO189" s="24">
        <v>0.0036458333333333334</v>
      </c>
      <c r="AP189" s="7" t="s">
        <v>1519</v>
      </c>
      <c r="AQ189" s="7">
        <v>2020.0</v>
      </c>
      <c r="AR189" s="35" t="s">
        <v>1526</v>
      </c>
      <c r="AS189" s="7" t="b">
        <f>NOT(ISERROR(MATCH(A189,'Villages according to موسوعة ال'!C:C,0)))</f>
        <v>1</v>
      </c>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row>
    <row r="190">
      <c r="A190" s="7" t="s">
        <v>303</v>
      </c>
      <c r="B190" s="43" t="s">
        <v>304</v>
      </c>
      <c r="C190" s="7" t="s">
        <v>304</v>
      </c>
      <c r="D190" s="7" t="s">
        <v>305</v>
      </c>
      <c r="E190" s="7"/>
      <c r="F190" s="7"/>
      <c r="G190" s="28"/>
      <c r="H190" s="7" t="s">
        <v>633</v>
      </c>
      <c r="I190" s="7" t="s">
        <v>616</v>
      </c>
      <c r="J190" s="7" t="s">
        <v>1527</v>
      </c>
      <c r="K190" s="54" t="s">
        <v>1528</v>
      </c>
      <c r="L190" s="97" t="s">
        <v>1529</v>
      </c>
      <c r="M190" s="60" t="b">
        <v>0</v>
      </c>
      <c r="N190" s="60" t="b">
        <v>0</v>
      </c>
      <c r="O190" s="60"/>
      <c r="P190" s="60" t="b">
        <v>0</v>
      </c>
      <c r="Q190" s="60" t="b">
        <v>0</v>
      </c>
      <c r="R190" s="60" t="b">
        <v>0</v>
      </c>
      <c r="S190" s="60"/>
      <c r="T190" s="60"/>
      <c r="U190" s="60" t="b">
        <v>0</v>
      </c>
      <c r="V190" s="60"/>
      <c r="W190" s="60" t="b">
        <v>0</v>
      </c>
      <c r="X190" s="60" t="b">
        <v>0</v>
      </c>
      <c r="Y190" s="60"/>
      <c r="Z190" s="60"/>
      <c r="AA190" s="60"/>
      <c r="AB190" s="60"/>
      <c r="AC190" s="61"/>
      <c r="AD190" s="60"/>
      <c r="AE190" s="60"/>
      <c r="AF190" s="60"/>
      <c r="AG190" s="60"/>
      <c r="AH190" s="60"/>
      <c r="AI190" s="60"/>
      <c r="AJ190" s="98"/>
      <c r="AK190" s="34" t="s">
        <v>698</v>
      </c>
      <c r="AL190" s="3"/>
      <c r="AM190" s="25"/>
      <c r="AN190" s="35" t="s">
        <v>1530</v>
      </c>
      <c r="AO190" s="24">
        <v>0.007523148148148148</v>
      </c>
      <c r="AP190" s="7" t="s">
        <v>633</v>
      </c>
      <c r="AQ190" s="7" t="s">
        <v>633</v>
      </c>
      <c r="AR190" s="3" t="s">
        <v>1531</v>
      </c>
      <c r="AS190" s="7" t="b">
        <f>NOT(ISERROR(MATCH(A190,'Villages according to موسوعة ال'!C:C,0)))</f>
        <v>1</v>
      </c>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row>
    <row r="191">
      <c r="A191" s="7" t="s">
        <v>182</v>
      </c>
      <c r="B191" s="26" t="s">
        <v>183</v>
      </c>
      <c r="C191" s="7" t="s">
        <v>183</v>
      </c>
      <c r="D191" s="7" t="s">
        <v>184</v>
      </c>
      <c r="E191" s="3"/>
      <c r="F191" s="3"/>
      <c r="G191" s="92"/>
      <c r="H191" s="7" t="s">
        <v>1532</v>
      </c>
      <c r="I191" s="7" t="s">
        <v>638</v>
      </c>
      <c r="J191" s="7" t="s">
        <v>1533</v>
      </c>
      <c r="K191" s="54" t="s">
        <v>1534</v>
      </c>
      <c r="L191" s="47"/>
      <c r="M191" s="48" t="b">
        <v>0</v>
      </c>
      <c r="N191" s="48" t="b">
        <v>0</v>
      </c>
      <c r="O191" s="48"/>
      <c r="P191" s="48" t="b">
        <v>0</v>
      </c>
      <c r="Q191" s="48" t="b">
        <v>0</v>
      </c>
      <c r="R191" s="48" t="b">
        <v>0</v>
      </c>
      <c r="S191" s="48"/>
      <c r="T191" s="32"/>
      <c r="U191" s="48" t="b">
        <v>0</v>
      </c>
      <c r="V191" s="48"/>
      <c r="W191" s="48" t="b">
        <v>0</v>
      </c>
      <c r="X191" s="48" t="b">
        <v>0</v>
      </c>
      <c r="Y191" s="48"/>
      <c r="Z191" s="48"/>
      <c r="AA191" s="48"/>
      <c r="AB191" s="48"/>
      <c r="AC191" s="49"/>
      <c r="AD191" s="48"/>
      <c r="AE191" s="48"/>
      <c r="AF191" s="48"/>
      <c r="AG191" s="48"/>
      <c r="AH191" s="48"/>
      <c r="AI191" s="48"/>
      <c r="AJ191" s="25"/>
      <c r="AK191" s="34" t="s">
        <v>666</v>
      </c>
      <c r="AL191" s="25"/>
      <c r="AM191" s="25"/>
      <c r="AN191" s="35" t="s">
        <v>1535</v>
      </c>
      <c r="AO191" s="24">
        <v>3.7037037037037035E-4</v>
      </c>
      <c r="AP191" s="7" t="s">
        <v>1536</v>
      </c>
      <c r="AQ191" s="7" t="s">
        <v>633</v>
      </c>
      <c r="AR191" s="7" t="s">
        <v>633</v>
      </c>
      <c r="AS191" s="7" t="b">
        <f>NOT(ISERROR(MATCH(A191,'Villages according to موسوعة ال'!C:C,0)))</f>
        <v>1</v>
      </c>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row>
    <row r="192">
      <c r="A192" s="7" t="s">
        <v>182</v>
      </c>
      <c r="B192" s="43" t="s">
        <v>183</v>
      </c>
      <c r="E192" s="3"/>
      <c r="F192" s="3"/>
      <c r="G192" s="92"/>
      <c r="K192" s="54" t="s">
        <v>1537</v>
      </c>
      <c r="L192" s="54" t="s">
        <v>1538</v>
      </c>
      <c r="M192" s="60" t="b">
        <v>0</v>
      </c>
      <c r="N192" s="60" t="b">
        <v>0</v>
      </c>
      <c r="O192" s="60"/>
      <c r="P192" s="60" t="b">
        <v>0</v>
      </c>
      <c r="Q192" s="60" t="b">
        <v>0</v>
      </c>
      <c r="R192" s="60" t="b">
        <v>0</v>
      </c>
      <c r="S192" s="60"/>
      <c r="T192" s="60"/>
      <c r="U192" s="60" t="b">
        <v>0</v>
      </c>
      <c r="V192" s="60"/>
      <c r="W192" s="60" t="b">
        <v>0</v>
      </c>
      <c r="X192" s="60" t="b">
        <v>0</v>
      </c>
      <c r="Y192" s="60"/>
      <c r="Z192" s="60"/>
      <c r="AA192" s="60"/>
      <c r="AB192" s="60"/>
      <c r="AC192" s="61"/>
      <c r="AD192" s="60"/>
      <c r="AE192" s="60"/>
      <c r="AF192" s="60"/>
      <c r="AG192" s="60"/>
      <c r="AH192" s="60"/>
      <c r="AI192" s="60"/>
      <c r="AJ192" s="3"/>
      <c r="AK192" s="34" t="s">
        <v>698</v>
      </c>
      <c r="AL192" s="3" t="s">
        <v>675</v>
      </c>
      <c r="AM192" s="3" t="s">
        <v>831</v>
      </c>
      <c r="AN192" s="35" t="s">
        <v>1539</v>
      </c>
      <c r="AO192" s="24">
        <v>8.912037037037037E-4</v>
      </c>
      <c r="AP192" s="7" t="s">
        <v>1536</v>
      </c>
      <c r="AQ192" s="3" t="s">
        <v>1540</v>
      </c>
      <c r="AR192" s="35" t="s">
        <v>1541</v>
      </c>
      <c r="AS192" s="7" t="b">
        <f>NOT(ISERROR(MATCH(A192,'Villages according to موسوعة ال'!C:C,0)))</f>
        <v>1</v>
      </c>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row>
    <row r="193">
      <c r="A193" s="7" t="s">
        <v>182</v>
      </c>
      <c r="B193" s="43" t="s">
        <v>183</v>
      </c>
      <c r="E193" s="3"/>
      <c r="F193" s="3"/>
      <c r="G193" s="92"/>
      <c r="K193" s="54" t="s">
        <v>1542</v>
      </c>
      <c r="L193" s="30" t="s">
        <v>1543</v>
      </c>
      <c r="M193" s="32" t="b">
        <v>0</v>
      </c>
      <c r="N193" s="32" t="b">
        <v>0</v>
      </c>
      <c r="O193" s="32"/>
      <c r="P193" s="32" t="b">
        <v>0</v>
      </c>
      <c r="Q193" s="32" t="b">
        <v>0</v>
      </c>
      <c r="R193" s="32" t="b">
        <v>0</v>
      </c>
      <c r="S193" s="32"/>
      <c r="T193" s="32"/>
      <c r="U193" s="32" t="b">
        <v>0</v>
      </c>
      <c r="V193" s="32"/>
      <c r="W193" s="32" t="b">
        <v>0</v>
      </c>
      <c r="X193" s="32" t="b">
        <v>0</v>
      </c>
      <c r="Y193" s="32"/>
      <c r="Z193" s="32"/>
      <c r="AA193" s="32"/>
      <c r="AB193" s="32"/>
      <c r="AC193" s="33"/>
      <c r="AD193" s="32"/>
      <c r="AE193" s="32"/>
      <c r="AF193" s="32"/>
      <c r="AG193" s="32"/>
      <c r="AH193" s="32"/>
      <c r="AI193" s="32"/>
      <c r="AJ193" s="7"/>
      <c r="AK193" s="34" t="s">
        <v>718</v>
      </c>
      <c r="AL193" s="3" t="s">
        <v>734</v>
      </c>
      <c r="AM193" s="3" t="s">
        <v>735</v>
      </c>
      <c r="AN193" s="35" t="s">
        <v>1544</v>
      </c>
      <c r="AO193" s="24">
        <v>0.0013078703703703703</v>
      </c>
      <c r="AP193" s="7" t="s">
        <v>1536</v>
      </c>
      <c r="AQ193" s="7" t="s">
        <v>633</v>
      </c>
      <c r="AR193" s="35" t="s">
        <v>1544</v>
      </c>
      <c r="AS193" s="7" t="b">
        <f>NOT(ISERROR(MATCH(A193,'Villages according to موسوعة ال'!C:C,0)))</f>
        <v>1</v>
      </c>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row>
    <row r="194">
      <c r="A194" s="7" t="s">
        <v>182</v>
      </c>
      <c r="B194" s="43" t="s">
        <v>183</v>
      </c>
      <c r="E194" s="3"/>
      <c r="F194" s="3"/>
      <c r="G194" s="28" t="s">
        <v>1545</v>
      </c>
      <c r="K194" s="54" t="s">
        <v>1546</v>
      </c>
      <c r="L194" s="30" t="s">
        <v>1547</v>
      </c>
      <c r="M194" s="60" t="b">
        <v>0</v>
      </c>
      <c r="N194" s="60" t="b">
        <v>0</v>
      </c>
      <c r="O194" s="60"/>
      <c r="P194" s="60" t="b">
        <v>0</v>
      </c>
      <c r="Q194" s="60" t="b">
        <v>0</v>
      </c>
      <c r="R194" s="60" t="b">
        <v>0</v>
      </c>
      <c r="S194" s="60"/>
      <c r="T194" s="60"/>
      <c r="U194" s="60" t="b">
        <v>0</v>
      </c>
      <c r="V194" s="60"/>
      <c r="W194" s="60" t="b">
        <v>0</v>
      </c>
      <c r="X194" s="60" t="b">
        <v>0</v>
      </c>
      <c r="Y194" s="60"/>
      <c r="Z194" s="60"/>
      <c r="AA194" s="60"/>
      <c r="AB194" s="60"/>
      <c r="AC194" s="61"/>
      <c r="AD194" s="60"/>
      <c r="AE194" s="60"/>
      <c r="AF194" s="60"/>
      <c r="AG194" s="60"/>
      <c r="AH194" s="60"/>
      <c r="AI194" s="60"/>
      <c r="AJ194" s="7"/>
      <c r="AK194" s="34" t="s">
        <v>698</v>
      </c>
      <c r="AL194" s="3" t="s">
        <v>699</v>
      </c>
      <c r="AM194" s="3" t="s">
        <v>831</v>
      </c>
      <c r="AN194" s="35" t="s">
        <v>1548</v>
      </c>
      <c r="AO194" s="24">
        <v>9.027777777777777E-4</v>
      </c>
      <c r="AP194" s="7" t="s">
        <v>1536</v>
      </c>
      <c r="AQ194" s="7" t="s">
        <v>633</v>
      </c>
      <c r="AR194" s="35" t="s">
        <v>1549</v>
      </c>
      <c r="AS194" s="7" t="b">
        <f>NOT(ISERROR(MATCH(A194,'Villages according to موسوعة ال'!C:C,0)))</f>
        <v>1</v>
      </c>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row>
    <row r="195">
      <c r="A195" s="7" t="s">
        <v>182</v>
      </c>
      <c r="B195" s="43" t="s">
        <v>183</v>
      </c>
      <c r="E195" s="3"/>
      <c r="F195" s="3"/>
      <c r="G195" s="28" t="s">
        <v>1545</v>
      </c>
      <c r="K195" s="54" t="s">
        <v>1550</v>
      </c>
      <c r="L195" s="30" t="s">
        <v>1551</v>
      </c>
      <c r="M195" s="60" t="b">
        <v>0</v>
      </c>
      <c r="N195" s="60" t="b">
        <v>0</v>
      </c>
      <c r="O195" s="60"/>
      <c r="P195" s="60" t="b">
        <v>0</v>
      </c>
      <c r="Q195" s="60" t="b">
        <v>0</v>
      </c>
      <c r="R195" s="60" t="b">
        <v>0</v>
      </c>
      <c r="S195" s="60"/>
      <c r="T195" s="60"/>
      <c r="U195" s="60" t="b">
        <v>0</v>
      </c>
      <c r="V195" s="60"/>
      <c r="W195" s="60" t="b">
        <v>0</v>
      </c>
      <c r="X195" s="60" t="b">
        <v>0</v>
      </c>
      <c r="Y195" s="60"/>
      <c r="Z195" s="60"/>
      <c r="AA195" s="60"/>
      <c r="AB195" s="60"/>
      <c r="AC195" s="61"/>
      <c r="AD195" s="60"/>
      <c r="AE195" s="60"/>
      <c r="AF195" s="60"/>
      <c r="AG195" s="60"/>
      <c r="AH195" s="60"/>
      <c r="AI195" s="60"/>
      <c r="AJ195" s="7"/>
      <c r="AK195" s="34" t="s">
        <v>698</v>
      </c>
      <c r="AL195" s="3" t="s">
        <v>699</v>
      </c>
      <c r="AM195" s="3" t="s">
        <v>831</v>
      </c>
      <c r="AN195" s="35" t="s">
        <v>1552</v>
      </c>
      <c r="AO195" s="24">
        <v>5.787037037037037E-4</v>
      </c>
      <c r="AP195" s="7" t="s">
        <v>1536</v>
      </c>
      <c r="AQ195" s="7" t="s">
        <v>633</v>
      </c>
      <c r="AR195" s="35" t="s">
        <v>1553</v>
      </c>
      <c r="AS195" s="7" t="b">
        <f>NOT(ISERROR(MATCH(A195,'Villages according to موسوعة ال'!C:C,0)))</f>
        <v>1</v>
      </c>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row>
    <row r="196">
      <c r="A196" s="7" t="s">
        <v>182</v>
      </c>
      <c r="B196" s="43" t="s">
        <v>183</v>
      </c>
      <c r="E196" s="3"/>
      <c r="F196" s="3"/>
      <c r="G196" s="92"/>
      <c r="H196" s="7" t="s">
        <v>1554</v>
      </c>
      <c r="I196" s="7" t="s">
        <v>638</v>
      </c>
      <c r="J196" s="7" t="s">
        <v>1555</v>
      </c>
      <c r="K196" s="54" t="s">
        <v>1556</v>
      </c>
      <c r="L196" s="30" t="s">
        <v>1557</v>
      </c>
      <c r="M196" s="32" t="b">
        <v>0</v>
      </c>
      <c r="N196" s="32" t="b">
        <v>0</v>
      </c>
      <c r="O196" s="32"/>
      <c r="P196" s="32" t="b">
        <v>0</v>
      </c>
      <c r="Q196" s="32" t="b">
        <v>0</v>
      </c>
      <c r="R196" s="32" t="b">
        <v>0</v>
      </c>
      <c r="S196" s="32"/>
      <c r="T196" s="32"/>
      <c r="U196" s="32" t="b">
        <v>0</v>
      </c>
      <c r="V196" s="32"/>
      <c r="W196" s="32" t="b">
        <v>0</v>
      </c>
      <c r="X196" s="32" t="b">
        <v>0</v>
      </c>
      <c r="Y196" s="32"/>
      <c r="Z196" s="32"/>
      <c r="AA196" s="32"/>
      <c r="AB196" s="32"/>
      <c r="AC196" s="33"/>
      <c r="AD196" s="32"/>
      <c r="AE196" s="32"/>
      <c r="AF196" s="32"/>
      <c r="AG196" s="32"/>
      <c r="AH196" s="32"/>
      <c r="AI196" s="32"/>
      <c r="AJ196" s="7"/>
      <c r="AK196" s="34" t="s">
        <v>718</v>
      </c>
      <c r="AL196" s="3" t="s">
        <v>734</v>
      </c>
      <c r="AM196" s="3" t="s">
        <v>735</v>
      </c>
      <c r="AN196" s="35" t="s">
        <v>1558</v>
      </c>
      <c r="AO196" s="24">
        <v>0.0016782407407407408</v>
      </c>
      <c r="AP196" s="7" t="s">
        <v>633</v>
      </c>
      <c r="AQ196" s="7" t="s">
        <v>633</v>
      </c>
      <c r="AR196" s="35" t="s">
        <v>1559</v>
      </c>
      <c r="AS196" s="7" t="b">
        <f>NOT(ISERROR(MATCH(A196,'Villages according to موسوعة ال'!C:C,0)))</f>
        <v>1</v>
      </c>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row>
    <row r="197">
      <c r="A197" s="7" t="s">
        <v>182</v>
      </c>
      <c r="B197" s="26" t="s">
        <v>183</v>
      </c>
      <c r="E197" s="3"/>
      <c r="F197" s="3"/>
      <c r="G197" s="92"/>
      <c r="K197" s="54" t="s">
        <v>1560</v>
      </c>
      <c r="L197" s="30" t="s">
        <v>1561</v>
      </c>
      <c r="M197" s="32" t="b">
        <v>0</v>
      </c>
      <c r="N197" s="32" t="b">
        <v>0</v>
      </c>
      <c r="O197" s="32"/>
      <c r="P197" s="32" t="b">
        <v>0</v>
      </c>
      <c r="Q197" s="32" t="b">
        <v>0</v>
      </c>
      <c r="R197" s="32" t="b">
        <v>0</v>
      </c>
      <c r="S197" s="32"/>
      <c r="T197" s="32"/>
      <c r="U197" s="32" t="b">
        <v>0</v>
      </c>
      <c r="V197" s="32"/>
      <c r="W197" s="32" t="b">
        <v>0</v>
      </c>
      <c r="X197" s="32" t="b">
        <v>0</v>
      </c>
      <c r="Y197" s="32"/>
      <c r="Z197" s="32"/>
      <c r="AA197" s="32"/>
      <c r="AB197" s="32"/>
      <c r="AC197" s="33"/>
      <c r="AD197" s="32"/>
      <c r="AE197" s="32"/>
      <c r="AF197" s="32"/>
      <c r="AG197" s="32"/>
      <c r="AH197" s="32"/>
      <c r="AI197" s="32"/>
      <c r="AJ197" s="7"/>
      <c r="AK197" s="34" t="s">
        <v>636</v>
      </c>
      <c r="AL197" s="25"/>
      <c r="AM197" s="25"/>
      <c r="AN197" s="35" t="s">
        <v>1562</v>
      </c>
      <c r="AO197" s="24">
        <v>7.754629629629629E-4</v>
      </c>
      <c r="AP197" s="7" t="s">
        <v>633</v>
      </c>
      <c r="AQ197" s="7" t="s">
        <v>633</v>
      </c>
      <c r="AR197" s="7" t="s">
        <v>633</v>
      </c>
      <c r="AS197" s="7" t="b">
        <f>NOT(ISERROR(MATCH(A197,'Villages according to موسوعة ال'!C:C,0)))</f>
        <v>1</v>
      </c>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row>
    <row r="198">
      <c r="A198" s="7" t="s">
        <v>182</v>
      </c>
      <c r="B198" s="26" t="s">
        <v>183</v>
      </c>
      <c r="E198" s="3"/>
      <c r="F198" s="3"/>
      <c r="G198" s="92"/>
      <c r="K198" s="54" t="s">
        <v>1563</v>
      </c>
      <c r="L198" s="30" t="s">
        <v>1564</v>
      </c>
      <c r="M198" s="32" t="b">
        <v>0</v>
      </c>
      <c r="N198" s="32" t="b">
        <v>0</v>
      </c>
      <c r="O198" s="32"/>
      <c r="P198" s="32" t="b">
        <v>0</v>
      </c>
      <c r="Q198" s="32" t="b">
        <v>0</v>
      </c>
      <c r="R198" s="32" t="b">
        <v>0</v>
      </c>
      <c r="S198" s="32"/>
      <c r="T198" s="32"/>
      <c r="U198" s="32" t="b">
        <v>0</v>
      </c>
      <c r="V198" s="32"/>
      <c r="W198" s="32" t="b">
        <v>0</v>
      </c>
      <c r="X198" s="32" t="b">
        <v>0</v>
      </c>
      <c r="Y198" s="32"/>
      <c r="Z198" s="32"/>
      <c r="AA198" s="32"/>
      <c r="AB198" s="32"/>
      <c r="AC198" s="33"/>
      <c r="AD198" s="32"/>
      <c r="AE198" s="32"/>
      <c r="AF198" s="32"/>
      <c r="AG198" s="32"/>
      <c r="AH198" s="32"/>
      <c r="AI198" s="32"/>
      <c r="AJ198" s="7"/>
      <c r="AK198" s="34" t="s">
        <v>636</v>
      </c>
      <c r="AL198" s="25"/>
      <c r="AM198" s="25"/>
      <c r="AN198" s="35" t="s">
        <v>1565</v>
      </c>
      <c r="AO198" s="24">
        <v>5.324074074074074E-4</v>
      </c>
      <c r="AP198" s="7" t="s">
        <v>633</v>
      </c>
      <c r="AQ198" s="7" t="s">
        <v>633</v>
      </c>
      <c r="AR198" s="7" t="s">
        <v>633</v>
      </c>
      <c r="AS198" s="7" t="b">
        <f>NOT(ISERROR(MATCH(A198,'Villages according to موسوعة ال'!C:C,0)))</f>
        <v>1</v>
      </c>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row>
    <row r="199">
      <c r="A199" s="7" t="s">
        <v>339</v>
      </c>
      <c r="B199" s="26" t="s">
        <v>1566</v>
      </c>
      <c r="C199" s="7" t="s">
        <v>1566</v>
      </c>
      <c r="D199" s="7" t="s">
        <v>341</v>
      </c>
      <c r="E199" s="3"/>
      <c r="F199" s="3"/>
      <c r="G199" s="92"/>
      <c r="H199" s="7" t="s">
        <v>1567</v>
      </c>
      <c r="I199" s="7" t="s">
        <v>616</v>
      </c>
      <c r="J199" s="7" t="s">
        <v>1568</v>
      </c>
      <c r="K199" s="54" t="s">
        <v>1569</v>
      </c>
      <c r="L199" s="54" t="s">
        <v>1570</v>
      </c>
      <c r="M199" s="31" t="b">
        <v>0</v>
      </c>
      <c r="N199" s="31" t="b">
        <v>0</v>
      </c>
      <c r="O199" s="31"/>
      <c r="P199" s="31" t="b">
        <v>0</v>
      </c>
      <c r="Q199" s="31" t="b">
        <v>0</v>
      </c>
      <c r="R199" s="31" t="b">
        <v>0</v>
      </c>
      <c r="S199" s="31"/>
      <c r="T199" s="32"/>
      <c r="U199" s="31" t="b">
        <v>0</v>
      </c>
      <c r="V199" s="31"/>
      <c r="W199" s="31" t="b">
        <v>0</v>
      </c>
      <c r="X199" s="31" t="b">
        <v>0</v>
      </c>
      <c r="Y199" s="31"/>
      <c r="Z199" s="31"/>
      <c r="AA199" s="31"/>
      <c r="AB199" s="31"/>
      <c r="AC199" s="45"/>
      <c r="AD199" s="31"/>
      <c r="AE199" s="31"/>
      <c r="AF199" s="31"/>
      <c r="AG199" s="31"/>
      <c r="AH199" s="31"/>
      <c r="AI199" s="31"/>
      <c r="AJ199" s="3"/>
      <c r="AK199" s="34" t="s">
        <v>636</v>
      </c>
      <c r="AL199" s="25"/>
      <c r="AM199" s="25"/>
      <c r="AN199" s="35" t="s">
        <v>1571</v>
      </c>
      <c r="AO199" s="24">
        <v>0.013969907407407407</v>
      </c>
      <c r="AP199" s="7" t="s">
        <v>633</v>
      </c>
      <c r="AQ199" s="7" t="s">
        <v>633</v>
      </c>
      <c r="AR199" s="7" t="s">
        <v>633</v>
      </c>
      <c r="AS199" s="7" t="b">
        <f>NOT(ISERROR(MATCH(A199,'Villages according to موسوعة ال'!C:C,0)))</f>
        <v>1</v>
      </c>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row>
    <row r="200">
      <c r="A200" s="7" t="s">
        <v>339</v>
      </c>
      <c r="B200" s="43" t="s">
        <v>1566</v>
      </c>
      <c r="G200" s="92"/>
      <c r="K200" s="54" t="s">
        <v>1572</v>
      </c>
      <c r="L200" s="54" t="s">
        <v>1573</v>
      </c>
      <c r="M200" s="60" t="b">
        <v>0</v>
      </c>
      <c r="N200" s="60" t="b">
        <v>0</v>
      </c>
      <c r="O200" s="60"/>
      <c r="P200" s="60" t="b">
        <v>0</v>
      </c>
      <c r="Q200" s="60" t="b">
        <v>0</v>
      </c>
      <c r="R200" s="60" t="b">
        <v>0</v>
      </c>
      <c r="S200" s="60"/>
      <c r="T200" s="60"/>
      <c r="U200" s="60" t="b">
        <v>0</v>
      </c>
      <c r="V200" s="60"/>
      <c r="W200" s="60" t="b">
        <v>0</v>
      </c>
      <c r="X200" s="60" t="b">
        <v>0</v>
      </c>
      <c r="Y200" s="60"/>
      <c r="Z200" s="60"/>
      <c r="AA200" s="60"/>
      <c r="AB200" s="60"/>
      <c r="AC200" s="61"/>
      <c r="AD200" s="60"/>
      <c r="AE200" s="60"/>
      <c r="AF200" s="60"/>
      <c r="AG200" s="60"/>
      <c r="AH200" s="60"/>
      <c r="AI200" s="60"/>
      <c r="AJ200" s="7" t="s">
        <v>1574</v>
      </c>
      <c r="AK200" s="34" t="s">
        <v>698</v>
      </c>
      <c r="AL200" s="3" t="s">
        <v>699</v>
      </c>
      <c r="AM200" s="3" t="s">
        <v>831</v>
      </c>
      <c r="AN200" s="35" t="s">
        <v>1575</v>
      </c>
      <c r="AO200" s="24">
        <v>0.008344907407407407</v>
      </c>
      <c r="AP200" s="3" t="s">
        <v>1576</v>
      </c>
      <c r="AQ200" s="3" t="s">
        <v>1577</v>
      </c>
      <c r="AR200" s="35" t="s">
        <v>1578</v>
      </c>
      <c r="AS200" s="7" t="b">
        <f>NOT(ISERROR(MATCH(A200,'Villages according to موسوعة ال'!C:C,0)))</f>
        <v>1</v>
      </c>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row>
    <row r="201">
      <c r="A201" s="7" t="s">
        <v>159</v>
      </c>
      <c r="B201" s="26" t="s">
        <v>160</v>
      </c>
      <c r="C201" s="7" t="s">
        <v>160</v>
      </c>
      <c r="D201" s="7" t="s">
        <v>161</v>
      </c>
      <c r="E201" s="25"/>
      <c r="F201" s="25"/>
      <c r="G201" s="84"/>
      <c r="H201" s="7" t="s">
        <v>1579</v>
      </c>
      <c r="I201" s="7" t="s">
        <v>616</v>
      </c>
      <c r="J201" s="7" t="s">
        <v>1580</v>
      </c>
      <c r="K201" s="47"/>
      <c r="L201" s="54" t="s">
        <v>1581</v>
      </c>
      <c r="M201" s="31" t="b">
        <v>0</v>
      </c>
      <c r="N201" s="31" t="b">
        <v>0</v>
      </c>
      <c r="O201" s="31"/>
      <c r="P201" s="31" t="b">
        <v>0</v>
      </c>
      <c r="Q201" s="31" t="b">
        <v>0</v>
      </c>
      <c r="R201" s="31" t="b">
        <v>0</v>
      </c>
      <c r="S201" s="31"/>
      <c r="T201" s="32"/>
      <c r="U201" s="31" t="b">
        <v>0</v>
      </c>
      <c r="V201" s="31"/>
      <c r="W201" s="31" t="b">
        <v>0</v>
      </c>
      <c r="X201" s="31" t="b">
        <v>0</v>
      </c>
      <c r="Y201" s="31"/>
      <c r="Z201" s="31"/>
      <c r="AA201" s="31"/>
      <c r="AB201" s="31"/>
      <c r="AC201" s="45"/>
      <c r="AD201" s="31"/>
      <c r="AE201" s="31"/>
      <c r="AF201" s="31"/>
      <c r="AG201" s="31"/>
      <c r="AH201" s="31"/>
      <c r="AI201" s="31"/>
      <c r="AJ201" s="3"/>
      <c r="AK201" s="34" t="s">
        <v>636</v>
      </c>
      <c r="AL201" s="25"/>
      <c r="AM201" s="25"/>
      <c r="AN201" s="35" t="s">
        <v>1582</v>
      </c>
      <c r="AO201" s="24">
        <v>0.011597222222222222</v>
      </c>
      <c r="AP201" s="7" t="s">
        <v>633</v>
      </c>
      <c r="AQ201" s="7" t="s">
        <v>633</v>
      </c>
      <c r="AR201" s="7" t="s">
        <v>633</v>
      </c>
      <c r="AS201" s="7" t="b">
        <f>NOT(ISERROR(MATCH(A201,'Villages according to موسوعة ال'!C:C,0)))</f>
        <v>1</v>
      </c>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row>
    <row r="202">
      <c r="A202" s="7" t="s">
        <v>159</v>
      </c>
      <c r="B202" s="26" t="s">
        <v>160</v>
      </c>
      <c r="E202" s="25"/>
      <c r="F202" s="25"/>
      <c r="G202" s="84"/>
      <c r="K202" s="47"/>
      <c r="L202" s="30" t="s">
        <v>1583</v>
      </c>
      <c r="M202" s="32" t="b">
        <v>0</v>
      </c>
      <c r="N202" s="32" t="b">
        <v>0</v>
      </c>
      <c r="O202" s="32"/>
      <c r="P202" s="32" t="b">
        <v>0</v>
      </c>
      <c r="Q202" s="32" t="b">
        <v>0</v>
      </c>
      <c r="R202" s="32" t="b">
        <v>0</v>
      </c>
      <c r="S202" s="32"/>
      <c r="T202" s="32"/>
      <c r="U202" s="32" t="b">
        <v>0</v>
      </c>
      <c r="V202" s="32"/>
      <c r="W202" s="32" t="b">
        <v>0</v>
      </c>
      <c r="X202" s="32" t="b">
        <v>0</v>
      </c>
      <c r="Y202" s="32"/>
      <c r="Z202" s="32"/>
      <c r="AA202" s="32"/>
      <c r="AB202" s="32"/>
      <c r="AC202" s="33"/>
      <c r="AD202" s="32"/>
      <c r="AE202" s="32"/>
      <c r="AF202" s="32"/>
      <c r="AG202" s="32"/>
      <c r="AH202" s="32"/>
      <c r="AI202" s="32"/>
      <c r="AJ202" s="7"/>
      <c r="AK202" s="34" t="s">
        <v>636</v>
      </c>
      <c r="AL202" s="25"/>
      <c r="AM202" s="25"/>
      <c r="AN202" s="35" t="s">
        <v>1584</v>
      </c>
      <c r="AO202" s="24">
        <v>0.002673611111111111</v>
      </c>
      <c r="AP202" s="7" t="s">
        <v>633</v>
      </c>
      <c r="AQ202" s="7" t="s">
        <v>633</v>
      </c>
      <c r="AR202" s="7" t="s">
        <v>633</v>
      </c>
      <c r="AS202" s="7" t="b">
        <f>NOT(ISERROR(MATCH(A202,'Villages according to موسوعة ال'!C:C,0)))</f>
        <v>1</v>
      </c>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row>
    <row r="203">
      <c r="A203" s="7" t="s">
        <v>159</v>
      </c>
      <c r="B203" s="26" t="s">
        <v>160</v>
      </c>
      <c r="E203" s="25"/>
      <c r="F203" s="25"/>
      <c r="G203" s="84"/>
      <c r="H203" s="3" t="s">
        <v>1585</v>
      </c>
      <c r="I203" s="7" t="s">
        <v>616</v>
      </c>
      <c r="J203" s="7" t="s">
        <v>1586</v>
      </c>
      <c r="K203" s="54" t="s">
        <v>1587</v>
      </c>
      <c r="L203" s="30" t="s">
        <v>1588</v>
      </c>
      <c r="M203" s="32" t="b">
        <v>0</v>
      </c>
      <c r="N203" s="32" t="b">
        <v>0</v>
      </c>
      <c r="O203" s="32"/>
      <c r="P203" s="32" t="b">
        <v>0</v>
      </c>
      <c r="Q203" s="32" t="b">
        <v>0</v>
      </c>
      <c r="R203" s="32" t="b">
        <v>0</v>
      </c>
      <c r="S203" s="32"/>
      <c r="T203" s="32"/>
      <c r="U203" s="32" t="b">
        <v>0</v>
      </c>
      <c r="V203" s="32"/>
      <c r="W203" s="32" t="b">
        <v>0</v>
      </c>
      <c r="X203" s="32" t="b">
        <v>0</v>
      </c>
      <c r="Y203" s="32"/>
      <c r="Z203" s="32"/>
      <c r="AA203" s="32"/>
      <c r="AB203" s="32"/>
      <c r="AC203" s="33"/>
      <c r="AD203" s="32"/>
      <c r="AE203" s="32"/>
      <c r="AF203" s="32"/>
      <c r="AG203" s="32"/>
      <c r="AH203" s="32"/>
      <c r="AI203" s="32"/>
      <c r="AJ203" s="7"/>
      <c r="AK203" s="34" t="s">
        <v>636</v>
      </c>
      <c r="AL203" s="25"/>
      <c r="AM203" s="25"/>
      <c r="AN203" s="35" t="s">
        <v>1589</v>
      </c>
      <c r="AO203" s="24">
        <v>0.003414351851851852</v>
      </c>
      <c r="AP203" s="7" t="s">
        <v>633</v>
      </c>
      <c r="AQ203" s="7" t="s">
        <v>633</v>
      </c>
      <c r="AR203" s="7" t="s">
        <v>633</v>
      </c>
      <c r="AS203" s="7" t="b">
        <f>NOT(ISERROR(MATCH(A203,'Villages according to موسوعة ال'!C:C,0)))</f>
        <v>1</v>
      </c>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row>
    <row r="204">
      <c r="A204" s="7" t="s">
        <v>159</v>
      </c>
      <c r="B204" s="43" t="s">
        <v>160</v>
      </c>
      <c r="E204" s="25"/>
      <c r="F204" s="25"/>
      <c r="G204" s="28" t="s">
        <v>1545</v>
      </c>
      <c r="H204" s="3" t="s">
        <v>1590</v>
      </c>
      <c r="I204" s="7" t="s">
        <v>616</v>
      </c>
      <c r="J204" s="7" t="s">
        <v>1591</v>
      </c>
      <c r="K204" s="47"/>
      <c r="L204" s="47"/>
      <c r="M204" s="48" t="b">
        <v>0</v>
      </c>
      <c r="N204" s="48" t="b">
        <v>0</v>
      </c>
      <c r="O204" s="48"/>
      <c r="P204" s="48" t="b">
        <v>0</v>
      </c>
      <c r="Q204" s="48" t="b">
        <v>0</v>
      </c>
      <c r="R204" s="48" t="b">
        <v>0</v>
      </c>
      <c r="S204" s="48"/>
      <c r="T204" s="60"/>
      <c r="U204" s="48" t="b">
        <v>0</v>
      </c>
      <c r="V204" s="48"/>
      <c r="W204" s="48" t="b">
        <v>0</v>
      </c>
      <c r="X204" s="48" t="b">
        <v>0</v>
      </c>
      <c r="Y204" s="48"/>
      <c r="Z204" s="48"/>
      <c r="AA204" s="48"/>
      <c r="AB204" s="48"/>
      <c r="AC204" s="49"/>
      <c r="AD204" s="48"/>
      <c r="AE204" s="48"/>
      <c r="AF204" s="48"/>
      <c r="AG204" s="48"/>
      <c r="AH204" s="48"/>
      <c r="AI204" s="48"/>
      <c r="AJ204" s="25"/>
      <c r="AK204" s="34" t="s">
        <v>698</v>
      </c>
      <c r="AL204" s="3" t="s">
        <v>699</v>
      </c>
      <c r="AM204" s="3" t="s">
        <v>831</v>
      </c>
      <c r="AN204" s="35" t="s">
        <v>1592</v>
      </c>
      <c r="AO204" s="24">
        <v>0.003946759259259259</v>
      </c>
      <c r="AP204" s="3" t="s">
        <v>1576</v>
      </c>
      <c r="AQ204" s="3" t="s">
        <v>1593</v>
      </c>
      <c r="AR204" s="35" t="s">
        <v>1594</v>
      </c>
      <c r="AS204" s="7" t="b">
        <f>NOT(ISERROR(MATCH(A204,'Villages according to موسوعة ال'!C:C,0)))</f>
        <v>1</v>
      </c>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row>
    <row r="205">
      <c r="A205" s="7" t="s">
        <v>159</v>
      </c>
      <c r="B205" s="43" t="s">
        <v>160</v>
      </c>
      <c r="E205" s="25"/>
      <c r="F205" s="25"/>
      <c r="G205" s="84"/>
      <c r="K205" s="54" t="s">
        <v>1595</v>
      </c>
      <c r="L205" s="30" t="s">
        <v>1596</v>
      </c>
      <c r="M205" s="32" t="b">
        <v>0</v>
      </c>
      <c r="N205" s="32" t="b">
        <v>0</v>
      </c>
      <c r="O205" s="32"/>
      <c r="P205" s="32" t="b">
        <v>0</v>
      </c>
      <c r="Q205" s="32" t="b">
        <v>0</v>
      </c>
      <c r="R205" s="32" t="b">
        <v>0</v>
      </c>
      <c r="S205" s="32"/>
      <c r="T205" s="32"/>
      <c r="U205" s="32" t="b">
        <v>0</v>
      </c>
      <c r="V205" s="32"/>
      <c r="W205" s="32" t="b">
        <v>0</v>
      </c>
      <c r="X205" s="32" t="b">
        <v>0</v>
      </c>
      <c r="Y205" s="32"/>
      <c r="Z205" s="32"/>
      <c r="AA205" s="32"/>
      <c r="AB205" s="32"/>
      <c r="AC205" s="33"/>
      <c r="AD205" s="32"/>
      <c r="AE205" s="32"/>
      <c r="AF205" s="32"/>
      <c r="AG205" s="32"/>
      <c r="AH205" s="32"/>
      <c r="AI205" s="32"/>
      <c r="AJ205" s="25"/>
      <c r="AK205" s="34" t="s">
        <v>631</v>
      </c>
      <c r="AL205" s="25"/>
      <c r="AM205" s="25"/>
      <c r="AN205" s="35" t="s">
        <v>1597</v>
      </c>
      <c r="AO205" s="24">
        <v>0.0016203703703703703</v>
      </c>
      <c r="AP205" s="7" t="s">
        <v>633</v>
      </c>
      <c r="AQ205" s="7" t="s">
        <v>633</v>
      </c>
      <c r="AR205" s="7" t="s">
        <v>633</v>
      </c>
      <c r="AS205" s="7" t="b">
        <f>NOT(ISERROR(MATCH(A205,'Villages according to موسوعة ال'!C:C,0)))</f>
        <v>1</v>
      </c>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row>
    <row r="206">
      <c r="A206" s="7" t="s">
        <v>159</v>
      </c>
      <c r="B206" s="26" t="s">
        <v>160</v>
      </c>
      <c r="E206" s="25"/>
      <c r="F206" s="25"/>
      <c r="G206" s="84"/>
      <c r="K206" s="47"/>
      <c r="L206" s="47"/>
      <c r="M206" s="48" t="b">
        <v>0</v>
      </c>
      <c r="N206" s="48" t="b">
        <v>0</v>
      </c>
      <c r="O206" s="48"/>
      <c r="P206" s="48" t="b">
        <v>0</v>
      </c>
      <c r="Q206" s="48" t="b">
        <v>0</v>
      </c>
      <c r="R206" s="48" t="b">
        <v>0</v>
      </c>
      <c r="S206" s="48"/>
      <c r="T206" s="32"/>
      <c r="U206" s="48" t="b">
        <v>0</v>
      </c>
      <c r="V206" s="48"/>
      <c r="W206" s="48" t="b">
        <v>0</v>
      </c>
      <c r="X206" s="48" t="b">
        <v>0</v>
      </c>
      <c r="Y206" s="48"/>
      <c r="Z206" s="48"/>
      <c r="AA206" s="48"/>
      <c r="AB206" s="48"/>
      <c r="AC206" s="49"/>
      <c r="AD206" s="48"/>
      <c r="AE206" s="48"/>
      <c r="AF206" s="48"/>
      <c r="AG206" s="48"/>
      <c r="AH206" s="48"/>
      <c r="AI206" s="48"/>
      <c r="AJ206" s="25"/>
      <c r="AK206" s="34" t="s">
        <v>636</v>
      </c>
      <c r="AL206" s="25"/>
      <c r="AM206" s="25"/>
      <c r="AN206" s="35" t="s">
        <v>1598</v>
      </c>
      <c r="AO206" s="24">
        <v>0.006377314814814815</v>
      </c>
      <c r="AP206" s="7" t="s">
        <v>633</v>
      </c>
      <c r="AQ206" s="7" t="s">
        <v>633</v>
      </c>
      <c r="AR206" s="7" t="s">
        <v>633</v>
      </c>
      <c r="AS206" s="7" t="b">
        <f>NOT(ISERROR(MATCH(A206,'Villages according to موسوعة ال'!C:C,0)))</f>
        <v>1</v>
      </c>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row>
    <row r="207">
      <c r="A207" s="7" t="s">
        <v>159</v>
      </c>
      <c r="B207" s="43" t="s">
        <v>160</v>
      </c>
      <c r="E207" s="25"/>
      <c r="F207" s="25"/>
      <c r="G207" s="84"/>
      <c r="H207" s="3" t="s">
        <v>1599</v>
      </c>
      <c r="I207" s="7" t="s">
        <v>638</v>
      </c>
      <c r="J207" s="7" t="s">
        <v>1600</v>
      </c>
      <c r="K207" s="47"/>
      <c r="L207" s="47"/>
      <c r="M207" s="48" t="b">
        <v>0</v>
      </c>
      <c r="N207" s="48" t="b">
        <v>0</v>
      </c>
      <c r="O207" s="48"/>
      <c r="P207" s="48" t="b">
        <v>0</v>
      </c>
      <c r="Q207" s="48" t="b">
        <v>0</v>
      </c>
      <c r="R207" s="48" t="b">
        <v>0</v>
      </c>
      <c r="S207" s="48"/>
      <c r="T207" s="32"/>
      <c r="U207" s="48" t="b">
        <v>0</v>
      </c>
      <c r="V207" s="48"/>
      <c r="W207" s="48" t="b">
        <v>0</v>
      </c>
      <c r="X207" s="48" t="b">
        <v>0</v>
      </c>
      <c r="Y207" s="48"/>
      <c r="Z207" s="48"/>
      <c r="AA207" s="48"/>
      <c r="AB207" s="48"/>
      <c r="AC207" s="49"/>
      <c r="AD207" s="48"/>
      <c r="AE207" s="48"/>
      <c r="AF207" s="48"/>
      <c r="AG207" s="48"/>
      <c r="AH207" s="48"/>
      <c r="AI207" s="48"/>
      <c r="AJ207" s="3" t="s">
        <v>1601</v>
      </c>
      <c r="AK207" s="34" t="s">
        <v>631</v>
      </c>
      <c r="AL207" s="25"/>
      <c r="AM207" s="25"/>
      <c r="AN207" s="35" t="s">
        <v>1602</v>
      </c>
      <c r="AO207" s="24">
        <v>0.0024189814814814816</v>
      </c>
      <c r="AP207" s="7" t="s">
        <v>633</v>
      </c>
      <c r="AQ207" s="7" t="s">
        <v>633</v>
      </c>
      <c r="AR207" s="7" t="s">
        <v>633</v>
      </c>
      <c r="AS207" s="7" t="b">
        <f>NOT(ISERROR(MATCH(A207,'Villages according to موسوعة ال'!C:C,0)))</f>
        <v>1</v>
      </c>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row>
    <row r="208">
      <c r="A208" s="7" t="s">
        <v>159</v>
      </c>
      <c r="B208" s="43" t="s">
        <v>160</v>
      </c>
      <c r="E208" s="25"/>
      <c r="F208" s="25"/>
      <c r="G208" s="84"/>
      <c r="H208" s="3" t="s">
        <v>1603</v>
      </c>
      <c r="I208" s="7" t="s">
        <v>638</v>
      </c>
      <c r="J208" s="7" t="s">
        <v>1604</v>
      </c>
      <c r="K208" s="47"/>
      <c r="L208" s="47"/>
      <c r="M208" s="48" t="b">
        <v>0</v>
      </c>
      <c r="N208" s="48" t="b">
        <v>0</v>
      </c>
      <c r="O208" s="48"/>
      <c r="P208" s="48" t="b">
        <v>0</v>
      </c>
      <c r="Q208" s="48" t="b">
        <v>0</v>
      </c>
      <c r="R208" s="48" t="b">
        <v>0</v>
      </c>
      <c r="S208" s="48"/>
      <c r="T208" s="60"/>
      <c r="U208" s="48" t="b">
        <v>0</v>
      </c>
      <c r="V208" s="48"/>
      <c r="W208" s="48" t="b">
        <v>0</v>
      </c>
      <c r="X208" s="48" t="b">
        <v>0</v>
      </c>
      <c r="Y208" s="48"/>
      <c r="Z208" s="48"/>
      <c r="AA208" s="48"/>
      <c r="AB208" s="48"/>
      <c r="AC208" s="49"/>
      <c r="AD208" s="48"/>
      <c r="AE208" s="48"/>
      <c r="AF208" s="48"/>
      <c r="AG208" s="48"/>
      <c r="AH208" s="48"/>
      <c r="AI208" s="48"/>
      <c r="AJ208" s="25"/>
      <c r="AK208" s="34" t="s">
        <v>698</v>
      </c>
      <c r="AL208" s="3" t="s">
        <v>699</v>
      </c>
      <c r="AM208" s="3" t="s">
        <v>831</v>
      </c>
      <c r="AN208" s="35" t="s">
        <v>1605</v>
      </c>
      <c r="AO208" s="24">
        <v>0.0022569444444444442</v>
      </c>
      <c r="AP208" s="3" t="s">
        <v>1576</v>
      </c>
      <c r="AQ208" s="3" t="s">
        <v>1606</v>
      </c>
      <c r="AR208" s="35" t="s">
        <v>1607</v>
      </c>
      <c r="AS208" s="7" t="b">
        <f>NOT(ISERROR(MATCH(A208,'Villages according to موسوعة ال'!C:C,0)))</f>
        <v>1</v>
      </c>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row>
    <row r="209">
      <c r="A209" s="7" t="s">
        <v>159</v>
      </c>
      <c r="B209" s="26" t="s">
        <v>160</v>
      </c>
      <c r="E209" s="25"/>
      <c r="F209" s="25"/>
      <c r="G209" s="84"/>
      <c r="H209" s="7" t="s">
        <v>633</v>
      </c>
      <c r="I209" s="7" t="s">
        <v>638</v>
      </c>
      <c r="J209" s="7" t="s">
        <v>1608</v>
      </c>
      <c r="K209" s="47"/>
      <c r="L209" s="47"/>
      <c r="M209" s="48" t="b">
        <v>0</v>
      </c>
      <c r="N209" s="48" t="b">
        <v>0</v>
      </c>
      <c r="O209" s="48"/>
      <c r="P209" s="48" t="b">
        <v>0</v>
      </c>
      <c r="Q209" s="48" t="b">
        <v>0</v>
      </c>
      <c r="R209" s="48" t="b">
        <v>0</v>
      </c>
      <c r="S209" s="48"/>
      <c r="T209" s="32"/>
      <c r="U209" s="48" t="b">
        <v>0</v>
      </c>
      <c r="V209" s="48"/>
      <c r="W209" s="48" t="b">
        <v>0</v>
      </c>
      <c r="X209" s="48" t="b">
        <v>0</v>
      </c>
      <c r="Y209" s="48"/>
      <c r="Z209" s="48"/>
      <c r="AA209" s="48"/>
      <c r="AB209" s="48"/>
      <c r="AC209" s="49"/>
      <c r="AD209" s="48"/>
      <c r="AE209" s="48"/>
      <c r="AF209" s="48"/>
      <c r="AG209" s="48"/>
      <c r="AH209" s="48"/>
      <c r="AI209" s="48"/>
      <c r="AJ209" s="25"/>
      <c r="AK209" s="34" t="s">
        <v>636</v>
      </c>
      <c r="AL209" s="25"/>
      <c r="AM209" s="25"/>
      <c r="AN209" s="35" t="s">
        <v>1609</v>
      </c>
      <c r="AO209" s="24">
        <v>8.680555555555555E-4</v>
      </c>
      <c r="AP209" s="7" t="s">
        <v>633</v>
      </c>
      <c r="AQ209" s="7" t="s">
        <v>633</v>
      </c>
      <c r="AR209" s="7" t="s">
        <v>633</v>
      </c>
      <c r="AS209" s="7" t="b">
        <f>NOT(ISERROR(MATCH(A209,'Villages according to موسوعة ال'!C:C,0)))</f>
        <v>1</v>
      </c>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row>
    <row r="210">
      <c r="A210" s="7" t="s">
        <v>132</v>
      </c>
      <c r="B210" s="26" t="s">
        <v>133</v>
      </c>
      <c r="C210" s="7" t="s">
        <v>133</v>
      </c>
      <c r="D210" s="7" t="s">
        <v>134</v>
      </c>
      <c r="E210" s="25"/>
      <c r="F210" s="25"/>
      <c r="G210" s="84"/>
      <c r="H210" s="3" t="s">
        <v>1610</v>
      </c>
      <c r="I210" s="7" t="s">
        <v>616</v>
      </c>
      <c r="J210" s="7" t="s">
        <v>1611</v>
      </c>
      <c r="K210" s="54" t="s">
        <v>1612</v>
      </c>
      <c r="L210" s="30" t="s">
        <v>1613</v>
      </c>
      <c r="M210" s="32" t="b">
        <v>0</v>
      </c>
      <c r="N210" s="32" t="b">
        <v>0</v>
      </c>
      <c r="O210" s="32"/>
      <c r="P210" s="32" t="b">
        <v>0</v>
      </c>
      <c r="Q210" s="32" t="b">
        <v>0</v>
      </c>
      <c r="R210" s="32" t="b">
        <v>0</v>
      </c>
      <c r="S210" s="32"/>
      <c r="T210" s="32"/>
      <c r="U210" s="32" t="b">
        <v>0</v>
      </c>
      <c r="V210" s="32"/>
      <c r="W210" s="32" t="b">
        <v>0</v>
      </c>
      <c r="X210" s="32" t="b">
        <v>0</v>
      </c>
      <c r="Y210" s="32"/>
      <c r="Z210" s="32"/>
      <c r="AA210" s="32"/>
      <c r="AB210" s="32"/>
      <c r="AC210" s="33"/>
      <c r="AD210" s="32"/>
      <c r="AE210" s="32"/>
      <c r="AF210" s="32"/>
      <c r="AG210" s="32"/>
      <c r="AH210" s="32"/>
      <c r="AI210" s="32"/>
      <c r="AJ210" s="7"/>
      <c r="AK210" s="34" t="s">
        <v>636</v>
      </c>
      <c r="AL210" s="25"/>
      <c r="AM210" s="25"/>
      <c r="AN210" s="35" t="s">
        <v>1614</v>
      </c>
      <c r="AO210" s="24">
        <v>0.0013541666666666667</v>
      </c>
      <c r="AP210" s="7" t="s">
        <v>633</v>
      </c>
      <c r="AQ210" s="7" t="s">
        <v>633</v>
      </c>
      <c r="AR210" s="7" t="s">
        <v>633</v>
      </c>
      <c r="AS210" s="7" t="b">
        <f>NOT(ISERROR(MATCH(A210,'Villages according to موسوعة ال'!C:C,0)))</f>
        <v>1</v>
      </c>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row>
    <row r="211">
      <c r="A211" s="7" t="s">
        <v>132</v>
      </c>
      <c r="B211" s="43" t="s">
        <v>133</v>
      </c>
      <c r="E211" s="25"/>
      <c r="F211" s="25"/>
      <c r="G211" s="28" t="s">
        <v>1545</v>
      </c>
      <c r="H211" s="3" t="s">
        <v>1615</v>
      </c>
      <c r="I211" s="7" t="s">
        <v>616</v>
      </c>
      <c r="J211" s="7" t="s">
        <v>1616</v>
      </c>
      <c r="K211" s="54" t="s">
        <v>1617</v>
      </c>
      <c r="L211" s="30" t="s">
        <v>1618</v>
      </c>
      <c r="M211" s="60" t="b">
        <v>0</v>
      </c>
      <c r="N211" s="60" t="b">
        <v>0</v>
      </c>
      <c r="O211" s="60"/>
      <c r="P211" s="60" t="b">
        <v>0</v>
      </c>
      <c r="Q211" s="60" t="b">
        <v>0</v>
      </c>
      <c r="R211" s="60" t="b">
        <v>0</v>
      </c>
      <c r="S211" s="60"/>
      <c r="T211" s="60"/>
      <c r="U211" s="60" t="b">
        <v>0</v>
      </c>
      <c r="V211" s="60"/>
      <c r="W211" s="60" t="b">
        <v>0</v>
      </c>
      <c r="X211" s="60" t="b">
        <v>0</v>
      </c>
      <c r="Y211" s="60"/>
      <c r="Z211" s="60"/>
      <c r="AA211" s="60"/>
      <c r="AB211" s="60"/>
      <c r="AC211" s="61"/>
      <c r="AD211" s="60"/>
      <c r="AE211" s="60"/>
      <c r="AF211" s="60"/>
      <c r="AG211" s="60"/>
      <c r="AH211" s="60"/>
      <c r="AI211" s="60"/>
      <c r="AJ211" s="7"/>
      <c r="AK211" s="34" t="s">
        <v>698</v>
      </c>
      <c r="AL211" s="3" t="s">
        <v>699</v>
      </c>
      <c r="AM211" s="3" t="s">
        <v>831</v>
      </c>
      <c r="AN211" s="35" t="s">
        <v>1619</v>
      </c>
      <c r="AO211" s="24">
        <v>4.861111111111111E-4</v>
      </c>
      <c r="AP211" s="3" t="s">
        <v>1620</v>
      </c>
      <c r="AQ211" s="3" t="s">
        <v>1621</v>
      </c>
      <c r="AR211" s="35" t="s">
        <v>1622</v>
      </c>
      <c r="AS211" s="7" t="b">
        <f>NOT(ISERROR(MATCH(A211,'Villages according to موسوعة ال'!C:C,0)))</f>
        <v>1</v>
      </c>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row>
    <row r="212">
      <c r="A212" s="7" t="s">
        <v>132</v>
      </c>
      <c r="B212" s="26" t="s">
        <v>133</v>
      </c>
      <c r="E212" s="25"/>
      <c r="F212" s="25"/>
      <c r="G212" s="84"/>
      <c r="H212" s="3" t="s">
        <v>1623</v>
      </c>
      <c r="I212" s="7" t="s">
        <v>616</v>
      </c>
      <c r="J212" s="7" t="s">
        <v>1624</v>
      </c>
      <c r="K212" s="54" t="s">
        <v>1625</v>
      </c>
      <c r="L212" s="54" t="s">
        <v>1626</v>
      </c>
      <c r="M212" s="31" t="b">
        <v>0</v>
      </c>
      <c r="N212" s="31" t="b">
        <v>0</v>
      </c>
      <c r="O212" s="31"/>
      <c r="P212" s="31" t="b">
        <v>0</v>
      </c>
      <c r="Q212" s="31" t="b">
        <v>0</v>
      </c>
      <c r="R212" s="31" t="b">
        <v>0</v>
      </c>
      <c r="S212" s="31"/>
      <c r="T212" s="32"/>
      <c r="U212" s="31" t="b">
        <v>0</v>
      </c>
      <c r="V212" s="31"/>
      <c r="W212" s="31" t="b">
        <v>0</v>
      </c>
      <c r="X212" s="31" t="b">
        <v>0</v>
      </c>
      <c r="Y212" s="31"/>
      <c r="Z212" s="31"/>
      <c r="AA212" s="31"/>
      <c r="AB212" s="31"/>
      <c r="AC212" s="45"/>
      <c r="AD212" s="31"/>
      <c r="AE212" s="31"/>
      <c r="AF212" s="31"/>
      <c r="AG212" s="31"/>
      <c r="AH212" s="31"/>
      <c r="AI212" s="31"/>
      <c r="AJ212" s="3"/>
      <c r="AK212" s="34" t="s">
        <v>666</v>
      </c>
      <c r="AL212" s="25"/>
      <c r="AM212" s="25"/>
      <c r="AN212" s="35" t="s">
        <v>1627</v>
      </c>
      <c r="AO212" s="24">
        <v>2.662037037037037E-4</v>
      </c>
      <c r="AP212" s="7" t="s">
        <v>633</v>
      </c>
      <c r="AQ212" s="7" t="s">
        <v>633</v>
      </c>
      <c r="AR212" s="7" t="s">
        <v>633</v>
      </c>
      <c r="AS212" s="7" t="b">
        <f>NOT(ISERROR(MATCH(A212,'Villages according to موسوعة ال'!C:C,0)))</f>
        <v>1</v>
      </c>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row>
    <row r="213">
      <c r="A213" s="7" t="s">
        <v>506</v>
      </c>
      <c r="B213" s="26" t="s">
        <v>507</v>
      </c>
      <c r="C213" s="7" t="s">
        <v>507</v>
      </c>
      <c r="D213" s="7" t="s">
        <v>508</v>
      </c>
      <c r="E213" s="25"/>
      <c r="F213" s="25"/>
      <c r="G213" s="84"/>
      <c r="H213" s="7" t="s">
        <v>633</v>
      </c>
      <c r="I213" s="7" t="s">
        <v>616</v>
      </c>
      <c r="J213" s="7" t="s">
        <v>1628</v>
      </c>
      <c r="K213" s="47"/>
      <c r="L213" s="47"/>
      <c r="M213" s="48" t="b">
        <v>0</v>
      </c>
      <c r="N213" s="48" t="b">
        <v>0</v>
      </c>
      <c r="O213" s="48"/>
      <c r="P213" s="48" t="b">
        <v>0</v>
      </c>
      <c r="Q213" s="48" t="b">
        <v>0</v>
      </c>
      <c r="R213" s="48" t="b">
        <v>0</v>
      </c>
      <c r="S213" s="48"/>
      <c r="T213" s="32"/>
      <c r="U213" s="48" t="b">
        <v>0</v>
      </c>
      <c r="V213" s="48"/>
      <c r="W213" s="48" t="b">
        <v>0</v>
      </c>
      <c r="X213" s="48" t="b">
        <v>0</v>
      </c>
      <c r="Y213" s="48"/>
      <c r="Z213" s="48"/>
      <c r="AA213" s="48"/>
      <c r="AB213" s="48"/>
      <c r="AC213" s="49"/>
      <c r="AD213" s="48"/>
      <c r="AE213" s="48"/>
      <c r="AF213" s="48"/>
      <c r="AG213" s="48"/>
      <c r="AH213" s="48"/>
      <c r="AI213" s="48"/>
      <c r="AJ213" s="25"/>
      <c r="AK213" s="34" t="s">
        <v>636</v>
      </c>
      <c r="AL213" s="25"/>
      <c r="AM213" s="25"/>
      <c r="AN213" s="35" t="s">
        <v>1629</v>
      </c>
      <c r="AO213" s="24">
        <v>0.0026157407407407405</v>
      </c>
      <c r="AP213" s="7" t="s">
        <v>633</v>
      </c>
      <c r="AQ213" s="7" t="s">
        <v>633</v>
      </c>
      <c r="AR213" s="7" t="s">
        <v>633</v>
      </c>
      <c r="AS213" s="7" t="b">
        <f>NOT(ISERROR(MATCH(A213,'Villages according to موسوعة ال'!C:C,0)))</f>
        <v>1</v>
      </c>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row>
    <row r="214">
      <c r="A214" s="7" t="s">
        <v>506</v>
      </c>
      <c r="B214" s="43" t="s">
        <v>507</v>
      </c>
      <c r="E214" s="25"/>
      <c r="F214" s="25"/>
      <c r="G214" s="84"/>
      <c r="H214" s="3" t="s">
        <v>1630</v>
      </c>
      <c r="I214" s="7" t="s">
        <v>616</v>
      </c>
      <c r="J214" s="7" t="s">
        <v>1631</v>
      </c>
      <c r="K214" s="47"/>
      <c r="L214" s="47"/>
      <c r="M214" s="48" t="b">
        <v>0</v>
      </c>
      <c r="N214" s="48" t="b">
        <v>0</v>
      </c>
      <c r="O214" s="48"/>
      <c r="P214" s="48" t="b">
        <v>0</v>
      </c>
      <c r="Q214" s="48" t="b">
        <v>0</v>
      </c>
      <c r="R214" s="48" t="b">
        <v>0</v>
      </c>
      <c r="S214" s="48"/>
      <c r="T214" s="32"/>
      <c r="U214" s="48" t="b">
        <v>0</v>
      </c>
      <c r="V214" s="48"/>
      <c r="W214" s="48" t="b">
        <v>0</v>
      </c>
      <c r="X214" s="48" t="b">
        <v>0</v>
      </c>
      <c r="Y214" s="48"/>
      <c r="Z214" s="48"/>
      <c r="AA214" s="48"/>
      <c r="AB214" s="48"/>
      <c r="AC214" s="49"/>
      <c r="AD214" s="48"/>
      <c r="AE214" s="48"/>
      <c r="AF214" s="48"/>
      <c r="AG214" s="48"/>
      <c r="AH214" s="48"/>
      <c r="AI214" s="48"/>
      <c r="AJ214" s="25"/>
      <c r="AK214" s="34" t="s">
        <v>631</v>
      </c>
      <c r="AL214" s="25"/>
      <c r="AM214" s="25"/>
      <c r="AN214" s="35" t="s">
        <v>1632</v>
      </c>
      <c r="AO214" s="24">
        <v>0.00318287037037037</v>
      </c>
      <c r="AP214" s="7" t="s">
        <v>633</v>
      </c>
      <c r="AQ214" s="7" t="s">
        <v>633</v>
      </c>
      <c r="AR214" s="35" t="s">
        <v>1633</v>
      </c>
      <c r="AS214" s="7" t="b">
        <f>NOT(ISERROR(MATCH(A214,'Villages according to موسوعة ال'!C:C,0)))</f>
        <v>1</v>
      </c>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row>
    <row r="215">
      <c r="A215" s="7" t="s">
        <v>506</v>
      </c>
      <c r="B215" s="26" t="s">
        <v>507</v>
      </c>
      <c r="E215" s="25"/>
      <c r="F215" s="25"/>
      <c r="G215" s="84"/>
      <c r="K215" s="47"/>
      <c r="L215" s="47"/>
      <c r="M215" s="48" t="b">
        <v>0</v>
      </c>
      <c r="N215" s="48" t="b">
        <v>0</v>
      </c>
      <c r="O215" s="48"/>
      <c r="P215" s="48" t="b">
        <v>0</v>
      </c>
      <c r="Q215" s="48" t="b">
        <v>0</v>
      </c>
      <c r="R215" s="48" t="b">
        <v>0</v>
      </c>
      <c r="S215" s="48"/>
      <c r="T215" s="32"/>
      <c r="U215" s="48" t="b">
        <v>0</v>
      </c>
      <c r="V215" s="48"/>
      <c r="W215" s="48" t="b">
        <v>0</v>
      </c>
      <c r="X215" s="48" t="b">
        <v>0</v>
      </c>
      <c r="Y215" s="48"/>
      <c r="Z215" s="48"/>
      <c r="AA215" s="48"/>
      <c r="AB215" s="48"/>
      <c r="AC215" s="49"/>
      <c r="AD215" s="48"/>
      <c r="AE215" s="48"/>
      <c r="AF215" s="48"/>
      <c r="AG215" s="48"/>
      <c r="AH215" s="48"/>
      <c r="AI215" s="48"/>
      <c r="AJ215" s="25"/>
      <c r="AK215" s="34" t="s">
        <v>636</v>
      </c>
      <c r="AL215" s="25"/>
      <c r="AM215" s="25"/>
      <c r="AN215" s="35" t="s">
        <v>1634</v>
      </c>
      <c r="AO215" s="24">
        <v>0.0061574074074074074</v>
      </c>
      <c r="AP215" s="7" t="s">
        <v>633</v>
      </c>
      <c r="AQ215" s="7" t="s">
        <v>633</v>
      </c>
      <c r="AR215" s="7" t="s">
        <v>633</v>
      </c>
      <c r="AS215" s="7" t="b">
        <f>NOT(ISERROR(MATCH(A215,'Villages according to موسوعة ال'!C:C,0)))</f>
        <v>1</v>
      </c>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row>
    <row r="216">
      <c r="A216" s="7" t="s">
        <v>153</v>
      </c>
      <c r="B216" s="26" t="s">
        <v>154</v>
      </c>
      <c r="C216" s="7" t="s">
        <v>154</v>
      </c>
      <c r="D216" s="7" t="s">
        <v>155</v>
      </c>
      <c r="E216" s="25"/>
      <c r="F216" s="25"/>
      <c r="G216" s="84"/>
      <c r="H216" s="3" t="s">
        <v>1635</v>
      </c>
      <c r="I216" s="7" t="s">
        <v>638</v>
      </c>
      <c r="J216" s="7" t="s">
        <v>1636</v>
      </c>
      <c r="K216" s="47"/>
      <c r="L216" s="47"/>
      <c r="M216" s="48" t="b">
        <v>0</v>
      </c>
      <c r="N216" s="48" t="b">
        <v>0</v>
      </c>
      <c r="O216" s="48"/>
      <c r="P216" s="48" t="b">
        <v>0</v>
      </c>
      <c r="Q216" s="48" t="b">
        <v>0</v>
      </c>
      <c r="R216" s="48" t="b">
        <v>0</v>
      </c>
      <c r="S216" s="48"/>
      <c r="T216" s="32"/>
      <c r="U216" s="48" t="b">
        <v>0</v>
      </c>
      <c r="V216" s="48"/>
      <c r="W216" s="48" t="b">
        <v>0</v>
      </c>
      <c r="X216" s="48" t="b">
        <v>0</v>
      </c>
      <c r="Y216" s="48"/>
      <c r="Z216" s="48"/>
      <c r="AA216" s="48"/>
      <c r="AB216" s="48"/>
      <c r="AC216" s="49"/>
      <c r="AD216" s="48"/>
      <c r="AE216" s="48"/>
      <c r="AF216" s="48"/>
      <c r="AG216" s="48"/>
      <c r="AH216" s="48"/>
      <c r="AI216" s="48"/>
      <c r="AJ216" s="25"/>
      <c r="AK216" s="34" t="s">
        <v>636</v>
      </c>
      <c r="AL216" s="25"/>
      <c r="AM216" s="25"/>
      <c r="AN216" s="35" t="s">
        <v>1637</v>
      </c>
      <c r="AO216" s="24">
        <v>0.00837962962962963</v>
      </c>
      <c r="AP216" s="7" t="s">
        <v>633</v>
      </c>
      <c r="AQ216" s="7" t="s">
        <v>633</v>
      </c>
      <c r="AR216" s="7" t="s">
        <v>633</v>
      </c>
      <c r="AS216" s="7" t="b">
        <f>NOT(ISERROR(MATCH(A216,'Villages according to موسوعة ال'!C:C,0)))</f>
        <v>1</v>
      </c>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row>
    <row r="217">
      <c r="A217" s="7" t="s">
        <v>153</v>
      </c>
      <c r="B217" s="26" t="s">
        <v>154</v>
      </c>
      <c r="E217" s="25"/>
      <c r="F217" s="25"/>
      <c r="G217" s="84"/>
      <c r="H217" s="3" t="s">
        <v>1638</v>
      </c>
      <c r="I217" s="7" t="s">
        <v>616</v>
      </c>
      <c r="J217" s="7" t="s">
        <v>1639</v>
      </c>
      <c r="K217" s="47"/>
      <c r="L217" s="47"/>
      <c r="M217" s="48" t="b">
        <v>0</v>
      </c>
      <c r="N217" s="48" t="b">
        <v>0</v>
      </c>
      <c r="O217" s="48"/>
      <c r="P217" s="48" t="b">
        <v>0</v>
      </c>
      <c r="Q217" s="48" t="b">
        <v>0</v>
      </c>
      <c r="R217" s="48" t="b">
        <v>0</v>
      </c>
      <c r="S217" s="48"/>
      <c r="T217" s="32"/>
      <c r="U217" s="48" t="b">
        <v>0</v>
      </c>
      <c r="V217" s="48"/>
      <c r="W217" s="48" t="b">
        <v>0</v>
      </c>
      <c r="X217" s="48" t="b">
        <v>0</v>
      </c>
      <c r="Y217" s="48"/>
      <c r="Z217" s="48"/>
      <c r="AA217" s="48"/>
      <c r="AB217" s="48"/>
      <c r="AC217" s="49"/>
      <c r="AD217" s="48"/>
      <c r="AE217" s="48"/>
      <c r="AF217" s="48"/>
      <c r="AG217" s="48"/>
      <c r="AH217" s="48"/>
      <c r="AI217" s="48"/>
      <c r="AJ217" s="3" t="s">
        <v>1640</v>
      </c>
      <c r="AK217" s="34" t="s">
        <v>636</v>
      </c>
      <c r="AL217" s="25"/>
      <c r="AM217" s="25"/>
      <c r="AN217" s="35" t="s">
        <v>1641</v>
      </c>
      <c r="AO217" s="24">
        <v>0.0027083333333333334</v>
      </c>
      <c r="AP217" s="7" t="s">
        <v>633</v>
      </c>
      <c r="AQ217" s="7" t="s">
        <v>633</v>
      </c>
      <c r="AR217" s="7" t="s">
        <v>633</v>
      </c>
      <c r="AS217" s="7" t="b">
        <f>NOT(ISERROR(MATCH(A217,'Villages according to موسوعة ال'!C:C,0)))</f>
        <v>1</v>
      </c>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row>
    <row r="218">
      <c r="A218" s="7" t="s">
        <v>153</v>
      </c>
      <c r="B218" s="26" t="s">
        <v>154</v>
      </c>
      <c r="E218" s="25"/>
      <c r="F218" s="25"/>
      <c r="G218" s="84"/>
      <c r="K218" s="47"/>
      <c r="L218" s="54" t="s">
        <v>1642</v>
      </c>
      <c r="M218" s="31" t="b">
        <v>0</v>
      </c>
      <c r="N218" s="31" t="b">
        <v>0</v>
      </c>
      <c r="O218" s="31"/>
      <c r="P218" s="31" t="b">
        <v>0</v>
      </c>
      <c r="Q218" s="31" t="b">
        <v>0</v>
      </c>
      <c r="R218" s="31" t="b">
        <v>0</v>
      </c>
      <c r="S218" s="31"/>
      <c r="T218" s="32"/>
      <c r="U218" s="31" t="b">
        <v>0</v>
      </c>
      <c r="V218" s="31"/>
      <c r="W218" s="31" t="b">
        <v>0</v>
      </c>
      <c r="X218" s="31" t="b">
        <v>0</v>
      </c>
      <c r="Y218" s="31"/>
      <c r="Z218" s="31"/>
      <c r="AA218" s="31"/>
      <c r="AB218" s="31"/>
      <c r="AC218" s="45"/>
      <c r="AD218" s="31"/>
      <c r="AE218" s="31"/>
      <c r="AF218" s="31"/>
      <c r="AG218" s="31"/>
      <c r="AH218" s="31"/>
      <c r="AI218" s="31"/>
      <c r="AJ218" s="25"/>
      <c r="AK218" s="34" t="s">
        <v>636</v>
      </c>
      <c r="AL218" s="25"/>
      <c r="AM218" s="25"/>
      <c r="AN218" s="35" t="s">
        <v>1643</v>
      </c>
      <c r="AO218" s="24">
        <v>0.0016782407407407408</v>
      </c>
      <c r="AP218" s="7" t="s">
        <v>633</v>
      </c>
      <c r="AQ218" s="7" t="s">
        <v>633</v>
      </c>
      <c r="AR218" s="7" t="s">
        <v>633</v>
      </c>
      <c r="AS218" s="7" t="b">
        <f>NOT(ISERROR(MATCH(A218,'Villages according to موسوعة ال'!C:C,0)))</f>
        <v>1</v>
      </c>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row>
    <row r="219">
      <c r="A219" s="7" t="s">
        <v>153</v>
      </c>
      <c r="B219" s="26" t="s">
        <v>154</v>
      </c>
      <c r="E219" s="25"/>
      <c r="F219" s="25"/>
      <c r="G219" s="84"/>
      <c r="K219" s="47"/>
      <c r="L219" s="47"/>
      <c r="M219" s="48" t="b">
        <v>0</v>
      </c>
      <c r="N219" s="48" t="b">
        <v>0</v>
      </c>
      <c r="O219" s="48"/>
      <c r="P219" s="48" t="b">
        <v>0</v>
      </c>
      <c r="Q219" s="48" t="b">
        <v>0</v>
      </c>
      <c r="R219" s="48" t="b">
        <v>0</v>
      </c>
      <c r="S219" s="48"/>
      <c r="T219" s="32"/>
      <c r="U219" s="48" t="b">
        <v>0</v>
      </c>
      <c r="V219" s="48"/>
      <c r="W219" s="48" t="b">
        <v>0</v>
      </c>
      <c r="X219" s="48" t="b">
        <v>0</v>
      </c>
      <c r="Y219" s="48"/>
      <c r="Z219" s="48"/>
      <c r="AA219" s="48"/>
      <c r="AB219" s="48"/>
      <c r="AC219" s="49"/>
      <c r="AD219" s="48"/>
      <c r="AE219" s="48"/>
      <c r="AF219" s="48"/>
      <c r="AG219" s="48"/>
      <c r="AH219" s="48"/>
      <c r="AI219" s="48"/>
      <c r="AJ219" s="25"/>
      <c r="AK219" s="34" t="s">
        <v>636</v>
      </c>
      <c r="AL219" s="25"/>
      <c r="AM219" s="25"/>
      <c r="AN219" s="35" t="s">
        <v>1644</v>
      </c>
      <c r="AO219" s="24">
        <v>0.0046875</v>
      </c>
      <c r="AP219" s="7" t="s">
        <v>633</v>
      </c>
      <c r="AQ219" s="7" t="s">
        <v>633</v>
      </c>
      <c r="AR219" s="7" t="s">
        <v>633</v>
      </c>
      <c r="AS219" s="7" t="b">
        <f>NOT(ISERROR(MATCH(A219,'Villages according to موسوعة ال'!C:C,0)))</f>
        <v>1</v>
      </c>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row>
    <row r="220">
      <c r="A220" s="7" t="s">
        <v>153</v>
      </c>
      <c r="B220" s="43" t="s">
        <v>154</v>
      </c>
      <c r="E220" s="25"/>
      <c r="F220" s="25"/>
      <c r="G220" s="84"/>
      <c r="H220" s="3" t="s">
        <v>1645</v>
      </c>
      <c r="I220" s="7" t="s">
        <v>616</v>
      </c>
      <c r="J220" s="7" t="s">
        <v>1646</v>
      </c>
      <c r="K220" s="47"/>
      <c r="L220" s="47"/>
      <c r="M220" s="48" t="b">
        <v>0</v>
      </c>
      <c r="N220" s="48" t="b">
        <v>0</v>
      </c>
      <c r="O220" s="48"/>
      <c r="P220" s="48" t="b">
        <v>0</v>
      </c>
      <c r="Q220" s="48" t="b">
        <v>0</v>
      </c>
      <c r="R220" s="48" t="b">
        <v>0</v>
      </c>
      <c r="S220" s="48"/>
      <c r="T220" s="32"/>
      <c r="U220" s="48" t="b">
        <v>0</v>
      </c>
      <c r="V220" s="48"/>
      <c r="W220" s="48" t="b">
        <v>0</v>
      </c>
      <c r="X220" s="48" t="b">
        <v>0</v>
      </c>
      <c r="Y220" s="48"/>
      <c r="Z220" s="48"/>
      <c r="AA220" s="48"/>
      <c r="AB220" s="48"/>
      <c r="AC220" s="49"/>
      <c r="AD220" s="48"/>
      <c r="AE220" s="48"/>
      <c r="AF220" s="48"/>
      <c r="AG220" s="48"/>
      <c r="AH220" s="48"/>
      <c r="AI220" s="48"/>
      <c r="AJ220" s="25"/>
      <c r="AK220" s="34" t="s">
        <v>631</v>
      </c>
      <c r="AL220" s="25"/>
      <c r="AM220" s="25"/>
      <c r="AN220" s="35" t="s">
        <v>1647</v>
      </c>
      <c r="AO220" s="24">
        <v>9.143518518518518E-4</v>
      </c>
      <c r="AP220" s="7" t="s">
        <v>633</v>
      </c>
      <c r="AQ220" s="7" t="s">
        <v>633</v>
      </c>
      <c r="AR220" s="7" t="s">
        <v>633</v>
      </c>
      <c r="AS220" s="7" t="b">
        <f>NOT(ISERROR(MATCH(A220,'Villages according to موسوعة ال'!C:C,0)))</f>
        <v>1</v>
      </c>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row>
    <row r="221">
      <c r="A221" s="7" t="s">
        <v>153</v>
      </c>
      <c r="B221" s="43" t="s">
        <v>154</v>
      </c>
      <c r="E221" s="25"/>
      <c r="F221" s="25"/>
      <c r="G221" s="28" t="s">
        <v>1545</v>
      </c>
      <c r="K221" s="47"/>
      <c r="L221" s="47"/>
      <c r="M221" s="48" t="b">
        <v>0</v>
      </c>
      <c r="N221" s="48" t="b">
        <v>0</v>
      </c>
      <c r="O221" s="48"/>
      <c r="P221" s="48" t="b">
        <v>0</v>
      </c>
      <c r="Q221" s="48" t="b">
        <v>0</v>
      </c>
      <c r="R221" s="48" t="b">
        <v>0</v>
      </c>
      <c r="S221" s="48"/>
      <c r="T221" s="60"/>
      <c r="U221" s="48" t="b">
        <v>0</v>
      </c>
      <c r="V221" s="48"/>
      <c r="W221" s="48" t="b">
        <v>0</v>
      </c>
      <c r="X221" s="48" t="b">
        <v>0</v>
      </c>
      <c r="Y221" s="48"/>
      <c r="Z221" s="48"/>
      <c r="AA221" s="48"/>
      <c r="AB221" s="48"/>
      <c r="AC221" s="49"/>
      <c r="AD221" s="48"/>
      <c r="AE221" s="48"/>
      <c r="AF221" s="48"/>
      <c r="AG221" s="48"/>
      <c r="AH221" s="48"/>
      <c r="AI221" s="48"/>
      <c r="AJ221" s="25"/>
      <c r="AK221" s="34" t="s">
        <v>698</v>
      </c>
      <c r="AL221" s="3" t="s">
        <v>699</v>
      </c>
      <c r="AM221" s="3" t="s">
        <v>831</v>
      </c>
      <c r="AN221" s="35" t="s">
        <v>1648</v>
      </c>
      <c r="AO221" s="24">
        <v>0.0018055555555555555</v>
      </c>
      <c r="AP221" s="3" t="s">
        <v>1576</v>
      </c>
      <c r="AQ221" s="3" t="s">
        <v>1649</v>
      </c>
      <c r="AR221" s="35" t="s">
        <v>1650</v>
      </c>
      <c r="AS221" s="7" t="b">
        <f>NOT(ISERROR(MATCH(A221,'Villages according to موسوعة ال'!C:C,0)))</f>
        <v>1</v>
      </c>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row>
    <row r="222">
      <c r="A222" s="7" t="s">
        <v>153</v>
      </c>
      <c r="B222" s="43" t="s">
        <v>154</v>
      </c>
      <c r="E222" s="25"/>
      <c r="F222" s="25"/>
      <c r="G222" s="28" t="s">
        <v>1545</v>
      </c>
      <c r="K222" s="47"/>
      <c r="L222" s="47"/>
      <c r="M222" s="48" t="b">
        <v>0</v>
      </c>
      <c r="N222" s="48" t="b">
        <v>0</v>
      </c>
      <c r="O222" s="48"/>
      <c r="P222" s="48" t="b">
        <v>0</v>
      </c>
      <c r="Q222" s="48" t="b">
        <v>0</v>
      </c>
      <c r="R222" s="48" t="b">
        <v>0</v>
      </c>
      <c r="S222" s="48"/>
      <c r="T222" s="60"/>
      <c r="U222" s="48" t="b">
        <v>0</v>
      </c>
      <c r="V222" s="48"/>
      <c r="W222" s="48" t="b">
        <v>0</v>
      </c>
      <c r="X222" s="48" t="b">
        <v>0</v>
      </c>
      <c r="Y222" s="48"/>
      <c r="Z222" s="48"/>
      <c r="AA222" s="48"/>
      <c r="AB222" s="48"/>
      <c r="AC222" s="49"/>
      <c r="AD222" s="48"/>
      <c r="AE222" s="48"/>
      <c r="AF222" s="48"/>
      <c r="AG222" s="48"/>
      <c r="AH222" s="48"/>
      <c r="AI222" s="48"/>
      <c r="AJ222" s="3" t="s">
        <v>1651</v>
      </c>
      <c r="AK222" s="34" t="s">
        <v>698</v>
      </c>
      <c r="AL222" s="3" t="s">
        <v>699</v>
      </c>
      <c r="AM222" s="3" t="s">
        <v>831</v>
      </c>
      <c r="AN222" s="35" t="s">
        <v>1652</v>
      </c>
      <c r="AO222" s="24">
        <v>0.00542824074074074</v>
      </c>
      <c r="AP222" s="3" t="s">
        <v>1576</v>
      </c>
      <c r="AQ222" s="3" t="s">
        <v>1649</v>
      </c>
      <c r="AR222" s="35" t="s">
        <v>1653</v>
      </c>
      <c r="AS222" s="7" t="b">
        <f>NOT(ISERROR(MATCH(A222,'Villages according to موسوعة ال'!C:C,0)))</f>
        <v>1</v>
      </c>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row>
    <row r="223">
      <c r="A223" s="7" t="s">
        <v>153</v>
      </c>
      <c r="B223" s="43" t="s">
        <v>154</v>
      </c>
      <c r="E223" s="25"/>
      <c r="F223" s="25"/>
      <c r="G223" s="84"/>
      <c r="K223" s="47"/>
      <c r="L223" s="47"/>
      <c r="M223" s="48" t="b">
        <v>0</v>
      </c>
      <c r="N223" s="48" t="b">
        <v>0</v>
      </c>
      <c r="O223" s="48"/>
      <c r="P223" s="48" t="b">
        <v>0</v>
      </c>
      <c r="Q223" s="48" t="b">
        <v>0</v>
      </c>
      <c r="R223" s="48" t="b">
        <v>0</v>
      </c>
      <c r="S223" s="48"/>
      <c r="T223" s="60"/>
      <c r="U223" s="48" t="b">
        <v>0</v>
      </c>
      <c r="V223" s="48"/>
      <c r="W223" s="48" t="b">
        <v>0</v>
      </c>
      <c r="X223" s="48" t="b">
        <v>0</v>
      </c>
      <c r="Y223" s="48"/>
      <c r="Z223" s="48"/>
      <c r="AA223" s="48"/>
      <c r="AB223" s="48"/>
      <c r="AC223" s="49"/>
      <c r="AD223" s="48"/>
      <c r="AE223" s="48"/>
      <c r="AF223" s="48"/>
      <c r="AG223" s="48"/>
      <c r="AH223" s="48"/>
      <c r="AI223" s="48"/>
      <c r="AJ223" s="25"/>
      <c r="AK223" s="34" t="s">
        <v>698</v>
      </c>
      <c r="AL223" s="25"/>
      <c r="AM223" s="25"/>
      <c r="AN223" s="35" t="s">
        <v>1654</v>
      </c>
      <c r="AO223" s="24">
        <v>0.005335648148148148</v>
      </c>
      <c r="AP223" s="3" t="s">
        <v>1576</v>
      </c>
      <c r="AQ223" s="3" t="s">
        <v>1649</v>
      </c>
      <c r="AR223" s="35" t="s">
        <v>1655</v>
      </c>
      <c r="AS223" s="7" t="b">
        <f>NOT(ISERROR(MATCH(A223,'Villages according to موسوعة ال'!C:C,0)))</f>
        <v>1</v>
      </c>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row>
    <row r="224">
      <c r="A224" s="7" t="s">
        <v>153</v>
      </c>
      <c r="B224" s="26" t="s">
        <v>154</v>
      </c>
      <c r="E224" s="25"/>
      <c r="F224" s="25"/>
      <c r="G224" s="84"/>
      <c r="K224" s="47"/>
      <c r="L224" s="47"/>
      <c r="M224" s="48" t="b">
        <v>0</v>
      </c>
      <c r="N224" s="48" t="b">
        <v>0</v>
      </c>
      <c r="O224" s="48"/>
      <c r="P224" s="48" t="b">
        <v>0</v>
      </c>
      <c r="Q224" s="48" t="b">
        <v>0</v>
      </c>
      <c r="R224" s="48" t="b">
        <v>0</v>
      </c>
      <c r="S224" s="48"/>
      <c r="T224" s="32"/>
      <c r="U224" s="48" t="b">
        <v>0</v>
      </c>
      <c r="V224" s="48"/>
      <c r="W224" s="48" t="b">
        <v>0</v>
      </c>
      <c r="X224" s="48" t="b">
        <v>0</v>
      </c>
      <c r="Y224" s="48"/>
      <c r="Z224" s="48"/>
      <c r="AA224" s="48"/>
      <c r="AB224" s="48"/>
      <c r="AC224" s="49"/>
      <c r="AD224" s="48"/>
      <c r="AE224" s="48"/>
      <c r="AF224" s="48"/>
      <c r="AG224" s="48"/>
      <c r="AH224" s="48"/>
      <c r="AI224" s="48"/>
      <c r="AJ224" s="25"/>
      <c r="AK224" s="34" t="s">
        <v>636</v>
      </c>
      <c r="AL224" s="25"/>
      <c r="AM224" s="25"/>
      <c r="AN224" s="35" t="s">
        <v>1656</v>
      </c>
      <c r="AO224" s="24">
        <v>5.787037037037037E-4</v>
      </c>
      <c r="AP224" s="7" t="s">
        <v>633</v>
      </c>
      <c r="AQ224" s="7" t="s">
        <v>633</v>
      </c>
      <c r="AR224" s="7" t="s">
        <v>633</v>
      </c>
      <c r="AS224" s="7" t="b">
        <f>NOT(ISERROR(MATCH(A224,'Villages according to موسوعة ال'!C:C,0)))</f>
        <v>1</v>
      </c>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row>
    <row r="225">
      <c r="A225" s="7" t="s">
        <v>153</v>
      </c>
      <c r="B225" s="26" t="s">
        <v>154</v>
      </c>
      <c r="E225" s="25"/>
      <c r="F225" s="25"/>
      <c r="G225" s="84"/>
      <c r="H225" s="3" t="s">
        <v>1657</v>
      </c>
      <c r="I225" s="7" t="s">
        <v>616</v>
      </c>
      <c r="J225" s="7" t="s">
        <v>1658</v>
      </c>
      <c r="K225" s="47"/>
      <c r="L225" s="47"/>
      <c r="M225" s="48" t="b">
        <v>0</v>
      </c>
      <c r="N225" s="48" t="b">
        <v>0</v>
      </c>
      <c r="O225" s="48"/>
      <c r="P225" s="48" t="b">
        <v>0</v>
      </c>
      <c r="Q225" s="48" t="b">
        <v>0</v>
      </c>
      <c r="R225" s="48" t="b">
        <v>0</v>
      </c>
      <c r="S225" s="48"/>
      <c r="T225" s="32"/>
      <c r="U225" s="48" t="b">
        <v>0</v>
      </c>
      <c r="V225" s="48"/>
      <c r="W225" s="48" t="b">
        <v>0</v>
      </c>
      <c r="X225" s="48" t="b">
        <v>0</v>
      </c>
      <c r="Y225" s="48"/>
      <c r="Z225" s="48"/>
      <c r="AA225" s="48"/>
      <c r="AB225" s="48"/>
      <c r="AC225" s="49"/>
      <c r="AD225" s="48"/>
      <c r="AE225" s="48"/>
      <c r="AF225" s="48"/>
      <c r="AG225" s="48"/>
      <c r="AH225" s="48"/>
      <c r="AI225" s="48"/>
      <c r="AJ225" s="25"/>
      <c r="AK225" s="50"/>
      <c r="AL225" s="25"/>
      <c r="AM225" s="25"/>
      <c r="AN225" s="35" t="s">
        <v>1659</v>
      </c>
      <c r="AO225" s="24">
        <v>0.012951388888888889</v>
      </c>
      <c r="AP225" s="7" t="s">
        <v>633</v>
      </c>
      <c r="AQ225" s="7" t="s">
        <v>633</v>
      </c>
      <c r="AR225" s="7" t="s">
        <v>633</v>
      </c>
      <c r="AS225" s="7" t="b">
        <f>NOT(ISERROR(MATCH(A225,'Villages according to موسوعة ال'!C:C,0)))</f>
        <v>1</v>
      </c>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row>
    <row r="226">
      <c r="A226" s="7" t="s">
        <v>153</v>
      </c>
      <c r="B226" s="26" t="s">
        <v>154</v>
      </c>
      <c r="E226" s="25"/>
      <c r="F226" s="25"/>
      <c r="G226" s="84"/>
      <c r="H226" s="3" t="s">
        <v>1660</v>
      </c>
      <c r="I226" s="7" t="s">
        <v>638</v>
      </c>
      <c r="J226" s="7" t="s">
        <v>1661</v>
      </c>
      <c r="K226" s="47"/>
      <c r="L226" s="47"/>
      <c r="M226" s="48" t="b">
        <v>0</v>
      </c>
      <c r="N226" s="48" t="b">
        <v>0</v>
      </c>
      <c r="O226" s="48"/>
      <c r="P226" s="48" t="b">
        <v>0</v>
      </c>
      <c r="Q226" s="48" t="b">
        <v>0</v>
      </c>
      <c r="R226" s="48" t="b">
        <v>0</v>
      </c>
      <c r="S226" s="48"/>
      <c r="T226" s="32"/>
      <c r="U226" s="48" t="b">
        <v>0</v>
      </c>
      <c r="V226" s="48"/>
      <c r="W226" s="48" t="b">
        <v>0</v>
      </c>
      <c r="X226" s="48" t="b">
        <v>0</v>
      </c>
      <c r="Y226" s="48"/>
      <c r="Z226" s="48"/>
      <c r="AA226" s="48"/>
      <c r="AB226" s="48"/>
      <c r="AC226" s="49"/>
      <c r="AD226" s="48"/>
      <c r="AE226" s="48"/>
      <c r="AF226" s="48"/>
      <c r="AG226" s="48"/>
      <c r="AH226" s="48"/>
      <c r="AI226" s="48"/>
      <c r="AJ226" s="25"/>
      <c r="AK226" s="50"/>
      <c r="AL226" s="25"/>
      <c r="AM226" s="25"/>
      <c r="AN226" s="35" t="s">
        <v>1662</v>
      </c>
      <c r="AO226" s="24">
        <v>0.0</v>
      </c>
      <c r="AP226" s="7" t="s">
        <v>633</v>
      </c>
      <c r="AQ226" s="7" t="s">
        <v>633</v>
      </c>
      <c r="AR226" s="36" t="s">
        <v>633</v>
      </c>
      <c r="AS226" s="7" t="b">
        <f>NOT(ISERROR(MATCH(A226,'Villages according to موسوعة ال'!C:C,0)))</f>
        <v>1</v>
      </c>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row>
    <row r="227">
      <c r="A227" s="7" t="s">
        <v>153</v>
      </c>
      <c r="B227" s="26" t="s">
        <v>154</v>
      </c>
      <c r="E227" s="25"/>
      <c r="F227" s="25"/>
      <c r="G227" s="84"/>
      <c r="K227" s="47"/>
      <c r="L227" s="47"/>
      <c r="M227" s="48" t="b">
        <v>0</v>
      </c>
      <c r="N227" s="48" t="b">
        <v>0</v>
      </c>
      <c r="O227" s="48"/>
      <c r="P227" s="48" t="b">
        <v>0</v>
      </c>
      <c r="Q227" s="48" t="b">
        <v>0</v>
      </c>
      <c r="R227" s="48" t="b">
        <v>0</v>
      </c>
      <c r="S227" s="48"/>
      <c r="T227" s="32"/>
      <c r="U227" s="48" t="b">
        <v>0</v>
      </c>
      <c r="V227" s="48"/>
      <c r="W227" s="48" t="b">
        <v>0</v>
      </c>
      <c r="X227" s="48" t="b">
        <v>0</v>
      </c>
      <c r="Y227" s="48"/>
      <c r="Z227" s="48"/>
      <c r="AA227" s="48"/>
      <c r="AB227" s="48"/>
      <c r="AC227" s="49"/>
      <c r="AD227" s="48"/>
      <c r="AE227" s="48"/>
      <c r="AF227" s="48"/>
      <c r="AG227" s="48"/>
      <c r="AH227" s="48"/>
      <c r="AI227" s="48"/>
      <c r="AJ227" s="25"/>
      <c r="AK227" s="50"/>
      <c r="AL227" s="25"/>
      <c r="AM227" s="25"/>
      <c r="AN227" s="35" t="s">
        <v>1663</v>
      </c>
      <c r="AO227" s="24">
        <v>0.0</v>
      </c>
      <c r="AP227" s="7" t="s">
        <v>633</v>
      </c>
      <c r="AQ227" s="7" t="s">
        <v>633</v>
      </c>
      <c r="AR227" s="7" t="s">
        <v>633</v>
      </c>
      <c r="AS227" s="7" t="b">
        <f>NOT(ISERROR(MATCH(A227,'Villages according to موسوعة ال'!C:C,0)))</f>
        <v>1</v>
      </c>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row>
    <row r="228">
      <c r="A228" s="7" t="s">
        <v>153</v>
      </c>
      <c r="B228" s="26" t="s">
        <v>154</v>
      </c>
      <c r="E228" s="25"/>
      <c r="F228" s="25"/>
      <c r="G228" s="84"/>
      <c r="K228" s="47"/>
      <c r="L228" s="47"/>
      <c r="M228" s="48" t="b">
        <v>0</v>
      </c>
      <c r="N228" s="48" t="b">
        <v>0</v>
      </c>
      <c r="O228" s="48"/>
      <c r="P228" s="48" t="b">
        <v>0</v>
      </c>
      <c r="Q228" s="48" t="b">
        <v>0</v>
      </c>
      <c r="R228" s="48" t="b">
        <v>0</v>
      </c>
      <c r="S228" s="48"/>
      <c r="T228" s="32"/>
      <c r="U228" s="48" t="b">
        <v>0</v>
      </c>
      <c r="V228" s="48"/>
      <c r="W228" s="48" t="b">
        <v>0</v>
      </c>
      <c r="X228" s="48" t="b">
        <v>0</v>
      </c>
      <c r="Y228" s="48"/>
      <c r="Z228" s="48"/>
      <c r="AA228" s="48"/>
      <c r="AB228" s="48"/>
      <c r="AC228" s="49"/>
      <c r="AD228" s="48"/>
      <c r="AE228" s="48"/>
      <c r="AF228" s="48"/>
      <c r="AG228" s="48"/>
      <c r="AH228" s="48"/>
      <c r="AI228" s="48"/>
      <c r="AJ228" s="25"/>
      <c r="AK228" s="50"/>
      <c r="AL228" s="25"/>
      <c r="AM228" s="25"/>
      <c r="AN228" s="35" t="s">
        <v>1664</v>
      </c>
      <c r="AO228" s="24">
        <v>0.0</v>
      </c>
      <c r="AP228" s="7" t="s">
        <v>633</v>
      </c>
      <c r="AQ228" s="7" t="s">
        <v>633</v>
      </c>
      <c r="AR228" s="7" t="s">
        <v>633</v>
      </c>
      <c r="AS228" s="7" t="b">
        <f>NOT(ISERROR(MATCH(A228,'Villages according to موسوعة ال'!C:C,0)))</f>
        <v>1</v>
      </c>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row>
    <row r="229">
      <c r="A229" s="7" t="s">
        <v>153</v>
      </c>
      <c r="B229" s="43" t="s">
        <v>154</v>
      </c>
      <c r="E229" s="25"/>
      <c r="F229" s="25"/>
      <c r="G229" s="84"/>
      <c r="K229" s="47"/>
      <c r="L229" s="47"/>
      <c r="M229" s="48" t="b">
        <v>0</v>
      </c>
      <c r="N229" s="48" t="b">
        <v>0</v>
      </c>
      <c r="O229" s="48"/>
      <c r="P229" s="48" t="b">
        <v>0</v>
      </c>
      <c r="Q229" s="48" t="b">
        <v>0</v>
      </c>
      <c r="R229" s="48" t="b">
        <v>0</v>
      </c>
      <c r="S229" s="48"/>
      <c r="T229" s="60"/>
      <c r="U229" s="48" t="b">
        <v>0</v>
      </c>
      <c r="V229" s="48"/>
      <c r="W229" s="48" t="b">
        <v>0</v>
      </c>
      <c r="X229" s="48" t="b">
        <v>0</v>
      </c>
      <c r="Y229" s="48"/>
      <c r="Z229" s="48"/>
      <c r="AA229" s="48"/>
      <c r="AB229" s="48"/>
      <c r="AC229" s="49"/>
      <c r="AD229" s="48"/>
      <c r="AE229" s="48"/>
      <c r="AF229" s="48"/>
      <c r="AG229" s="48"/>
      <c r="AH229" s="48"/>
      <c r="AI229" s="48"/>
      <c r="AJ229" s="25"/>
      <c r="AK229" s="34" t="s">
        <v>698</v>
      </c>
      <c r="AL229" s="25"/>
      <c r="AM229" s="25"/>
      <c r="AN229" s="35" t="s">
        <v>1665</v>
      </c>
      <c r="AO229" s="24">
        <v>0.0</v>
      </c>
      <c r="AP229" s="3" t="s">
        <v>1666</v>
      </c>
      <c r="AQ229" s="3" t="s">
        <v>1606</v>
      </c>
      <c r="AR229" s="35" t="s">
        <v>1667</v>
      </c>
      <c r="AS229" s="7" t="b">
        <f>NOT(ISERROR(MATCH(A229,'Villages according to موسوعة ال'!C:C,0)))</f>
        <v>1</v>
      </c>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row>
    <row r="230">
      <c r="A230" s="7" t="s">
        <v>153</v>
      </c>
      <c r="B230" s="26" t="s">
        <v>154</v>
      </c>
      <c r="E230" s="25"/>
      <c r="F230" s="25"/>
      <c r="G230" s="84"/>
      <c r="K230" s="47"/>
      <c r="L230" s="47"/>
      <c r="M230" s="48" t="b">
        <v>0</v>
      </c>
      <c r="N230" s="48" t="b">
        <v>0</v>
      </c>
      <c r="O230" s="48"/>
      <c r="P230" s="48" t="b">
        <v>0</v>
      </c>
      <c r="Q230" s="48" t="b">
        <v>0</v>
      </c>
      <c r="R230" s="48" t="b">
        <v>0</v>
      </c>
      <c r="S230" s="48"/>
      <c r="T230" s="32"/>
      <c r="U230" s="48" t="b">
        <v>0</v>
      </c>
      <c r="V230" s="48"/>
      <c r="W230" s="48" t="b">
        <v>0</v>
      </c>
      <c r="X230" s="48" t="b">
        <v>0</v>
      </c>
      <c r="Y230" s="48"/>
      <c r="Z230" s="48"/>
      <c r="AA230" s="48"/>
      <c r="AB230" s="48"/>
      <c r="AC230" s="49"/>
      <c r="AD230" s="48"/>
      <c r="AE230" s="48"/>
      <c r="AF230" s="48"/>
      <c r="AG230" s="48"/>
      <c r="AH230" s="48"/>
      <c r="AI230" s="48"/>
      <c r="AJ230" s="25"/>
      <c r="AK230" s="50"/>
      <c r="AL230" s="25"/>
      <c r="AM230" s="25"/>
      <c r="AN230" s="35" t="s">
        <v>1668</v>
      </c>
      <c r="AO230" s="24">
        <v>0.0</v>
      </c>
      <c r="AP230" s="7" t="s">
        <v>633</v>
      </c>
      <c r="AQ230" s="7" t="s">
        <v>633</v>
      </c>
      <c r="AR230" s="7" t="s">
        <v>633</v>
      </c>
      <c r="AS230" s="7" t="b">
        <f>NOT(ISERROR(MATCH(A230,'Villages according to موسوعة ال'!C:C,0)))</f>
        <v>1</v>
      </c>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row>
    <row r="231">
      <c r="A231" s="7" t="s">
        <v>153</v>
      </c>
      <c r="B231" s="26" t="s">
        <v>154</v>
      </c>
      <c r="E231" s="25"/>
      <c r="F231" s="25"/>
      <c r="G231" s="84"/>
      <c r="H231" s="3" t="s">
        <v>1669</v>
      </c>
      <c r="I231" s="7" t="s">
        <v>638</v>
      </c>
      <c r="J231" s="7" t="s">
        <v>1670</v>
      </c>
      <c r="K231" s="47"/>
      <c r="L231" s="47"/>
      <c r="M231" s="48" t="b">
        <v>0</v>
      </c>
      <c r="N231" s="48" t="b">
        <v>0</v>
      </c>
      <c r="O231" s="48"/>
      <c r="P231" s="48" t="b">
        <v>0</v>
      </c>
      <c r="Q231" s="48" t="b">
        <v>0</v>
      </c>
      <c r="R231" s="48" t="b">
        <v>0</v>
      </c>
      <c r="S231" s="48"/>
      <c r="T231" s="32"/>
      <c r="U231" s="48" t="b">
        <v>0</v>
      </c>
      <c r="V231" s="48"/>
      <c r="W231" s="48" t="b">
        <v>0</v>
      </c>
      <c r="X231" s="48" t="b">
        <v>0</v>
      </c>
      <c r="Y231" s="48"/>
      <c r="Z231" s="48"/>
      <c r="AA231" s="48"/>
      <c r="AB231" s="48"/>
      <c r="AC231" s="49"/>
      <c r="AD231" s="48"/>
      <c r="AE231" s="48"/>
      <c r="AF231" s="48"/>
      <c r="AG231" s="48"/>
      <c r="AH231" s="48"/>
      <c r="AI231" s="48"/>
      <c r="AJ231" s="25"/>
      <c r="AK231" s="50"/>
      <c r="AL231" s="25"/>
      <c r="AM231" s="25"/>
      <c r="AN231" s="35" t="s">
        <v>1671</v>
      </c>
      <c r="AO231" s="24">
        <v>0.0</v>
      </c>
      <c r="AP231" s="7" t="s">
        <v>633</v>
      </c>
      <c r="AQ231" s="7" t="s">
        <v>633</v>
      </c>
      <c r="AR231" s="7" t="s">
        <v>633</v>
      </c>
      <c r="AS231" s="7" t="b">
        <f>NOT(ISERROR(MATCH(A231,'Villages according to موسوعة ال'!C:C,0)))</f>
        <v>1</v>
      </c>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row>
    <row r="232">
      <c r="A232" s="7" t="s">
        <v>153</v>
      </c>
      <c r="B232" s="26" t="s">
        <v>154</v>
      </c>
      <c r="E232" s="25"/>
      <c r="F232" s="25"/>
      <c r="G232" s="84"/>
      <c r="K232" s="47"/>
      <c r="L232" s="47"/>
      <c r="M232" s="48" t="b">
        <v>0</v>
      </c>
      <c r="N232" s="48" t="b">
        <v>0</v>
      </c>
      <c r="O232" s="48"/>
      <c r="P232" s="48" t="b">
        <v>0</v>
      </c>
      <c r="Q232" s="48" t="b">
        <v>0</v>
      </c>
      <c r="R232" s="48" t="b">
        <v>0</v>
      </c>
      <c r="S232" s="48"/>
      <c r="T232" s="32"/>
      <c r="U232" s="48" t="b">
        <v>0</v>
      </c>
      <c r="V232" s="48"/>
      <c r="W232" s="48" t="b">
        <v>0</v>
      </c>
      <c r="X232" s="48" t="b">
        <v>0</v>
      </c>
      <c r="Y232" s="48"/>
      <c r="Z232" s="48"/>
      <c r="AA232" s="48"/>
      <c r="AB232" s="48"/>
      <c r="AC232" s="49"/>
      <c r="AD232" s="48"/>
      <c r="AE232" s="48"/>
      <c r="AF232" s="48"/>
      <c r="AG232" s="48"/>
      <c r="AH232" s="48"/>
      <c r="AI232" s="48"/>
      <c r="AJ232" s="25"/>
      <c r="AK232" s="50"/>
      <c r="AL232" s="25"/>
      <c r="AM232" s="25"/>
      <c r="AN232" s="35" t="s">
        <v>1672</v>
      </c>
      <c r="AO232" s="24">
        <v>0.0</v>
      </c>
      <c r="AP232" s="7" t="s">
        <v>633</v>
      </c>
      <c r="AQ232" s="7" t="s">
        <v>633</v>
      </c>
      <c r="AR232" s="7" t="s">
        <v>633</v>
      </c>
      <c r="AS232" s="7" t="b">
        <f>NOT(ISERROR(MATCH(A232,'Villages according to موسوعة ال'!C:C,0)))</f>
        <v>1</v>
      </c>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row>
    <row r="233">
      <c r="A233" s="7" t="s">
        <v>153</v>
      </c>
      <c r="B233" s="43" t="s">
        <v>154</v>
      </c>
      <c r="E233" s="25"/>
      <c r="F233" s="25"/>
      <c r="G233" s="84"/>
      <c r="K233" s="47"/>
      <c r="L233" s="47"/>
      <c r="M233" s="48" t="b">
        <v>0</v>
      </c>
      <c r="N233" s="48" t="b">
        <v>0</v>
      </c>
      <c r="O233" s="48"/>
      <c r="P233" s="48" t="b">
        <v>0</v>
      </c>
      <c r="Q233" s="48" t="b">
        <v>0</v>
      </c>
      <c r="R233" s="48" t="b">
        <v>0</v>
      </c>
      <c r="S233" s="48"/>
      <c r="T233" s="60"/>
      <c r="U233" s="48" t="b">
        <v>0</v>
      </c>
      <c r="V233" s="48"/>
      <c r="W233" s="48" t="b">
        <v>0</v>
      </c>
      <c r="X233" s="48" t="b">
        <v>0</v>
      </c>
      <c r="Y233" s="48"/>
      <c r="Z233" s="48"/>
      <c r="AA233" s="48"/>
      <c r="AB233" s="48"/>
      <c r="AC233" s="49"/>
      <c r="AD233" s="48"/>
      <c r="AE233" s="48"/>
      <c r="AF233" s="48"/>
      <c r="AG233" s="48"/>
      <c r="AH233" s="48"/>
      <c r="AI233" s="48"/>
      <c r="AJ233" s="25"/>
      <c r="AK233" s="34" t="s">
        <v>698</v>
      </c>
      <c r="AL233" s="25"/>
      <c r="AM233" s="25"/>
      <c r="AN233" s="35" t="s">
        <v>1673</v>
      </c>
      <c r="AO233" s="24">
        <v>0.0</v>
      </c>
      <c r="AP233" s="3" t="s">
        <v>1666</v>
      </c>
      <c r="AQ233" s="3" t="s">
        <v>1674</v>
      </c>
      <c r="AR233" s="35" t="s">
        <v>1675</v>
      </c>
      <c r="AS233" s="7" t="b">
        <f>NOT(ISERROR(MATCH(A233,'Villages according to موسوعة ال'!C:C,0)))</f>
        <v>1</v>
      </c>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row>
    <row r="234">
      <c r="A234" s="7" t="s">
        <v>153</v>
      </c>
      <c r="B234" s="43" t="s">
        <v>154</v>
      </c>
      <c r="E234" s="25"/>
      <c r="F234" s="25"/>
      <c r="G234" s="84"/>
      <c r="K234" s="47"/>
      <c r="L234" s="47"/>
      <c r="M234" s="48" t="b">
        <v>0</v>
      </c>
      <c r="N234" s="48" t="b">
        <v>0</v>
      </c>
      <c r="O234" s="48"/>
      <c r="P234" s="48" t="b">
        <v>0</v>
      </c>
      <c r="Q234" s="48" t="b">
        <v>0</v>
      </c>
      <c r="R234" s="48" t="b">
        <v>0</v>
      </c>
      <c r="S234" s="48"/>
      <c r="T234" s="60"/>
      <c r="U234" s="48" t="b">
        <v>0</v>
      </c>
      <c r="V234" s="48"/>
      <c r="W234" s="48" t="b">
        <v>0</v>
      </c>
      <c r="X234" s="48" t="b">
        <v>0</v>
      </c>
      <c r="Y234" s="48"/>
      <c r="Z234" s="48"/>
      <c r="AA234" s="48"/>
      <c r="AB234" s="48"/>
      <c r="AC234" s="49"/>
      <c r="AD234" s="48"/>
      <c r="AE234" s="48"/>
      <c r="AF234" s="48"/>
      <c r="AG234" s="48"/>
      <c r="AH234" s="48"/>
      <c r="AI234" s="48"/>
      <c r="AJ234" s="25"/>
      <c r="AK234" s="34" t="s">
        <v>698</v>
      </c>
      <c r="AL234" s="25"/>
      <c r="AM234" s="25"/>
      <c r="AN234" s="35" t="s">
        <v>1676</v>
      </c>
      <c r="AO234" s="24">
        <v>0.0</v>
      </c>
      <c r="AP234" s="3" t="s">
        <v>1666</v>
      </c>
      <c r="AQ234" s="3" t="s">
        <v>1674</v>
      </c>
      <c r="AR234" s="35" t="s">
        <v>1677</v>
      </c>
      <c r="AS234" s="7" t="b">
        <f>NOT(ISERROR(MATCH(A234,'Villages according to موسوعة ال'!C:C,0)))</f>
        <v>1</v>
      </c>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row>
    <row r="235">
      <c r="A235" s="7" t="s">
        <v>153</v>
      </c>
      <c r="B235" s="43" t="s">
        <v>154</v>
      </c>
      <c r="E235" s="25"/>
      <c r="F235" s="25"/>
      <c r="G235" s="84"/>
      <c r="K235" s="47"/>
      <c r="L235" s="47"/>
      <c r="M235" s="48" t="b">
        <v>0</v>
      </c>
      <c r="N235" s="48" t="b">
        <v>0</v>
      </c>
      <c r="O235" s="48"/>
      <c r="P235" s="48" t="b">
        <v>0</v>
      </c>
      <c r="Q235" s="48" t="b">
        <v>0</v>
      </c>
      <c r="R235" s="48" t="b">
        <v>0</v>
      </c>
      <c r="S235" s="48"/>
      <c r="T235" s="60"/>
      <c r="U235" s="48" t="b">
        <v>0</v>
      </c>
      <c r="V235" s="48"/>
      <c r="W235" s="48" t="b">
        <v>0</v>
      </c>
      <c r="X235" s="48" t="b">
        <v>0</v>
      </c>
      <c r="Y235" s="48"/>
      <c r="Z235" s="48"/>
      <c r="AA235" s="48"/>
      <c r="AB235" s="48"/>
      <c r="AC235" s="49"/>
      <c r="AD235" s="48"/>
      <c r="AE235" s="48"/>
      <c r="AF235" s="48"/>
      <c r="AG235" s="48"/>
      <c r="AH235" s="48"/>
      <c r="AI235" s="48"/>
      <c r="AJ235" s="25"/>
      <c r="AK235" s="34" t="s">
        <v>698</v>
      </c>
      <c r="AL235" s="25"/>
      <c r="AM235" s="25"/>
      <c r="AN235" s="35" t="s">
        <v>1678</v>
      </c>
      <c r="AO235" s="24">
        <v>0.0</v>
      </c>
      <c r="AP235" s="3" t="s">
        <v>1666</v>
      </c>
      <c r="AQ235" s="3" t="s">
        <v>1674</v>
      </c>
      <c r="AR235" s="35" t="s">
        <v>1679</v>
      </c>
      <c r="AS235" s="7" t="b">
        <f>NOT(ISERROR(MATCH(A235,'Villages according to موسوعة ال'!C:C,0)))</f>
        <v>1</v>
      </c>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row>
    <row r="236">
      <c r="A236" s="7" t="s">
        <v>153</v>
      </c>
      <c r="B236" s="26" t="s">
        <v>154</v>
      </c>
      <c r="E236" s="25"/>
      <c r="F236" s="25"/>
      <c r="G236" s="84"/>
      <c r="K236" s="47"/>
      <c r="L236" s="47"/>
      <c r="M236" s="48" t="b">
        <v>0</v>
      </c>
      <c r="N236" s="48" t="b">
        <v>0</v>
      </c>
      <c r="O236" s="48"/>
      <c r="P236" s="48" t="b">
        <v>0</v>
      </c>
      <c r="Q236" s="48" t="b">
        <v>0</v>
      </c>
      <c r="R236" s="48" t="b">
        <v>0</v>
      </c>
      <c r="S236" s="48"/>
      <c r="T236" s="32"/>
      <c r="U236" s="48" t="b">
        <v>0</v>
      </c>
      <c r="V236" s="48"/>
      <c r="W236" s="48" t="b">
        <v>0</v>
      </c>
      <c r="X236" s="48" t="b">
        <v>0</v>
      </c>
      <c r="Y236" s="48"/>
      <c r="Z236" s="48"/>
      <c r="AA236" s="48"/>
      <c r="AB236" s="48"/>
      <c r="AC236" s="49"/>
      <c r="AD236" s="48"/>
      <c r="AE236" s="48"/>
      <c r="AF236" s="48"/>
      <c r="AG236" s="48"/>
      <c r="AH236" s="48"/>
      <c r="AI236" s="48"/>
      <c r="AJ236" s="25"/>
      <c r="AK236" s="50"/>
      <c r="AL236" s="25"/>
      <c r="AM236" s="25"/>
      <c r="AN236" s="35" t="s">
        <v>1680</v>
      </c>
      <c r="AO236" s="24">
        <v>0.0</v>
      </c>
      <c r="AP236" s="7" t="s">
        <v>633</v>
      </c>
      <c r="AQ236" s="7" t="s">
        <v>633</v>
      </c>
      <c r="AR236" s="7" t="s">
        <v>633</v>
      </c>
      <c r="AS236" s="7" t="b">
        <f>NOT(ISERROR(MATCH(A236,'Villages according to موسوعة ال'!C:C,0)))</f>
        <v>1</v>
      </c>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row>
    <row r="237">
      <c r="A237" s="3" t="s">
        <v>257</v>
      </c>
      <c r="B237" s="26" t="s">
        <v>1681</v>
      </c>
      <c r="C237" s="7" t="s">
        <v>1681</v>
      </c>
      <c r="D237" s="7" t="s">
        <v>259</v>
      </c>
      <c r="E237" s="25"/>
      <c r="F237" s="25"/>
      <c r="G237" s="84"/>
      <c r="H237" s="3" t="s">
        <v>1682</v>
      </c>
      <c r="I237" s="7" t="s">
        <v>616</v>
      </c>
      <c r="J237" s="7" t="s">
        <v>1683</v>
      </c>
      <c r="K237" s="47"/>
      <c r="L237" s="54" t="s">
        <v>1684</v>
      </c>
      <c r="M237" s="31" t="b">
        <v>0</v>
      </c>
      <c r="N237" s="31" t="b">
        <v>0</v>
      </c>
      <c r="O237" s="31"/>
      <c r="P237" s="31" t="b">
        <v>0</v>
      </c>
      <c r="Q237" s="31" t="b">
        <v>0</v>
      </c>
      <c r="R237" s="31" t="b">
        <v>0</v>
      </c>
      <c r="S237" s="31"/>
      <c r="T237" s="32"/>
      <c r="U237" s="31" t="b">
        <v>0</v>
      </c>
      <c r="V237" s="31"/>
      <c r="W237" s="31" t="b">
        <v>0</v>
      </c>
      <c r="X237" s="31" t="b">
        <v>0</v>
      </c>
      <c r="Y237" s="31"/>
      <c r="Z237" s="31"/>
      <c r="AA237" s="31"/>
      <c r="AB237" s="31"/>
      <c r="AC237" s="45"/>
      <c r="AD237" s="31"/>
      <c r="AE237" s="31"/>
      <c r="AF237" s="31"/>
      <c r="AG237" s="31"/>
      <c r="AH237" s="31"/>
      <c r="AI237" s="31"/>
      <c r="AJ237" s="25"/>
      <c r="AK237" s="34" t="s">
        <v>636</v>
      </c>
      <c r="AL237" s="25"/>
      <c r="AM237" s="25"/>
      <c r="AN237" s="35" t="s">
        <v>1685</v>
      </c>
      <c r="AO237" s="24">
        <v>0.0014351851851851852</v>
      </c>
      <c r="AP237" s="7" t="s">
        <v>633</v>
      </c>
      <c r="AQ237" s="7" t="s">
        <v>633</v>
      </c>
      <c r="AR237" s="7" t="s">
        <v>633</v>
      </c>
      <c r="AS237" s="7" t="b">
        <f>NOT(ISERROR(MATCH(A237,'Villages according to موسوعة ال'!C:C,0)))</f>
        <v>1</v>
      </c>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row>
    <row r="238">
      <c r="A238" s="3" t="s">
        <v>257</v>
      </c>
      <c r="B238" s="26" t="s">
        <v>1681</v>
      </c>
      <c r="E238" s="25"/>
      <c r="F238" s="25"/>
      <c r="G238" s="84"/>
      <c r="H238" s="3" t="s">
        <v>1686</v>
      </c>
      <c r="I238" s="7" t="s">
        <v>638</v>
      </c>
      <c r="J238" s="7" t="s">
        <v>1687</v>
      </c>
      <c r="K238" s="47"/>
      <c r="L238" s="54" t="s">
        <v>1688</v>
      </c>
      <c r="M238" s="31" t="b">
        <v>0</v>
      </c>
      <c r="N238" s="31" t="b">
        <v>0</v>
      </c>
      <c r="O238" s="31"/>
      <c r="P238" s="31" t="b">
        <v>0</v>
      </c>
      <c r="Q238" s="31" t="b">
        <v>0</v>
      </c>
      <c r="R238" s="31" t="b">
        <v>0</v>
      </c>
      <c r="S238" s="31"/>
      <c r="T238" s="32"/>
      <c r="U238" s="31" t="b">
        <v>0</v>
      </c>
      <c r="V238" s="31"/>
      <c r="W238" s="31" t="b">
        <v>0</v>
      </c>
      <c r="X238" s="31" t="b">
        <v>0</v>
      </c>
      <c r="Y238" s="31"/>
      <c r="Z238" s="31"/>
      <c r="AA238" s="31"/>
      <c r="AB238" s="31"/>
      <c r="AC238" s="45"/>
      <c r="AD238" s="31"/>
      <c r="AE238" s="31"/>
      <c r="AF238" s="31"/>
      <c r="AG238" s="31"/>
      <c r="AH238" s="31"/>
      <c r="AI238" s="31"/>
      <c r="AJ238" s="25"/>
      <c r="AK238" s="34" t="s">
        <v>636</v>
      </c>
      <c r="AL238" s="25"/>
      <c r="AM238" s="25"/>
      <c r="AN238" s="35" t="s">
        <v>1689</v>
      </c>
      <c r="AO238" s="24">
        <v>0.00125</v>
      </c>
      <c r="AP238" s="7" t="s">
        <v>633</v>
      </c>
      <c r="AQ238" s="7" t="s">
        <v>633</v>
      </c>
      <c r="AR238" s="7" t="s">
        <v>633</v>
      </c>
      <c r="AS238" s="7" t="b">
        <f>NOT(ISERROR(MATCH(A238,'Villages according to موسوعة ال'!C:C,0)))</f>
        <v>1</v>
      </c>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row>
    <row r="239">
      <c r="A239" s="7" t="s">
        <v>306</v>
      </c>
      <c r="B239" s="26" t="s">
        <v>307</v>
      </c>
      <c r="C239" s="7" t="s">
        <v>307</v>
      </c>
      <c r="D239" s="7" t="s">
        <v>308</v>
      </c>
      <c r="E239" s="25"/>
      <c r="F239" s="25"/>
      <c r="G239" s="84"/>
      <c r="H239" s="3" t="s">
        <v>1690</v>
      </c>
      <c r="I239" s="7" t="s">
        <v>638</v>
      </c>
      <c r="J239" s="7" t="s">
        <v>1691</v>
      </c>
      <c r="K239" s="47"/>
      <c r="L239" s="47"/>
      <c r="M239" s="48" t="b">
        <v>0</v>
      </c>
      <c r="N239" s="48" t="b">
        <v>0</v>
      </c>
      <c r="O239" s="48"/>
      <c r="P239" s="48" t="b">
        <v>0</v>
      </c>
      <c r="Q239" s="48" t="b">
        <v>0</v>
      </c>
      <c r="R239" s="48" t="b">
        <v>0</v>
      </c>
      <c r="S239" s="48"/>
      <c r="T239" s="32"/>
      <c r="U239" s="48" t="b">
        <v>0</v>
      </c>
      <c r="V239" s="48"/>
      <c r="W239" s="48" t="b">
        <v>0</v>
      </c>
      <c r="X239" s="48" t="b">
        <v>0</v>
      </c>
      <c r="Y239" s="48"/>
      <c r="Z239" s="48"/>
      <c r="AA239" s="48"/>
      <c r="AB239" s="48"/>
      <c r="AC239" s="49"/>
      <c r="AD239" s="48"/>
      <c r="AE239" s="48"/>
      <c r="AF239" s="48"/>
      <c r="AG239" s="48"/>
      <c r="AH239" s="48"/>
      <c r="AI239" s="48"/>
      <c r="AJ239" s="25"/>
      <c r="AK239" s="34" t="s">
        <v>666</v>
      </c>
      <c r="AL239" s="25"/>
      <c r="AM239" s="25"/>
      <c r="AN239" s="35" t="s">
        <v>1692</v>
      </c>
      <c r="AO239" s="24">
        <v>0.0033680555555555556</v>
      </c>
      <c r="AP239" s="7" t="s">
        <v>633</v>
      </c>
      <c r="AQ239" s="7" t="s">
        <v>633</v>
      </c>
      <c r="AR239" s="7" t="s">
        <v>633</v>
      </c>
      <c r="AS239" s="7" t="b">
        <f>NOT(ISERROR(MATCH(A239,'Villages according to موسوعة ال'!C:C,0)))</f>
        <v>1</v>
      </c>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row>
    <row r="240">
      <c r="A240" s="7" t="s">
        <v>306</v>
      </c>
      <c r="B240" s="43" t="s">
        <v>307</v>
      </c>
      <c r="E240" s="25"/>
      <c r="F240" s="25"/>
      <c r="G240" s="84"/>
      <c r="H240" s="3" t="s">
        <v>1693</v>
      </c>
      <c r="I240" s="7" t="s">
        <v>616</v>
      </c>
      <c r="J240" s="7" t="s">
        <v>1694</v>
      </c>
      <c r="K240" s="47"/>
      <c r="L240" s="47"/>
      <c r="M240" s="48" t="b">
        <v>0</v>
      </c>
      <c r="N240" s="48" t="b">
        <v>0</v>
      </c>
      <c r="O240" s="48"/>
      <c r="P240" s="48" t="b">
        <v>0</v>
      </c>
      <c r="Q240" s="48" t="b">
        <v>0</v>
      </c>
      <c r="R240" s="48" t="b">
        <v>0</v>
      </c>
      <c r="S240" s="48"/>
      <c r="T240" s="60"/>
      <c r="U240" s="48" t="b">
        <v>0</v>
      </c>
      <c r="V240" s="48"/>
      <c r="W240" s="48" t="b">
        <v>0</v>
      </c>
      <c r="X240" s="48" t="b">
        <v>0</v>
      </c>
      <c r="Y240" s="48"/>
      <c r="Z240" s="48"/>
      <c r="AA240" s="48"/>
      <c r="AB240" s="48"/>
      <c r="AC240" s="49"/>
      <c r="AD240" s="48"/>
      <c r="AE240" s="48"/>
      <c r="AF240" s="48"/>
      <c r="AG240" s="48"/>
      <c r="AH240" s="48"/>
      <c r="AI240" s="48"/>
      <c r="AJ240" s="25"/>
      <c r="AK240" s="34" t="s">
        <v>698</v>
      </c>
      <c r="AL240" s="25"/>
      <c r="AM240" s="25"/>
      <c r="AN240" s="35" t="s">
        <v>1695</v>
      </c>
      <c r="AO240" s="24">
        <v>0.00869212962962963</v>
      </c>
      <c r="AP240" s="7" t="s">
        <v>633</v>
      </c>
      <c r="AQ240" s="7" t="s">
        <v>633</v>
      </c>
      <c r="AR240" s="35" t="s">
        <v>1696</v>
      </c>
      <c r="AS240" s="7" t="b">
        <f>NOT(ISERROR(MATCH(A240,'Villages according to موسوعة ال'!C:C,0)))</f>
        <v>1</v>
      </c>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row>
    <row r="241">
      <c r="A241" s="7" t="s">
        <v>306</v>
      </c>
      <c r="B241" s="26" t="s">
        <v>307</v>
      </c>
      <c r="E241" s="25"/>
      <c r="F241" s="25"/>
      <c r="G241" s="84"/>
      <c r="H241" s="3" t="s">
        <v>1697</v>
      </c>
      <c r="I241" s="7" t="s">
        <v>638</v>
      </c>
      <c r="J241" s="7" t="s">
        <v>1698</v>
      </c>
      <c r="K241" s="47"/>
      <c r="L241" s="47"/>
      <c r="M241" s="48" t="b">
        <v>0</v>
      </c>
      <c r="N241" s="48" t="b">
        <v>0</v>
      </c>
      <c r="O241" s="48"/>
      <c r="P241" s="48" t="b">
        <v>0</v>
      </c>
      <c r="Q241" s="48" t="b">
        <v>0</v>
      </c>
      <c r="R241" s="48" t="b">
        <v>0</v>
      </c>
      <c r="S241" s="48"/>
      <c r="T241" s="32"/>
      <c r="U241" s="48" t="b">
        <v>0</v>
      </c>
      <c r="V241" s="48"/>
      <c r="W241" s="48" t="b">
        <v>0</v>
      </c>
      <c r="X241" s="48" t="b">
        <v>0</v>
      </c>
      <c r="Y241" s="48"/>
      <c r="Z241" s="48"/>
      <c r="AA241" s="48"/>
      <c r="AB241" s="48"/>
      <c r="AC241" s="49"/>
      <c r="AD241" s="48"/>
      <c r="AE241" s="48"/>
      <c r="AF241" s="48"/>
      <c r="AG241" s="48"/>
      <c r="AH241" s="48"/>
      <c r="AI241" s="48"/>
      <c r="AJ241" s="25"/>
      <c r="AK241" s="34" t="s">
        <v>636</v>
      </c>
      <c r="AL241" s="25"/>
      <c r="AM241" s="25"/>
      <c r="AN241" s="35" t="s">
        <v>1699</v>
      </c>
      <c r="AO241" s="24">
        <v>0.0019444444444444444</v>
      </c>
      <c r="AP241" s="7" t="s">
        <v>633</v>
      </c>
      <c r="AQ241" s="7" t="s">
        <v>633</v>
      </c>
      <c r="AR241" s="7" t="s">
        <v>633</v>
      </c>
      <c r="AS241" s="7" t="b">
        <f>NOT(ISERROR(MATCH(A241,'Villages according to موسوعة ال'!C:C,0)))</f>
        <v>1</v>
      </c>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row>
    <row r="242">
      <c r="A242" s="7" t="s">
        <v>168</v>
      </c>
      <c r="B242" s="26" t="s">
        <v>169</v>
      </c>
      <c r="C242" s="7" t="s">
        <v>169</v>
      </c>
      <c r="D242" s="7" t="s">
        <v>1700</v>
      </c>
      <c r="E242" s="25"/>
      <c r="F242" s="25"/>
      <c r="G242" s="84"/>
      <c r="H242" s="3" t="s">
        <v>1701</v>
      </c>
      <c r="I242" s="7" t="s">
        <v>638</v>
      </c>
      <c r="J242" s="7" t="s">
        <v>1702</v>
      </c>
      <c r="K242" s="54" t="s">
        <v>1703</v>
      </c>
      <c r="L242" s="54" t="s">
        <v>1704</v>
      </c>
      <c r="M242" s="31" t="b">
        <v>0</v>
      </c>
      <c r="N242" s="31" t="b">
        <v>0</v>
      </c>
      <c r="O242" s="31"/>
      <c r="P242" s="31" t="b">
        <v>0</v>
      </c>
      <c r="Q242" s="31" t="b">
        <v>0</v>
      </c>
      <c r="R242" s="31" t="b">
        <v>0</v>
      </c>
      <c r="S242" s="31"/>
      <c r="T242" s="32"/>
      <c r="U242" s="31" t="b">
        <v>0</v>
      </c>
      <c r="V242" s="31"/>
      <c r="W242" s="31" t="b">
        <v>0</v>
      </c>
      <c r="X242" s="31" t="b">
        <v>0</v>
      </c>
      <c r="Y242" s="31"/>
      <c r="Z242" s="31"/>
      <c r="AA242" s="31"/>
      <c r="AB242" s="31"/>
      <c r="AC242" s="45"/>
      <c r="AD242" s="31"/>
      <c r="AE242" s="31"/>
      <c r="AF242" s="31"/>
      <c r="AG242" s="31"/>
      <c r="AH242" s="31"/>
      <c r="AI242" s="31"/>
      <c r="AJ242" s="25"/>
      <c r="AK242" s="34" t="s">
        <v>636</v>
      </c>
      <c r="AL242" s="25"/>
      <c r="AM242" s="25"/>
      <c r="AN242" s="35" t="s">
        <v>1705</v>
      </c>
      <c r="AO242" s="24">
        <v>0.0024189814814814816</v>
      </c>
      <c r="AP242" s="7" t="s">
        <v>633</v>
      </c>
      <c r="AQ242" s="7" t="s">
        <v>633</v>
      </c>
      <c r="AR242" s="7" t="s">
        <v>633</v>
      </c>
      <c r="AS242" s="7" t="b">
        <f>NOT(ISERROR(MATCH(A242,'Villages according to موسوعة ال'!C:C,0)))</f>
        <v>1</v>
      </c>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row>
    <row r="243">
      <c r="A243" s="7" t="s">
        <v>168</v>
      </c>
      <c r="B243" s="43" t="s">
        <v>169</v>
      </c>
      <c r="E243" s="25"/>
      <c r="F243" s="25"/>
      <c r="G243" s="84"/>
      <c r="H243" s="3" t="s">
        <v>1706</v>
      </c>
      <c r="I243" s="7" t="s">
        <v>638</v>
      </c>
      <c r="J243" s="7" t="s">
        <v>1707</v>
      </c>
      <c r="K243" s="47"/>
      <c r="L243" s="47"/>
      <c r="M243" s="48" t="b">
        <v>0</v>
      </c>
      <c r="N243" s="48" t="b">
        <v>0</v>
      </c>
      <c r="O243" s="48"/>
      <c r="P243" s="48" t="b">
        <v>0</v>
      </c>
      <c r="Q243" s="48" t="b">
        <v>0</v>
      </c>
      <c r="R243" s="48" t="b">
        <v>0</v>
      </c>
      <c r="S243" s="48"/>
      <c r="T243" s="32"/>
      <c r="U243" s="48" t="b">
        <v>0</v>
      </c>
      <c r="V243" s="48"/>
      <c r="W243" s="48" t="b">
        <v>0</v>
      </c>
      <c r="X243" s="48" t="b">
        <v>0</v>
      </c>
      <c r="Y243" s="48"/>
      <c r="Z243" s="48"/>
      <c r="AA243" s="48"/>
      <c r="AB243" s="48"/>
      <c r="AC243" s="49"/>
      <c r="AD243" s="48"/>
      <c r="AE243" s="48"/>
      <c r="AF243" s="48"/>
      <c r="AG243" s="48"/>
      <c r="AH243" s="48"/>
      <c r="AI243" s="48"/>
      <c r="AJ243" s="3" t="s">
        <v>1708</v>
      </c>
      <c r="AK243" s="34" t="s">
        <v>631</v>
      </c>
      <c r="AL243" s="25"/>
      <c r="AM243" s="25"/>
      <c r="AN243" s="35" t="s">
        <v>1709</v>
      </c>
      <c r="AO243" s="24">
        <v>0.0034837962962962965</v>
      </c>
      <c r="AP243" s="7" t="s">
        <v>633</v>
      </c>
      <c r="AQ243" s="7" t="s">
        <v>633</v>
      </c>
      <c r="AR243" s="7" t="s">
        <v>633</v>
      </c>
      <c r="AS243" s="7" t="b">
        <f>NOT(ISERROR(MATCH(A243,'Villages according to موسوعة ال'!C:C,0)))</f>
        <v>1</v>
      </c>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row>
    <row r="244">
      <c r="A244" s="7" t="s">
        <v>342</v>
      </c>
      <c r="B244" s="43" t="s">
        <v>343</v>
      </c>
      <c r="C244" s="7" t="s">
        <v>343</v>
      </c>
      <c r="D244" s="7" t="s">
        <v>344</v>
      </c>
      <c r="E244" s="25"/>
      <c r="F244" s="25"/>
      <c r="G244" s="84"/>
      <c r="H244" s="7" t="s">
        <v>633</v>
      </c>
      <c r="I244" s="7" t="s">
        <v>638</v>
      </c>
      <c r="J244" s="7" t="s">
        <v>1710</v>
      </c>
      <c r="K244" s="47"/>
      <c r="L244" s="47"/>
      <c r="M244" s="48" t="b">
        <v>0</v>
      </c>
      <c r="N244" s="48" t="b">
        <v>0</v>
      </c>
      <c r="O244" s="48"/>
      <c r="P244" s="48" t="b">
        <v>0</v>
      </c>
      <c r="Q244" s="48" t="b">
        <v>0</v>
      </c>
      <c r="R244" s="48" t="b">
        <v>0</v>
      </c>
      <c r="S244" s="48"/>
      <c r="T244" s="32"/>
      <c r="U244" s="48" t="b">
        <v>0</v>
      </c>
      <c r="V244" s="48"/>
      <c r="W244" s="48" t="b">
        <v>0</v>
      </c>
      <c r="X244" s="48" t="b">
        <v>0</v>
      </c>
      <c r="Y244" s="48"/>
      <c r="Z244" s="48"/>
      <c r="AA244" s="48"/>
      <c r="AB244" s="48"/>
      <c r="AC244" s="49"/>
      <c r="AD244" s="48"/>
      <c r="AE244" s="48"/>
      <c r="AF244" s="48"/>
      <c r="AG244" s="48"/>
      <c r="AH244" s="48"/>
      <c r="AI244" s="48"/>
      <c r="AJ244" s="3" t="s">
        <v>1711</v>
      </c>
      <c r="AK244" s="34" t="s">
        <v>631</v>
      </c>
      <c r="AL244" s="25"/>
      <c r="AM244" s="25"/>
      <c r="AN244" s="35" t="s">
        <v>1712</v>
      </c>
      <c r="AO244" s="24">
        <v>0.005833333333333334</v>
      </c>
      <c r="AP244" s="7" t="s">
        <v>633</v>
      </c>
      <c r="AQ244" s="7" t="s">
        <v>633</v>
      </c>
      <c r="AR244" s="7" t="s">
        <v>633</v>
      </c>
      <c r="AS244" s="7" t="b">
        <f>NOT(ISERROR(MATCH(A244,'Villages according to موسوعة ال'!C:C,0)))</f>
        <v>1</v>
      </c>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row>
    <row r="245">
      <c r="A245" s="7" t="s">
        <v>176</v>
      </c>
      <c r="B245" s="43" t="s">
        <v>177</v>
      </c>
      <c r="C245" s="7" t="s">
        <v>177</v>
      </c>
      <c r="D245" s="7" t="s">
        <v>178</v>
      </c>
      <c r="E245" s="25"/>
      <c r="F245" s="25"/>
      <c r="G245" s="84"/>
      <c r="H245" s="7" t="s">
        <v>633</v>
      </c>
      <c r="I245" s="7" t="s">
        <v>638</v>
      </c>
      <c r="J245" s="7" t="s">
        <v>1713</v>
      </c>
      <c r="K245" s="47"/>
      <c r="L245" s="47"/>
      <c r="M245" s="48" t="b">
        <v>0</v>
      </c>
      <c r="N245" s="48" t="b">
        <v>0</v>
      </c>
      <c r="O245" s="48"/>
      <c r="P245" s="48" t="b">
        <v>0</v>
      </c>
      <c r="Q245" s="48" t="b">
        <v>0</v>
      </c>
      <c r="R245" s="48" t="b">
        <v>0</v>
      </c>
      <c r="S245" s="48"/>
      <c r="T245" s="32"/>
      <c r="U245" s="48" t="b">
        <v>0</v>
      </c>
      <c r="V245" s="48"/>
      <c r="W245" s="48" t="b">
        <v>0</v>
      </c>
      <c r="X245" s="48" t="b">
        <v>0</v>
      </c>
      <c r="Y245" s="48"/>
      <c r="Z245" s="48"/>
      <c r="AA245" s="48"/>
      <c r="AB245" s="48"/>
      <c r="AC245" s="49"/>
      <c r="AD245" s="48"/>
      <c r="AE245" s="48"/>
      <c r="AF245" s="48"/>
      <c r="AG245" s="48"/>
      <c r="AH245" s="48"/>
      <c r="AI245" s="48"/>
      <c r="AJ245" s="3" t="s">
        <v>1714</v>
      </c>
      <c r="AK245" s="34" t="s">
        <v>631</v>
      </c>
      <c r="AL245" s="25"/>
      <c r="AM245" s="25"/>
      <c r="AN245" s="35" t="s">
        <v>1715</v>
      </c>
      <c r="AO245" s="24">
        <v>0.0016666666666666668</v>
      </c>
      <c r="AP245" s="7" t="s">
        <v>633</v>
      </c>
      <c r="AQ245" s="7" t="s">
        <v>633</v>
      </c>
      <c r="AR245" s="7" t="s">
        <v>633</v>
      </c>
      <c r="AS245" s="7" t="b">
        <f>NOT(ISERROR(MATCH(A245,'Villages according to موسوعة ال'!C:C,0)))</f>
        <v>1</v>
      </c>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row>
    <row r="246">
      <c r="A246" s="7" t="s">
        <v>176</v>
      </c>
      <c r="B246" s="43" t="s">
        <v>177</v>
      </c>
      <c r="E246" s="25"/>
      <c r="F246" s="25"/>
      <c r="G246" s="84"/>
      <c r="H246" s="3" t="s">
        <v>1716</v>
      </c>
      <c r="I246" s="7" t="s">
        <v>638</v>
      </c>
      <c r="J246" s="7" t="s">
        <v>1717</v>
      </c>
      <c r="K246" s="47"/>
      <c r="L246" s="47"/>
      <c r="M246" s="48" t="b">
        <v>0</v>
      </c>
      <c r="N246" s="48" t="b">
        <v>0</v>
      </c>
      <c r="O246" s="48"/>
      <c r="P246" s="48" t="b">
        <v>0</v>
      </c>
      <c r="Q246" s="48" t="b">
        <v>0</v>
      </c>
      <c r="R246" s="48" t="b">
        <v>0</v>
      </c>
      <c r="S246" s="48"/>
      <c r="T246" s="60"/>
      <c r="U246" s="48" t="b">
        <v>0</v>
      </c>
      <c r="V246" s="48"/>
      <c r="W246" s="48" t="b">
        <v>0</v>
      </c>
      <c r="X246" s="48" t="b">
        <v>0</v>
      </c>
      <c r="Y246" s="48"/>
      <c r="Z246" s="48"/>
      <c r="AA246" s="48"/>
      <c r="AB246" s="48"/>
      <c r="AC246" s="49"/>
      <c r="AD246" s="48"/>
      <c r="AE246" s="48"/>
      <c r="AF246" s="48"/>
      <c r="AG246" s="48"/>
      <c r="AH246" s="48"/>
      <c r="AI246" s="48"/>
      <c r="AJ246" s="25"/>
      <c r="AK246" s="34" t="s">
        <v>698</v>
      </c>
      <c r="AL246" s="3" t="s">
        <v>699</v>
      </c>
      <c r="AM246" s="3" t="s">
        <v>831</v>
      </c>
      <c r="AN246" s="35" t="s">
        <v>1718</v>
      </c>
      <c r="AO246" s="24">
        <v>5.324074074074074E-4</v>
      </c>
      <c r="AP246" s="7" t="s">
        <v>1536</v>
      </c>
      <c r="AQ246" s="3" t="s">
        <v>1719</v>
      </c>
      <c r="AR246" s="35" t="s">
        <v>1720</v>
      </c>
      <c r="AS246" s="7" t="b">
        <f>NOT(ISERROR(MATCH(A246,'Villages according to موسوعة ال'!C:C,0)))</f>
        <v>1</v>
      </c>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row>
    <row r="247">
      <c r="A247" s="7" t="s">
        <v>176</v>
      </c>
      <c r="B247" s="43" t="s">
        <v>177</v>
      </c>
      <c r="E247" s="25"/>
      <c r="F247" s="25"/>
      <c r="G247" s="84"/>
      <c r="K247" s="47"/>
      <c r="L247" s="47"/>
      <c r="M247" s="48" t="b">
        <v>0</v>
      </c>
      <c r="N247" s="48" t="b">
        <v>0</v>
      </c>
      <c r="O247" s="48"/>
      <c r="P247" s="48" t="b">
        <v>0</v>
      </c>
      <c r="Q247" s="48" t="b">
        <v>0</v>
      </c>
      <c r="R247" s="48" t="b">
        <v>0</v>
      </c>
      <c r="S247" s="48"/>
      <c r="T247" s="60"/>
      <c r="U247" s="48" t="b">
        <v>0</v>
      </c>
      <c r="V247" s="48"/>
      <c r="W247" s="48" t="b">
        <v>0</v>
      </c>
      <c r="X247" s="48" t="b">
        <v>0</v>
      </c>
      <c r="Y247" s="48"/>
      <c r="Z247" s="48"/>
      <c r="AA247" s="48"/>
      <c r="AB247" s="48"/>
      <c r="AC247" s="49"/>
      <c r="AD247" s="48"/>
      <c r="AE247" s="48"/>
      <c r="AF247" s="48"/>
      <c r="AG247" s="48"/>
      <c r="AH247" s="48"/>
      <c r="AI247" s="48"/>
      <c r="AJ247" s="25"/>
      <c r="AK247" s="34" t="s">
        <v>698</v>
      </c>
      <c r="AL247" s="25"/>
      <c r="AM247" s="25"/>
      <c r="AN247" s="36" t="s">
        <v>1721</v>
      </c>
      <c r="AO247" s="24">
        <v>0.0</v>
      </c>
      <c r="AP247" s="7" t="s">
        <v>1536</v>
      </c>
      <c r="AQ247" s="3" t="s">
        <v>1719</v>
      </c>
      <c r="AR247" s="35" t="s">
        <v>1722</v>
      </c>
      <c r="AS247" s="7" t="b">
        <f>NOT(ISERROR(MATCH(A247,'Villages according to موسوعة ال'!C:C,0)))</f>
        <v>1</v>
      </c>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row>
    <row r="248">
      <c r="A248" s="7" t="s">
        <v>176</v>
      </c>
      <c r="B248" s="43" t="s">
        <v>177</v>
      </c>
      <c r="E248" s="25"/>
      <c r="F248" s="25"/>
      <c r="G248" s="84"/>
      <c r="H248" s="7" t="s">
        <v>633</v>
      </c>
      <c r="I248" s="7" t="s">
        <v>638</v>
      </c>
      <c r="J248" s="7" t="s">
        <v>1723</v>
      </c>
      <c r="K248" s="47"/>
      <c r="L248" s="47"/>
      <c r="M248" s="48" t="b">
        <v>0</v>
      </c>
      <c r="N248" s="48" t="b">
        <v>0</v>
      </c>
      <c r="O248" s="48"/>
      <c r="P248" s="48" t="b">
        <v>0</v>
      </c>
      <c r="Q248" s="48" t="b">
        <v>0</v>
      </c>
      <c r="R248" s="48" t="b">
        <v>0</v>
      </c>
      <c r="S248" s="48"/>
      <c r="T248" s="32"/>
      <c r="U248" s="48" t="b">
        <v>0</v>
      </c>
      <c r="V248" s="48"/>
      <c r="W248" s="48" t="b">
        <v>0</v>
      </c>
      <c r="X248" s="48" t="b">
        <v>0</v>
      </c>
      <c r="Y248" s="48"/>
      <c r="Z248" s="48"/>
      <c r="AA248" s="48"/>
      <c r="AB248" s="48"/>
      <c r="AC248" s="49"/>
      <c r="AD248" s="48"/>
      <c r="AE248" s="48"/>
      <c r="AF248" s="48"/>
      <c r="AG248" s="48"/>
      <c r="AH248" s="48"/>
      <c r="AI248" s="48"/>
      <c r="AJ248" s="25"/>
      <c r="AK248" s="34" t="s">
        <v>631</v>
      </c>
      <c r="AL248" s="25"/>
      <c r="AM248" s="25"/>
      <c r="AN248" s="35" t="s">
        <v>1724</v>
      </c>
      <c r="AO248" s="24">
        <v>0.002511574074074074</v>
      </c>
      <c r="AP248" s="7" t="s">
        <v>633</v>
      </c>
      <c r="AQ248" s="7" t="s">
        <v>633</v>
      </c>
      <c r="AR248" s="7" t="s">
        <v>633</v>
      </c>
      <c r="AS248" s="7" t="b">
        <f>NOT(ISERROR(MATCH(A248,'Villages according to موسوعة ال'!C:C,0)))</f>
        <v>1</v>
      </c>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row>
    <row r="249">
      <c r="A249" s="7" t="s">
        <v>176</v>
      </c>
      <c r="B249" s="43" t="s">
        <v>177</v>
      </c>
      <c r="E249" s="25"/>
      <c r="F249" s="25"/>
      <c r="G249" s="84"/>
      <c r="H249" s="7" t="s">
        <v>633</v>
      </c>
      <c r="I249" s="7" t="s">
        <v>638</v>
      </c>
      <c r="J249" s="7" t="s">
        <v>1725</v>
      </c>
      <c r="K249" s="47"/>
      <c r="L249" s="47"/>
      <c r="M249" s="48" t="b">
        <v>0</v>
      </c>
      <c r="N249" s="48" t="b">
        <v>0</v>
      </c>
      <c r="O249" s="48"/>
      <c r="P249" s="48" t="b">
        <v>0</v>
      </c>
      <c r="Q249" s="48" t="b">
        <v>0</v>
      </c>
      <c r="R249" s="48" t="b">
        <v>0</v>
      </c>
      <c r="S249" s="48"/>
      <c r="T249" s="32"/>
      <c r="U249" s="48" t="b">
        <v>0</v>
      </c>
      <c r="V249" s="48"/>
      <c r="W249" s="48" t="b">
        <v>0</v>
      </c>
      <c r="X249" s="48" t="b">
        <v>0</v>
      </c>
      <c r="Y249" s="48"/>
      <c r="Z249" s="48"/>
      <c r="AA249" s="48"/>
      <c r="AB249" s="48"/>
      <c r="AC249" s="49"/>
      <c r="AD249" s="48"/>
      <c r="AE249" s="48"/>
      <c r="AF249" s="48"/>
      <c r="AG249" s="48"/>
      <c r="AH249" s="48"/>
      <c r="AI249" s="48"/>
      <c r="AJ249" s="3" t="s">
        <v>1726</v>
      </c>
      <c r="AK249" s="34" t="s">
        <v>631</v>
      </c>
      <c r="AL249" s="25"/>
      <c r="AM249" s="25"/>
      <c r="AN249" s="35" t="s">
        <v>1727</v>
      </c>
      <c r="AO249" s="24">
        <v>0.004085648148148148</v>
      </c>
      <c r="AP249" s="7" t="s">
        <v>633</v>
      </c>
      <c r="AQ249" s="7" t="s">
        <v>633</v>
      </c>
      <c r="AR249" s="7" t="s">
        <v>633</v>
      </c>
      <c r="AS249" s="7" t="b">
        <f>NOT(ISERROR(MATCH(A249,'Villages according to موسوعة ال'!C:C,0)))</f>
        <v>1</v>
      </c>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row>
    <row r="250">
      <c r="A250" s="7" t="s">
        <v>176</v>
      </c>
      <c r="B250" s="43" t="s">
        <v>177</v>
      </c>
      <c r="E250" s="25"/>
      <c r="F250" s="25"/>
      <c r="G250" s="84"/>
      <c r="K250" s="47"/>
      <c r="L250" s="47"/>
      <c r="M250" s="48" t="b">
        <v>0</v>
      </c>
      <c r="N250" s="48" t="b">
        <v>0</v>
      </c>
      <c r="O250" s="48"/>
      <c r="P250" s="48" t="b">
        <v>0</v>
      </c>
      <c r="Q250" s="48" t="b">
        <v>0</v>
      </c>
      <c r="R250" s="48" t="b">
        <v>0</v>
      </c>
      <c r="S250" s="48"/>
      <c r="T250" s="32"/>
      <c r="U250" s="48" t="b">
        <v>0</v>
      </c>
      <c r="V250" s="48"/>
      <c r="W250" s="48" t="b">
        <v>0</v>
      </c>
      <c r="X250" s="48" t="b">
        <v>0</v>
      </c>
      <c r="Y250" s="48"/>
      <c r="Z250" s="48"/>
      <c r="AA250" s="48"/>
      <c r="AB250" s="48"/>
      <c r="AC250" s="49"/>
      <c r="AD250" s="48"/>
      <c r="AE250" s="48"/>
      <c r="AF250" s="48"/>
      <c r="AG250" s="48"/>
      <c r="AH250" s="48"/>
      <c r="AI250" s="48"/>
      <c r="AJ250" s="3" t="s">
        <v>1726</v>
      </c>
      <c r="AK250" s="34" t="s">
        <v>631</v>
      </c>
      <c r="AL250" s="25"/>
      <c r="AM250" s="25"/>
      <c r="AN250" s="35" t="s">
        <v>1728</v>
      </c>
      <c r="AO250" s="24">
        <v>0.0033796296296296296</v>
      </c>
      <c r="AP250" s="7" t="s">
        <v>633</v>
      </c>
      <c r="AQ250" s="7" t="s">
        <v>633</v>
      </c>
      <c r="AR250" s="7" t="s">
        <v>633</v>
      </c>
      <c r="AS250" s="7" t="b">
        <f>NOT(ISERROR(MATCH(A250,'Villages according to موسوعة ال'!C:C,0)))</f>
        <v>1</v>
      </c>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row>
    <row r="251">
      <c r="A251" s="7" t="s">
        <v>176</v>
      </c>
      <c r="B251" s="43" t="s">
        <v>177</v>
      </c>
      <c r="E251" s="25"/>
      <c r="F251" s="25"/>
      <c r="G251" s="84"/>
      <c r="H251" s="3" t="s">
        <v>1729</v>
      </c>
      <c r="I251" s="7" t="s">
        <v>638</v>
      </c>
      <c r="J251" s="7" t="s">
        <v>1730</v>
      </c>
      <c r="K251" s="47"/>
      <c r="L251" s="47"/>
      <c r="M251" s="48" t="b">
        <v>0</v>
      </c>
      <c r="N251" s="48" t="b">
        <v>0</v>
      </c>
      <c r="O251" s="48"/>
      <c r="P251" s="48" t="b">
        <v>0</v>
      </c>
      <c r="Q251" s="48" t="b">
        <v>0</v>
      </c>
      <c r="R251" s="48" t="b">
        <v>0</v>
      </c>
      <c r="S251" s="48"/>
      <c r="T251" s="32"/>
      <c r="U251" s="48" t="b">
        <v>0</v>
      </c>
      <c r="V251" s="48"/>
      <c r="W251" s="48" t="b">
        <v>0</v>
      </c>
      <c r="X251" s="48" t="b">
        <v>0</v>
      </c>
      <c r="Y251" s="48"/>
      <c r="Z251" s="48"/>
      <c r="AA251" s="48"/>
      <c r="AB251" s="48"/>
      <c r="AC251" s="49"/>
      <c r="AD251" s="48"/>
      <c r="AE251" s="48"/>
      <c r="AF251" s="48"/>
      <c r="AG251" s="48"/>
      <c r="AH251" s="48"/>
      <c r="AI251" s="48"/>
      <c r="AJ251" s="3" t="s">
        <v>1731</v>
      </c>
      <c r="AK251" s="34" t="s">
        <v>631</v>
      </c>
      <c r="AL251" s="25"/>
      <c r="AM251" s="25"/>
      <c r="AN251" s="35" t="s">
        <v>1732</v>
      </c>
      <c r="AO251" s="24">
        <v>0.005</v>
      </c>
      <c r="AP251" s="7" t="s">
        <v>633</v>
      </c>
      <c r="AQ251" s="7" t="s">
        <v>633</v>
      </c>
      <c r="AR251" s="7" t="s">
        <v>633</v>
      </c>
      <c r="AS251" s="7" t="b">
        <f>NOT(ISERROR(MATCH(A251,'Villages according to موسوعة ال'!C:C,0)))</f>
        <v>1</v>
      </c>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row>
    <row r="252">
      <c r="A252" s="7" t="s">
        <v>176</v>
      </c>
      <c r="B252" s="43" t="s">
        <v>177</v>
      </c>
      <c r="E252" s="25"/>
      <c r="F252" s="25"/>
      <c r="G252" s="84"/>
      <c r="K252" s="47"/>
      <c r="L252" s="47"/>
      <c r="M252" s="48" t="b">
        <v>0</v>
      </c>
      <c r="N252" s="48" t="b">
        <v>0</v>
      </c>
      <c r="O252" s="48"/>
      <c r="P252" s="48" t="b">
        <v>0</v>
      </c>
      <c r="Q252" s="48" t="b">
        <v>0</v>
      </c>
      <c r="R252" s="48" t="b">
        <v>0</v>
      </c>
      <c r="S252" s="48"/>
      <c r="T252" s="32"/>
      <c r="U252" s="48" t="b">
        <v>0</v>
      </c>
      <c r="V252" s="48"/>
      <c r="W252" s="48" t="b">
        <v>0</v>
      </c>
      <c r="X252" s="48" t="b">
        <v>0</v>
      </c>
      <c r="Y252" s="48"/>
      <c r="Z252" s="48"/>
      <c r="AA252" s="48"/>
      <c r="AB252" s="48"/>
      <c r="AC252" s="49"/>
      <c r="AD252" s="48"/>
      <c r="AE252" s="48"/>
      <c r="AF252" s="48"/>
      <c r="AG252" s="48"/>
      <c r="AH252" s="48"/>
      <c r="AI252" s="48"/>
      <c r="AJ252" s="25"/>
      <c r="AK252" s="34" t="s">
        <v>631</v>
      </c>
      <c r="AL252" s="25"/>
      <c r="AM252" s="25"/>
      <c r="AN252" s="35" t="s">
        <v>1733</v>
      </c>
      <c r="AO252" s="24">
        <v>0.0013657407407407407</v>
      </c>
      <c r="AP252" s="7" t="s">
        <v>633</v>
      </c>
      <c r="AQ252" s="7" t="s">
        <v>633</v>
      </c>
      <c r="AR252" s="7" t="s">
        <v>633</v>
      </c>
      <c r="AS252" s="7" t="b">
        <f>NOT(ISERROR(MATCH(A252,'Villages according to موسوعة ال'!C:C,0)))</f>
        <v>1</v>
      </c>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row>
    <row r="253">
      <c r="A253" s="3" t="s">
        <v>236</v>
      </c>
      <c r="B253" s="43" t="s">
        <v>1734</v>
      </c>
      <c r="C253" s="7" t="s">
        <v>1734</v>
      </c>
      <c r="D253" s="7" t="s">
        <v>238</v>
      </c>
      <c r="E253" s="25"/>
      <c r="F253" s="25"/>
      <c r="G253" s="84"/>
      <c r="H253" s="7" t="s">
        <v>633</v>
      </c>
      <c r="I253" s="7" t="s">
        <v>616</v>
      </c>
      <c r="J253" s="7" t="s">
        <v>1735</v>
      </c>
      <c r="K253" s="47"/>
      <c r="L253" s="47"/>
      <c r="M253" s="48" t="b">
        <v>0</v>
      </c>
      <c r="N253" s="48" t="b">
        <v>0</v>
      </c>
      <c r="O253" s="48"/>
      <c r="P253" s="48" t="b">
        <v>0</v>
      </c>
      <c r="Q253" s="48" t="b">
        <v>0</v>
      </c>
      <c r="R253" s="48" t="b">
        <v>0</v>
      </c>
      <c r="S253" s="48"/>
      <c r="T253" s="60"/>
      <c r="U253" s="48" t="b">
        <v>0</v>
      </c>
      <c r="V253" s="48"/>
      <c r="W253" s="48" t="b">
        <v>0</v>
      </c>
      <c r="X253" s="48" t="b">
        <v>0</v>
      </c>
      <c r="Y253" s="48"/>
      <c r="Z253" s="48"/>
      <c r="AA253" s="48"/>
      <c r="AB253" s="48"/>
      <c r="AC253" s="49"/>
      <c r="AD253" s="48"/>
      <c r="AE253" s="48"/>
      <c r="AF253" s="48"/>
      <c r="AG253" s="48"/>
      <c r="AH253" s="48"/>
      <c r="AI253" s="48"/>
      <c r="AJ253" s="25"/>
      <c r="AK253" s="34" t="s">
        <v>698</v>
      </c>
      <c r="AL253" s="25"/>
      <c r="AM253" s="25"/>
      <c r="AN253" s="35" t="s">
        <v>1736</v>
      </c>
      <c r="AO253" s="24">
        <v>0.006458333333333333</v>
      </c>
      <c r="AP253" s="7" t="s">
        <v>1737</v>
      </c>
      <c r="AQ253" s="3" t="s">
        <v>1540</v>
      </c>
      <c r="AR253" s="35" t="s">
        <v>1738</v>
      </c>
      <c r="AS253" s="7" t="b">
        <f>NOT(ISERROR(MATCH(A253,'Villages according to موسوعة ال'!C:C,0)))</f>
        <v>1</v>
      </c>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row>
    <row r="254">
      <c r="A254" s="3" t="s">
        <v>236</v>
      </c>
      <c r="B254" s="43" t="s">
        <v>1734</v>
      </c>
      <c r="E254" s="25"/>
      <c r="F254" s="25"/>
      <c r="G254" s="84"/>
      <c r="K254" s="47"/>
      <c r="L254" s="47"/>
      <c r="M254" s="48" t="b">
        <v>0</v>
      </c>
      <c r="N254" s="48" t="b">
        <v>0</v>
      </c>
      <c r="O254" s="48"/>
      <c r="P254" s="48" t="b">
        <v>0</v>
      </c>
      <c r="Q254" s="48" t="b">
        <v>0</v>
      </c>
      <c r="R254" s="48" t="b">
        <v>0</v>
      </c>
      <c r="S254" s="48"/>
      <c r="T254" s="60"/>
      <c r="U254" s="48" t="b">
        <v>0</v>
      </c>
      <c r="V254" s="48"/>
      <c r="W254" s="48" t="b">
        <v>0</v>
      </c>
      <c r="X254" s="48" t="b">
        <v>0</v>
      </c>
      <c r="Y254" s="48"/>
      <c r="Z254" s="48"/>
      <c r="AA254" s="48"/>
      <c r="AB254" s="48"/>
      <c r="AC254" s="49"/>
      <c r="AD254" s="48"/>
      <c r="AE254" s="48"/>
      <c r="AF254" s="48"/>
      <c r="AG254" s="48"/>
      <c r="AH254" s="48"/>
      <c r="AI254" s="48"/>
      <c r="AJ254" s="25"/>
      <c r="AK254" s="34" t="s">
        <v>698</v>
      </c>
      <c r="AL254" s="3" t="s">
        <v>699</v>
      </c>
      <c r="AM254" s="3" t="s">
        <v>831</v>
      </c>
      <c r="AN254" s="35" t="s">
        <v>1739</v>
      </c>
      <c r="AO254" s="24">
        <v>0.0014930555555555556</v>
      </c>
      <c r="AP254" s="7" t="s">
        <v>1737</v>
      </c>
      <c r="AQ254" s="3" t="s">
        <v>1540</v>
      </c>
      <c r="AR254" s="35" t="s">
        <v>1740</v>
      </c>
      <c r="AS254" s="7" t="b">
        <f>NOT(ISERROR(MATCH(A254,'Villages according to موسوعة ال'!C:C,0)))</f>
        <v>1</v>
      </c>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row>
    <row r="255">
      <c r="A255" s="3" t="s">
        <v>236</v>
      </c>
      <c r="B255" s="43" t="s">
        <v>1734</v>
      </c>
      <c r="E255" s="25"/>
      <c r="F255" s="25"/>
      <c r="G255" s="84"/>
      <c r="K255" s="47"/>
      <c r="L255" s="47"/>
      <c r="M255" s="48" t="b">
        <v>0</v>
      </c>
      <c r="N255" s="48" t="b">
        <v>0</v>
      </c>
      <c r="O255" s="48"/>
      <c r="P255" s="48" t="b">
        <v>0</v>
      </c>
      <c r="Q255" s="48" t="b">
        <v>0</v>
      </c>
      <c r="R255" s="48" t="b">
        <v>0</v>
      </c>
      <c r="S255" s="48"/>
      <c r="T255" s="32"/>
      <c r="U255" s="48" t="b">
        <v>0</v>
      </c>
      <c r="V255" s="48"/>
      <c r="W255" s="48" t="b">
        <v>0</v>
      </c>
      <c r="X255" s="48" t="b">
        <v>0</v>
      </c>
      <c r="Y255" s="48"/>
      <c r="Z255" s="48"/>
      <c r="AA255" s="48"/>
      <c r="AB255" s="48"/>
      <c r="AC255" s="49"/>
      <c r="AD255" s="48"/>
      <c r="AE255" s="48"/>
      <c r="AF255" s="48"/>
      <c r="AG255" s="48"/>
      <c r="AH255" s="48"/>
      <c r="AI255" s="48"/>
      <c r="AJ255" s="3" t="s">
        <v>1741</v>
      </c>
      <c r="AK255" s="34" t="s">
        <v>631</v>
      </c>
      <c r="AL255" s="3" t="s">
        <v>823</v>
      </c>
      <c r="AM255" s="3" t="s">
        <v>868</v>
      </c>
      <c r="AN255" s="35" t="s">
        <v>1742</v>
      </c>
      <c r="AO255" s="24">
        <v>0.003946759259259259</v>
      </c>
      <c r="AP255" s="7" t="s">
        <v>1737</v>
      </c>
      <c r="AQ255" s="99" t="s">
        <v>633</v>
      </c>
      <c r="AR255" s="35" t="s">
        <v>1743</v>
      </c>
      <c r="AS255" s="7" t="b">
        <f>NOT(ISERROR(MATCH(A255,'Villages according to موسوعة ال'!C:C,0)))</f>
        <v>1</v>
      </c>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row>
    <row r="256">
      <c r="A256" s="3" t="s">
        <v>236</v>
      </c>
      <c r="B256" s="43" t="s">
        <v>1734</v>
      </c>
      <c r="E256" s="25"/>
      <c r="F256" s="25"/>
      <c r="G256" s="84"/>
      <c r="K256" s="47"/>
      <c r="L256" s="47"/>
      <c r="M256" s="48" t="b">
        <v>0</v>
      </c>
      <c r="N256" s="48" t="b">
        <v>0</v>
      </c>
      <c r="O256" s="48"/>
      <c r="P256" s="48" t="b">
        <v>0</v>
      </c>
      <c r="Q256" s="48" t="b">
        <v>0</v>
      </c>
      <c r="R256" s="48" t="b">
        <v>0</v>
      </c>
      <c r="S256" s="48"/>
      <c r="T256" s="60"/>
      <c r="U256" s="48" t="b">
        <v>0</v>
      </c>
      <c r="V256" s="48"/>
      <c r="W256" s="48" t="b">
        <v>0</v>
      </c>
      <c r="X256" s="48" t="b">
        <v>0</v>
      </c>
      <c r="Y256" s="48"/>
      <c r="Z256" s="48"/>
      <c r="AA256" s="48"/>
      <c r="AB256" s="48"/>
      <c r="AC256" s="49"/>
      <c r="AD256" s="48"/>
      <c r="AE256" s="48"/>
      <c r="AF256" s="48"/>
      <c r="AG256" s="48"/>
      <c r="AH256" s="48"/>
      <c r="AI256" s="48"/>
      <c r="AJ256" s="3" t="s">
        <v>1744</v>
      </c>
      <c r="AK256" s="34" t="s">
        <v>698</v>
      </c>
      <c r="AL256" s="3" t="s">
        <v>699</v>
      </c>
      <c r="AM256" s="3" t="s">
        <v>676</v>
      </c>
      <c r="AN256" s="35" t="s">
        <v>1745</v>
      </c>
      <c r="AO256" s="24">
        <v>0.01326388888888889</v>
      </c>
      <c r="AP256" s="7" t="s">
        <v>1737</v>
      </c>
      <c r="AQ256" s="3" t="s">
        <v>1540</v>
      </c>
      <c r="AR256" s="35" t="s">
        <v>1746</v>
      </c>
      <c r="AS256" s="7" t="b">
        <f>NOT(ISERROR(MATCH(A256,'Villages according to موسوعة ال'!C:C,0)))</f>
        <v>1</v>
      </c>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row>
    <row r="257">
      <c r="A257" s="3" t="s">
        <v>236</v>
      </c>
      <c r="B257" s="26" t="s">
        <v>1734</v>
      </c>
      <c r="E257" s="25"/>
      <c r="F257" s="25"/>
      <c r="G257" s="28" t="s">
        <v>1545</v>
      </c>
      <c r="H257" s="3" t="s">
        <v>1747</v>
      </c>
      <c r="I257" s="7" t="s">
        <v>616</v>
      </c>
      <c r="J257" s="7" t="s">
        <v>1748</v>
      </c>
      <c r="K257" s="54" t="s">
        <v>1749</v>
      </c>
      <c r="L257" s="54" t="s">
        <v>1750</v>
      </c>
      <c r="M257" s="31" t="b">
        <v>0</v>
      </c>
      <c r="N257" s="31" t="b">
        <v>0</v>
      </c>
      <c r="O257" s="31"/>
      <c r="P257" s="31" t="b">
        <v>0</v>
      </c>
      <c r="Q257" s="31" t="b">
        <v>0</v>
      </c>
      <c r="R257" s="31" t="b">
        <v>0</v>
      </c>
      <c r="S257" s="31"/>
      <c r="T257" s="32"/>
      <c r="U257" s="31" t="b">
        <v>0</v>
      </c>
      <c r="V257" s="31"/>
      <c r="W257" s="31" t="b">
        <v>0</v>
      </c>
      <c r="X257" s="31" t="b">
        <v>0</v>
      </c>
      <c r="Y257" s="31"/>
      <c r="Z257" s="31"/>
      <c r="AA257" s="31"/>
      <c r="AB257" s="31"/>
      <c r="AC257" s="45"/>
      <c r="AD257" s="31"/>
      <c r="AE257" s="31"/>
      <c r="AF257" s="31"/>
      <c r="AG257" s="31"/>
      <c r="AH257" s="31"/>
      <c r="AI257" s="31"/>
      <c r="AJ257" s="25"/>
      <c r="AK257" s="34" t="s">
        <v>636</v>
      </c>
      <c r="AL257" s="25"/>
      <c r="AM257" s="25"/>
      <c r="AN257" s="35" t="s">
        <v>1751</v>
      </c>
      <c r="AO257" s="24">
        <v>0.004583333333333333</v>
      </c>
      <c r="AP257" s="7" t="s">
        <v>633</v>
      </c>
      <c r="AQ257" s="7" t="s">
        <v>633</v>
      </c>
      <c r="AR257" s="7" t="s">
        <v>633</v>
      </c>
      <c r="AS257" s="7" t="b">
        <f>NOT(ISERROR(MATCH(A257,'Villages according to موسوعة ال'!C:C,0)))</f>
        <v>1</v>
      </c>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row>
    <row r="258">
      <c r="A258" s="3" t="s">
        <v>236</v>
      </c>
      <c r="B258" s="26" t="s">
        <v>1734</v>
      </c>
      <c r="E258" s="25"/>
      <c r="F258" s="25"/>
      <c r="G258" s="28" t="s">
        <v>1545</v>
      </c>
      <c r="H258" s="7" t="s">
        <v>633</v>
      </c>
      <c r="I258" s="7" t="s">
        <v>616</v>
      </c>
      <c r="J258" s="7" t="s">
        <v>1752</v>
      </c>
      <c r="K258" s="47"/>
      <c r="L258" s="47"/>
      <c r="M258" s="48" t="b">
        <v>0</v>
      </c>
      <c r="N258" s="48" t="b">
        <v>0</v>
      </c>
      <c r="O258" s="48"/>
      <c r="P258" s="48" t="b">
        <v>0</v>
      </c>
      <c r="Q258" s="48" t="b">
        <v>0</v>
      </c>
      <c r="R258" s="48" t="b">
        <v>0</v>
      </c>
      <c r="S258" s="48"/>
      <c r="T258" s="32"/>
      <c r="U258" s="48" t="b">
        <v>0</v>
      </c>
      <c r="V258" s="48"/>
      <c r="W258" s="48" t="b">
        <v>0</v>
      </c>
      <c r="X258" s="48" t="b">
        <v>0</v>
      </c>
      <c r="Y258" s="48"/>
      <c r="Z258" s="48"/>
      <c r="AA258" s="48"/>
      <c r="AB258" s="48"/>
      <c r="AC258" s="49"/>
      <c r="AD258" s="48"/>
      <c r="AE258" s="48"/>
      <c r="AF258" s="48"/>
      <c r="AG258" s="48"/>
      <c r="AH258" s="48"/>
      <c r="AI258" s="48"/>
      <c r="AJ258" s="25"/>
      <c r="AK258" s="34" t="s">
        <v>636</v>
      </c>
      <c r="AL258" s="25"/>
      <c r="AM258" s="25"/>
      <c r="AN258" s="35" t="s">
        <v>1753</v>
      </c>
      <c r="AO258" s="24">
        <v>0.003310185185185185</v>
      </c>
      <c r="AP258" s="7" t="s">
        <v>633</v>
      </c>
      <c r="AQ258" s="7" t="s">
        <v>633</v>
      </c>
      <c r="AR258" s="7" t="s">
        <v>633</v>
      </c>
      <c r="AS258" s="7" t="b">
        <f>NOT(ISERROR(MATCH(A258,'Villages according to موسوعة ال'!C:C,0)))</f>
        <v>1</v>
      </c>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row>
    <row r="259">
      <c r="A259" s="3" t="s">
        <v>236</v>
      </c>
      <c r="B259" s="26" t="s">
        <v>1734</v>
      </c>
      <c r="E259" s="25"/>
      <c r="F259" s="25"/>
      <c r="G259" s="28" t="s">
        <v>1545</v>
      </c>
      <c r="H259" s="7" t="s">
        <v>633</v>
      </c>
      <c r="I259" s="7" t="s">
        <v>638</v>
      </c>
      <c r="J259" s="7" t="s">
        <v>1754</v>
      </c>
      <c r="K259" s="54" t="s">
        <v>1755</v>
      </c>
      <c r="L259" s="47"/>
      <c r="M259" s="48" t="b">
        <v>0</v>
      </c>
      <c r="N259" s="48" t="b">
        <v>0</v>
      </c>
      <c r="O259" s="48"/>
      <c r="P259" s="48" t="b">
        <v>0</v>
      </c>
      <c r="Q259" s="48" t="b">
        <v>0</v>
      </c>
      <c r="R259" s="48" t="b">
        <v>0</v>
      </c>
      <c r="S259" s="32" t="s">
        <v>966</v>
      </c>
      <c r="T259" s="32"/>
      <c r="U259" s="48" t="b">
        <v>0</v>
      </c>
      <c r="V259" s="48"/>
      <c r="W259" s="48" t="b">
        <v>0</v>
      </c>
      <c r="X259" s="48" t="b">
        <v>0</v>
      </c>
      <c r="Y259" s="48"/>
      <c r="Z259" s="48"/>
      <c r="AA259" s="48"/>
      <c r="AB259" s="48"/>
      <c r="AC259" s="49"/>
      <c r="AD259" s="48"/>
      <c r="AE259" s="48"/>
      <c r="AF259" s="48"/>
      <c r="AG259" s="48"/>
      <c r="AH259" s="48"/>
      <c r="AI259" s="48"/>
      <c r="AJ259" s="25"/>
      <c r="AK259" s="34" t="s">
        <v>631</v>
      </c>
      <c r="AL259" s="25"/>
      <c r="AM259" s="25"/>
      <c r="AN259" s="35" t="s">
        <v>1756</v>
      </c>
      <c r="AO259" s="24">
        <v>0.002384259259259259</v>
      </c>
      <c r="AP259" s="7" t="s">
        <v>633</v>
      </c>
      <c r="AQ259" s="7" t="s">
        <v>633</v>
      </c>
      <c r="AR259" s="7" t="s">
        <v>633</v>
      </c>
      <c r="AS259" s="7" t="b">
        <f>NOT(ISERROR(MATCH(A259,'Villages according to موسوعة ال'!C:C,0)))</f>
        <v>1</v>
      </c>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row>
    <row r="260">
      <c r="A260" s="3" t="s">
        <v>236</v>
      </c>
      <c r="B260" s="26" t="s">
        <v>1734</v>
      </c>
      <c r="E260" s="25"/>
      <c r="F260" s="25"/>
      <c r="G260" s="28" t="s">
        <v>1545</v>
      </c>
      <c r="H260" s="3" t="s">
        <v>1757</v>
      </c>
      <c r="I260" s="7" t="s">
        <v>616</v>
      </c>
      <c r="J260" s="7" t="s">
        <v>1758</v>
      </c>
      <c r="K260" s="47"/>
      <c r="L260" s="47"/>
      <c r="M260" s="48" t="b">
        <v>0</v>
      </c>
      <c r="N260" s="48" t="b">
        <v>0</v>
      </c>
      <c r="O260" s="48"/>
      <c r="P260" s="32" t="b">
        <v>0</v>
      </c>
      <c r="Q260" s="48" t="b">
        <v>0</v>
      </c>
      <c r="R260" s="48" t="b">
        <v>0</v>
      </c>
      <c r="S260" s="32" t="s">
        <v>966</v>
      </c>
      <c r="T260" s="32"/>
      <c r="U260" s="48" t="b">
        <v>0</v>
      </c>
      <c r="V260" s="48"/>
      <c r="W260" s="48" t="b">
        <v>0</v>
      </c>
      <c r="X260" s="48" t="b">
        <v>0</v>
      </c>
      <c r="Y260" s="48"/>
      <c r="Z260" s="48"/>
      <c r="AA260" s="48"/>
      <c r="AB260" s="48"/>
      <c r="AC260" s="49"/>
      <c r="AD260" s="48"/>
      <c r="AE260" s="32" t="s">
        <v>711</v>
      </c>
      <c r="AF260" s="32" t="s">
        <v>1759</v>
      </c>
      <c r="AG260" s="48"/>
      <c r="AH260" s="48"/>
      <c r="AI260" s="32" t="s">
        <v>1760</v>
      </c>
      <c r="AJ260" s="25"/>
      <c r="AK260" s="34" t="s">
        <v>636</v>
      </c>
      <c r="AL260" s="25"/>
      <c r="AM260" s="25"/>
      <c r="AN260" s="68" t="s">
        <v>1761</v>
      </c>
      <c r="AO260" s="24">
        <v>0.0024074074074074076</v>
      </c>
      <c r="AP260" s="7" t="s">
        <v>633</v>
      </c>
      <c r="AQ260" s="7" t="s">
        <v>633</v>
      </c>
      <c r="AR260" s="7" t="s">
        <v>633</v>
      </c>
      <c r="AS260" s="7" t="b">
        <f>NOT(ISERROR(MATCH(A260,'Villages according to موسوعة ال'!C:C,0)))</f>
        <v>1</v>
      </c>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row>
    <row r="261">
      <c r="A261" s="7" t="s">
        <v>194</v>
      </c>
      <c r="B261" s="26" t="s">
        <v>195</v>
      </c>
      <c r="C261" s="7" t="s">
        <v>195</v>
      </c>
      <c r="D261" s="7" t="s">
        <v>196</v>
      </c>
      <c r="E261" s="25"/>
      <c r="F261" s="25"/>
      <c r="G261" s="28" t="s">
        <v>1545</v>
      </c>
      <c r="H261" s="3" t="s">
        <v>1762</v>
      </c>
      <c r="I261" s="7" t="s">
        <v>638</v>
      </c>
      <c r="J261" s="7" t="s">
        <v>1763</v>
      </c>
      <c r="K261" s="47"/>
      <c r="L261" s="30" t="s">
        <v>1764</v>
      </c>
      <c r="M261" s="32" t="b">
        <v>1</v>
      </c>
      <c r="N261" s="48" t="b">
        <v>0</v>
      </c>
      <c r="O261" s="32" t="s">
        <v>756</v>
      </c>
      <c r="P261" s="48" t="b">
        <v>0</v>
      </c>
      <c r="Q261" s="48" t="b">
        <v>0</v>
      </c>
      <c r="R261" s="48" t="b">
        <v>0</v>
      </c>
      <c r="S261" s="32" t="s">
        <v>966</v>
      </c>
      <c r="T261" s="32"/>
      <c r="U261" s="48" t="b">
        <v>0</v>
      </c>
      <c r="V261" s="48"/>
      <c r="W261" s="48" t="b">
        <v>0</v>
      </c>
      <c r="X261" s="48" t="b">
        <v>0</v>
      </c>
      <c r="Y261" s="48"/>
      <c r="Z261" s="48"/>
      <c r="AA261" s="48"/>
      <c r="AB261" s="48"/>
      <c r="AC261" s="49"/>
      <c r="AD261" s="48"/>
      <c r="AE261" s="32" t="s">
        <v>711</v>
      </c>
      <c r="AF261" s="32" t="s">
        <v>1759</v>
      </c>
      <c r="AG261" s="48"/>
      <c r="AH261" s="32" t="s">
        <v>1765</v>
      </c>
      <c r="AI261" s="48"/>
      <c r="AJ261" s="25"/>
      <c r="AK261" s="34" t="s">
        <v>631</v>
      </c>
      <c r="AL261" s="25"/>
      <c r="AM261" s="25"/>
      <c r="AN261" s="35" t="s">
        <v>1766</v>
      </c>
      <c r="AO261" s="24">
        <v>0.006805555555555555</v>
      </c>
      <c r="AP261" s="7" t="s">
        <v>633</v>
      </c>
      <c r="AQ261" s="7" t="s">
        <v>633</v>
      </c>
      <c r="AR261" s="7" t="s">
        <v>633</v>
      </c>
      <c r="AS261" s="7" t="b">
        <f>NOT(ISERROR(MATCH(A261,'Villages according to موسوعة ال'!C:C,0)))</f>
        <v>1</v>
      </c>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row>
    <row r="262">
      <c r="A262" s="7" t="s">
        <v>194</v>
      </c>
      <c r="B262" s="26" t="s">
        <v>195</v>
      </c>
      <c r="E262" s="25"/>
      <c r="F262" s="25"/>
      <c r="K262" s="47"/>
      <c r="L262" s="47"/>
      <c r="M262" s="48" t="b">
        <v>0</v>
      </c>
      <c r="N262" s="48" t="b">
        <v>0</v>
      </c>
      <c r="O262" s="48"/>
      <c r="P262" s="48" t="b">
        <v>0</v>
      </c>
      <c r="Q262" s="48" t="b">
        <v>0</v>
      </c>
      <c r="R262" s="48" t="b">
        <v>0</v>
      </c>
      <c r="S262" s="48"/>
      <c r="T262" s="32"/>
      <c r="U262" s="48" t="b">
        <v>0</v>
      </c>
      <c r="V262" s="48"/>
      <c r="W262" s="48" t="b">
        <v>0</v>
      </c>
      <c r="X262" s="48" t="b">
        <v>0</v>
      </c>
      <c r="Y262" s="48"/>
      <c r="Z262" s="48"/>
      <c r="AA262" s="48"/>
      <c r="AB262" s="48"/>
      <c r="AC262" s="49"/>
      <c r="AD262" s="48"/>
      <c r="AE262" s="48"/>
      <c r="AF262" s="48"/>
      <c r="AG262" s="48"/>
      <c r="AH262" s="48"/>
      <c r="AI262" s="48"/>
      <c r="AJ262" s="25"/>
      <c r="AK262" s="34" t="s">
        <v>631</v>
      </c>
      <c r="AL262" s="25"/>
      <c r="AM262" s="25"/>
      <c r="AN262" s="35" t="s">
        <v>1767</v>
      </c>
      <c r="AO262" s="24">
        <v>0.016574074074074074</v>
      </c>
      <c r="AP262" s="7" t="s">
        <v>633</v>
      </c>
      <c r="AQ262" s="7" t="s">
        <v>633</v>
      </c>
      <c r="AR262" s="7" t="s">
        <v>633</v>
      </c>
      <c r="AS262" s="7" t="b">
        <f>NOT(ISERROR(MATCH(A262,'Villages according to موسوعة ال'!C:C,0)))</f>
        <v>1</v>
      </c>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row>
    <row r="263">
      <c r="A263" s="7" t="s">
        <v>165</v>
      </c>
      <c r="B263" s="26" t="s">
        <v>166</v>
      </c>
      <c r="C263" s="7" t="s">
        <v>166</v>
      </c>
      <c r="D263" s="7" t="s">
        <v>167</v>
      </c>
      <c r="E263" s="25"/>
      <c r="F263" s="25"/>
      <c r="G263" s="28" t="s">
        <v>1545</v>
      </c>
      <c r="H263" s="3" t="s">
        <v>1768</v>
      </c>
      <c r="I263" s="7" t="s">
        <v>616</v>
      </c>
      <c r="J263" s="7" t="s">
        <v>1769</v>
      </c>
      <c r="K263" s="47"/>
      <c r="L263" s="47"/>
      <c r="M263" s="48" t="b">
        <v>0</v>
      </c>
      <c r="N263" s="48" t="b">
        <v>0</v>
      </c>
      <c r="O263" s="48"/>
      <c r="P263" s="48" t="b">
        <v>0</v>
      </c>
      <c r="Q263" s="48" t="b">
        <v>0</v>
      </c>
      <c r="R263" s="48" t="b">
        <v>0</v>
      </c>
      <c r="S263" s="48"/>
      <c r="T263" s="32"/>
      <c r="U263" s="48" t="b">
        <v>0</v>
      </c>
      <c r="V263" s="48"/>
      <c r="W263" s="48" t="b">
        <v>0</v>
      </c>
      <c r="X263" s="48" t="b">
        <v>0</v>
      </c>
      <c r="Y263" s="48"/>
      <c r="Z263" s="48"/>
      <c r="AA263" s="48"/>
      <c r="AB263" s="48"/>
      <c r="AC263" s="49"/>
      <c r="AD263" s="48"/>
      <c r="AE263" s="48"/>
      <c r="AF263" s="48"/>
      <c r="AG263" s="48"/>
      <c r="AH263" s="48"/>
      <c r="AI263" s="32" t="s">
        <v>1523</v>
      </c>
      <c r="AJ263" s="25"/>
      <c r="AK263" s="34" t="s">
        <v>636</v>
      </c>
      <c r="AL263" s="25"/>
      <c r="AM263" s="25"/>
      <c r="AN263" s="35" t="s">
        <v>1770</v>
      </c>
      <c r="AO263" s="24">
        <v>0.0024652777777777776</v>
      </c>
      <c r="AP263" s="7" t="s">
        <v>633</v>
      </c>
      <c r="AQ263" s="7" t="s">
        <v>633</v>
      </c>
      <c r="AR263" s="7" t="s">
        <v>633</v>
      </c>
      <c r="AS263" s="7" t="b">
        <f>NOT(ISERROR(MATCH(A263,'Villages according to موسوعة ال'!C:C,0)))</f>
        <v>1</v>
      </c>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row>
    <row r="264">
      <c r="A264" s="7" t="s">
        <v>165</v>
      </c>
      <c r="B264" s="26" t="s">
        <v>166</v>
      </c>
      <c r="E264" s="25"/>
      <c r="F264" s="25"/>
      <c r="G264" s="28" t="s">
        <v>1545</v>
      </c>
      <c r="H264" s="3" t="s">
        <v>1771</v>
      </c>
      <c r="I264" s="7" t="s">
        <v>616</v>
      </c>
      <c r="J264" s="7" t="s">
        <v>1772</v>
      </c>
      <c r="K264" s="47"/>
      <c r="L264" s="47"/>
      <c r="M264" s="48" t="b">
        <v>0</v>
      </c>
      <c r="N264" s="48" t="b">
        <v>0</v>
      </c>
      <c r="O264" s="48"/>
      <c r="P264" s="48" t="b">
        <v>0</v>
      </c>
      <c r="Q264" s="48" t="b">
        <v>0</v>
      </c>
      <c r="R264" s="48" t="b">
        <v>0</v>
      </c>
      <c r="S264" s="48"/>
      <c r="T264" s="32"/>
      <c r="U264" s="48" t="b">
        <v>0</v>
      </c>
      <c r="V264" s="48"/>
      <c r="W264" s="48" t="b">
        <v>0</v>
      </c>
      <c r="X264" s="48" t="b">
        <v>0</v>
      </c>
      <c r="Y264" s="48"/>
      <c r="Z264" s="48"/>
      <c r="AA264" s="48"/>
      <c r="AB264" s="48"/>
      <c r="AC264" s="49"/>
      <c r="AD264" s="48"/>
      <c r="AE264" s="48"/>
      <c r="AF264" s="48"/>
      <c r="AG264" s="48"/>
      <c r="AH264" s="48"/>
      <c r="AI264" s="32" t="s">
        <v>1523</v>
      </c>
      <c r="AJ264" s="25"/>
      <c r="AK264" s="34" t="s">
        <v>636</v>
      </c>
      <c r="AL264" s="25"/>
      <c r="AM264" s="25"/>
      <c r="AN264" s="35" t="s">
        <v>1773</v>
      </c>
      <c r="AO264" s="24">
        <v>0.001412037037037037</v>
      </c>
      <c r="AP264" s="7" t="s">
        <v>633</v>
      </c>
      <c r="AQ264" s="7" t="s">
        <v>633</v>
      </c>
      <c r="AR264" s="7" t="s">
        <v>633</v>
      </c>
      <c r="AS264" s="7" t="b">
        <f>NOT(ISERROR(MATCH(A264,'Villages according to موسوعة ال'!C:C,0)))</f>
        <v>1</v>
      </c>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row>
    <row r="265">
      <c r="A265" s="7" t="s">
        <v>165</v>
      </c>
      <c r="B265" s="26" t="s">
        <v>166</v>
      </c>
      <c r="E265" s="25"/>
      <c r="F265" s="25"/>
      <c r="K265" s="54" t="s">
        <v>1774</v>
      </c>
      <c r="L265" s="47"/>
      <c r="M265" s="48" t="b">
        <v>0</v>
      </c>
      <c r="N265" s="48" t="b">
        <v>0</v>
      </c>
      <c r="O265" s="48"/>
      <c r="P265" s="48" t="b">
        <v>0</v>
      </c>
      <c r="Q265" s="48" t="b">
        <v>0</v>
      </c>
      <c r="R265" s="48" t="b">
        <v>0</v>
      </c>
      <c r="S265" s="48"/>
      <c r="T265" s="32"/>
      <c r="U265" s="48" t="b">
        <v>0</v>
      </c>
      <c r="V265" s="48"/>
      <c r="W265" s="48" t="b">
        <v>0</v>
      </c>
      <c r="X265" s="48" t="b">
        <v>0</v>
      </c>
      <c r="Y265" s="48"/>
      <c r="Z265" s="48"/>
      <c r="AA265" s="48"/>
      <c r="AB265" s="48"/>
      <c r="AC265" s="49"/>
      <c r="AD265" s="48"/>
      <c r="AE265" s="48"/>
      <c r="AF265" s="48"/>
      <c r="AG265" s="48"/>
      <c r="AH265" s="32" t="s">
        <v>1765</v>
      </c>
      <c r="AI265" s="48"/>
      <c r="AJ265" s="25"/>
      <c r="AK265" s="34" t="s">
        <v>636</v>
      </c>
      <c r="AL265" s="25"/>
      <c r="AM265" s="25"/>
      <c r="AN265" s="35" t="s">
        <v>1775</v>
      </c>
      <c r="AO265" s="24">
        <v>0.0032523148148148147</v>
      </c>
      <c r="AP265" s="7" t="s">
        <v>633</v>
      </c>
      <c r="AQ265" s="7" t="s">
        <v>633</v>
      </c>
      <c r="AR265" s="7" t="s">
        <v>633</v>
      </c>
      <c r="AS265" s="7" t="b">
        <f>NOT(ISERROR(MATCH(A265,'Villages according to موسوعة ال'!C:C,0)))</f>
        <v>1</v>
      </c>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row>
    <row r="266">
      <c r="A266" s="7" t="s">
        <v>165</v>
      </c>
      <c r="B266" s="43" t="s">
        <v>166</v>
      </c>
      <c r="E266" s="25"/>
      <c r="F266" s="25"/>
      <c r="G266" s="84"/>
      <c r="K266" s="47"/>
      <c r="L266" s="47"/>
      <c r="M266" s="48" t="b">
        <v>0</v>
      </c>
      <c r="N266" s="48" t="b">
        <v>0</v>
      </c>
      <c r="O266" s="48"/>
      <c r="P266" s="48" t="b">
        <v>0</v>
      </c>
      <c r="Q266" s="48" t="b">
        <v>0</v>
      </c>
      <c r="R266" s="48" t="b">
        <v>0</v>
      </c>
      <c r="S266" s="48"/>
      <c r="T266" s="60"/>
      <c r="U266" s="48" t="b">
        <v>0</v>
      </c>
      <c r="V266" s="48"/>
      <c r="W266" s="48" t="b">
        <v>0</v>
      </c>
      <c r="X266" s="48" t="b">
        <v>0</v>
      </c>
      <c r="Y266" s="48"/>
      <c r="Z266" s="48"/>
      <c r="AA266" s="48"/>
      <c r="AB266" s="48"/>
      <c r="AC266" s="49"/>
      <c r="AD266" s="48"/>
      <c r="AE266" s="48"/>
      <c r="AF266" s="48"/>
      <c r="AG266" s="48"/>
      <c r="AH266" s="48"/>
      <c r="AI266" s="48"/>
      <c r="AJ266" s="25"/>
      <c r="AK266" s="34" t="s">
        <v>698</v>
      </c>
      <c r="AL266" s="3" t="s">
        <v>699</v>
      </c>
      <c r="AM266" s="3" t="s">
        <v>831</v>
      </c>
      <c r="AN266" s="35" t="s">
        <v>1776</v>
      </c>
      <c r="AO266" s="24">
        <v>0.004918981481481482</v>
      </c>
      <c r="AP266" s="3" t="s">
        <v>1576</v>
      </c>
      <c r="AQ266" s="3" t="s">
        <v>1649</v>
      </c>
      <c r="AR266" s="35" t="s">
        <v>1777</v>
      </c>
      <c r="AS266" s="7" t="b">
        <f>NOT(ISERROR(MATCH(A266,'Villages according to موسوعة ال'!C:C,0)))</f>
        <v>1</v>
      </c>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row>
    <row r="267">
      <c r="A267" s="7" t="s">
        <v>165</v>
      </c>
      <c r="B267" s="26" t="s">
        <v>166</v>
      </c>
      <c r="E267" s="25"/>
      <c r="F267" s="25"/>
      <c r="G267" s="28" t="s">
        <v>1545</v>
      </c>
      <c r="K267" s="47"/>
      <c r="L267" s="47"/>
      <c r="M267" s="48" t="b">
        <v>0</v>
      </c>
      <c r="N267" s="48" t="b">
        <v>0</v>
      </c>
      <c r="O267" s="48"/>
      <c r="P267" s="48" t="b">
        <v>0</v>
      </c>
      <c r="Q267" s="48" t="b">
        <v>0</v>
      </c>
      <c r="R267" s="48" t="b">
        <v>0</v>
      </c>
      <c r="S267" s="48"/>
      <c r="T267" s="32"/>
      <c r="U267" s="48" t="b">
        <v>0</v>
      </c>
      <c r="V267" s="48"/>
      <c r="W267" s="48" t="b">
        <v>0</v>
      </c>
      <c r="X267" s="48" t="b">
        <v>0</v>
      </c>
      <c r="Y267" s="48"/>
      <c r="Z267" s="48"/>
      <c r="AA267" s="48"/>
      <c r="AB267" s="48"/>
      <c r="AC267" s="49"/>
      <c r="AD267" s="48"/>
      <c r="AE267" s="48"/>
      <c r="AF267" s="48"/>
      <c r="AG267" s="48"/>
      <c r="AH267" s="48"/>
      <c r="AI267" s="48"/>
      <c r="AJ267" s="25"/>
      <c r="AK267" s="34" t="s">
        <v>636</v>
      </c>
      <c r="AL267" s="25"/>
      <c r="AM267" s="25"/>
      <c r="AN267" s="35" t="s">
        <v>1778</v>
      </c>
      <c r="AO267" s="24">
        <v>0.0013310185185185185</v>
      </c>
      <c r="AP267" s="7" t="s">
        <v>633</v>
      </c>
      <c r="AQ267" s="7" t="s">
        <v>633</v>
      </c>
      <c r="AR267" s="7" t="s">
        <v>633</v>
      </c>
      <c r="AS267" s="7" t="b">
        <f>NOT(ISERROR(MATCH(A267,'Villages according to موسوعة ال'!C:C,0)))</f>
        <v>1</v>
      </c>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row>
    <row r="268">
      <c r="A268" s="7" t="s">
        <v>165</v>
      </c>
      <c r="B268" s="26" t="s">
        <v>166</v>
      </c>
      <c r="E268" s="25"/>
      <c r="F268" s="25"/>
      <c r="K268" s="47"/>
      <c r="L268" s="47"/>
      <c r="M268" s="48" t="b">
        <v>0</v>
      </c>
      <c r="N268" s="48" t="b">
        <v>0</v>
      </c>
      <c r="O268" s="48"/>
      <c r="P268" s="48" t="b">
        <v>0</v>
      </c>
      <c r="Q268" s="48" t="b">
        <v>0</v>
      </c>
      <c r="R268" s="48" t="b">
        <v>0</v>
      </c>
      <c r="S268" s="48"/>
      <c r="T268" s="32"/>
      <c r="U268" s="48" t="b">
        <v>0</v>
      </c>
      <c r="V268" s="48"/>
      <c r="W268" s="48" t="b">
        <v>0</v>
      </c>
      <c r="X268" s="48" t="b">
        <v>0</v>
      </c>
      <c r="Y268" s="48"/>
      <c r="Z268" s="48"/>
      <c r="AA268" s="48"/>
      <c r="AB268" s="48"/>
      <c r="AC268" s="49"/>
      <c r="AD268" s="48"/>
      <c r="AE268" s="48"/>
      <c r="AF268" s="48"/>
      <c r="AG268" s="48"/>
      <c r="AH268" s="48"/>
      <c r="AI268" s="48"/>
      <c r="AJ268" s="25"/>
      <c r="AK268" s="34" t="s">
        <v>636</v>
      </c>
      <c r="AL268" s="25"/>
      <c r="AM268" s="25"/>
      <c r="AN268" s="35" t="s">
        <v>1779</v>
      </c>
      <c r="AO268" s="24">
        <v>0.004629629629629629</v>
      </c>
      <c r="AP268" s="7" t="s">
        <v>633</v>
      </c>
      <c r="AQ268" s="7" t="s">
        <v>633</v>
      </c>
      <c r="AR268" s="7" t="s">
        <v>633</v>
      </c>
      <c r="AS268" s="7" t="b">
        <f>NOT(ISERROR(MATCH(A268,'Villages according to موسوعة ال'!C:C,0)))</f>
        <v>1</v>
      </c>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row>
    <row r="269">
      <c r="A269" s="7" t="s">
        <v>165</v>
      </c>
      <c r="B269" s="26" t="s">
        <v>166</v>
      </c>
      <c r="E269" s="25"/>
      <c r="F269" s="25"/>
      <c r="K269" s="47"/>
      <c r="L269" s="47"/>
      <c r="M269" s="48" t="b">
        <v>0</v>
      </c>
      <c r="N269" s="48" t="b">
        <v>0</v>
      </c>
      <c r="O269" s="48"/>
      <c r="P269" s="48" t="b">
        <v>0</v>
      </c>
      <c r="Q269" s="48" t="b">
        <v>0</v>
      </c>
      <c r="R269" s="48" t="b">
        <v>0</v>
      </c>
      <c r="S269" s="48"/>
      <c r="T269" s="32"/>
      <c r="U269" s="48" t="b">
        <v>0</v>
      </c>
      <c r="V269" s="48"/>
      <c r="W269" s="48" t="b">
        <v>0</v>
      </c>
      <c r="X269" s="48" t="b">
        <v>0</v>
      </c>
      <c r="Y269" s="48"/>
      <c r="Z269" s="48"/>
      <c r="AA269" s="48"/>
      <c r="AB269" s="48"/>
      <c r="AC269" s="49"/>
      <c r="AD269" s="48"/>
      <c r="AE269" s="48"/>
      <c r="AF269" s="48"/>
      <c r="AG269" s="48"/>
      <c r="AH269" s="48"/>
      <c r="AI269" s="48"/>
      <c r="AJ269" s="25"/>
      <c r="AK269" s="34" t="s">
        <v>636</v>
      </c>
      <c r="AL269" s="25"/>
      <c r="AM269" s="25"/>
      <c r="AN269" s="35" t="s">
        <v>1780</v>
      </c>
      <c r="AO269" s="24">
        <v>0.0022685185185185187</v>
      </c>
      <c r="AP269" s="7" t="s">
        <v>633</v>
      </c>
      <c r="AQ269" s="7" t="s">
        <v>633</v>
      </c>
      <c r="AR269" s="7" t="s">
        <v>633</v>
      </c>
      <c r="AS269" s="7" t="b">
        <f>NOT(ISERROR(MATCH(A269,'Villages according to موسوعة ال'!C:C,0)))</f>
        <v>1</v>
      </c>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row>
    <row r="270">
      <c r="A270" s="7" t="s">
        <v>165</v>
      </c>
      <c r="B270" s="26" t="s">
        <v>166</v>
      </c>
      <c r="E270" s="25"/>
      <c r="F270" s="25"/>
      <c r="G270" s="28" t="s">
        <v>1545</v>
      </c>
      <c r="H270" s="7" t="s">
        <v>633</v>
      </c>
      <c r="I270" s="7" t="s">
        <v>616</v>
      </c>
      <c r="J270" s="7" t="s">
        <v>1781</v>
      </c>
      <c r="K270" s="47"/>
      <c r="L270" s="47"/>
      <c r="M270" s="48" t="b">
        <v>0</v>
      </c>
      <c r="N270" s="48" t="b">
        <v>0</v>
      </c>
      <c r="O270" s="48"/>
      <c r="P270" s="48" t="b">
        <v>0</v>
      </c>
      <c r="Q270" s="48" t="b">
        <v>0</v>
      </c>
      <c r="R270" s="48" t="b">
        <v>0</v>
      </c>
      <c r="S270" s="48"/>
      <c r="T270" s="32"/>
      <c r="U270" s="48" t="b">
        <v>0</v>
      </c>
      <c r="V270" s="48"/>
      <c r="W270" s="48" t="b">
        <v>0</v>
      </c>
      <c r="X270" s="48" t="b">
        <v>0</v>
      </c>
      <c r="Y270" s="48"/>
      <c r="Z270" s="48"/>
      <c r="AA270" s="48"/>
      <c r="AB270" s="48"/>
      <c r="AC270" s="49"/>
      <c r="AD270" s="48"/>
      <c r="AE270" s="48"/>
      <c r="AF270" s="48"/>
      <c r="AG270" s="48"/>
      <c r="AH270" s="32" t="s">
        <v>1765</v>
      </c>
      <c r="AI270" s="32" t="s">
        <v>1523</v>
      </c>
      <c r="AJ270" s="25"/>
      <c r="AK270" s="34" t="s">
        <v>636</v>
      </c>
      <c r="AL270" s="25"/>
      <c r="AM270" s="25"/>
      <c r="AN270" s="35" t="s">
        <v>1782</v>
      </c>
      <c r="AO270" s="24">
        <v>8.217592592592593E-4</v>
      </c>
      <c r="AP270" s="7" t="s">
        <v>633</v>
      </c>
      <c r="AQ270" s="7" t="s">
        <v>633</v>
      </c>
      <c r="AR270" s="7" t="s">
        <v>633</v>
      </c>
      <c r="AS270" s="7" t="b">
        <f>NOT(ISERROR(MATCH(A270,'Villages according to موسوعة ال'!C:C,0)))</f>
        <v>1</v>
      </c>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row>
    <row r="271">
      <c r="A271" s="7" t="s">
        <v>165</v>
      </c>
      <c r="B271" s="26" t="s">
        <v>166</v>
      </c>
      <c r="E271" s="25"/>
      <c r="F271" s="25"/>
      <c r="G271" s="28" t="s">
        <v>1545</v>
      </c>
      <c r="H271" s="7" t="s">
        <v>633</v>
      </c>
      <c r="I271" s="7" t="s">
        <v>616</v>
      </c>
      <c r="J271" s="7" t="s">
        <v>1783</v>
      </c>
      <c r="K271" s="47"/>
      <c r="L271" s="47"/>
      <c r="M271" s="48" t="b">
        <v>0</v>
      </c>
      <c r="N271" s="48" t="b">
        <v>0</v>
      </c>
      <c r="O271" s="48"/>
      <c r="P271" s="48" t="b">
        <v>0</v>
      </c>
      <c r="Q271" s="48" t="b">
        <v>0</v>
      </c>
      <c r="R271" s="48" t="b">
        <v>0</v>
      </c>
      <c r="S271" s="48"/>
      <c r="T271" s="32"/>
      <c r="U271" s="48" t="b">
        <v>0</v>
      </c>
      <c r="V271" s="48"/>
      <c r="W271" s="48" t="b">
        <v>0</v>
      </c>
      <c r="X271" s="48" t="b">
        <v>0</v>
      </c>
      <c r="Y271" s="48"/>
      <c r="Z271" s="48"/>
      <c r="AA271" s="48"/>
      <c r="AB271" s="48"/>
      <c r="AC271" s="49"/>
      <c r="AD271" s="48"/>
      <c r="AE271" s="48"/>
      <c r="AF271" s="48"/>
      <c r="AG271" s="48"/>
      <c r="AH271" s="48"/>
      <c r="AI271" s="32" t="s">
        <v>1523</v>
      </c>
      <c r="AJ271" s="3" t="s">
        <v>1784</v>
      </c>
      <c r="AK271" s="34" t="s">
        <v>631</v>
      </c>
      <c r="AL271" s="25"/>
      <c r="AM271" s="25"/>
      <c r="AN271" s="35" t="s">
        <v>1785</v>
      </c>
      <c r="AO271" s="24">
        <v>0.0017592592592592592</v>
      </c>
      <c r="AP271" s="7" t="s">
        <v>633</v>
      </c>
      <c r="AQ271" s="7" t="s">
        <v>633</v>
      </c>
      <c r="AR271" s="7" t="s">
        <v>633</v>
      </c>
      <c r="AS271" s="7" t="b">
        <f>NOT(ISERROR(MATCH(A271,'Villages according to موسوعة ال'!C:C,0)))</f>
        <v>1</v>
      </c>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row>
    <row r="272">
      <c r="A272" s="7" t="s">
        <v>165</v>
      </c>
      <c r="B272" s="43" t="s">
        <v>166</v>
      </c>
      <c r="E272" s="25"/>
      <c r="F272" s="25"/>
      <c r="G272" s="84"/>
      <c r="H272" s="3" t="s">
        <v>1786</v>
      </c>
      <c r="I272" s="7" t="s">
        <v>638</v>
      </c>
      <c r="J272" s="7" t="s">
        <v>1787</v>
      </c>
      <c r="K272" s="47"/>
      <c r="L272" s="47"/>
      <c r="M272" s="48" t="b">
        <v>0</v>
      </c>
      <c r="N272" s="32" t="b">
        <v>1</v>
      </c>
      <c r="O272" s="32" t="s">
        <v>965</v>
      </c>
      <c r="P272" s="48" t="b">
        <v>0</v>
      </c>
      <c r="Q272" s="32" t="b">
        <v>1</v>
      </c>
      <c r="R272" s="32" t="b">
        <v>1</v>
      </c>
      <c r="S272" s="32" t="s">
        <v>966</v>
      </c>
      <c r="T272" s="32" t="s">
        <v>1521</v>
      </c>
      <c r="U272" s="48" t="b">
        <v>0</v>
      </c>
      <c r="V272" s="32" t="s">
        <v>685</v>
      </c>
      <c r="W272" s="48" t="b">
        <v>0</v>
      </c>
      <c r="X272" s="32" t="b">
        <v>1</v>
      </c>
      <c r="Y272" s="32" t="s">
        <v>671</v>
      </c>
      <c r="Z272" s="32" t="s">
        <v>1788</v>
      </c>
      <c r="AA272" s="32" t="s">
        <v>775</v>
      </c>
      <c r="AB272" s="32" t="s">
        <v>1193</v>
      </c>
      <c r="AC272" s="33" t="s">
        <v>672</v>
      </c>
      <c r="AD272" s="32" t="s">
        <v>686</v>
      </c>
      <c r="AE272" s="32" t="s">
        <v>711</v>
      </c>
      <c r="AF272" s="48"/>
      <c r="AG272" s="48"/>
      <c r="AH272" s="48"/>
      <c r="AI272" s="32" t="s">
        <v>673</v>
      </c>
      <c r="AJ272" s="25"/>
      <c r="AK272" s="34" t="s">
        <v>698</v>
      </c>
      <c r="AL272" s="3" t="s">
        <v>699</v>
      </c>
      <c r="AM272" s="3" t="s">
        <v>831</v>
      </c>
      <c r="AN272" s="35" t="s">
        <v>1789</v>
      </c>
      <c r="AO272" s="24">
        <v>0.0033333333333333335</v>
      </c>
      <c r="AP272" s="3" t="s">
        <v>1790</v>
      </c>
      <c r="AQ272" s="7" t="s">
        <v>633</v>
      </c>
      <c r="AR272" s="35" t="s">
        <v>1791</v>
      </c>
      <c r="AS272" s="7" t="b">
        <f>NOT(ISERROR(MATCH(A272,'Villages according to موسوعة ال'!C:C,0)))</f>
        <v>1</v>
      </c>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row>
    <row r="273">
      <c r="A273" s="7" t="s">
        <v>165</v>
      </c>
      <c r="B273" s="26" t="s">
        <v>166</v>
      </c>
      <c r="E273" s="25"/>
      <c r="F273" s="25"/>
      <c r="G273" s="28" t="s">
        <v>1545</v>
      </c>
      <c r="K273" s="54" t="s">
        <v>1792</v>
      </c>
      <c r="L273" s="47"/>
      <c r="M273" s="48" t="b">
        <v>0</v>
      </c>
      <c r="N273" s="48" t="b">
        <v>0</v>
      </c>
      <c r="O273" s="48"/>
      <c r="P273" s="48" t="b">
        <v>0</v>
      </c>
      <c r="Q273" s="48" t="b">
        <v>0</v>
      </c>
      <c r="R273" s="48" t="b">
        <v>0</v>
      </c>
      <c r="S273" s="48"/>
      <c r="T273" s="32"/>
      <c r="U273" s="48" t="b">
        <v>0</v>
      </c>
      <c r="V273" s="48"/>
      <c r="W273" s="48" t="b">
        <v>0</v>
      </c>
      <c r="X273" s="48" t="b">
        <v>0</v>
      </c>
      <c r="Y273" s="48"/>
      <c r="Z273" s="48"/>
      <c r="AA273" s="48"/>
      <c r="AB273" s="48"/>
      <c r="AC273" s="49"/>
      <c r="AD273" s="48"/>
      <c r="AE273" s="48"/>
      <c r="AF273" s="48"/>
      <c r="AG273" s="48"/>
      <c r="AH273" s="32" t="s">
        <v>1765</v>
      </c>
      <c r="AI273" s="32" t="s">
        <v>1523</v>
      </c>
      <c r="AJ273" s="25"/>
      <c r="AK273" s="34" t="s">
        <v>636</v>
      </c>
      <c r="AL273" s="25"/>
      <c r="AM273" s="25"/>
      <c r="AN273" s="35" t="s">
        <v>1793</v>
      </c>
      <c r="AO273" s="24">
        <v>0.001412037037037037</v>
      </c>
      <c r="AP273" s="7" t="s">
        <v>633</v>
      </c>
      <c r="AQ273" s="7" t="s">
        <v>633</v>
      </c>
      <c r="AR273" s="7" t="s">
        <v>633</v>
      </c>
      <c r="AS273" s="7" t="b">
        <f>NOT(ISERROR(MATCH(A273,'Villages according to موسوعة ال'!C:C,0)))</f>
        <v>1</v>
      </c>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row>
    <row r="274">
      <c r="A274" s="7" t="s">
        <v>165</v>
      </c>
      <c r="B274" s="26" t="s">
        <v>166</v>
      </c>
      <c r="E274" s="25"/>
      <c r="F274" s="25"/>
      <c r="K274" s="54" t="s">
        <v>1794</v>
      </c>
      <c r="L274" s="47"/>
      <c r="M274" s="48" t="b">
        <v>0</v>
      </c>
      <c r="N274" s="48" t="b">
        <v>0</v>
      </c>
      <c r="O274" s="48"/>
      <c r="P274" s="48" t="b">
        <v>0</v>
      </c>
      <c r="Q274" s="48" t="b">
        <v>0</v>
      </c>
      <c r="R274" s="48" t="b">
        <v>0</v>
      </c>
      <c r="S274" s="48"/>
      <c r="T274" s="32"/>
      <c r="U274" s="48" t="b">
        <v>0</v>
      </c>
      <c r="V274" s="48"/>
      <c r="W274" s="48" t="b">
        <v>0</v>
      </c>
      <c r="X274" s="48" t="b">
        <v>0</v>
      </c>
      <c r="Y274" s="48"/>
      <c r="Z274" s="48"/>
      <c r="AA274" s="48"/>
      <c r="AB274" s="48"/>
      <c r="AC274" s="49"/>
      <c r="AD274" s="48"/>
      <c r="AE274" s="48"/>
      <c r="AF274" s="48"/>
      <c r="AG274" s="48"/>
      <c r="AH274" s="48"/>
      <c r="AI274" s="32" t="s">
        <v>1523</v>
      </c>
      <c r="AJ274" s="25"/>
      <c r="AK274" s="34" t="s">
        <v>636</v>
      </c>
      <c r="AL274" s="25"/>
      <c r="AM274" s="25"/>
      <c r="AN274" s="35" t="s">
        <v>1795</v>
      </c>
      <c r="AO274" s="24">
        <v>0.0038541666666666668</v>
      </c>
      <c r="AP274" s="7" t="s">
        <v>633</v>
      </c>
      <c r="AQ274" s="7" t="s">
        <v>633</v>
      </c>
      <c r="AR274" s="7" t="s">
        <v>633</v>
      </c>
      <c r="AS274" s="7" t="b">
        <f>NOT(ISERROR(MATCH(A274,'Villages according to موسوعة ال'!C:C,0)))</f>
        <v>1</v>
      </c>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row>
    <row r="275">
      <c r="A275" s="7" t="s">
        <v>165</v>
      </c>
      <c r="B275" s="26" t="s">
        <v>166</v>
      </c>
      <c r="E275" s="25"/>
      <c r="F275" s="25"/>
      <c r="K275" s="47"/>
      <c r="L275" s="47"/>
      <c r="M275" s="48" t="b">
        <v>0</v>
      </c>
      <c r="N275" s="48" t="b">
        <v>0</v>
      </c>
      <c r="O275" s="48"/>
      <c r="P275" s="48" t="b">
        <v>0</v>
      </c>
      <c r="Q275" s="48" t="b">
        <v>0</v>
      </c>
      <c r="R275" s="48" t="b">
        <v>0</v>
      </c>
      <c r="S275" s="48"/>
      <c r="T275" s="32"/>
      <c r="U275" s="48" t="b">
        <v>0</v>
      </c>
      <c r="V275" s="48"/>
      <c r="W275" s="48" t="b">
        <v>0</v>
      </c>
      <c r="X275" s="48" t="b">
        <v>0</v>
      </c>
      <c r="Y275" s="48"/>
      <c r="Z275" s="48"/>
      <c r="AA275" s="48"/>
      <c r="AB275" s="48"/>
      <c r="AC275" s="49"/>
      <c r="AD275" s="48"/>
      <c r="AE275" s="48"/>
      <c r="AF275" s="32" t="s">
        <v>1759</v>
      </c>
      <c r="AG275" s="48"/>
      <c r="AH275" s="48"/>
      <c r="AI275" s="48"/>
      <c r="AJ275" s="25"/>
      <c r="AK275" s="34" t="s">
        <v>631</v>
      </c>
      <c r="AL275" s="25"/>
      <c r="AM275" s="25"/>
      <c r="AN275" s="35" t="s">
        <v>1796</v>
      </c>
      <c r="AO275" s="24">
        <v>0.0029976851851851853</v>
      </c>
      <c r="AP275" s="7" t="s">
        <v>633</v>
      </c>
      <c r="AQ275" s="7" t="s">
        <v>633</v>
      </c>
      <c r="AR275" s="7" t="s">
        <v>633</v>
      </c>
      <c r="AS275" s="7" t="b">
        <f>NOT(ISERROR(MATCH(A275,'Villages according to موسوعة ال'!C:C,0)))</f>
        <v>1</v>
      </c>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row>
    <row r="276">
      <c r="A276" s="7" t="s">
        <v>165</v>
      </c>
      <c r="B276" s="26" t="s">
        <v>166</v>
      </c>
      <c r="E276" s="25"/>
      <c r="F276" s="25"/>
      <c r="K276" s="54"/>
      <c r="L276" s="47"/>
      <c r="M276" s="48" t="b">
        <v>0</v>
      </c>
      <c r="N276" s="48" t="b">
        <v>0</v>
      </c>
      <c r="O276" s="48"/>
      <c r="P276" s="48" t="b">
        <v>0</v>
      </c>
      <c r="Q276" s="48" t="b">
        <v>0</v>
      </c>
      <c r="R276" s="48" t="b">
        <v>0</v>
      </c>
      <c r="S276" s="48"/>
      <c r="T276" s="32"/>
      <c r="U276" s="48" t="b">
        <v>0</v>
      </c>
      <c r="V276" s="48"/>
      <c r="W276" s="48" t="b">
        <v>0</v>
      </c>
      <c r="X276" s="48" t="b">
        <v>0</v>
      </c>
      <c r="Y276" s="48"/>
      <c r="Z276" s="48"/>
      <c r="AA276" s="48"/>
      <c r="AB276" s="48"/>
      <c r="AC276" s="49"/>
      <c r="AD276" s="48"/>
      <c r="AE276" s="48"/>
      <c r="AF276" s="48"/>
      <c r="AG276" s="48"/>
      <c r="AH276" s="48"/>
      <c r="AI276" s="48"/>
      <c r="AJ276" s="25"/>
      <c r="AK276" s="34" t="s">
        <v>631</v>
      </c>
      <c r="AL276" s="25"/>
      <c r="AM276" s="25"/>
      <c r="AN276" s="35" t="s">
        <v>1797</v>
      </c>
      <c r="AO276" s="24">
        <v>0.0015625</v>
      </c>
      <c r="AP276" s="7" t="s">
        <v>633</v>
      </c>
      <c r="AQ276" s="7" t="s">
        <v>633</v>
      </c>
      <c r="AR276" s="7" t="s">
        <v>633</v>
      </c>
      <c r="AS276" s="7" t="b">
        <f>NOT(ISERROR(MATCH(A276,'Villages according to موسوعة ال'!C:C,0)))</f>
        <v>1</v>
      </c>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row>
    <row r="277">
      <c r="A277" s="7" t="s">
        <v>165</v>
      </c>
      <c r="B277" s="26" t="s">
        <v>166</v>
      </c>
      <c r="E277" s="25"/>
      <c r="F277" s="25"/>
      <c r="K277" s="47"/>
      <c r="L277" s="47"/>
      <c r="M277" s="48" t="b">
        <v>0</v>
      </c>
      <c r="N277" s="48" t="b">
        <v>0</v>
      </c>
      <c r="O277" s="48"/>
      <c r="P277" s="48" t="b">
        <v>0</v>
      </c>
      <c r="Q277" s="48" t="b">
        <v>0</v>
      </c>
      <c r="R277" s="48" t="b">
        <v>0</v>
      </c>
      <c r="S277" s="48"/>
      <c r="T277" s="32"/>
      <c r="U277" s="48" t="b">
        <v>0</v>
      </c>
      <c r="V277" s="48"/>
      <c r="W277" s="48" t="b">
        <v>0</v>
      </c>
      <c r="X277" s="48" t="b">
        <v>0</v>
      </c>
      <c r="Y277" s="48"/>
      <c r="Z277" s="48"/>
      <c r="AA277" s="48"/>
      <c r="AB277" s="48"/>
      <c r="AC277" s="49"/>
      <c r="AD277" s="48"/>
      <c r="AE277" s="48"/>
      <c r="AF277" s="48"/>
      <c r="AG277" s="48"/>
      <c r="AH277" s="48"/>
      <c r="AI277" s="48"/>
      <c r="AJ277" s="25"/>
      <c r="AK277" s="34" t="s">
        <v>636</v>
      </c>
      <c r="AL277" s="25"/>
      <c r="AM277" s="25"/>
      <c r="AN277" s="35" t="s">
        <v>1798</v>
      </c>
      <c r="AO277" s="24">
        <v>0.0014930555555555556</v>
      </c>
      <c r="AP277" s="7" t="s">
        <v>633</v>
      </c>
      <c r="AQ277" s="7" t="s">
        <v>633</v>
      </c>
      <c r="AR277" s="7" t="s">
        <v>633</v>
      </c>
      <c r="AS277" s="7" t="b">
        <f>NOT(ISERROR(MATCH(A277,'Villages according to موسوعة ال'!C:C,0)))</f>
        <v>1</v>
      </c>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row>
    <row r="278">
      <c r="A278" s="7" t="s">
        <v>165</v>
      </c>
      <c r="B278" s="26" t="s">
        <v>166</v>
      </c>
      <c r="E278" s="25"/>
      <c r="F278" s="25"/>
      <c r="K278" s="47"/>
      <c r="L278" s="47"/>
      <c r="M278" s="48" t="b">
        <v>0</v>
      </c>
      <c r="N278" s="48" t="b">
        <v>0</v>
      </c>
      <c r="O278" s="48"/>
      <c r="P278" s="48" t="b">
        <v>0</v>
      </c>
      <c r="Q278" s="48" t="b">
        <v>0</v>
      </c>
      <c r="R278" s="48" t="b">
        <v>0</v>
      </c>
      <c r="S278" s="48"/>
      <c r="T278" s="32"/>
      <c r="U278" s="48" t="b">
        <v>0</v>
      </c>
      <c r="V278" s="48"/>
      <c r="W278" s="48" t="b">
        <v>0</v>
      </c>
      <c r="X278" s="48" t="b">
        <v>0</v>
      </c>
      <c r="Y278" s="48"/>
      <c r="Z278" s="48"/>
      <c r="AA278" s="48"/>
      <c r="AB278" s="48"/>
      <c r="AC278" s="49"/>
      <c r="AD278" s="48"/>
      <c r="AE278" s="48"/>
      <c r="AF278" s="48"/>
      <c r="AG278" s="48"/>
      <c r="AH278" s="48"/>
      <c r="AI278" s="48"/>
      <c r="AJ278" s="25"/>
      <c r="AK278" s="34" t="s">
        <v>636</v>
      </c>
      <c r="AL278" s="25"/>
      <c r="AM278" s="25"/>
      <c r="AN278" s="35" t="s">
        <v>1799</v>
      </c>
      <c r="AO278" s="24">
        <v>0.001099537037037037</v>
      </c>
      <c r="AP278" s="7" t="s">
        <v>633</v>
      </c>
      <c r="AQ278" s="7" t="s">
        <v>633</v>
      </c>
      <c r="AR278" s="7" t="s">
        <v>633</v>
      </c>
      <c r="AS278" s="7" t="b">
        <f>NOT(ISERROR(MATCH(A278,'Villages according to موسوعة ال'!C:C,0)))</f>
        <v>1</v>
      </c>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row>
    <row r="279">
      <c r="A279" s="7" t="s">
        <v>165</v>
      </c>
      <c r="B279" s="26" t="s">
        <v>166</v>
      </c>
      <c r="E279" s="25"/>
      <c r="F279" s="25"/>
      <c r="K279" s="47"/>
      <c r="L279" s="47"/>
      <c r="M279" s="48" t="b">
        <v>0</v>
      </c>
      <c r="N279" s="48" t="b">
        <v>0</v>
      </c>
      <c r="O279" s="48"/>
      <c r="P279" s="48" t="b">
        <v>0</v>
      </c>
      <c r="Q279" s="48" t="b">
        <v>0</v>
      </c>
      <c r="R279" s="48" t="b">
        <v>0</v>
      </c>
      <c r="S279" s="48"/>
      <c r="T279" s="32"/>
      <c r="U279" s="48" t="b">
        <v>0</v>
      </c>
      <c r="V279" s="48"/>
      <c r="W279" s="48" t="b">
        <v>0</v>
      </c>
      <c r="X279" s="48" t="b">
        <v>0</v>
      </c>
      <c r="Y279" s="48"/>
      <c r="Z279" s="48"/>
      <c r="AA279" s="48"/>
      <c r="AB279" s="48"/>
      <c r="AC279" s="49"/>
      <c r="AD279" s="48"/>
      <c r="AE279" s="48"/>
      <c r="AF279" s="48"/>
      <c r="AG279" s="48"/>
      <c r="AH279" s="48"/>
      <c r="AI279" s="48"/>
      <c r="AJ279" s="25"/>
      <c r="AK279" s="34" t="s">
        <v>636</v>
      </c>
      <c r="AL279" s="25"/>
      <c r="AM279" s="25"/>
      <c r="AN279" s="35" t="s">
        <v>1800</v>
      </c>
      <c r="AO279" s="24">
        <v>0.0012731481481481483</v>
      </c>
      <c r="AP279" s="7" t="s">
        <v>633</v>
      </c>
      <c r="AQ279" s="7" t="s">
        <v>633</v>
      </c>
      <c r="AR279" s="7" t="s">
        <v>633</v>
      </c>
      <c r="AS279" s="7" t="b">
        <f>NOT(ISERROR(MATCH(A279,'Villages according to موسوعة ال'!C:C,0)))</f>
        <v>1</v>
      </c>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row>
    <row r="280">
      <c r="A280" s="7" t="s">
        <v>165</v>
      </c>
      <c r="B280" s="26" t="s">
        <v>166</v>
      </c>
      <c r="E280" s="25"/>
      <c r="F280" s="25"/>
      <c r="K280" s="47"/>
      <c r="L280" s="47"/>
      <c r="M280" s="48" t="b">
        <v>0</v>
      </c>
      <c r="N280" s="48" t="b">
        <v>0</v>
      </c>
      <c r="O280" s="48"/>
      <c r="P280" s="48" t="b">
        <v>0</v>
      </c>
      <c r="Q280" s="48" t="b">
        <v>0</v>
      </c>
      <c r="R280" s="48" t="b">
        <v>0</v>
      </c>
      <c r="S280" s="48"/>
      <c r="T280" s="32"/>
      <c r="U280" s="48" t="b">
        <v>0</v>
      </c>
      <c r="V280" s="48"/>
      <c r="W280" s="48" t="b">
        <v>0</v>
      </c>
      <c r="X280" s="48" t="b">
        <v>0</v>
      </c>
      <c r="Y280" s="48"/>
      <c r="Z280" s="48"/>
      <c r="AA280" s="48"/>
      <c r="AB280" s="48"/>
      <c r="AC280" s="49"/>
      <c r="AD280" s="48"/>
      <c r="AE280" s="48"/>
      <c r="AF280" s="48"/>
      <c r="AG280" s="48"/>
      <c r="AH280" s="48"/>
      <c r="AI280" s="48"/>
      <c r="AJ280" s="25"/>
      <c r="AK280" s="34" t="s">
        <v>636</v>
      </c>
      <c r="AL280" s="25"/>
      <c r="AM280" s="25"/>
      <c r="AN280" s="35" t="s">
        <v>1801</v>
      </c>
      <c r="AO280" s="24">
        <v>0.001238425925925926</v>
      </c>
      <c r="AP280" s="7" t="s">
        <v>633</v>
      </c>
      <c r="AQ280" s="7" t="s">
        <v>633</v>
      </c>
      <c r="AR280" s="7" t="s">
        <v>633</v>
      </c>
      <c r="AS280" s="7" t="b">
        <f>NOT(ISERROR(MATCH(A280,'Villages according to موسوعة ال'!C:C,0)))</f>
        <v>1</v>
      </c>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row>
    <row r="281">
      <c r="A281" s="7" t="s">
        <v>165</v>
      </c>
      <c r="B281" s="26" t="s">
        <v>166</v>
      </c>
      <c r="E281" s="25"/>
      <c r="F281" s="25"/>
      <c r="K281" s="47"/>
      <c r="L281" s="47"/>
      <c r="M281" s="48" t="b">
        <v>0</v>
      </c>
      <c r="N281" s="48" t="b">
        <v>0</v>
      </c>
      <c r="O281" s="48"/>
      <c r="P281" s="48" t="b">
        <v>0</v>
      </c>
      <c r="Q281" s="48" t="b">
        <v>0</v>
      </c>
      <c r="R281" s="48" t="b">
        <v>0</v>
      </c>
      <c r="S281" s="48"/>
      <c r="T281" s="32"/>
      <c r="U281" s="48" t="b">
        <v>0</v>
      </c>
      <c r="V281" s="48"/>
      <c r="W281" s="48" t="b">
        <v>0</v>
      </c>
      <c r="X281" s="48" t="b">
        <v>0</v>
      </c>
      <c r="Y281" s="48"/>
      <c r="Z281" s="48"/>
      <c r="AA281" s="48"/>
      <c r="AB281" s="48"/>
      <c r="AC281" s="49"/>
      <c r="AD281" s="48"/>
      <c r="AE281" s="48"/>
      <c r="AF281" s="48"/>
      <c r="AG281" s="48"/>
      <c r="AH281" s="48"/>
      <c r="AI281" s="48"/>
      <c r="AJ281" s="25"/>
      <c r="AK281" s="34" t="s">
        <v>631</v>
      </c>
      <c r="AL281" s="25"/>
      <c r="AM281" s="25"/>
      <c r="AN281" s="35" t="s">
        <v>1802</v>
      </c>
      <c r="AO281" s="24">
        <v>0.0030439814814814813</v>
      </c>
      <c r="AP281" s="7" t="s">
        <v>633</v>
      </c>
      <c r="AQ281" s="7" t="s">
        <v>633</v>
      </c>
      <c r="AR281" s="7" t="s">
        <v>633</v>
      </c>
      <c r="AS281" s="7" t="b">
        <f>NOT(ISERROR(MATCH(A281,'Villages according to موسوعة ال'!C:C,0)))</f>
        <v>1</v>
      </c>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row>
    <row r="282">
      <c r="A282" s="7" t="s">
        <v>165</v>
      </c>
      <c r="B282" s="26" t="s">
        <v>166</v>
      </c>
      <c r="E282" s="25"/>
      <c r="F282" s="25"/>
      <c r="K282" s="47"/>
      <c r="L282" s="47"/>
      <c r="M282" s="48" t="b">
        <v>0</v>
      </c>
      <c r="N282" s="48" t="b">
        <v>0</v>
      </c>
      <c r="O282" s="48"/>
      <c r="P282" s="48" t="b">
        <v>0</v>
      </c>
      <c r="Q282" s="48" t="b">
        <v>0</v>
      </c>
      <c r="R282" s="48" t="b">
        <v>0</v>
      </c>
      <c r="S282" s="48"/>
      <c r="T282" s="32"/>
      <c r="U282" s="48" t="b">
        <v>0</v>
      </c>
      <c r="V282" s="48"/>
      <c r="W282" s="48" t="b">
        <v>0</v>
      </c>
      <c r="X282" s="48" t="b">
        <v>0</v>
      </c>
      <c r="Y282" s="48"/>
      <c r="Z282" s="48"/>
      <c r="AA282" s="48"/>
      <c r="AB282" s="48"/>
      <c r="AC282" s="49"/>
      <c r="AD282" s="48"/>
      <c r="AE282" s="48"/>
      <c r="AF282" s="48"/>
      <c r="AG282" s="48"/>
      <c r="AH282" s="48"/>
      <c r="AI282" s="48"/>
      <c r="AJ282" s="25"/>
      <c r="AK282" s="34"/>
      <c r="AL282" s="25"/>
      <c r="AM282" s="25"/>
      <c r="AN282" s="35" t="s">
        <v>1803</v>
      </c>
      <c r="AO282" s="24">
        <v>0.0030324074074074073</v>
      </c>
      <c r="AP282" s="7" t="s">
        <v>633</v>
      </c>
      <c r="AQ282" s="7" t="s">
        <v>633</v>
      </c>
      <c r="AR282" s="7" t="s">
        <v>633</v>
      </c>
      <c r="AS282" s="7" t="b">
        <f>NOT(ISERROR(MATCH(A282,'Villages according to موسوعة ال'!C:C,0)))</f>
        <v>1</v>
      </c>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row>
    <row r="283">
      <c r="A283" s="7" t="s">
        <v>165</v>
      </c>
      <c r="B283" s="26" t="s">
        <v>166</v>
      </c>
      <c r="E283" s="25"/>
      <c r="F283" s="25"/>
      <c r="K283" s="47"/>
      <c r="L283" s="47"/>
      <c r="M283" s="48" t="b">
        <v>0</v>
      </c>
      <c r="N283" s="48" t="b">
        <v>0</v>
      </c>
      <c r="O283" s="48"/>
      <c r="P283" s="48" t="b">
        <v>0</v>
      </c>
      <c r="Q283" s="48" t="b">
        <v>0</v>
      </c>
      <c r="R283" s="48" t="b">
        <v>0</v>
      </c>
      <c r="S283" s="48"/>
      <c r="T283" s="32"/>
      <c r="U283" s="48" t="b">
        <v>0</v>
      </c>
      <c r="V283" s="48"/>
      <c r="W283" s="48" t="b">
        <v>0</v>
      </c>
      <c r="X283" s="48" t="b">
        <v>0</v>
      </c>
      <c r="Y283" s="48"/>
      <c r="Z283" s="48"/>
      <c r="AA283" s="48"/>
      <c r="AB283" s="48"/>
      <c r="AC283" s="49"/>
      <c r="AD283" s="48"/>
      <c r="AE283" s="48"/>
      <c r="AF283" s="48"/>
      <c r="AG283" s="48"/>
      <c r="AH283" s="48"/>
      <c r="AI283" s="48"/>
      <c r="AJ283" s="25"/>
      <c r="AK283" s="34" t="s">
        <v>636</v>
      </c>
      <c r="AL283" s="25"/>
      <c r="AM283" s="25"/>
      <c r="AN283" s="35" t="s">
        <v>1804</v>
      </c>
      <c r="AO283" s="24">
        <v>6.134259259259259E-4</v>
      </c>
      <c r="AP283" s="7" t="s">
        <v>633</v>
      </c>
      <c r="AQ283" s="7" t="s">
        <v>633</v>
      </c>
      <c r="AR283" s="7" t="s">
        <v>633</v>
      </c>
      <c r="AS283" s="7" t="b">
        <f>NOT(ISERROR(MATCH(A283,'Villages according to موسوعة ال'!C:C,0)))</f>
        <v>1</v>
      </c>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row>
    <row r="284">
      <c r="A284" s="7" t="s">
        <v>165</v>
      </c>
      <c r="B284" s="26" t="s">
        <v>166</v>
      </c>
      <c r="E284" s="25"/>
      <c r="F284" s="25"/>
      <c r="G284" s="28" t="s">
        <v>1545</v>
      </c>
      <c r="H284" s="7" t="s">
        <v>633</v>
      </c>
      <c r="I284" s="7" t="s">
        <v>638</v>
      </c>
      <c r="J284" s="7" t="s">
        <v>1805</v>
      </c>
      <c r="K284" s="47"/>
      <c r="L284" s="47"/>
      <c r="M284" s="48" t="b">
        <v>0</v>
      </c>
      <c r="N284" s="48" t="b">
        <v>0</v>
      </c>
      <c r="O284" s="48"/>
      <c r="P284" s="48" t="b">
        <v>0</v>
      </c>
      <c r="Q284" s="48" t="b">
        <v>0</v>
      </c>
      <c r="R284" s="48" t="b">
        <v>0</v>
      </c>
      <c r="S284" s="48"/>
      <c r="T284" s="32"/>
      <c r="U284" s="48" t="b">
        <v>0</v>
      </c>
      <c r="V284" s="48"/>
      <c r="W284" s="48" t="b">
        <v>0</v>
      </c>
      <c r="X284" s="48" t="b">
        <v>0</v>
      </c>
      <c r="Y284" s="48"/>
      <c r="Z284" s="48"/>
      <c r="AA284" s="48"/>
      <c r="AB284" s="48"/>
      <c r="AC284" s="49"/>
      <c r="AD284" s="48"/>
      <c r="AE284" s="48"/>
      <c r="AF284" s="48"/>
      <c r="AG284" s="48"/>
      <c r="AH284" s="48"/>
      <c r="AI284" s="48"/>
      <c r="AJ284" s="25"/>
      <c r="AK284" s="34" t="s">
        <v>636</v>
      </c>
      <c r="AL284" s="25"/>
      <c r="AM284" s="25"/>
      <c r="AN284" s="35" t="s">
        <v>1806</v>
      </c>
      <c r="AO284" s="24">
        <v>5.324074074074074E-4</v>
      </c>
      <c r="AP284" s="7" t="s">
        <v>633</v>
      </c>
      <c r="AQ284" s="7" t="s">
        <v>633</v>
      </c>
      <c r="AR284" s="7" t="s">
        <v>633</v>
      </c>
      <c r="AS284" s="7" t="b">
        <f>NOT(ISERROR(MATCH(A284,'Villages according to موسوعة ال'!C:C,0)))</f>
        <v>1</v>
      </c>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row>
    <row r="285">
      <c r="A285" s="7" t="s">
        <v>81</v>
      </c>
      <c r="B285" s="26" t="s">
        <v>1807</v>
      </c>
      <c r="C285" s="7" t="s">
        <v>1808</v>
      </c>
      <c r="D285" s="7" t="s">
        <v>83</v>
      </c>
      <c r="E285" s="7" t="s">
        <v>1809</v>
      </c>
      <c r="F285" s="7" t="s">
        <v>692</v>
      </c>
      <c r="G285" s="28" t="s">
        <v>693</v>
      </c>
      <c r="H285" s="3" t="s">
        <v>1810</v>
      </c>
      <c r="I285" s="7" t="s">
        <v>616</v>
      </c>
      <c r="J285" s="7" t="s">
        <v>1811</v>
      </c>
      <c r="K285" s="47"/>
      <c r="L285" s="47"/>
      <c r="M285" s="48" t="b">
        <v>0</v>
      </c>
      <c r="N285" s="48" t="b">
        <v>0</v>
      </c>
      <c r="O285" s="48"/>
      <c r="P285" s="48" t="b">
        <v>0</v>
      </c>
      <c r="Q285" s="48" t="b">
        <v>0</v>
      </c>
      <c r="R285" s="48" t="b">
        <v>0</v>
      </c>
      <c r="S285" s="48"/>
      <c r="T285" s="32"/>
      <c r="U285" s="48" t="b">
        <v>0</v>
      </c>
      <c r="V285" s="48"/>
      <c r="W285" s="48" t="b">
        <v>0</v>
      </c>
      <c r="X285" s="48" t="b">
        <v>0</v>
      </c>
      <c r="Y285" s="48"/>
      <c r="Z285" s="48"/>
      <c r="AA285" s="48"/>
      <c r="AB285" s="48"/>
      <c r="AC285" s="49"/>
      <c r="AD285" s="48"/>
      <c r="AE285" s="48"/>
      <c r="AF285" s="48"/>
      <c r="AG285" s="48"/>
      <c r="AH285" s="48"/>
      <c r="AI285" s="48"/>
      <c r="AJ285" s="25"/>
      <c r="AK285" s="34" t="s">
        <v>636</v>
      </c>
      <c r="AL285" s="25"/>
      <c r="AM285" s="25"/>
      <c r="AN285" s="68" t="s">
        <v>1812</v>
      </c>
      <c r="AO285" s="24">
        <v>0.0121875</v>
      </c>
      <c r="AP285" s="7" t="s">
        <v>633</v>
      </c>
      <c r="AQ285" s="7" t="s">
        <v>633</v>
      </c>
      <c r="AR285" s="7" t="s">
        <v>633</v>
      </c>
      <c r="AS285" s="7" t="b">
        <f>NOT(ISERROR(MATCH(A285,'Villages according to موسوعة ال'!C:C,0)))</f>
        <v>1</v>
      </c>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row>
    <row r="286">
      <c r="A286" s="7" t="s">
        <v>81</v>
      </c>
      <c r="B286" s="26" t="s">
        <v>1807</v>
      </c>
      <c r="F286" s="7" t="s">
        <v>692</v>
      </c>
      <c r="G286" s="28"/>
      <c r="K286" s="54" t="s">
        <v>1813</v>
      </c>
      <c r="L286" s="54" t="s">
        <v>1814</v>
      </c>
      <c r="M286" s="31" t="b">
        <v>0</v>
      </c>
      <c r="N286" s="31" t="b">
        <v>0</v>
      </c>
      <c r="O286" s="31"/>
      <c r="P286" s="31" t="b">
        <v>0</v>
      </c>
      <c r="Q286" s="31" t="b">
        <v>0</v>
      </c>
      <c r="R286" s="31" t="b">
        <v>0</v>
      </c>
      <c r="S286" s="31"/>
      <c r="T286" s="32"/>
      <c r="U286" s="31" t="b">
        <v>0</v>
      </c>
      <c r="V286" s="31"/>
      <c r="W286" s="31" t="b">
        <v>0</v>
      </c>
      <c r="X286" s="31" t="b">
        <v>0</v>
      </c>
      <c r="Y286" s="31"/>
      <c r="Z286" s="31"/>
      <c r="AA286" s="31"/>
      <c r="AB286" s="31"/>
      <c r="AC286" s="45"/>
      <c r="AD286" s="31"/>
      <c r="AE286" s="31"/>
      <c r="AF286" s="31"/>
      <c r="AG286" s="31"/>
      <c r="AH286" s="31"/>
      <c r="AI286" s="31"/>
      <c r="AJ286" s="3"/>
      <c r="AK286" s="34" t="s">
        <v>636</v>
      </c>
      <c r="AL286" s="25"/>
      <c r="AM286" s="25"/>
      <c r="AN286" s="68" t="s">
        <v>1815</v>
      </c>
      <c r="AO286" s="24">
        <v>0.0014930555555555556</v>
      </c>
      <c r="AP286" s="7" t="s">
        <v>633</v>
      </c>
      <c r="AQ286" s="7" t="s">
        <v>633</v>
      </c>
      <c r="AR286" s="7" t="s">
        <v>633</v>
      </c>
      <c r="AS286" s="7" t="b">
        <f>NOT(ISERROR(MATCH(A286,'Villages according to موسوعة ال'!C:C,0)))</f>
        <v>1</v>
      </c>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row>
    <row r="287">
      <c r="A287" s="3" t="s">
        <v>1816</v>
      </c>
      <c r="B287" s="26" t="s">
        <v>1817</v>
      </c>
      <c r="C287" s="7" t="s">
        <v>1817</v>
      </c>
      <c r="D287" s="7" t="s">
        <v>1818</v>
      </c>
      <c r="E287" s="25"/>
      <c r="F287" s="25"/>
      <c r="G287" s="84"/>
      <c r="H287" s="3" t="s">
        <v>1819</v>
      </c>
      <c r="I287" s="7" t="s">
        <v>638</v>
      </c>
      <c r="J287" s="7" t="s">
        <v>1820</v>
      </c>
      <c r="K287" s="54" t="s">
        <v>1821</v>
      </c>
      <c r="L287" s="54"/>
      <c r="M287" s="31" t="b">
        <v>0</v>
      </c>
      <c r="N287" s="31" t="b">
        <v>0</v>
      </c>
      <c r="O287" s="31"/>
      <c r="P287" s="31" t="b">
        <v>0</v>
      </c>
      <c r="Q287" s="31" t="b">
        <v>0</v>
      </c>
      <c r="R287" s="31" t="b">
        <v>0</v>
      </c>
      <c r="S287" s="31"/>
      <c r="T287" s="32"/>
      <c r="U287" s="31" t="b">
        <v>0</v>
      </c>
      <c r="V287" s="31"/>
      <c r="W287" s="31" t="b">
        <v>0</v>
      </c>
      <c r="X287" s="31" t="b">
        <v>0</v>
      </c>
      <c r="Y287" s="31"/>
      <c r="Z287" s="31"/>
      <c r="AA287" s="31"/>
      <c r="AB287" s="31"/>
      <c r="AC287" s="45"/>
      <c r="AD287" s="31"/>
      <c r="AE287" s="31"/>
      <c r="AF287" s="31"/>
      <c r="AG287" s="31"/>
      <c r="AH287" s="31"/>
      <c r="AI287" s="31"/>
      <c r="AJ287" s="3" t="s">
        <v>1822</v>
      </c>
      <c r="AK287" s="34" t="s">
        <v>636</v>
      </c>
      <c r="AL287" s="3"/>
      <c r="AM287" s="25"/>
      <c r="AN287" s="35" t="s">
        <v>1823</v>
      </c>
      <c r="AO287" s="24" t="s">
        <v>1824</v>
      </c>
      <c r="AP287" s="3" t="s">
        <v>1825</v>
      </c>
      <c r="AQ287" s="7" t="s">
        <v>633</v>
      </c>
      <c r="AR287" s="7" t="s">
        <v>633</v>
      </c>
      <c r="AS287" s="7" t="b">
        <f>NOT(ISERROR(MATCH(A287,'Villages according to موسوعة ال'!C:C,0)))</f>
        <v>0</v>
      </c>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row>
    <row r="288">
      <c r="A288" s="3" t="s">
        <v>1816</v>
      </c>
      <c r="B288" s="26" t="s">
        <v>1817</v>
      </c>
      <c r="E288" s="25"/>
      <c r="F288" s="25"/>
      <c r="G288" s="84"/>
      <c r="K288" s="47"/>
      <c r="L288" s="47"/>
      <c r="M288" s="48" t="b">
        <v>0</v>
      </c>
      <c r="N288" s="48" t="b">
        <v>0</v>
      </c>
      <c r="O288" s="48"/>
      <c r="P288" s="48" t="b">
        <v>0</v>
      </c>
      <c r="Q288" s="48" t="b">
        <v>0</v>
      </c>
      <c r="R288" s="48" t="b">
        <v>0</v>
      </c>
      <c r="S288" s="48"/>
      <c r="T288" s="32"/>
      <c r="U288" s="48" t="b">
        <v>0</v>
      </c>
      <c r="V288" s="48"/>
      <c r="W288" s="48" t="b">
        <v>0</v>
      </c>
      <c r="X288" s="48" t="b">
        <v>0</v>
      </c>
      <c r="Y288" s="48"/>
      <c r="Z288" s="48"/>
      <c r="AA288" s="48"/>
      <c r="AB288" s="48"/>
      <c r="AC288" s="49"/>
      <c r="AD288" s="48"/>
      <c r="AE288" s="48"/>
      <c r="AF288" s="48"/>
      <c r="AG288" s="48"/>
      <c r="AH288" s="48"/>
      <c r="AI288" s="48"/>
      <c r="AJ288" s="3" t="s">
        <v>1826</v>
      </c>
      <c r="AK288" s="34" t="s">
        <v>636</v>
      </c>
      <c r="AL288" s="25"/>
      <c r="AM288" s="25"/>
      <c r="AN288" s="35" t="s">
        <v>1827</v>
      </c>
      <c r="AO288" s="24">
        <v>0.007673611111111111</v>
      </c>
      <c r="AP288" s="3" t="s">
        <v>1825</v>
      </c>
      <c r="AQ288" s="7" t="s">
        <v>633</v>
      </c>
      <c r="AR288" s="7" t="s">
        <v>633</v>
      </c>
      <c r="AS288" s="7" t="b">
        <f>NOT(ISERROR(MATCH(A288,'Villages according to موسوعة ال'!C:C,0)))</f>
        <v>0</v>
      </c>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row>
    <row r="289">
      <c r="A289" s="3" t="s">
        <v>1816</v>
      </c>
      <c r="B289" s="26" t="s">
        <v>1817</v>
      </c>
      <c r="E289" s="25"/>
      <c r="F289" s="25"/>
      <c r="G289" s="84"/>
      <c r="K289" s="47"/>
      <c r="L289" s="47"/>
      <c r="M289" s="48" t="b">
        <v>0</v>
      </c>
      <c r="N289" s="48" t="b">
        <v>0</v>
      </c>
      <c r="O289" s="48"/>
      <c r="P289" s="48" t="b">
        <v>0</v>
      </c>
      <c r="Q289" s="48" t="b">
        <v>0</v>
      </c>
      <c r="R289" s="48" t="b">
        <v>0</v>
      </c>
      <c r="S289" s="48"/>
      <c r="T289" s="32"/>
      <c r="U289" s="48" t="b">
        <v>0</v>
      </c>
      <c r="V289" s="48"/>
      <c r="W289" s="48" t="b">
        <v>0</v>
      </c>
      <c r="X289" s="48" t="b">
        <v>0</v>
      </c>
      <c r="Y289" s="48"/>
      <c r="Z289" s="48"/>
      <c r="AA289" s="48"/>
      <c r="AB289" s="48"/>
      <c r="AC289" s="49"/>
      <c r="AD289" s="48"/>
      <c r="AE289" s="48"/>
      <c r="AF289" s="48"/>
      <c r="AG289" s="48"/>
      <c r="AH289" s="48"/>
      <c r="AI289" s="48"/>
      <c r="AJ289" s="25"/>
      <c r="AK289" s="34" t="s">
        <v>636</v>
      </c>
      <c r="AL289" s="25"/>
      <c r="AM289" s="25"/>
      <c r="AN289" s="35" t="s">
        <v>1828</v>
      </c>
      <c r="AO289" s="24">
        <v>0.00920138888888889</v>
      </c>
      <c r="AP289" s="3" t="s">
        <v>1825</v>
      </c>
      <c r="AQ289" s="7" t="s">
        <v>633</v>
      </c>
      <c r="AR289" s="7" t="s">
        <v>633</v>
      </c>
      <c r="AS289" s="7" t="b">
        <f>NOT(ISERROR(MATCH(A289,'Villages according to موسوعة ال'!C:C,0)))</f>
        <v>0</v>
      </c>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row>
    <row r="290">
      <c r="A290" s="3" t="s">
        <v>1816</v>
      </c>
      <c r="B290" s="26" t="s">
        <v>1817</v>
      </c>
      <c r="E290" s="25"/>
      <c r="F290" s="25"/>
      <c r="G290" s="84"/>
      <c r="K290" s="30"/>
      <c r="L290" s="30" t="s">
        <v>1829</v>
      </c>
      <c r="M290" s="60" t="b">
        <v>0</v>
      </c>
      <c r="N290" s="60" t="b">
        <v>0</v>
      </c>
      <c r="O290" s="60"/>
      <c r="P290" s="60" t="b">
        <v>0</v>
      </c>
      <c r="Q290" s="60" t="b">
        <v>0</v>
      </c>
      <c r="R290" s="60" t="b">
        <v>0</v>
      </c>
      <c r="S290" s="60"/>
      <c r="T290" s="60"/>
      <c r="U290" s="60" t="b">
        <v>0</v>
      </c>
      <c r="V290" s="60"/>
      <c r="W290" s="60" t="b">
        <v>0</v>
      </c>
      <c r="X290" s="60" t="b">
        <v>0</v>
      </c>
      <c r="Y290" s="60"/>
      <c r="Z290" s="60"/>
      <c r="AA290" s="60"/>
      <c r="AB290" s="60"/>
      <c r="AC290" s="61"/>
      <c r="AD290" s="60"/>
      <c r="AE290" s="60"/>
      <c r="AF290" s="60"/>
      <c r="AG290" s="60"/>
      <c r="AH290" s="60"/>
      <c r="AI290" s="60"/>
      <c r="AJ290" s="7"/>
      <c r="AK290" s="34" t="s">
        <v>698</v>
      </c>
      <c r="AL290" s="3" t="s">
        <v>699</v>
      </c>
      <c r="AM290" s="3" t="s">
        <v>676</v>
      </c>
      <c r="AN290" s="35" t="s">
        <v>1830</v>
      </c>
      <c r="AO290" s="24">
        <v>0.02662037037037037</v>
      </c>
      <c r="AP290" s="3" t="s">
        <v>1825</v>
      </c>
      <c r="AQ290" s="7" t="s">
        <v>633</v>
      </c>
      <c r="AR290" s="35" t="s">
        <v>1831</v>
      </c>
      <c r="AS290" s="7" t="b">
        <f>NOT(ISERROR(MATCH(A290,'Villages according to موسوعة ال'!C:C,0)))</f>
        <v>0</v>
      </c>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row>
    <row r="291">
      <c r="A291" s="3" t="s">
        <v>1816</v>
      </c>
      <c r="B291" s="26" t="s">
        <v>1817</v>
      </c>
      <c r="E291" s="25"/>
      <c r="F291" s="25"/>
      <c r="G291" s="84"/>
      <c r="K291" s="54" t="s">
        <v>1140</v>
      </c>
      <c r="L291" s="54"/>
      <c r="M291" s="31" t="b">
        <v>0</v>
      </c>
      <c r="N291" s="31" t="b">
        <v>0</v>
      </c>
      <c r="O291" s="31"/>
      <c r="P291" s="31" t="b">
        <v>0</v>
      </c>
      <c r="Q291" s="31" t="b">
        <v>0</v>
      </c>
      <c r="R291" s="31" t="b">
        <v>0</v>
      </c>
      <c r="S291" s="31"/>
      <c r="T291" s="32"/>
      <c r="U291" s="31" t="b">
        <v>0</v>
      </c>
      <c r="V291" s="31"/>
      <c r="W291" s="31" t="b">
        <v>0</v>
      </c>
      <c r="X291" s="31" t="b">
        <v>0</v>
      </c>
      <c r="Y291" s="31"/>
      <c r="Z291" s="31"/>
      <c r="AA291" s="31"/>
      <c r="AB291" s="31"/>
      <c r="AC291" s="45"/>
      <c r="AD291" s="31"/>
      <c r="AE291" s="31"/>
      <c r="AF291" s="31"/>
      <c r="AG291" s="31"/>
      <c r="AH291" s="31"/>
      <c r="AI291" s="31"/>
      <c r="AJ291" s="3" t="s">
        <v>1140</v>
      </c>
      <c r="AK291" s="34" t="s">
        <v>636</v>
      </c>
      <c r="AL291" s="3"/>
      <c r="AM291" s="25"/>
      <c r="AN291" s="35" t="s">
        <v>1832</v>
      </c>
      <c r="AO291" s="24">
        <v>0.0030555555555555557</v>
      </c>
      <c r="AP291" s="3" t="s">
        <v>1833</v>
      </c>
      <c r="AQ291" s="7" t="s">
        <v>633</v>
      </c>
      <c r="AR291" s="7" t="s">
        <v>633</v>
      </c>
      <c r="AS291" s="7" t="b">
        <f>NOT(ISERROR(MATCH(A291,'Villages according to موسوعة ال'!C:C,0)))</f>
        <v>0</v>
      </c>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row>
    <row r="292">
      <c r="A292" s="3" t="s">
        <v>179</v>
      </c>
      <c r="B292" s="26" t="s">
        <v>180</v>
      </c>
      <c r="C292" s="7" t="s">
        <v>180</v>
      </c>
      <c r="D292" s="7" t="s">
        <v>181</v>
      </c>
      <c r="E292" s="25"/>
      <c r="F292" s="25"/>
      <c r="G292" s="84"/>
      <c r="H292" s="7" t="s">
        <v>633</v>
      </c>
      <c r="I292" s="7" t="s">
        <v>638</v>
      </c>
      <c r="J292" s="7" t="s">
        <v>1834</v>
      </c>
      <c r="K292" s="100" t="s">
        <v>1835</v>
      </c>
      <c r="L292" s="101"/>
      <c r="M292" s="102" t="b">
        <v>0</v>
      </c>
      <c r="N292" s="102" t="b">
        <v>0</v>
      </c>
      <c r="O292" s="102"/>
      <c r="P292" s="102" t="b">
        <v>0</v>
      </c>
      <c r="Q292" s="102" t="b">
        <v>0</v>
      </c>
      <c r="R292" s="102" t="b">
        <v>0</v>
      </c>
      <c r="S292" s="102"/>
      <c r="T292" s="32"/>
      <c r="U292" s="102" t="b">
        <v>0</v>
      </c>
      <c r="V292" s="102"/>
      <c r="W292" s="102" t="b">
        <v>0</v>
      </c>
      <c r="X292" s="102" t="b">
        <v>0</v>
      </c>
      <c r="Y292" s="102"/>
      <c r="Z292" s="102"/>
      <c r="AA292" s="102"/>
      <c r="AB292" s="102"/>
      <c r="AC292" s="103"/>
      <c r="AD292" s="102"/>
      <c r="AE292" s="102"/>
      <c r="AF292" s="102"/>
      <c r="AG292" s="102"/>
      <c r="AH292" s="102"/>
      <c r="AI292" s="102"/>
      <c r="AJ292" s="104"/>
      <c r="AK292" s="105" t="s">
        <v>636</v>
      </c>
      <c r="AL292" s="104"/>
      <c r="AM292" s="25"/>
      <c r="AN292" s="35" t="s">
        <v>1836</v>
      </c>
      <c r="AO292" s="24">
        <v>0.009479166666666667</v>
      </c>
      <c r="AP292" s="3" t="s">
        <v>1837</v>
      </c>
      <c r="AQ292" s="7" t="s">
        <v>633</v>
      </c>
      <c r="AR292" s="7" t="s">
        <v>633</v>
      </c>
      <c r="AS292" s="7" t="b">
        <f>NOT(ISERROR(MATCH(A292,'Villages according to موسوعة ال'!C:C,0)))</f>
        <v>1</v>
      </c>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row>
    <row r="293">
      <c r="A293" s="3" t="s">
        <v>179</v>
      </c>
      <c r="B293" s="26" t="s">
        <v>180</v>
      </c>
      <c r="E293" s="25"/>
      <c r="F293" s="25"/>
      <c r="K293" s="47"/>
      <c r="L293" s="47"/>
      <c r="M293" s="48" t="b">
        <v>0</v>
      </c>
      <c r="N293" s="48" t="b">
        <v>0</v>
      </c>
      <c r="O293" s="48"/>
      <c r="P293" s="48" t="b">
        <v>0</v>
      </c>
      <c r="Q293" s="48" t="b">
        <v>0</v>
      </c>
      <c r="R293" s="48" t="b">
        <v>0</v>
      </c>
      <c r="S293" s="48"/>
      <c r="T293" s="32"/>
      <c r="U293" s="48" t="b">
        <v>0</v>
      </c>
      <c r="V293" s="48"/>
      <c r="W293" s="48" t="b">
        <v>0</v>
      </c>
      <c r="X293" s="48" t="b">
        <v>0</v>
      </c>
      <c r="Y293" s="48"/>
      <c r="Z293" s="48"/>
      <c r="AA293" s="48"/>
      <c r="AB293" s="48"/>
      <c r="AC293" s="49"/>
      <c r="AD293" s="48"/>
      <c r="AE293" s="48"/>
      <c r="AF293" s="48"/>
      <c r="AG293" s="48"/>
      <c r="AH293" s="48"/>
      <c r="AI293" s="48"/>
      <c r="AJ293" s="25"/>
      <c r="AK293" s="50"/>
      <c r="AL293" s="25"/>
      <c r="AM293" s="25"/>
      <c r="AN293" s="35" t="s">
        <v>1838</v>
      </c>
      <c r="AO293" s="24">
        <v>0.0</v>
      </c>
      <c r="AP293" s="3" t="s">
        <v>1837</v>
      </c>
      <c r="AQ293" s="7" t="s">
        <v>633</v>
      </c>
      <c r="AR293" s="7" t="s">
        <v>633</v>
      </c>
      <c r="AS293" s="7" t="b">
        <f>NOT(ISERROR(MATCH(A293,'Villages according to موسوعة ال'!C:C,0)))</f>
        <v>1</v>
      </c>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row>
    <row r="294">
      <c r="A294" s="3" t="s">
        <v>179</v>
      </c>
      <c r="B294" s="26" t="s">
        <v>180</v>
      </c>
      <c r="E294" s="25"/>
      <c r="F294" s="25"/>
      <c r="G294" s="84"/>
      <c r="H294" s="7" t="s">
        <v>633</v>
      </c>
      <c r="I294" s="7" t="s">
        <v>616</v>
      </c>
      <c r="J294" s="7" t="s">
        <v>1839</v>
      </c>
      <c r="K294" s="47"/>
      <c r="L294" s="47"/>
      <c r="M294" s="48" t="b">
        <v>0</v>
      </c>
      <c r="N294" s="48" t="b">
        <v>0</v>
      </c>
      <c r="O294" s="48"/>
      <c r="P294" s="48" t="b">
        <v>0</v>
      </c>
      <c r="Q294" s="48" t="b">
        <v>0</v>
      </c>
      <c r="R294" s="48" t="b">
        <v>0</v>
      </c>
      <c r="S294" s="48"/>
      <c r="T294" s="32"/>
      <c r="U294" s="48" t="b">
        <v>0</v>
      </c>
      <c r="V294" s="48"/>
      <c r="W294" s="48" t="b">
        <v>0</v>
      </c>
      <c r="X294" s="48" t="b">
        <v>0</v>
      </c>
      <c r="Y294" s="48"/>
      <c r="Z294" s="48"/>
      <c r="AA294" s="48"/>
      <c r="AB294" s="48"/>
      <c r="AC294" s="49"/>
      <c r="AD294" s="48"/>
      <c r="AE294" s="48"/>
      <c r="AF294" s="48"/>
      <c r="AG294" s="48"/>
      <c r="AH294" s="48"/>
      <c r="AI294" s="48"/>
      <c r="AJ294" s="3" t="s">
        <v>1840</v>
      </c>
      <c r="AK294" s="34" t="s">
        <v>636</v>
      </c>
      <c r="AL294" s="25"/>
      <c r="AM294" s="25"/>
      <c r="AN294" s="35" t="s">
        <v>1841</v>
      </c>
      <c r="AO294" s="24">
        <v>0.005891203703703704</v>
      </c>
      <c r="AP294" s="3" t="s">
        <v>1837</v>
      </c>
      <c r="AQ294" s="7" t="s">
        <v>633</v>
      </c>
      <c r="AR294" s="7" t="s">
        <v>633</v>
      </c>
      <c r="AS294" s="7" t="b">
        <f>NOT(ISERROR(MATCH(A294,'Villages according to موسوعة ال'!C:C,0)))</f>
        <v>1</v>
      </c>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row>
    <row r="295">
      <c r="A295" s="3" t="s">
        <v>179</v>
      </c>
      <c r="B295" s="26" t="s">
        <v>180</v>
      </c>
      <c r="E295" s="25"/>
      <c r="F295" s="25"/>
      <c r="G295" s="84"/>
      <c r="K295" s="47"/>
      <c r="L295" s="47"/>
      <c r="M295" s="48" t="b">
        <v>0</v>
      </c>
      <c r="N295" s="48" t="b">
        <v>0</v>
      </c>
      <c r="O295" s="48"/>
      <c r="P295" s="48" t="b">
        <v>0</v>
      </c>
      <c r="Q295" s="48" t="b">
        <v>0</v>
      </c>
      <c r="R295" s="48" t="b">
        <v>0</v>
      </c>
      <c r="S295" s="48"/>
      <c r="T295" s="32"/>
      <c r="U295" s="48" t="b">
        <v>0</v>
      </c>
      <c r="V295" s="48"/>
      <c r="W295" s="48" t="b">
        <v>0</v>
      </c>
      <c r="X295" s="48" t="b">
        <v>0</v>
      </c>
      <c r="Y295" s="48"/>
      <c r="Z295" s="48"/>
      <c r="AA295" s="48"/>
      <c r="AB295" s="48"/>
      <c r="AC295" s="49"/>
      <c r="AD295" s="48"/>
      <c r="AE295" s="48"/>
      <c r="AF295" s="48"/>
      <c r="AG295" s="48"/>
      <c r="AH295" s="48"/>
      <c r="AI295" s="48"/>
      <c r="AJ295" s="25"/>
      <c r="AK295" s="50"/>
      <c r="AL295" s="25"/>
      <c r="AM295" s="25"/>
      <c r="AN295" s="35" t="s">
        <v>1842</v>
      </c>
      <c r="AO295" s="24">
        <v>0.0</v>
      </c>
      <c r="AP295" s="3" t="s">
        <v>1837</v>
      </c>
      <c r="AQ295" s="7" t="s">
        <v>633</v>
      </c>
      <c r="AR295" s="7" t="s">
        <v>633</v>
      </c>
      <c r="AS295" s="7" t="b">
        <f>NOT(ISERROR(MATCH(A295,'Villages according to موسوعة ال'!C:C,0)))</f>
        <v>1</v>
      </c>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row>
    <row r="296">
      <c r="A296" s="3" t="s">
        <v>179</v>
      </c>
      <c r="B296" s="26" t="s">
        <v>180</v>
      </c>
      <c r="E296" s="25"/>
      <c r="F296" s="25"/>
      <c r="G296" s="84"/>
      <c r="H296" s="25"/>
      <c r="I296" s="7" t="s">
        <v>638</v>
      </c>
      <c r="J296" s="7" t="s">
        <v>1843</v>
      </c>
      <c r="K296" s="47"/>
      <c r="L296" s="47"/>
      <c r="M296" s="48" t="b">
        <v>0</v>
      </c>
      <c r="N296" s="48" t="b">
        <v>0</v>
      </c>
      <c r="O296" s="48"/>
      <c r="P296" s="48" t="b">
        <v>0</v>
      </c>
      <c r="Q296" s="48" t="b">
        <v>0</v>
      </c>
      <c r="R296" s="48" t="b">
        <v>0</v>
      </c>
      <c r="S296" s="48"/>
      <c r="T296" s="32"/>
      <c r="U296" s="48" t="b">
        <v>0</v>
      </c>
      <c r="V296" s="48"/>
      <c r="W296" s="48" t="b">
        <v>0</v>
      </c>
      <c r="X296" s="48" t="b">
        <v>0</v>
      </c>
      <c r="Y296" s="48"/>
      <c r="Z296" s="48"/>
      <c r="AA296" s="48"/>
      <c r="AB296" s="48"/>
      <c r="AC296" s="49"/>
      <c r="AD296" s="48"/>
      <c r="AE296" s="48"/>
      <c r="AF296" s="48"/>
      <c r="AG296" s="48"/>
      <c r="AH296" s="48"/>
      <c r="AI296" s="48"/>
      <c r="AJ296" s="25"/>
      <c r="AK296" s="50"/>
      <c r="AL296" s="25"/>
      <c r="AM296" s="25"/>
      <c r="AN296" s="35" t="s">
        <v>1844</v>
      </c>
      <c r="AO296" s="24">
        <v>0.0</v>
      </c>
      <c r="AP296" s="3" t="s">
        <v>1837</v>
      </c>
      <c r="AQ296" s="7" t="s">
        <v>633</v>
      </c>
      <c r="AR296" s="7" t="s">
        <v>633</v>
      </c>
      <c r="AS296" s="7" t="b">
        <f>NOT(ISERROR(MATCH(A296,'Villages according to موسوعة ال'!C:C,0)))</f>
        <v>1</v>
      </c>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row>
    <row r="297">
      <c r="A297" s="3" t="s">
        <v>179</v>
      </c>
      <c r="B297" s="26" t="s">
        <v>180</v>
      </c>
      <c r="E297" s="25"/>
      <c r="F297" s="25"/>
      <c r="G297" s="84"/>
      <c r="H297" s="25"/>
      <c r="I297" s="7" t="s">
        <v>616</v>
      </c>
      <c r="J297" s="7" t="s">
        <v>1845</v>
      </c>
      <c r="K297" s="106"/>
      <c r="L297" s="47"/>
      <c r="M297" s="48" t="b">
        <v>0</v>
      </c>
      <c r="N297" s="48" t="b">
        <v>0</v>
      </c>
      <c r="O297" s="48"/>
      <c r="P297" s="48" t="b">
        <v>0</v>
      </c>
      <c r="Q297" s="48" t="b">
        <v>0</v>
      </c>
      <c r="R297" s="48" t="b">
        <v>0</v>
      </c>
      <c r="S297" s="48"/>
      <c r="T297" s="32"/>
      <c r="U297" s="48" t="b">
        <v>0</v>
      </c>
      <c r="V297" s="48"/>
      <c r="W297" s="48" t="b">
        <v>0</v>
      </c>
      <c r="X297" s="48" t="b">
        <v>0</v>
      </c>
      <c r="Y297" s="48"/>
      <c r="Z297" s="48"/>
      <c r="AA297" s="48"/>
      <c r="AB297" s="48"/>
      <c r="AC297" s="49"/>
      <c r="AD297" s="48"/>
      <c r="AE297" s="48"/>
      <c r="AF297" s="48"/>
      <c r="AG297" s="48"/>
      <c r="AH297" s="48"/>
      <c r="AI297" s="48"/>
      <c r="AJ297" s="25"/>
      <c r="AK297" s="50"/>
      <c r="AL297" s="25"/>
      <c r="AM297" s="25"/>
      <c r="AN297" s="35" t="s">
        <v>1846</v>
      </c>
      <c r="AO297" s="24">
        <v>0.0</v>
      </c>
      <c r="AP297" s="3" t="s">
        <v>1837</v>
      </c>
      <c r="AQ297" s="7" t="s">
        <v>633</v>
      </c>
      <c r="AR297" s="7" t="s">
        <v>633</v>
      </c>
      <c r="AS297" s="7" t="b">
        <f>NOT(ISERROR(MATCH(A297,'Villages according to موسوعة ال'!C:C,0)))</f>
        <v>1</v>
      </c>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row>
    <row r="298">
      <c r="A298" s="3" t="s">
        <v>179</v>
      </c>
      <c r="B298" s="43" t="s">
        <v>180</v>
      </c>
      <c r="E298" s="25"/>
      <c r="F298" s="25"/>
      <c r="G298" s="84"/>
      <c r="H298" s="3"/>
      <c r="I298" s="7" t="s">
        <v>638</v>
      </c>
      <c r="J298" s="7" t="s">
        <v>1847</v>
      </c>
      <c r="K298" s="47"/>
      <c r="L298" s="47"/>
      <c r="M298" s="60" t="b">
        <v>1</v>
      </c>
      <c r="N298" s="60" t="b">
        <v>1</v>
      </c>
      <c r="O298" s="60" t="s">
        <v>756</v>
      </c>
      <c r="P298" s="48" t="b">
        <v>0</v>
      </c>
      <c r="Q298" s="48" t="b">
        <v>0</v>
      </c>
      <c r="R298" s="48" t="b">
        <v>0</v>
      </c>
      <c r="S298" s="60" t="s">
        <v>966</v>
      </c>
      <c r="T298" s="60" t="s">
        <v>1521</v>
      </c>
      <c r="U298" s="48" t="b">
        <v>0</v>
      </c>
      <c r="V298" s="48"/>
      <c r="W298" s="48" t="b">
        <v>0</v>
      </c>
      <c r="X298" s="48" t="b">
        <v>0</v>
      </c>
      <c r="Y298" s="60" t="s">
        <v>671</v>
      </c>
      <c r="Z298" s="48"/>
      <c r="AA298" s="48"/>
      <c r="AB298" s="48"/>
      <c r="AC298" s="49"/>
      <c r="AD298" s="60" t="s">
        <v>686</v>
      </c>
      <c r="AE298" s="48"/>
      <c r="AF298" s="48"/>
      <c r="AG298" s="48"/>
      <c r="AH298" s="60" t="s">
        <v>1765</v>
      </c>
      <c r="AI298" s="60" t="s">
        <v>673</v>
      </c>
      <c r="AJ298" s="25"/>
      <c r="AK298" s="34" t="s">
        <v>698</v>
      </c>
      <c r="AL298" s="3" t="s">
        <v>823</v>
      </c>
      <c r="AM298" s="3" t="s">
        <v>700</v>
      </c>
      <c r="AN298" s="35" t="s">
        <v>1848</v>
      </c>
      <c r="AO298" s="24">
        <v>0.0034027777777777776</v>
      </c>
      <c r="AP298" s="3" t="s">
        <v>1849</v>
      </c>
      <c r="AQ298" s="7" t="s">
        <v>633</v>
      </c>
      <c r="AR298" s="35" t="s">
        <v>1850</v>
      </c>
      <c r="AS298" s="7" t="b">
        <f>NOT(ISERROR(MATCH(A298,'Villages according to موسوعة ال'!C:C,0)))</f>
        <v>1</v>
      </c>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row>
    <row r="299">
      <c r="A299" s="3" t="s">
        <v>283</v>
      </c>
      <c r="B299" s="43" t="s">
        <v>284</v>
      </c>
      <c r="C299" s="7" t="s">
        <v>284</v>
      </c>
      <c r="D299" s="7" t="s">
        <v>1851</v>
      </c>
      <c r="E299" s="25"/>
      <c r="F299" s="25"/>
      <c r="G299" s="84"/>
      <c r="H299" s="3" t="s">
        <v>1852</v>
      </c>
      <c r="I299" s="7" t="s">
        <v>616</v>
      </c>
      <c r="J299" s="7" t="s">
        <v>1853</v>
      </c>
      <c r="K299" s="47"/>
      <c r="L299" s="47"/>
      <c r="M299" s="48" t="b">
        <v>0</v>
      </c>
      <c r="N299" s="48" t="b">
        <v>0</v>
      </c>
      <c r="O299" s="48"/>
      <c r="P299" s="48" t="b">
        <v>0</v>
      </c>
      <c r="Q299" s="48" t="b">
        <v>0</v>
      </c>
      <c r="R299" s="48" t="b">
        <v>0</v>
      </c>
      <c r="S299" s="48"/>
      <c r="T299" s="32"/>
      <c r="U299" s="48" t="b">
        <v>0</v>
      </c>
      <c r="V299" s="48"/>
      <c r="W299" s="48" t="b">
        <v>0</v>
      </c>
      <c r="X299" s="48" t="b">
        <v>0</v>
      </c>
      <c r="Y299" s="48"/>
      <c r="Z299" s="48"/>
      <c r="AA299" s="48"/>
      <c r="AB299" s="48"/>
      <c r="AC299" s="49"/>
      <c r="AD299" s="48"/>
      <c r="AE299" s="48"/>
      <c r="AF299" s="48"/>
      <c r="AG299" s="48"/>
      <c r="AH299" s="48"/>
      <c r="AI299" s="48"/>
      <c r="AJ299" s="25"/>
      <c r="AK299" s="50"/>
      <c r="AL299" s="25"/>
      <c r="AM299" s="25"/>
      <c r="AN299" s="35" t="s">
        <v>1854</v>
      </c>
      <c r="AO299" s="24">
        <v>0.002523148148148148</v>
      </c>
      <c r="AP299" s="7" t="s">
        <v>633</v>
      </c>
      <c r="AQ299" s="7" t="s">
        <v>633</v>
      </c>
      <c r="AR299" s="7" t="s">
        <v>633</v>
      </c>
      <c r="AS299" s="7" t="b">
        <f>NOT(ISERROR(MATCH(A299,'Villages according to موسوعة ال'!C:C,0)))</f>
        <v>1</v>
      </c>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row>
    <row r="300">
      <c r="A300" s="3" t="s">
        <v>283</v>
      </c>
      <c r="B300" s="43" t="s">
        <v>284</v>
      </c>
      <c r="E300" s="25"/>
      <c r="F300" s="25"/>
      <c r="G300" s="84"/>
      <c r="K300" s="47"/>
      <c r="L300" s="47"/>
      <c r="M300" s="48" t="b">
        <v>0</v>
      </c>
      <c r="N300" s="48" t="b">
        <v>0</v>
      </c>
      <c r="O300" s="48"/>
      <c r="P300" s="48" t="b">
        <v>0</v>
      </c>
      <c r="Q300" s="48" t="b">
        <v>0</v>
      </c>
      <c r="R300" s="48" t="b">
        <v>0</v>
      </c>
      <c r="S300" s="48"/>
      <c r="T300" s="32"/>
      <c r="U300" s="48" t="b">
        <v>0</v>
      </c>
      <c r="V300" s="48"/>
      <c r="W300" s="48" t="b">
        <v>0</v>
      </c>
      <c r="X300" s="48" t="b">
        <v>0</v>
      </c>
      <c r="Y300" s="48"/>
      <c r="Z300" s="48"/>
      <c r="AA300" s="48"/>
      <c r="AB300" s="48"/>
      <c r="AC300" s="49"/>
      <c r="AD300" s="48"/>
      <c r="AE300" s="48"/>
      <c r="AF300" s="48"/>
      <c r="AG300" s="48"/>
      <c r="AH300" s="48"/>
      <c r="AI300" s="48"/>
      <c r="AJ300" s="25"/>
      <c r="AK300" s="50"/>
      <c r="AL300" s="25"/>
      <c r="AM300" s="25"/>
      <c r="AN300" s="35" t="s">
        <v>1855</v>
      </c>
      <c r="AO300" s="24">
        <v>0.0021875</v>
      </c>
      <c r="AP300" s="3" t="s">
        <v>1576</v>
      </c>
      <c r="AQ300" s="7" t="s">
        <v>633</v>
      </c>
      <c r="AR300" s="7" t="s">
        <v>633</v>
      </c>
      <c r="AS300" s="7" t="b">
        <f>NOT(ISERROR(MATCH(A300,'Villages according to موسوعة ال'!C:C,0)))</f>
        <v>1</v>
      </c>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row>
    <row r="301">
      <c r="A301" s="3" t="s">
        <v>283</v>
      </c>
      <c r="B301" s="43" t="s">
        <v>284</v>
      </c>
      <c r="E301" s="25"/>
      <c r="F301" s="25"/>
      <c r="G301" s="84"/>
      <c r="K301" s="47"/>
      <c r="L301" s="47"/>
      <c r="M301" s="48" t="b">
        <v>0</v>
      </c>
      <c r="N301" s="48" t="b">
        <v>0</v>
      </c>
      <c r="O301" s="48"/>
      <c r="P301" s="48" t="b">
        <v>0</v>
      </c>
      <c r="Q301" s="48" t="b">
        <v>0</v>
      </c>
      <c r="R301" s="48" t="b">
        <v>0</v>
      </c>
      <c r="S301" s="48"/>
      <c r="T301" s="32"/>
      <c r="U301" s="48" t="b">
        <v>0</v>
      </c>
      <c r="V301" s="48"/>
      <c r="W301" s="48" t="b">
        <v>0</v>
      </c>
      <c r="X301" s="48" t="b">
        <v>0</v>
      </c>
      <c r="Y301" s="48"/>
      <c r="Z301" s="48"/>
      <c r="AA301" s="48"/>
      <c r="AB301" s="48"/>
      <c r="AC301" s="49"/>
      <c r="AD301" s="48"/>
      <c r="AE301" s="48"/>
      <c r="AF301" s="48"/>
      <c r="AG301" s="48"/>
      <c r="AH301" s="48"/>
      <c r="AI301" s="48"/>
      <c r="AJ301" s="25"/>
      <c r="AK301" s="50"/>
      <c r="AL301" s="25"/>
      <c r="AM301" s="25"/>
      <c r="AN301" s="35" t="s">
        <v>1856</v>
      </c>
      <c r="AO301" s="24">
        <v>0.0018865740740740742</v>
      </c>
      <c r="AP301" s="3" t="s">
        <v>1576</v>
      </c>
      <c r="AQ301" s="7" t="s">
        <v>633</v>
      </c>
      <c r="AR301" s="7" t="s">
        <v>633</v>
      </c>
      <c r="AS301" s="7" t="b">
        <f>NOT(ISERROR(MATCH(A301,'Villages according to موسوعة ال'!C:C,0)))</f>
        <v>1</v>
      </c>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row>
    <row r="302">
      <c r="A302" s="3" t="s">
        <v>283</v>
      </c>
      <c r="B302" s="43" t="s">
        <v>284</v>
      </c>
      <c r="E302" s="25"/>
      <c r="F302" s="25"/>
      <c r="G302" s="84"/>
      <c r="K302" s="47"/>
      <c r="L302" s="47"/>
      <c r="M302" s="48" t="b">
        <v>0</v>
      </c>
      <c r="N302" s="48" t="b">
        <v>0</v>
      </c>
      <c r="O302" s="48"/>
      <c r="P302" s="48" t="b">
        <v>0</v>
      </c>
      <c r="Q302" s="48" t="b">
        <v>0</v>
      </c>
      <c r="R302" s="48" t="b">
        <v>0</v>
      </c>
      <c r="S302" s="48"/>
      <c r="T302" s="32"/>
      <c r="U302" s="48" t="b">
        <v>0</v>
      </c>
      <c r="V302" s="48"/>
      <c r="W302" s="48" t="b">
        <v>0</v>
      </c>
      <c r="X302" s="48" t="b">
        <v>0</v>
      </c>
      <c r="Y302" s="48"/>
      <c r="Z302" s="48"/>
      <c r="AA302" s="48"/>
      <c r="AB302" s="48"/>
      <c r="AC302" s="49"/>
      <c r="AD302" s="48"/>
      <c r="AE302" s="48"/>
      <c r="AF302" s="48"/>
      <c r="AG302" s="48"/>
      <c r="AH302" s="48"/>
      <c r="AI302" s="48"/>
      <c r="AJ302" s="25"/>
      <c r="AK302" s="50"/>
      <c r="AL302" s="25"/>
      <c r="AM302" s="25"/>
      <c r="AN302" s="35" t="s">
        <v>1857</v>
      </c>
      <c r="AO302" s="24">
        <v>0.0043518518518518515</v>
      </c>
      <c r="AP302" s="3" t="s">
        <v>1576</v>
      </c>
      <c r="AQ302" s="7" t="s">
        <v>633</v>
      </c>
      <c r="AR302" s="7" t="s">
        <v>633</v>
      </c>
      <c r="AS302" s="7" t="b">
        <f>NOT(ISERROR(MATCH(A302,'Villages according to موسوعة ال'!C:C,0)))</f>
        <v>1</v>
      </c>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row>
    <row r="303">
      <c r="A303" s="3" t="s">
        <v>283</v>
      </c>
      <c r="B303" s="43" t="s">
        <v>284</v>
      </c>
      <c r="E303" s="25"/>
      <c r="F303" s="25"/>
      <c r="G303" s="84"/>
      <c r="K303" s="47"/>
      <c r="L303" s="47"/>
      <c r="M303" s="48" t="b">
        <v>0</v>
      </c>
      <c r="N303" s="48" t="b">
        <v>0</v>
      </c>
      <c r="O303" s="48"/>
      <c r="P303" s="48" t="b">
        <v>0</v>
      </c>
      <c r="Q303" s="48" t="b">
        <v>0</v>
      </c>
      <c r="R303" s="48" t="b">
        <v>0</v>
      </c>
      <c r="S303" s="48"/>
      <c r="T303" s="32"/>
      <c r="U303" s="48" t="b">
        <v>0</v>
      </c>
      <c r="V303" s="48"/>
      <c r="W303" s="48" t="b">
        <v>0</v>
      </c>
      <c r="X303" s="48" t="b">
        <v>0</v>
      </c>
      <c r="Y303" s="48"/>
      <c r="Z303" s="48"/>
      <c r="AA303" s="48"/>
      <c r="AB303" s="48"/>
      <c r="AC303" s="49"/>
      <c r="AD303" s="48"/>
      <c r="AE303" s="48"/>
      <c r="AF303" s="48"/>
      <c r="AG303" s="48"/>
      <c r="AH303" s="48"/>
      <c r="AI303" s="48"/>
      <c r="AJ303" s="25"/>
      <c r="AK303" s="50"/>
      <c r="AL303" s="25"/>
      <c r="AM303" s="25"/>
      <c r="AN303" s="35" t="s">
        <v>1858</v>
      </c>
      <c r="AO303" s="24">
        <v>0.004085648148148148</v>
      </c>
      <c r="AP303" s="3" t="s">
        <v>1576</v>
      </c>
      <c r="AQ303" s="7" t="s">
        <v>633</v>
      </c>
      <c r="AR303" s="7" t="s">
        <v>633</v>
      </c>
      <c r="AS303" s="7" t="b">
        <f>NOT(ISERROR(MATCH(A303,'Villages according to موسوعة ال'!C:C,0)))</f>
        <v>1</v>
      </c>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row>
    <row r="304">
      <c r="A304" s="3" t="s">
        <v>283</v>
      </c>
      <c r="B304" s="43" t="s">
        <v>284</v>
      </c>
      <c r="E304" s="25"/>
      <c r="F304" s="25"/>
      <c r="G304" s="84"/>
      <c r="K304" s="47"/>
      <c r="L304" s="47"/>
      <c r="M304" s="48" t="b">
        <v>0</v>
      </c>
      <c r="N304" s="48" t="b">
        <v>0</v>
      </c>
      <c r="O304" s="48"/>
      <c r="P304" s="48" t="b">
        <v>0</v>
      </c>
      <c r="Q304" s="48" t="b">
        <v>0</v>
      </c>
      <c r="R304" s="48" t="b">
        <v>0</v>
      </c>
      <c r="S304" s="48"/>
      <c r="T304" s="32"/>
      <c r="U304" s="48" t="b">
        <v>0</v>
      </c>
      <c r="V304" s="48"/>
      <c r="W304" s="48" t="b">
        <v>0</v>
      </c>
      <c r="X304" s="48" t="b">
        <v>0</v>
      </c>
      <c r="Y304" s="48"/>
      <c r="Z304" s="48"/>
      <c r="AA304" s="48"/>
      <c r="AB304" s="48"/>
      <c r="AC304" s="49"/>
      <c r="AD304" s="48"/>
      <c r="AE304" s="48"/>
      <c r="AF304" s="48"/>
      <c r="AG304" s="48"/>
      <c r="AH304" s="48"/>
      <c r="AI304" s="48"/>
      <c r="AJ304" s="25"/>
      <c r="AK304" s="50"/>
      <c r="AL304" s="25"/>
      <c r="AM304" s="25"/>
      <c r="AN304" s="35" t="s">
        <v>1859</v>
      </c>
      <c r="AO304" s="24">
        <v>9.25925925925926E-4</v>
      </c>
      <c r="AP304" s="3" t="s">
        <v>1576</v>
      </c>
      <c r="AQ304" s="7" t="s">
        <v>633</v>
      </c>
      <c r="AR304" s="7" t="s">
        <v>633</v>
      </c>
      <c r="AS304" s="7" t="b">
        <f>NOT(ISERROR(MATCH(A304,'Villages according to موسوعة ال'!C:C,0)))</f>
        <v>1</v>
      </c>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row>
    <row r="305">
      <c r="A305" s="3" t="s">
        <v>283</v>
      </c>
      <c r="B305" s="43" t="s">
        <v>284</v>
      </c>
      <c r="E305" s="25"/>
      <c r="F305" s="25"/>
      <c r="G305" s="28" t="s">
        <v>1545</v>
      </c>
      <c r="K305" s="47"/>
      <c r="L305" s="47"/>
      <c r="M305" s="48" t="b">
        <v>0</v>
      </c>
      <c r="N305" s="48" t="b">
        <v>0</v>
      </c>
      <c r="O305" s="48"/>
      <c r="P305" s="48" t="b">
        <v>0</v>
      </c>
      <c r="Q305" s="48" t="b">
        <v>0</v>
      </c>
      <c r="R305" s="48" t="b">
        <v>0</v>
      </c>
      <c r="S305" s="48"/>
      <c r="T305" s="60"/>
      <c r="U305" s="48" t="b">
        <v>0</v>
      </c>
      <c r="V305" s="48"/>
      <c r="W305" s="48" t="b">
        <v>0</v>
      </c>
      <c r="X305" s="48" t="b">
        <v>0</v>
      </c>
      <c r="Y305" s="48"/>
      <c r="Z305" s="48"/>
      <c r="AA305" s="48"/>
      <c r="AB305" s="48"/>
      <c r="AC305" s="49"/>
      <c r="AD305" s="48"/>
      <c r="AE305" s="48"/>
      <c r="AF305" s="48"/>
      <c r="AG305" s="48"/>
      <c r="AH305" s="48"/>
      <c r="AI305" s="48"/>
      <c r="AJ305" s="3" t="s">
        <v>1860</v>
      </c>
      <c r="AK305" s="34" t="s">
        <v>698</v>
      </c>
      <c r="AL305" s="3" t="s">
        <v>675</v>
      </c>
      <c r="AM305" s="3" t="s">
        <v>831</v>
      </c>
      <c r="AN305" s="35" t="s">
        <v>1861</v>
      </c>
      <c r="AO305" s="24">
        <v>0.0026041666666666665</v>
      </c>
      <c r="AP305" s="3" t="s">
        <v>1576</v>
      </c>
      <c r="AQ305" s="3" t="s">
        <v>1649</v>
      </c>
      <c r="AR305" s="35" t="s">
        <v>1862</v>
      </c>
      <c r="AS305" s="7" t="b">
        <f>NOT(ISERROR(MATCH(A305,'Villages according to موسوعة ال'!C:C,0)))</f>
        <v>1</v>
      </c>
      <c r="AT305" s="25"/>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row>
    <row r="306">
      <c r="A306" s="3" t="s">
        <v>283</v>
      </c>
      <c r="B306" s="43" t="s">
        <v>284</v>
      </c>
      <c r="E306" s="25"/>
      <c r="F306" s="25"/>
      <c r="G306" s="84"/>
      <c r="K306" s="47"/>
      <c r="L306" s="47"/>
      <c r="M306" s="48" t="b">
        <v>0</v>
      </c>
      <c r="N306" s="48" t="b">
        <v>0</v>
      </c>
      <c r="O306" s="48"/>
      <c r="P306" s="48" t="b">
        <v>0</v>
      </c>
      <c r="Q306" s="48" t="b">
        <v>0</v>
      </c>
      <c r="R306" s="48" t="b">
        <v>0</v>
      </c>
      <c r="S306" s="48"/>
      <c r="T306" s="32"/>
      <c r="U306" s="48" t="b">
        <v>0</v>
      </c>
      <c r="V306" s="48"/>
      <c r="W306" s="48" t="b">
        <v>0</v>
      </c>
      <c r="X306" s="48" t="b">
        <v>0</v>
      </c>
      <c r="Y306" s="48"/>
      <c r="Z306" s="48"/>
      <c r="AA306" s="48"/>
      <c r="AB306" s="48"/>
      <c r="AC306" s="49"/>
      <c r="AD306" s="48"/>
      <c r="AE306" s="48"/>
      <c r="AF306" s="48"/>
      <c r="AG306" s="48"/>
      <c r="AH306" s="48"/>
      <c r="AI306" s="48"/>
      <c r="AJ306" s="25"/>
      <c r="AK306" s="50"/>
      <c r="AL306" s="25"/>
      <c r="AM306" s="25"/>
      <c r="AN306" s="35" t="s">
        <v>1863</v>
      </c>
      <c r="AO306" s="24">
        <v>0.001412037037037037</v>
      </c>
      <c r="AP306" s="3" t="s">
        <v>1576</v>
      </c>
      <c r="AQ306" s="7" t="s">
        <v>633</v>
      </c>
      <c r="AR306" s="7" t="s">
        <v>633</v>
      </c>
      <c r="AS306" s="7" t="b">
        <f>NOT(ISERROR(MATCH(A306,'Villages according to موسوعة ال'!C:C,0)))</f>
        <v>1</v>
      </c>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row>
    <row r="307">
      <c r="A307" s="3" t="s">
        <v>283</v>
      </c>
      <c r="B307" s="43" t="s">
        <v>284</v>
      </c>
      <c r="E307" s="25"/>
      <c r="F307" s="25"/>
      <c r="G307" s="84"/>
      <c r="K307" s="47"/>
      <c r="L307" s="47"/>
      <c r="M307" s="48" t="b">
        <v>0</v>
      </c>
      <c r="N307" s="48" t="b">
        <v>0</v>
      </c>
      <c r="O307" s="48"/>
      <c r="P307" s="48" t="b">
        <v>0</v>
      </c>
      <c r="Q307" s="48" t="b">
        <v>0</v>
      </c>
      <c r="R307" s="48" t="b">
        <v>0</v>
      </c>
      <c r="S307" s="48"/>
      <c r="T307" s="32"/>
      <c r="U307" s="48" t="b">
        <v>0</v>
      </c>
      <c r="V307" s="48"/>
      <c r="W307" s="48" t="b">
        <v>0</v>
      </c>
      <c r="X307" s="48" t="b">
        <v>0</v>
      </c>
      <c r="Y307" s="48"/>
      <c r="Z307" s="48"/>
      <c r="AA307" s="48"/>
      <c r="AB307" s="48"/>
      <c r="AC307" s="49"/>
      <c r="AD307" s="48"/>
      <c r="AE307" s="48"/>
      <c r="AF307" s="48"/>
      <c r="AG307" s="48"/>
      <c r="AH307" s="48"/>
      <c r="AI307" s="48"/>
      <c r="AJ307" s="25"/>
      <c r="AK307" s="50"/>
      <c r="AL307" s="25"/>
      <c r="AM307" s="25"/>
      <c r="AN307" s="35" t="s">
        <v>1864</v>
      </c>
      <c r="AO307" s="24">
        <v>0.002037037037037037</v>
      </c>
      <c r="AP307" s="3" t="s">
        <v>1576</v>
      </c>
      <c r="AQ307" s="7" t="s">
        <v>633</v>
      </c>
      <c r="AR307" s="7" t="s">
        <v>633</v>
      </c>
      <c r="AS307" s="7" t="b">
        <f>NOT(ISERROR(MATCH(A307,'Villages according to موسوعة ال'!C:C,0)))</f>
        <v>1</v>
      </c>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row>
    <row r="308">
      <c r="A308" s="3" t="s">
        <v>1865</v>
      </c>
      <c r="B308" s="26" t="s">
        <v>213</v>
      </c>
      <c r="C308" s="7" t="s">
        <v>213</v>
      </c>
      <c r="D308" s="7" t="s">
        <v>214</v>
      </c>
      <c r="E308" s="25"/>
      <c r="F308" s="25"/>
      <c r="G308" s="84"/>
      <c r="H308" s="3" t="s">
        <v>1866</v>
      </c>
      <c r="I308" s="7" t="s">
        <v>616</v>
      </c>
      <c r="J308" s="7" t="s">
        <v>1867</v>
      </c>
      <c r="K308" s="47"/>
      <c r="L308" s="47"/>
      <c r="M308" s="48" t="b">
        <v>0</v>
      </c>
      <c r="N308" s="48" t="b">
        <v>0</v>
      </c>
      <c r="O308" s="48"/>
      <c r="P308" s="48" t="b">
        <v>0</v>
      </c>
      <c r="Q308" s="48" t="b">
        <v>0</v>
      </c>
      <c r="R308" s="48" t="b">
        <v>0</v>
      </c>
      <c r="S308" s="48"/>
      <c r="T308" s="32"/>
      <c r="U308" s="48" t="b">
        <v>0</v>
      </c>
      <c r="V308" s="48"/>
      <c r="W308" s="48" t="b">
        <v>0</v>
      </c>
      <c r="X308" s="48" t="b">
        <v>0</v>
      </c>
      <c r="Y308" s="48"/>
      <c r="Z308" s="48"/>
      <c r="AA308" s="48"/>
      <c r="AB308" s="48"/>
      <c r="AC308" s="49"/>
      <c r="AD308" s="48"/>
      <c r="AE308" s="48"/>
      <c r="AF308" s="48"/>
      <c r="AG308" s="48"/>
      <c r="AH308" s="48"/>
      <c r="AI308" s="48"/>
      <c r="AJ308" s="25"/>
      <c r="AK308" s="50"/>
      <c r="AL308" s="25"/>
      <c r="AM308" s="25"/>
      <c r="AN308" s="35" t="s">
        <v>1868</v>
      </c>
      <c r="AO308" s="24">
        <v>0.0023032407407407407</v>
      </c>
      <c r="AP308" s="7" t="s">
        <v>633</v>
      </c>
      <c r="AQ308" s="7" t="s">
        <v>633</v>
      </c>
      <c r="AR308" s="7" t="s">
        <v>633</v>
      </c>
      <c r="AS308" s="7" t="b">
        <f>NOT(ISERROR(MATCH(A308,'Villages according to موسوعة ال'!C:C,0)))</f>
        <v>1</v>
      </c>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row>
    <row r="309">
      <c r="A309" s="3" t="s">
        <v>1865</v>
      </c>
      <c r="B309" s="26" t="s">
        <v>213</v>
      </c>
      <c r="E309" s="25"/>
      <c r="F309" s="25"/>
      <c r="K309" s="47"/>
      <c r="L309" s="47"/>
      <c r="M309" s="48" t="b">
        <v>0</v>
      </c>
      <c r="N309" s="48" t="b">
        <v>0</v>
      </c>
      <c r="O309" s="48"/>
      <c r="P309" s="48" t="b">
        <v>0</v>
      </c>
      <c r="Q309" s="48" t="b">
        <v>0</v>
      </c>
      <c r="R309" s="48" t="b">
        <v>0</v>
      </c>
      <c r="S309" s="48"/>
      <c r="T309" s="32"/>
      <c r="U309" s="48" t="b">
        <v>0</v>
      </c>
      <c r="V309" s="48"/>
      <c r="W309" s="48" t="b">
        <v>0</v>
      </c>
      <c r="X309" s="48" t="b">
        <v>0</v>
      </c>
      <c r="Y309" s="48"/>
      <c r="Z309" s="48"/>
      <c r="AA309" s="48"/>
      <c r="AB309" s="48"/>
      <c r="AC309" s="49"/>
      <c r="AD309" s="48"/>
      <c r="AE309" s="48"/>
      <c r="AF309" s="48"/>
      <c r="AG309" s="48"/>
      <c r="AH309" s="48"/>
      <c r="AI309" s="48"/>
      <c r="AJ309" s="25"/>
      <c r="AK309" s="50"/>
      <c r="AL309" s="25"/>
      <c r="AM309" s="25"/>
      <c r="AN309" s="35" t="s">
        <v>1869</v>
      </c>
      <c r="AO309" s="24">
        <v>0.00537037037037037</v>
      </c>
      <c r="AP309" s="7" t="s">
        <v>633</v>
      </c>
      <c r="AQ309" s="7" t="s">
        <v>633</v>
      </c>
      <c r="AR309" s="7" t="s">
        <v>633</v>
      </c>
      <c r="AS309" s="7" t="b">
        <f>NOT(ISERROR(MATCH(A309,'Villages according to موسوعة ال'!C:C,0)))</f>
        <v>1</v>
      </c>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row>
    <row r="310">
      <c r="A310" s="3" t="s">
        <v>1865</v>
      </c>
      <c r="B310" s="26" t="s">
        <v>213</v>
      </c>
      <c r="E310" s="25"/>
      <c r="F310" s="25"/>
      <c r="K310" s="47"/>
      <c r="L310" s="47"/>
      <c r="M310" s="48" t="b">
        <v>0</v>
      </c>
      <c r="N310" s="48" t="b">
        <v>0</v>
      </c>
      <c r="O310" s="48"/>
      <c r="P310" s="48" t="b">
        <v>0</v>
      </c>
      <c r="Q310" s="48" t="b">
        <v>0</v>
      </c>
      <c r="R310" s="48" t="b">
        <v>0</v>
      </c>
      <c r="S310" s="48"/>
      <c r="T310" s="32"/>
      <c r="U310" s="48" t="b">
        <v>0</v>
      </c>
      <c r="V310" s="48"/>
      <c r="W310" s="48" t="b">
        <v>0</v>
      </c>
      <c r="X310" s="48" t="b">
        <v>0</v>
      </c>
      <c r="Y310" s="48"/>
      <c r="Z310" s="48"/>
      <c r="AA310" s="48"/>
      <c r="AB310" s="48"/>
      <c r="AC310" s="49"/>
      <c r="AD310" s="48"/>
      <c r="AE310" s="48"/>
      <c r="AF310" s="48"/>
      <c r="AG310" s="48"/>
      <c r="AH310" s="48"/>
      <c r="AI310" s="48"/>
      <c r="AJ310" s="25"/>
      <c r="AK310" s="50"/>
      <c r="AL310" s="25"/>
      <c r="AM310" s="25"/>
      <c r="AN310" s="35" t="s">
        <v>1870</v>
      </c>
      <c r="AO310" s="24">
        <v>0.0023032407407407407</v>
      </c>
      <c r="AP310" s="7" t="s">
        <v>633</v>
      </c>
      <c r="AQ310" s="7" t="s">
        <v>633</v>
      </c>
      <c r="AR310" s="7" t="s">
        <v>633</v>
      </c>
      <c r="AS310" s="7" t="b">
        <f>NOT(ISERROR(MATCH(A310,'Villages according to موسوعة ال'!C:C,0)))</f>
        <v>1</v>
      </c>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row>
    <row r="311">
      <c r="A311" s="3" t="s">
        <v>150</v>
      </c>
      <c r="B311" s="43" t="s">
        <v>151</v>
      </c>
      <c r="C311" s="7" t="s">
        <v>151</v>
      </c>
      <c r="D311" s="7" t="s">
        <v>1871</v>
      </c>
      <c r="E311" s="25"/>
      <c r="F311" s="25"/>
      <c r="G311" s="84"/>
      <c r="H311" s="3" t="s">
        <v>1872</v>
      </c>
      <c r="I311" s="7" t="s">
        <v>638</v>
      </c>
      <c r="J311" s="7" t="s">
        <v>1873</v>
      </c>
      <c r="K311" s="47"/>
      <c r="L311" s="47"/>
      <c r="M311" s="48" t="b">
        <v>0</v>
      </c>
      <c r="N311" s="48" t="b">
        <v>0</v>
      </c>
      <c r="O311" s="48"/>
      <c r="P311" s="48" t="b">
        <v>0</v>
      </c>
      <c r="Q311" s="48" t="b">
        <v>0</v>
      </c>
      <c r="R311" s="48" t="b">
        <v>0</v>
      </c>
      <c r="S311" s="48"/>
      <c r="T311" s="60"/>
      <c r="U311" s="48" t="b">
        <v>0</v>
      </c>
      <c r="V311" s="48"/>
      <c r="W311" s="48" t="b">
        <v>0</v>
      </c>
      <c r="X311" s="48" t="b">
        <v>0</v>
      </c>
      <c r="Y311" s="48"/>
      <c r="Z311" s="48"/>
      <c r="AA311" s="48"/>
      <c r="AB311" s="48"/>
      <c r="AC311" s="49"/>
      <c r="AD311" s="48"/>
      <c r="AE311" s="48"/>
      <c r="AF311" s="48"/>
      <c r="AG311" s="48"/>
      <c r="AH311" s="48"/>
      <c r="AI311" s="48"/>
      <c r="AJ311" s="25"/>
      <c r="AK311" s="34" t="s">
        <v>698</v>
      </c>
      <c r="AL311" s="3" t="s">
        <v>699</v>
      </c>
      <c r="AM311" s="3" t="s">
        <v>676</v>
      </c>
      <c r="AN311" s="35" t="s">
        <v>1874</v>
      </c>
      <c r="AO311" s="24">
        <v>7.523148148148148E-4</v>
      </c>
      <c r="AP311" s="7" t="s">
        <v>633</v>
      </c>
      <c r="AQ311" s="7" t="s">
        <v>633</v>
      </c>
      <c r="AR311" s="35" t="s">
        <v>1875</v>
      </c>
      <c r="AS311" s="7" t="b">
        <f>NOT(ISERROR(MATCH(A311,'Villages according to موسوعة ال'!C:C,0)))</f>
        <v>1</v>
      </c>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row>
    <row r="312">
      <c r="A312" s="3" t="s">
        <v>1876</v>
      </c>
      <c r="B312" s="26" t="s">
        <v>1877</v>
      </c>
      <c r="C312" s="7" t="s">
        <v>70</v>
      </c>
      <c r="D312" s="7" t="s">
        <v>71</v>
      </c>
      <c r="E312" s="25"/>
      <c r="F312" s="25"/>
      <c r="G312" s="84"/>
      <c r="H312" s="3" t="s">
        <v>1878</v>
      </c>
      <c r="I312" s="7" t="s">
        <v>638</v>
      </c>
      <c r="J312" s="7" t="s">
        <v>1879</v>
      </c>
      <c r="K312" s="47"/>
      <c r="L312" s="47"/>
      <c r="M312" s="48" t="b">
        <v>0</v>
      </c>
      <c r="N312" s="48" t="b">
        <v>0</v>
      </c>
      <c r="O312" s="48"/>
      <c r="P312" s="48" t="b">
        <v>0</v>
      </c>
      <c r="Q312" s="48" t="b">
        <v>0</v>
      </c>
      <c r="R312" s="48" t="b">
        <v>0</v>
      </c>
      <c r="S312" s="48"/>
      <c r="T312" s="32"/>
      <c r="U312" s="48" t="b">
        <v>0</v>
      </c>
      <c r="V312" s="48"/>
      <c r="W312" s="48" t="b">
        <v>0</v>
      </c>
      <c r="X312" s="48" t="b">
        <v>0</v>
      </c>
      <c r="Y312" s="48"/>
      <c r="Z312" s="48"/>
      <c r="AA312" s="48"/>
      <c r="AB312" s="48"/>
      <c r="AC312" s="49"/>
      <c r="AD312" s="48"/>
      <c r="AE312" s="48"/>
      <c r="AF312" s="48"/>
      <c r="AG312" s="48"/>
      <c r="AH312" s="48"/>
      <c r="AI312" s="48"/>
      <c r="AJ312" s="25"/>
      <c r="AK312" s="50"/>
      <c r="AL312" s="25"/>
      <c r="AM312" s="25"/>
      <c r="AN312" s="68" t="s">
        <v>1880</v>
      </c>
      <c r="AO312" s="24">
        <v>0.03864583333333333</v>
      </c>
      <c r="AP312" s="7" t="s">
        <v>633</v>
      </c>
      <c r="AQ312" s="7" t="s">
        <v>633</v>
      </c>
      <c r="AR312" s="7" t="s">
        <v>633</v>
      </c>
      <c r="AS312" s="7" t="b">
        <f>NOT(ISERROR(MATCH(A312,'Villages according to موسوعة ال'!C:C,0)))</f>
        <v>1</v>
      </c>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row>
    <row r="313">
      <c r="A313" s="7" t="s">
        <v>467</v>
      </c>
      <c r="B313" s="26" t="s">
        <v>468</v>
      </c>
      <c r="C313" s="7" t="s">
        <v>468</v>
      </c>
      <c r="D313" s="7" t="s">
        <v>469</v>
      </c>
      <c r="E313" s="25"/>
      <c r="F313" s="25"/>
      <c r="G313" s="84"/>
      <c r="H313" s="3" t="s">
        <v>1881</v>
      </c>
      <c r="I313" s="7" t="s">
        <v>638</v>
      </c>
      <c r="J313" s="7" t="s">
        <v>1882</v>
      </c>
      <c r="K313" s="47"/>
      <c r="L313" s="47"/>
      <c r="M313" s="48" t="b">
        <v>0</v>
      </c>
      <c r="N313" s="48" t="b">
        <v>0</v>
      </c>
      <c r="O313" s="48"/>
      <c r="P313" s="48" t="b">
        <v>0</v>
      </c>
      <c r="Q313" s="48" t="b">
        <v>0</v>
      </c>
      <c r="R313" s="48" t="b">
        <v>0</v>
      </c>
      <c r="S313" s="48"/>
      <c r="T313" s="32"/>
      <c r="U313" s="48" t="b">
        <v>0</v>
      </c>
      <c r="V313" s="48"/>
      <c r="W313" s="48" t="b">
        <v>0</v>
      </c>
      <c r="X313" s="48" t="b">
        <v>0</v>
      </c>
      <c r="Y313" s="48"/>
      <c r="Z313" s="48"/>
      <c r="AA313" s="48"/>
      <c r="AB313" s="48"/>
      <c r="AC313" s="49"/>
      <c r="AD313" s="48"/>
      <c r="AE313" s="48"/>
      <c r="AF313" s="48"/>
      <c r="AG313" s="48"/>
      <c r="AH313" s="48"/>
      <c r="AI313" s="48"/>
      <c r="AJ313" s="25"/>
      <c r="AK313" s="50"/>
      <c r="AL313" s="25"/>
      <c r="AM313" s="25"/>
      <c r="AN313" s="35" t="s">
        <v>1883</v>
      </c>
      <c r="AO313" s="24">
        <v>0.012534722222222221</v>
      </c>
      <c r="AP313" s="3" t="s">
        <v>1884</v>
      </c>
      <c r="AQ313" s="7" t="s">
        <v>633</v>
      </c>
      <c r="AR313" s="7" t="s">
        <v>633</v>
      </c>
      <c r="AS313" s="7" t="b">
        <f>NOT(ISERROR(MATCH(A313,'Villages according to موسوعة ال'!C:C,0)))</f>
        <v>1</v>
      </c>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row>
    <row r="314">
      <c r="A314" s="7" t="s">
        <v>467</v>
      </c>
      <c r="B314" s="26" t="s">
        <v>468</v>
      </c>
      <c r="E314" s="25"/>
      <c r="F314" s="25"/>
      <c r="G314" s="84"/>
      <c r="H314" s="3" t="s">
        <v>1885</v>
      </c>
      <c r="I314" s="7" t="s">
        <v>616</v>
      </c>
      <c r="J314" s="7" t="s">
        <v>1886</v>
      </c>
      <c r="K314" s="47"/>
      <c r="L314" s="30" t="s">
        <v>1887</v>
      </c>
      <c r="M314" s="32" t="b">
        <v>0</v>
      </c>
      <c r="N314" s="32" t="b">
        <v>0</v>
      </c>
      <c r="O314" s="32"/>
      <c r="P314" s="32" t="b">
        <v>0</v>
      </c>
      <c r="Q314" s="32" t="b">
        <v>0</v>
      </c>
      <c r="R314" s="32" t="b">
        <v>0</v>
      </c>
      <c r="S314" s="32"/>
      <c r="T314" s="32"/>
      <c r="U314" s="32" t="b">
        <v>0</v>
      </c>
      <c r="V314" s="32"/>
      <c r="W314" s="32" t="b">
        <v>0</v>
      </c>
      <c r="X314" s="32" t="b">
        <v>0</v>
      </c>
      <c r="Y314" s="32"/>
      <c r="Z314" s="32"/>
      <c r="AA314" s="32"/>
      <c r="AB314" s="32"/>
      <c r="AC314" s="33"/>
      <c r="AD314" s="32"/>
      <c r="AE314" s="32"/>
      <c r="AF314" s="32"/>
      <c r="AG314" s="32"/>
      <c r="AH314" s="32"/>
      <c r="AI314" s="32"/>
      <c r="AJ314" s="7"/>
      <c r="AK314" s="107"/>
      <c r="AL314" s="7"/>
      <c r="AM314" s="25"/>
      <c r="AN314" s="35" t="s">
        <v>1888</v>
      </c>
      <c r="AO314" s="24">
        <v>0.0015046296296296296</v>
      </c>
      <c r="AP314" s="7" t="s">
        <v>633</v>
      </c>
      <c r="AQ314" s="7" t="s">
        <v>633</v>
      </c>
      <c r="AR314" s="7" t="s">
        <v>633</v>
      </c>
      <c r="AS314" s="7" t="b">
        <f>NOT(ISERROR(MATCH(A314,'Villages according to موسوعة ال'!C:C,0)))</f>
        <v>1</v>
      </c>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row>
    <row r="315">
      <c r="A315" s="7" t="s">
        <v>467</v>
      </c>
      <c r="B315" s="26" t="s">
        <v>468</v>
      </c>
      <c r="E315" s="25"/>
      <c r="F315" s="25"/>
      <c r="G315" s="84"/>
      <c r="H315" s="7" t="s">
        <v>633</v>
      </c>
      <c r="I315" s="7" t="s">
        <v>638</v>
      </c>
      <c r="J315" s="7" t="s">
        <v>1889</v>
      </c>
      <c r="K315" s="47"/>
      <c r="L315" s="47"/>
      <c r="M315" s="48" t="b">
        <v>0</v>
      </c>
      <c r="N315" s="48" t="b">
        <v>0</v>
      </c>
      <c r="O315" s="48"/>
      <c r="P315" s="48" t="b">
        <v>0</v>
      </c>
      <c r="Q315" s="48" t="b">
        <v>0</v>
      </c>
      <c r="R315" s="48" t="b">
        <v>0</v>
      </c>
      <c r="S315" s="48"/>
      <c r="T315" s="32"/>
      <c r="U315" s="48" t="b">
        <v>0</v>
      </c>
      <c r="V315" s="48"/>
      <c r="W315" s="48" t="b">
        <v>0</v>
      </c>
      <c r="X315" s="48" t="b">
        <v>0</v>
      </c>
      <c r="Y315" s="48"/>
      <c r="Z315" s="48"/>
      <c r="AA315" s="48"/>
      <c r="AB315" s="48"/>
      <c r="AC315" s="49"/>
      <c r="AD315" s="48"/>
      <c r="AE315" s="48"/>
      <c r="AF315" s="48"/>
      <c r="AG315" s="48"/>
      <c r="AH315" s="48"/>
      <c r="AI315" s="48"/>
      <c r="AJ315" s="25"/>
      <c r="AK315" s="50"/>
      <c r="AL315" s="25"/>
      <c r="AM315" s="25"/>
      <c r="AN315" s="35" t="s">
        <v>1890</v>
      </c>
      <c r="AO315" s="24">
        <v>0.004409722222222222</v>
      </c>
      <c r="AP315" s="7" t="s">
        <v>633</v>
      </c>
      <c r="AQ315" s="7" t="s">
        <v>633</v>
      </c>
      <c r="AR315" s="7" t="s">
        <v>633</v>
      </c>
      <c r="AS315" s="7" t="b">
        <f>NOT(ISERROR(MATCH(A315,'Villages according to موسوعة ال'!C:C,0)))</f>
        <v>1</v>
      </c>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row>
    <row r="316">
      <c r="A316" s="3" t="s">
        <v>1891</v>
      </c>
      <c r="B316" s="43" t="s">
        <v>1892</v>
      </c>
      <c r="C316" s="7" t="s">
        <v>1892</v>
      </c>
      <c r="D316" s="7" t="s">
        <v>371</v>
      </c>
      <c r="E316" s="25"/>
      <c r="F316" s="25"/>
      <c r="G316" s="84"/>
      <c r="H316" s="7" t="s">
        <v>1893</v>
      </c>
      <c r="I316" s="7" t="s">
        <v>616</v>
      </c>
      <c r="J316" s="7" t="s">
        <v>1894</v>
      </c>
      <c r="K316" s="54" t="s">
        <v>1895</v>
      </c>
      <c r="L316" s="54" t="s">
        <v>1896</v>
      </c>
      <c r="M316" s="31" t="b">
        <v>0</v>
      </c>
      <c r="N316" s="31" t="b">
        <v>0</v>
      </c>
      <c r="O316" s="31"/>
      <c r="P316" s="31" t="b">
        <v>0</v>
      </c>
      <c r="Q316" s="31" t="b">
        <v>0</v>
      </c>
      <c r="R316" s="31" t="b">
        <v>0</v>
      </c>
      <c r="S316" s="31"/>
      <c r="T316" s="32"/>
      <c r="U316" s="31" t="b">
        <v>0</v>
      </c>
      <c r="V316" s="31"/>
      <c r="W316" s="31" t="b">
        <v>0</v>
      </c>
      <c r="X316" s="31" t="b">
        <v>0</v>
      </c>
      <c r="Y316" s="31"/>
      <c r="Z316" s="31"/>
      <c r="AA316" s="31"/>
      <c r="AB316" s="31"/>
      <c r="AC316" s="45"/>
      <c r="AD316" s="31"/>
      <c r="AE316" s="31"/>
      <c r="AF316" s="31"/>
      <c r="AG316" s="31"/>
      <c r="AH316" s="31"/>
      <c r="AI316" s="31"/>
      <c r="AJ316" s="3"/>
      <c r="AK316" s="34" t="s">
        <v>698</v>
      </c>
      <c r="AL316" s="3" t="s">
        <v>823</v>
      </c>
      <c r="AM316" s="3" t="s">
        <v>700</v>
      </c>
      <c r="AN316" s="35" t="s">
        <v>1897</v>
      </c>
      <c r="AO316" s="24">
        <v>9.837962962962962E-4</v>
      </c>
      <c r="AP316" s="7" t="s">
        <v>633</v>
      </c>
      <c r="AQ316" s="7" t="s">
        <v>633</v>
      </c>
      <c r="AR316" s="35" t="s">
        <v>1898</v>
      </c>
      <c r="AS316" s="7" t="b">
        <f>NOT(ISERROR(MATCH(A316,'Villages according to موسوعة ال'!C:C,0)))</f>
        <v>1</v>
      </c>
      <c r="AT316" s="25"/>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row>
    <row r="317">
      <c r="A317" s="3" t="s">
        <v>1891</v>
      </c>
      <c r="B317" s="43" t="s">
        <v>1892</v>
      </c>
      <c r="E317" s="25"/>
      <c r="F317" s="25"/>
      <c r="G317" s="84"/>
      <c r="K317" s="47"/>
      <c r="L317" s="47"/>
      <c r="M317" s="48" t="b">
        <v>0</v>
      </c>
      <c r="N317" s="48" t="b">
        <v>0</v>
      </c>
      <c r="O317" s="48"/>
      <c r="P317" s="48" t="b">
        <v>0</v>
      </c>
      <c r="Q317" s="48" t="b">
        <v>0</v>
      </c>
      <c r="R317" s="48" t="b">
        <v>0</v>
      </c>
      <c r="S317" s="48"/>
      <c r="T317" s="60"/>
      <c r="U317" s="48" t="b">
        <v>0</v>
      </c>
      <c r="V317" s="48"/>
      <c r="W317" s="48" t="b">
        <v>0</v>
      </c>
      <c r="X317" s="48" t="b">
        <v>0</v>
      </c>
      <c r="Y317" s="48"/>
      <c r="Z317" s="48"/>
      <c r="AA317" s="48"/>
      <c r="AB317" s="48"/>
      <c r="AC317" s="49"/>
      <c r="AD317" s="48"/>
      <c r="AE317" s="48"/>
      <c r="AF317" s="48"/>
      <c r="AG317" s="48"/>
      <c r="AH317" s="48"/>
      <c r="AI317" s="48"/>
      <c r="AJ317" s="25"/>
      <c r="AK317" s="34" t="s">
        <v>698</v>
      </c>
      <c r="AL317" s="3" t="s">
        <v>699</v>
      </c>
      <c r="AM317" s="3" t="s">
        <v>831</v>
      </c>
      <c r="AN317" s="35" t="s">
        <v>1899</v>
      </c>
      <c r="AO317" s="24">
        <v>0.0017708333333333332</v>
      </c>
      <c r="AP317" s="7" t="s">
        <v>1536</v>
      </c>
      <c r="AQ317" s="3" t="s">
        <v>1900</v>
      </c>
      <c r="AR317" s="35" t="s">
        <v>1901</v>
      </c>
      <c r="AS317" s="7" t="b">
        <f>NOT(ISERROR(MATCH(A317,'Villages according to موسوعة ال'!C:C,0)))</f>
        <v>1</v>
      </c>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row>
    <row r="318">
      <c r="A318" s="3" t="s">
        <v>1891</v>
      </c>
      <c r="B318" s="26" t="s">
        <v>1892</v>
      </c>
      <c r="E318" s="25"/>
      <c r="F318" s="25"/>
      <c r="G318" s="84"/>
      <c r="K318" s="30"/>
      <c r="L318" s="47"/>
      <c r="M318" s="48" t="b">
        <v>0</v>
      </c>
      <c r="N318" s="48" t="b">
        <v>0</v>
      </c>
      <c r="O318" s="48"/>
      <c r="P318" s="48" t="b">
        <v>0</v>
      </c>
      <c r="Q318" s="48" t="b">
        <v>0</v>
      </c>
      <c r="R318" s="48" t="b">
        <v>0</v>
      </c>
      <c r="S318" s="48"/>
      <c r="T318" s="32"/>
      <c r="U318" s="48" t="b">
        <v>0</v>
      </c>
      <c r="V318" s="48"/>
      <c r="W318" s="48" t="b">
        <v>0</v>
      </c>
      <c r="X318" s="48" t="b">
        <v>0</v>
      </c>
      <c r="Y318" s="48"/>
      <c r="Z318" s="48"/>
      <c r="AA318" s="48"/>
      <c r="AB318" s="48"/>
      <c r="AC318" s="49"/>
      <c r="AD318" s="48"/>
      <c r="AE318" s="48"/>
      <c r="AF318" s="48"/>
      <c r="AG318" s="48"/>
      <c r="AH318" s="48"/>
      <c r="AI318" s="48"/>
      <c r="AJ318" s="25"/>
      <c r="AK318" s="50"/>
      <c r="AL318" s="25"/>
      <c r="AM318" s="25"/>
      <c r="AN318" s="35" t="s">
        <v>1902</v>
      </c>
      <c r="AO318" s="24">
        <v>0.003275462962962963</v>
      </c>
      <c r="AP318" s="7" t="s">
        <v>633</v>
      </c>
      <c r="AQ318" s="7" t="s">
        <v>633</v>
      </c>
      <c r="AR318" s="7" t="s">
        <v>633</v>
      </c>
      <c r="AS318" s="7" t="b">
        <f>NOT(ISERROR(MATCH(A318,'Villages according to موسوعة ال'!C:C,0)))</f>
        <v>1</v>
      </c>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row>
    <row r="319">
      <c r="A319" s="3" t="s">
        <v>1891</v>
      </c>
      <c r="B319" s="26" t="s">
        <v>1892</v>
      </c>
      <c r="E319" s="25"/>
      <c r="F319" s="25"/>
      <c r="K319" s="30"/>
      <c r="L319" s="47"/>
      <c r="M319" s="48" t="b">
        <v>0</v>
      </c>
      <c r="N319" s="48" t="b">
        <v>0</v>
      </c>
      <c r="O319" s="48"/>
      <c r="P319" s="48" t="b">
        <v>0</v>
      </c>
      <c r="Q319" s="48" t="b">
        <v>0</v>
      </c>
      <c r="R319" s="48" t="b">
        <v>0</v>
      </c>
      <c r="S319" s="48"/>
      <c r="T319" s="32"/>
      <c r="U319" s="48" t="b">
        <v>0</v>
      </c>
      <c r="V319" s="48"/>
      <c r="W319" s="48" t="b">
        <v>0</v>
      </c>
      <c r="X319" s="48" t="b">
        <v>0</v>
      </c>
      <c r="Y319" s="48"/>
      <c r="Z319" s="48"/>
      <c r="AA319" s="48"/>
      <c r="AB319" s="48"/>
      <c r="AC319" s="49"/>
      <c r="AD319" s="48"/>
      <c r="AE319" s="48"/>
      <c r="AF319" s="48"/>
      <c r="AG319" s="48"/>
      <c r="AH319" s="48"/>
      <c r="AI319" s="48"/>
      <c r="AJ319" s="25"/>
      <c r="AK319" s="50"/>
      <c r="AL319" s="25"/>
      <c r="AM319" s="25"/>
      <c r="AN319" s="35" t="s">
        <v>1903</v>
      </c>
      <c r="AO319" s="24">
        <v>3.8194444444444446E-4</v>
      </c>
      <c r="AP319" s="7" t="s">
        <v>633</v>
      </c>
      <c r="AQ319" s="7" t="s">
        <v>633</v>
      </c>
      <c r="AR319" s="7" t="s">
        <v>633</v>
      </c>
      <c r="AS319" s="7" t="b">
        <f>NOT(ISERROR(MATCH(A319,'Villages according to موسوعة ال'!C:C,0)))</f>
        <v>1</v>
      </c>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row>
    <row r="320">
      <c r="A320" s="3" t="s">
        <v>1891</v>
      </c>
      <c r="B320" s="26" t="s">
        <v>1892</v>
      </c>
      <c r="E320" s="25"/>
      <c r="F320" s="25"/>
      <c r="K320" s="30"/>
      <c r="L320" s="47"/>
      <c r="M320" s="48" t="b">
        <v>0</v>
      </c>
      <c r="N320" s="48" t="b">
        <v>0</v>
      </c>
      <c r="O320" s="48"/>
      <c r="P320" s="48" t="b">
        <v>0</v>
      </c>
      <c r="Q320" s="48" t="b">
        <v>0</v>
      </c>
      <c r="R320" s="48" t="b">
        <v>0</v>
      </c>
      <c r="S320" s="48"/>
      <c r="T320" s="32"/>
      <c r="U320" s="48" t="b">
        <v>0</v>
      </c>
      <c r="V320" s="48"/>
      <c r="W320" s="48" t="b">
        <v>0</v>
      </c>
      <c r="X320" s="48" t="b">
        <v>0</v>
      </c>
      <c r="Y320" s="48"/>
      <c r="Z320" s="48"/>
      <c r="AA320" s="48"/>
      <c r="AB320" s="48"/>
      <c r="AC320" s="49"/>
      <c r="AD320" s="48"/>
      <c r="AE320" s="48"/>
      <c r="AF320" s="48"/>
      <c r="AG320" s="48"/>
      <c r="AH320" s="48"/>
      <c r="AI320" s="48"/>
      <c r="AJ320" s="25"/>
      <c r="AK320" s="50"/>
      <c r="AL320" s="25"/>
      <c r="AM320" s="25"/>
      <c r="AN320" s="35" t="s">
        <v>1904</v>
      </c>
      <c r="AO320" s="24">
        <v>4.7453703703703704E-4</v>
      </c>
      <c r="AP320" s="7" t="s">
        <v>633</v>
      </c>
      <c r="AQ320" s="7" t="s">
        <v>633</v>
      </c>
      <c r="AR320" s="7" t="s">
        <v>633</v>
      </c>
      <c r="AS320" s="7" t="b">
        <f>NOT(ISERROR(MATCH(A320,'Villages according to موسوعة ال'!C:C,0)))</f>
        <v>1</v>
      </c>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row>
    <row r="321">
      <c r="A321" s="3" t="s">
        <v>1891</v>
      </c>
      <c r="B321" s="26" t="s">
        <v>1892</v>
      </c>
      <c r="E321" s="25"/>
      <c r="F321" s="25"/>
      <c r="G321" s="84"/>
      <c r="H321" s="3" t="s">
        <v>1905</v>
      </c>
      <c r="I321" s="7" t="s">
        <v>616</v>
      </c>
      <c r="J321" s="7" t="s">
        <v>1906</v>
      </c>
      <c r="K321" s="47"/>
      <c r="L321" s="30" t="s">
        <v>1907</v>
      </c>
      <c r="M321" s="32" t="b">
        <v>0</v>
      </c>
      <c r="N321" s="32" t="b">
        <v>0</v>
      </c>
      <c r="O321" s="32"/>
      <c r="P321" s="32" t="b">
        <v>0</v>
      </c>
      <c r="Q321" s="32" t="b">
        <v>0</v>
      </c>
      <c r="R321" s="32" t="b">
        <v>0</v>
      </c>
      <c r="S321" s="32"/>
      <c r="T321" s="32"/>
      <c r="U321" s="32" t="b">
        <v>0</v>
      </c>
      <c r="V321" s="32"/>
      <c r="W321" s="32" t="b">
        <v>0</v>
      </c>
      <c r="X321" s="32" t="b">
        <v>0</v>
      </c>
      <c r="Y321" s="32"/>
      <c r="Z321" s="32"/>
      <c r="AA321" s="32"/>
      <c r="AB321" s="32"/>
      <c r="AC321" s="33"/>
      <c r="AD321" s="32"/>
      <c r="AE321" s="32"/>
      <c r="AF321" s="32"/>
      <c r="AG321" s="32"/>
      <c r="AH321" s="32"/>
      <c r="AI321" s="32"/>
      <c r="AJ321" s="7"/>
      <c r="AK321" s="107"/>
      <c r="AL321" s="7"/>
      <c r="AM321" s="25"/>
      <c r="AN321" s="35" t="s">
        <v>1908</v>
      </c>
      <c r="AO321" s="24">
        <v>0.0019560185185185184</v>
      </c>
      <c r="AP321" s="7" t="s">
        <v>633</v>
      </c>
      <c r="AQ321" s="7" t="s">
        <v>633</v>
      </c>
      <c r="AR321" s="7" t="s">
        <v>633</v>
      </c>
      <c r="AS321" s="7" t="b">
        <f>NOT(ISERROR(MATCH(A321,'Villages according to موسوعة ال'!C:C,0)))</f>
        <v>1</v>
      </c>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row>
    <row r="322">
      <c r="A322" s="3" t="s">
        <v>1891</v>
      </c>
      <c r="B322" s="26" t="s">
        <v>1892</v>
      </c>
      <c r="E322" s="25"/>
      <c r="F322" s="25"/>
      <c r="G322" s="84"/>
      <c r="H322" s="3" t="s">
        <v>1909</v>
      </c>
      <c r="I322" s="7" t="s">
        <v>638</v>
      </c>
      <c r="J322" s="7" t="s">
        <v>1910</v>
      </c>
      <c r="K322" s="47"/>
      <c r="L322" s="47"/>
      <c r="M322" s="48" t="b">
        <v>0</v>
      </c>
      <c r="N322" s="48" t="b">
        <v>0</v>
      </c>
      <c r="O322" s="48"/>
      <c r="P322" s="48" t="b">
        <v>0</v>
      </c>
      <c r="Q322" s="48" t="b">
        <v>0</v>
      </c>
      <c r="R322" s="48" t="b">
        <v>0</v>
      </c>
      <c r="S322" s="48"/>
      <c r="T322" s="32"/>
      <c r="U322" s="48" t="b">
        <v>0</v>
      </c>
      <c r="V322" s="48"/>
      <c r="W322" s="48" t="b">
        <v>0</v>
      </c>
      <c r="X322" s="48" t="b">
        <v>0</v>
      </c>
      <c r="Y322" s="48"/>
      <c r="Z322" s="48"/>
      <c r="AA322" s="48"/>
      <c r="AB322" s="48"/>
      <c r="AC322" s="49"/>
      <c r="AD322" s="48"/>
      <c r="AE322" s="48"/>
      <c r="AF322" s="48"/>
      <c r="AG322" s="48"/>
      <c r="AH322" s="48"/>
      <c r="AI322" s="48"/>
      <c r="AJ322" s="25"/>
      <c r="AK322" s="50"/>
      <c r="AL322" s="25"/>
      <c r="AM322" s="25"/>
      <c r="AN322" s="35" t="s">
        <v>1911</v>
      </c>
      <c r="AO322" s="24">
        <v>0.0012847222222222223</v>
      </c>
      <c r="AP322" s="7" t="s">
        <v>633</v>
      </c>
      <c r="AQ322" s="7" t="s">
        <v>633</v>
      </c>
      <c r="AR322" s="7" t="s">
        <v>633</v>
      </c>
      <c r="AS322" s="7" t="b">
        <f>NOT(ISERROR(MATCH(A322,'Villages according to موسوعة ال'!C:C,0)))</f>
        <v>1</v>
      </c>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row>
    <row r="323">
      <c r="A323" s="3" t="s">
        <v>1891</v>
      </c>
      <c r="B323" s="26" t="s">
        <v>1892</v>
      </c>
      <c r="E323" s="25"/>
      <c r="F323" s="25"/>
      <c r="G323" s="84"/>
      <c r="K323" s="47"/>
      <c r="L323" s="47"/>
      <c r="M323" s="48" t="b">
        <v>0</v>
      </c>
      <c r="N323" s="48" t="b">
        <v>0</v>
      </c>
      <c r="O323" s="48"/>
      <c r="P323" s="48" t="b">
        <v>0</v>
      </c>
      <c r="Q323" s="48" t="b">
        <v>0</v>
      </c>
      <c r="R323" s="48" t="b">
        <v>0</v>
      </c>
      <c r="S323" s="48"/>
      <c r="T323" s="32"/>
      <c r="U323" s="48" t="b">
        <v>0</v>
      </c>
      <c r="V323" s="48"/>
      <c r="W323" s="48" t="b">
        <v>0</v>
      </c>
      <c r="X323" s="48" t="b">
        <v>0</v>
      </c>
      <c r="Y323" s="48"/>
      <c r="Z323" s="48"/>
      <c r="AA323" s="48"/>
      <c r="AB323" s="48"/>
      <c r="AC323" s="49"/>
      <c r="AD323" s="48"/>
      <c r="AE323" s="48"/>
      <c r="AF323" s="48"/>
      <c r="AG323" s="48"/>
      <c r="AH323" s="48"/>
      <c r="AI323" s="48"/>
      <c r="AJ323" s="25"/>
      <c r="AK323" s="50"/>
      <c r="AL323" s="25"/>
      <c r="AM323" s="25"/>
      <c r="AN323" s="35" t="s">
        <v>1912</v>
      </c>
      <c r="AO323" s="24">
        <v>0.002199074074074074</v>
      </c>
      <c r="AP323" s="7" t="s">
        <v>633</v>
      </c>
      <c r="AQ323" s="7" t="s">
        <v>633</v>
      </c>
      <c r="AR323" s="7" t="s">
        <v>633</v>
      </c>
      <c r="AS323" s="7" t="b">
        <f>NOT(ISERROR(MATCH(A323,'Villages according to موسوعة ال'!C:C,0)))</f>
        <v>1</v>
      </c>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row>
    <row r="324">
      <c r="A324" s="3" t="s">
        <v>1891</v>
      </c>
      <c r="B324" s="26" t="s">
        <v>1892</v>
      </c>
      <c r="E324" s="25"/>
      <c r="F324" s="25"/>
      <c r="G324" s="84"/>
      <c r="H324" s="3" t="s">
        <v>1913</v>
      </c>
      <c r="I324" s="7" t="s">
        <v>638</v>
      </c>
      <c r="J324" s="7" t="s">
        <v>1914</v>
      </c>
      <c r="K324" s="47"/>
      <c r="L324" s="47"/>
      <c r="M324" s="48" t="b">
        <v>0</v>
      </c>
      <c r="N324" s="48" t="b">
        <v>0</v>
      </c>
      <c r="O324" s="48"/>
      <c r="P324" s="48" t="b">
        <v>0</v>
      </c>
      <c r="Q324" s="48" t="b">
        <v>0</v>
      </c>
      <c r="R324" s="48" t="b">
        <v>0</v>
      </c>
      <c r="S324" s="48"/>
      <c r="T324" s="32"/>
      <c r="U324" s="48" t="b">
        <v>0</v>
      </c>
      <c r="V324" s="48"/>
      <c r="W324" s="48" t="b">
        <v>0</v>
      </c>
      <c r="X324" s="48" t="b">
        <v>0</v>
      </c>
      <c r="Y324" s="48"/>
      <c r="Z324" s="48"/>
      <c r="AA324" s="48"/>
      <c r="AB324" s="48"/>
      <c r="AC324" s="49"/>
      <c r="AD324" s="48"/>
      <c r="AE324" s="48"/>
      <c r="AF324" s="48"/>
      <c r="AG324" s="48"/>
      <c r="AH324" s="48"/>
      <c r="AI324" s="48"/>
      <c r="AJ324" s="25"/>
      <c r="AK324" s="50"/>
      <c r="AL324" s="25"/>
      <c r="AM324" s="25"/>
      <c r="AN324" s="35" t="s">
        <v>1915</v>
      </c>
      <c r="AO324" s="24">
        <v>0.002638888888888889</v>
      </c>
      <c r="AP324" s="7" t="s">
        <v>633</v>
      </c>
      <c r="AQ324" s="7" t="s">
        <v>633</v>
      </c>
      <c r="AR324" s="7" t="s">
        <v>633</v>
      </c>
      <c r="AS324" s="7" t="b">
        <f>NOT(ISERROR(MATCH(A324,'Villages according to موسوعة ال'!C:C,0)))</f>
        <v>1</v>
      </c>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row>
    <row r="325">
      <c r="A325" s="3" t="s">
        <v>1891</v>
      </c>
      <c r="B325" s="43" t="s">
        <v>1892</v>
      </c>
      <c r="E325" s="25"/>
      <c r="F325" s="25"/>
      <c r="G325" s="84"/>
      <c r="H325" s="3" t="s">
        <v>1916</v>
      </c>
      <c r="I325" s="7" t="s">
        <v>616</v>
      </c>
      <c r="J325" s="7" t="s">
        <v>1917</v>
      </c>
      <c r="K325" s="47"/>
      <c r="L325" s="47"/>
      <c r="M325" s="48" t="b">
        <v>0</v>
      </c>
      <c r="N325" s="48" t="b">
        <v>0</v>
      </c>
      <c r="O325" s="48"/>
      <c r="P325" s="48" t="b">
        <v>0</v>
      </c>
      <c r="Q325" s="48" t="b">
        <v>0</v>
      </c>
      <c r="R325" s="48" t="b">
        <v>0</v>
      </c>
      <c r="S325" s="48"/>
      <c r="T325" s="60"/>
      <c r="U325" s="48" t="b">
        <v>0</v>
      </c>
      <c r="V325" s="48"/>
      <c r="W325" s="48" t="b">
        <v>0</v>
      </c>
      <c r="X325" s="48" t="b">
        <v>0</v>
      </c>
      <c r="Y325" s="48"/>
      <c r="Z325" s="48"/>
      <c r="AA325" s="48"/>
      <c r="AB325" s="48"/>
      <c r="AC325" s="49"/>
      <c r="AD325" s="48"/>
      <c r="AE325" s="48"/>
      <c r="AF325" s="48"/>
      <c r="AG325" s="48"/>
      <c r="AH325" s="48"/>
      <c r="AI325" s="48"/>
      <c r="AJ325" s="25"/>
      <c r="AK325" s="34" t="s">
        <v>698</v>
      </c>
      <c r="AL325" s="3" t="s">
        <v>699</v>
      </c>
      <c r="AM325" s="3" t="s">
        <v>831</v>
      </c>
      <c r="AN325" s="35" t="s">
        <v>1918</v>
      </c>
      <c r="AO325" s="24">
        <v>0.007326388888888889</v>
      </c>
      <c r="AP325" s="3" t="s">
        <v>1919</v>
      </c>
      <c r="AQ325" s="3" t="s">
        <v>1920</v>
      </c>
      <c r="AR325" s="35" t="s">
        <v>1921</v>
      </c>
      <c r="AS325" s="7" t="b">
        <f>NOT(ISERROR(MATCH(A325,'Villages according to موسوعة ال'!C:C,0)))</f>
        <v>1</v>
      </c>
      <c r="AT325" s="25"/>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row>
    <row r="326">
      <c r="A326" s="3" t="s">
        <v>1891</v>
      </c>
      <c r="B326" s="26" t="s">
        <v>1892</v>
      </c>
      <c r="E326" s="25"/>
      <c r="F326" s="25"/>
      <c r="G326" s="84"/>
      <c r="H326" s="3" t="s">
        <v>1922</v>
      </c>
      <c r="I326" s="7" t="s">
        <v>638</v>
      </c>
      <c r="J326" s="7" t="s">
        <v>1923</v>
      </c>
      <c r="K326" s="47"/>
      <c r="L326" s="47"/>
      <c r="M326" s="48" t="b">
        <v>0</v>
      </c>
      <c r="N326" s="48" t="b">
        <v>0</v>
      </c>
      <c r="O326" s="48"/>
      <c r="P326" s="48" t="b">
        <v>0</v>
      </c>
      <c r="Q326" s="48" t="b">
        <v>0</v>
      </c>
      <c r="R326" s="48" t="b">
        <v>0</v>
      </c>
      <c r="S326" s="48"/>
      <c r="T326" s="32"/>
      <c r="U326" s="48" t="b">
        <v>0</v>
      </c>
      <c r="V326" s="48"/>
      <c r="W326" s="48" t="b">
        <v>0</v>
      </c>
      <c r="X326" s="48" t="b">
        <v>0</v>
      </c>
      <c r="Y326" s="48"/>
      <c r="Z326" s="48"/>
      <c r="AA326" s="48"/>
      <c r="AB326" s="48"/>
      <c r="AC326" s="49"/>
      <c r="AD326" s="48"/>
      <c r="AE326" s="48"/>
      <c r="AF326" s="48"/>
      <c r="AG326" s="48"/>
      <c r="AH326" s="48"/>
      <c r="AI326" s="48"/>
      <c r="AJ326" s="25"/>
      <c r="AK326" s="50"/>
      <c r="AL326" s="25"/>
      <c r="AM326" s="25"/>
      <c r="AN326" s="35" t="s">
        <v>1924</v>
      </c>
      <c r="AO326" s="24">
        <v>0.0038888888888888888</v>
      </c>
      <c r="AP326" s="7" t="s">
        <v>633</v>
      </c>
      <c r="AQ326" s="7" t="s">
        <v>633</v>
      </c>
      <c r="AR326" s="7" t="s">
        <v>633</v>
      </c>
      <c r="AS326" s="7" t="b">
        <f>NOT(ISERROR(MATCH(A326,'Villages according to موسوعة ال'!C:C,0)))</f>
        <v>1</v>
      </c>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row>
    <row r="327">
      <c r="A327" s="3" t="s">
        <v>1891</v>
      </c>
      <c r="B327" s="26" t="s">
        <v>1892</v>
      </c>
      <c r="E327" s="25"/>
      <c r="F327" s="25"/>
      <c r="G327" s="84"/>
      <c r="H327" s="3" t="s">
        <v>1925</v>
      </c>
      <c r="I327" s="7" t="s">
        <v>616</v>
      </c>
      <c r="J327" s="7" t="s">
        <v>1926</v>
      </c>
      <c r="K327" s="47"/>
      <c r="L327" s="47"/>
      <c r="M327" s="48" t="b">
        <v>0</v>
      </c>
      <c r="N327" s="48" t="b">
        <v>0</v>
      </c>
      <c r="O327" s="48"/>
      <c r="P327" s="48" t="b">
        <v>0</v>
      </c>
      <c r="Q327" s="48" t="b">
        <v>0</v>
      </c>
      <c r="R327" s="48" t="b">
        <v>0</v>
      </c>
      <c r="S327" s="48"/>
      <c r="T327" s="32"/>
      <c r="U327" s="48" t="b">
        <v>0</v>
      </c>
      <c r="V327" s="48"/>
      <c r="W327" s="48" t="b">
        <v>0</v>
      </c>
      <c r="X327" s="48" t="b">
        <v>0</v>
      </c>
      <c r="Y327" s="48"/>
      <c r="Z327" s="48"/>
      <c r="AA327" s="48"/>
      <c r="AB327" s="48"/>
      <c r="AC327" s="49"/>
      <c r="AD327" s="48"/>
      <c r="AE327" s="48"/>
      <c r="AF327" s="48"/>
      <c r="AG327" s="48"/>
      <c r="AH327" s="48"/>
      <c r="AI327" s="48"/>
      <c r="AJ327" s="25"/>
      <c r="AK327" s="50"/>
      <c r="AL327" s="25"/>
      <c r="AM327" s="25"/>
      <c r="AN327" s="35" t="s">
        <v>1927</v>
      </c>
      <c r="AO327" s="24">
        <v>0.0021412037037037038</v>
      </c>
      <c r="AP327" s="7" t="s">
        <v>633</v>
      </c>
      <c r="AQ327" s="7" t="s">
        <v>633</v>
      </c>
      <c r="AR327" s="7" t="s">
        <v>633</v>
      </c>
      <c r="AS327" s="7" t="b">
        <f>NOT(ISERROR(MATCH(A327,'Villages according to موسوعة ال'!C:C,0)))</f>
        <v>1</v>
      </c>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row>
    <row r="328">
      <c r="A328" s="7" t="s">
        <v>6</v>
      </c>
      <c r="B328" s="43" t="s">
        <v>7</v>
      </c>
      <c r="C328" s="7" t="s">
        <v>7</v>
      </c>
      <c r="D328" s="7" t="s">
        <v>8</v>
      </c>
      <c r="E328" s="25"/>
      <c r="F328" s="25"/>
      <c r="G328" s="84"/>
      <c r="H328" s="3" t="s">
        <v>1928</v>
      </c>
      <c r="I328" s="7" t="s">
        <v>638</v>
      </c>
      <c r="J328" s="7" t="s">
        <v>1929</v>
      </c>
      <c r="K328" s="47"/>
      <c r="L328" s="47"/>
      <c r="M328" s="48" t="b">
        <v>0</v>
      </c>
      <c r="N328" s="48" t="b">
        <v>0</v>
      </c>
      <c r="O328" s="48"/>
      <c r="P328" s="48" t="b">
        <v>0</v>
      </c>
      <c r="Q328" s="48" t="b">
        <v>0</v>
      </c>
      <c r="R328" s="48" t="b">
        <v>0</v>
      </c>
      <c r="S328" s="48"/>
      <c r="T328" s="60"/>
      <c r="U328" s="48" t="b">
        <v>0</v>
      </c>
      <c r="V328" s="48"/>
      <c r="W328" s="48" t="b">
        <v>0</v>
      </c>
      <c r="X328" s="48" t="b">
        <v>0</v>
      </c>
      <c r="Y328" s="48"/>
      <c r="Z328" s="48"/>
      <c r="AA328" s="48"/>
      <c r="AB328" s="48"/>
      <c r="AC328" s="49"/>
      <c r="AD328" s="48"/>
      <c r="AE328" s="48"/>
      <c r="AF328" s="48"/>
      <c r="AG328" s="48"/>
      <c r="AH328" s="48"/>
      <c r="AI328" s="48"/>
      <c r="AJ328" s="3"/>
      <c r="AK328" s="34" t="s">
        <v>698</v>
      </c>
      <c r="AL328" s="25"/>
      <c r="AM328" s="25"/>
      <c r="AN328" s="35" t="s">
        <v>1930</v>
      </c>
      <c r="AO328" s="24">
        <v>0.002395833333333333</v>
      </c>
      <c r="AP328" s="3" t="s">
        <v>1931</v>
      </c>
      <c r="AQ328" s="7" t="s">
        <v>633</v>
      </c>
      <c r="AR328" s="35" t="s">
        <v>1932</v>
      </c>
      <c r="AS328" s="7" t="b">
        <f>NOT(ISERROR(MATCH(A328,'Villages according to موسوعة ال'!C:C,0)))</f>
        <v>1</v>
      </c>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row>
    <row r="329">
      <c r="A329" s="7" t="s">
        <v>6</v>
      </c>
      <c r="B329" s="43" t="s">
        <v>7</v>
      </c>
      <c r="E329" s="25"/>
      <c r="F329" s="25"/>
      <c r="G329" s="84"/>
      <c r="H329" s="3" t="s">
        <v>1933</v>
      </c>
      <c r="I329" s="7" t="s">
        <v>638</v>
      </c>
      <c r="J329" s="7" t="s">
        <v>1934</v>
      </c>
      <c r="K329" s="47"/>
      <c r="L329" s="47"/>
      <c r="M329" s="48" t="b">
        <v>0</v>
      </c>
      <c r="N329" s="48" t="b">
        <v>0</v>
      </c>
      <c r="O329" s="48"/>
      <c r="P329" s="48" t="b">
        <v>0</v>
      </c>
      <c r="Q329" s="48" t="b">
        <v>0</v>
      </c>
      <c r="R329" s="48" t="b">
        <v>0</v>
      </c>
      <c r="S329" s="48"/>
      <c r="T329" s="32"/>
      <c r="U329" s="48" t="b">
        <v>0</v>
      </c>
      <c r="V329" s="48"/>
      <c r="W329" s="48" t="b">
        <v>0</v>
      </c>
      <c r="X329" s="48" t="b">
        <v>0</v>
      </c>
      <c r="Y329" s="48"/>
      <c r="Z329" s="48"/>
      <c r="AA329" s="48"/>
      <c r="AB329" s="48"/>
      <c r="AC329" s="49"/>
      <c r="AD329" s="48"/>
      <c r="AE329" s="48"/>
      <c r="AF329" s="48"/>
      <c r="AG329" s="48"/>
      <c r="AH329" s="48"/>
      <c r="AI329" s="48"/>
      <c r="AJ329" s="3" t="s">
        <v>1935</v>
      </c>
      <c r="AK329" s="34" t="s">
        <v>698</v>
      </c>
      <c r="AL329" s="3" t="s">
        <v>699</v>
      </c>
      <c r="AM329" s="3" t="s">
        <v>831</v>
      </c>
      <c r="AN329" s="35" t="s">
        <v>1936</v>
      </c>
      <c r="AO329" s="24">
        <v>0.006828703703703704</v>
      </c>
      <c r="AP329" s="3" t="s">
        <v>1937</v>
      </c>
      <c r="AQ329" s="7" t="s">
        <v>633</v>
      </c>
      <c r="AR329" s="35" t="s">
        <v>1938</v>
      </c>
      <c r="AS329" s="7" t="b">
        <f>NOT(ISERROR(MATCH(A329,'Villages according to موسوعة ال'!C:C,0)))</f>
        <v>1</v>
      </c>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row>
    <row r="330">
      <c r="A330" s="7" t="s">
        <v>6</v>
      </c>
      <c r="B330" s="26" t="s">
        <v>7</v>
      </c>
      <c r="E330" s="25"/>
      <c r="F330" s="25"/>
      <c r="G330" s="84"/>
      <c r="H330" s="3" t="s">
        <v>1939</v>
      </c>
      <c r="I330" s="7" t="s">
        <v>638</v>
      </c>
      <c r="J330" s="7" t="s">
        <v>1940</v>
      </c>
      <c r="K330" s="47"/>
      <c r="L330" s="47"/>
      <c r="M330" s="48" t="b">
        <v>0</v>
      </c>
      <c r="N330" s="48" t="b">
        <v>0</v>
      </c>
      <c r="O330" s="48"/>
      <c r="P330" s="48" t="b">
        <v>0</v>
      </c>
      <c r="Q330" s="48" t="b">
        <v>0</v>
      </c>
      <c r="R330" s="48" t="b">
        <v>0</v>
      </c>
      <c r="S330" s="48"/>
      <c r="T330" s="32"/>
      <c r="U330" s="48" t="b">
        <v>0</v>
      </c>
      <c r="V330" s="48"/>
      <c r="W330" s="48" t="b">
        <v>0</v>
      </c>
      <c r="X330" s="48" t="b">
        <v>0</v>
      </c>
      <c r="Y330" s="48"/>
      <c r="Z330" s="48"/>
      <c r="AA330" s="48"/>
      <c r="AB330" s="48"/>
      <c r="AC330" s="49"/>
      <c r="AD330" s="48"/>
      <c r="AE330" s="48"/>
      <c r="AF330" s="48"/>
      <c r="AG330" s="48"/>
      <c r="AH330" s="48"/>
      <c r="AI330" s="48"/>
      <c r="AJ330" s="25"/>
      <c r="AK330" s="50"/>
      <c r="AL330" s="25"/>
      <c r="AM330" s="25"/>
      <c r="AN330" s="35" t="s">
        <v>1941</v>
      </c>
      <c r="AO330" s="24">
        <v>0.004733796296296297</v>
      </c>
      <c r="AP330" s="7" t="s">
        <v>633</v>
      </c>
      <c r="AQ330" s="7" t="s">
        <v>633</v>
      </c>
      <c r="AR330" s="7" t="s">
        <v>633</v>
      </c>
      <c r="AS330" s="7" t="b">
        <f>NOT(ISERROR(MATCH(A330,'Villages according to موسوعة ال'!C:C,0)))</f>
        <v>1</v>
      </c>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row>
    <row r="331">
      <c r="A331" s="7" t="s">
        <v>6</v>
      </c>
      <c r="B331" s="43" t="s">
        <v>7</v>
      </c>
      <c r="E331" s="25"/>
      <c r="F331" s="25"/>
      <c r="G331" s="84"/>
      <c r="H331" s="7" t="s">
        <v>1942</v>
      </c>
      <c r="I331" s="7" t="s">
        <v>638</v>
      </c>
      <c r="J331" s="7" t="s">
        <v>1943</v>
      </c>
      <c r="K331" s="47"/>
      <c r="L331" s="47"/>
      <c r="M331" s="48" t="b">
        <v>0</v>
      </c>
      <c r="N331" s="48" t="b">
        <v>0</v>
      </c>
      <c r="O331" s="48"/>
      <c r="P331" s="48" t="b">
        <v>0</v>
      </c>
      <c r="Q331" s="48" t="b">
        <v>0</v>
      </c>
      <c r="R331" s="48" t="b">
        <v>0</v>
      </c>
      <c r="S331" s="48"/>
      <c r="T331" s="60"/>
      <c r="U331" s="48" t="b">
        <v>0</v>
      </c>
      <c r="V331" s="48"/>
      <c r="W331" s="48" t="b">
        <v>0</v>
      </c>
      <c r="X331" s="48" t="b">
        <v>0</v>
      </c>
      <c r="Y331" s="48"/>
      <c r="Z331" s="48"/>
      <c r="AA331" s="48"/>
      <c r="AB331" s="48"/>
      <c r="AC331" s="49"/>
      <c r="AD331" s="48"/>
      <c r="AE331" s="48"/>
      <c r="AF331" s="48"/>
      <c r="AG331" s="48"/>
      <c r="AH331" s="48"/>
      <c r="AI331" s="48"/>
      <c r="AJ331" s="25"/>
      <c r="AK331" s="34" t="s">
        <v>698</v>
      </c>
      <c r="AL331" s="25"/>
      <c r="AM331" s="25"/>
      <c r="AN331" s="35" t="s">
        <v>1944</v>
      </c>
      <c r="AO331" s="24">
        <v>0.005775462962962963</v>
      </c>
      <c r="AP331" s="3" t="s">
        <v>1945</v>
      </c>
      <c r="AQ331" s="7" t="s">
        <v>633</v>
      </c>
      <c r="AR331" s="35" t="s">
        <v>1946</v>
      </c>
      <c r="AS331" s="7" t="b">
        <f>NOT(ISERROR(MATCH(A331,'Villages according to موسوعة ال'!C:C,0)))</f>
        <v>1</v>
      </c>
      <c r="AT331" s="25"/>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row>
    <row r="332">
      <c r="A332" s="7" t="s">
        <v>6</v>
      </c>
      <c r="B332" s="43" t="s">
        <v>7</v>
      </c>
      <c r="E332" s="25"/>
      <c r="F332" s="25"/>
      <c r="G332" s="84"/>
      <c r="H332" s="7" t="s">
        <v>1947</v>
      </c>
      <c r="I332" s="7" t="s">
        <v>638</v>
      </c>
      <c r="J332" s="7" t="s">
        <v>1948</v>
      </c>
      <c r="K332" s="47"/>
      <c r="L332" s="47"/>
      <c r="M332" s="48" t="b">
        <v>0</v>
      </c>
      <c r="N332" s="48" t="b">
        <v>0</v>
      </c>
      <c r="O332" s="48"/>
      <c r="P332" s="48" t="b">
        <v>0</v>
      </c>
      <c r="Q332" s="48" t="b">
        <v>0</v>
      </c>
      <c r="R332" s="48" t="b">
        <v>0</v>
      </c>
      <c r="S332" s="48"/>
      <c r="T332" s="60"/>
      <c r="U332" s="48" t="b">
        <v>0</v>
      </c>
      <c r="V332" s="48"/>
      <c r="W332" s="48" t="b">
        <v>0</v>
      </c>
      <c r="X332" s="48" t="b">
        <v>0</v>
      </c>
      <c r="Y332" s="48"/>
      <c r="Z332" s="48"/>
      <c r="AA332" s="48"/>
      <c r="AB332" s="48"/>
      <c r="AC332" s="49"/>
      <c r="AD332" s="48"/>
      <c r="AE332" s="48"/>
      <c r="AF332" s="48"/>
      <c r="AG332" s="48"/>
      <c r="AH332" s="48"/>
      <c r="AI332" s="48"/>
      <c r="AJ332" s="25"/>
      <c r="AK332" s="34" t="s">
        <v>698</v>
      </c>
      <c r="AL332" s="25"/>
      <c r="AM332" s="25"/>
      <c r="AN332" s="35" t="s">
        <v>1949</v>
      </c>
      <c r="AO332" s="24">
        <v>0.004108796296296296</v>
      </c>
      <c r="AP332" s="3" t="s">
        <v>1950</v>
      </c>
      <c r="AQ332" s="7" t="s">
        <v>633</v>
      </c>
      <c r="AR332" s="35" t="s">
        <v>1951</v>
      </c>
      <c r="AS332" s="7" t="b">
        <f>NOT(ISERROR(MATCH(A332,'Villages according to موسوعة ال'!C:C,0)))</f>
        <v>1</v>
      </c>
      <c r="AT332" s="25"/>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row>
    <row r="333">
      <c r="A333" s="7" t="s">
        <v>6</v>
      </c>
      <c r="B333" s="26" t="s">
        <v>7</v>
      </c>
      <c r="E333" s="25"/>
      <c r="F333" s="25"/>
      <c r="G333" s="84"/>
      <c r="H333" s="3" t="s">
        <v>1952</v>
      </c>
      <c r="I333" s="7" t="s">
        <v>616</v>
      </c>
      <c r="J333" s="7" t="s">
        <v>1953</v>
      </c>
      <c r="K333" s="47"/>
      <c r="L333" s="54" t="s">
        <v>1954</v>
      </c>
      <c r="M333" s="31" t="b">
        <v>0</v>
      </c>
      <c r="N333" s="31" t="b">
        <v>0</v>
      </c>
      <c r="O333" s="31"/>
      <c r="P333" s="31" t="b">
        <v>0</v>
      </c>
      <c r="Q333" s="31" t="b">
        <v>0</v>
      </c>
      <c r="R333" s="31" t="b">
        <v>0</v>
      </c>
      <c r="S333" s="31"/>
      <c r="T333" s="32"/>
      <c r="U333" s="31" t="b">
        <v>0</v>
      </c>
      <c r="V333" s="31"/>
      <c r="W333" s="31" t="b">
        <v>0</v>
      </c>
      <c r="X333" s="31" t="b">
        <v>0</v>
      </c>
      <c r="Y333" s="31"/>
      <c r="Z333" s="31"/>
      <c r="AA333" s="31"/>
      <c r="AB333" s="31"/>
      <c r="AC333" s="45"/>
      <c r="AD333" s="31"/>
      <c r="AE333" s="31"/>
      <c r="AF333" s="31"/>
      <c r="AG333" s="31"/>
      <c r="AH333" s="31"/>
      <c r="AI333" s="31"/>
      <c r="AJ333" s="3"/>
      <c r="AK333" s="34"/>
      <c r="AL333" s="3"/>
      <c r="AM333" s="25"/>
      <c r="AN333" s="35" t="s">
        <v>1955</v>
      </c>
      <c r="AO333" s="24">
        <v>0.004363425925925926</v>
      </c>
      <c r="AP333" s="7" t="s">
        <v>633</v>
      </c>
      <c r="AQ333" s="7" t="s">
        <v>633</v>
      </c>
      <c r="AR333" s="7" t="s">
        <v>633</v>
      </c>
      <c r="AS333" s="7" t="b">
        <f>NOT(ISERROR(MATCH(A333,'Villages according to موسوعة ال'!C:C,0)))</f>
        <v>1</v>
      </c>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row>
    <row r="334">
      <c r="A334" s="7" t="s">
        <v>6</v>
      </c>
      <c r="B334" s="26" t="s">
        <v>7</v>
      </c>
      <c r="E334" s="25"/>
      <c r="F334" s="25"/>
      <c r="G334" s="84"/>
      <c r="H334" s="3" t="s">
        <v>1956</v>
      </c>
      <c r="I334" s="7" t="s">
        <v>616</v>
      </c>
      <c r="J334" s="7" t="s">
        <v>1957</v>
      </c>
      <c r="K334" s="47"/>
      <c r="L334" s="47"/>
      <c r="M334" s="48" t="b">
        <v>0</v>
      </c>
      <c r="N334" s="48" t="b">
        <v>0</v>
      </c>
      <c r="O334" s="48"/>
      <c r="P334" s="48" t="b">
        <v>0</v>
      </c>
      <c r="Q334" s="48" t="b">
        <v>0</v>
      </c>
      <c r="R334" s="48" t="b">
        <v>0</v>
      </c>
      <c r="S334" s="48"/>
      <c r="T334" s="32"/>
      <c r="U334" s="48" t="b">
        <v>0</v>
      </c>
      <c r="V334" s="48"/>
      <c r="W334" s="48" t="b">
        <v>0</v>
      </c>
      <c r="X334" s="48" t="b">
        <v>0</v>
      </c>
      <c r="Y334" s="48"/>
      <c r="Z334" s="48"/>
      <c r="AA334" s="48"/>
      <c r="AB334" s="48"/>
      <c r="AC334" s="49"/>
      <c r="AD334" s="48"/>
      <c r="AE334" s="48"/>
      <c r="AF334" s="48"/>
      <c r="AG334" s="48"/>
      <c r="AH334" s="48"/>
      <c r="AI334" s="48"/>
      <c r="AJ334" s="25"/>
      <c r="AK334" s="50"/>
      <c r="AL334" s="25"/>
      <c r="AM334" s="25"/>
      <c r="AN334" s="35" t="s">
        <v>1958</v>
      </c>
      <c r="AO334" s="24">
        <v>0.004178240740740741</v>
      </c>
      <c r="AP334" s="7" t="s">
        <v>633</v>
      </c>
      <c r="AQ334" s="7" t="s">
        <v>633</v>
      </c>
      <c r="AR334" s="7" t="s">
        <v>633</v>
      </c>
      <c r="AS334" s="7" t="b">
        <f>NOT(ISERROR(MATCH(A334,'Villages according to موسوعة ال'!C:C,0)))</f>
        <v>1</v>
      </c>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row>
    <row r="335">
      <c r="A335" s="7" t="s">
        <v>6</v>
      </c>
      <c r="B335" s="26" t="s">
        <v>7</v>
      </c>
      <c r="E335" s="25"/>
      <c r="F335" s="25"/>
      <c r="G335" s="84"/>
      <c r="H335" s="3" t="s">
        <v>1959</v>
      </c>
      <c r="I335" s="7" t="s">
        <v>616</v>
      </c>
      <c r="J335" s="7" t="s">
        <v>1960</v>
      </c>
      <c r="K335" s="54"/>
      <c r="L335" s="54" t="s">
        <v>1954</v>
      </c>
      <c r="M335" s="31" t="b">
        <v>0</v>
      </c>
      <c r="N335" s="31" t="b">
        <v>0</v>
      </c>
      <c r="O335" s="31"/>
      <c r="P335" s="31" t="b">
        <v>0</v>
      </c>
      <c r="Q335" s="31" t="b">
        <v>0</v>
      </c>
      <c r="R335" s="31" t="b">
        <v>0</v>
      </c>
      <c r="S335" s="31"/>
      <c r="T335" s="32"/>
      <c r="U335" s="31" t="b">
        <v>0</v>
      </c>
      <c r="V335" s="31"/>
      <c r="W335" s="31" t="b">
        <v>0</v>
      </c>
      <c r="X335" s="31" t="b">
        <v>0</v>
      </c>
      <c r="Y335" s="31"/>
      <c r="Z335" s="31"/>
      <c r="AA335" s="31"/>
      <c r="AB335" s="31"/>
      <c r="AC335" s="45"/>
      <c r="AD335" s="31"/>
      <c r="AE335" s="31"/>
      <c r="AF335" s="31"/>
      <c r="AG335" s="31"/>
      <c r="AH335" s="31"/>
      <c r="AI335" s="31"/>
      <c r="AJ335" s="3"/>
      <c r="AK335" s="34"/>
      <c r="AL335" s="3"/>
      <c r="AM335" s="25"/>
      <c r="AN335" s="35" t="s">
        <v>1961</v>
      </c>
      <c r="AO335" s="24">
        <v>0.0034027777777777776</v>
      </c>
      <c r="AP335" s="7" t="s">
        <v>633</v>
      </c>
      <c r="AQ335" s="7" t="s">
        <v>633</v>
      </c>
      <c r="AR335" s="7" t="s">
        <v>633</v>
      </c>
      <c r="AS335" s="7" t="b">
        <f>NOT(ISERROR(MATCH(A335,'Villages according to موسوعة ال'!C:C,0)))</f>
        <v>1</v>
      </c>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row>
    <row r="336">
      <c r="A336" s="7" t="s">
        <v>6</v>
      </c>
      <c r="B336" s="26" t="s">
        <v>7</v>
      </c>
      <c r="E336" s="25"/>
      <c r="F336" s="25"/>
      <c r="G336" s="84"/>
      <c r="H336" s="3" t="s">
        <v>1962</v>
      </c>
      <c r="I336" s="7" t="s">
        <v>616</v>
      </c>
      <c r="J336" s="7" t="s">
        <v>1963</v>
      </c>
      <c r="K336" s="54" t="s">
        <v>1964</v>
      </c>
      <c r="L336" s="47"/>
      <c r="M336" s="48" t="b">
        <v>0</v>
      </c>
      <c r="N336" s="48" t="b">
        <v>0</v>
      </c>
      <c r="O336" s="48"/>
      <c r="P336" s="48" t="b">
        <v>0</v>
      </c>
      <c r="Q336" s="48" t="b">
        <v>0</v>
      </c>
      <c r="R336" s="48" t="b">
        <v>0</v>
      </c>
      <c r="S336" s="48"/>
      <c r="T336" s="32"/>
      <c r="U336" s="48" t="b">
        <v>0</v>
      </c>
      <c r="V336" s="48"/>
      <c r="W336" s="48" t="b">
        <v>0</v>
      </c>
      <c r="X336" s="48" t="b">
        <v>0</v>
      </c>
      <c r="Y336" s="48"/>
      <c r="Z336" s="48"/>
      <c r="AA336" s="48"/>
      <c r="AB336" s="48"/>
      <c r="AC336" s="49"/>
      <c r="AD336" s="48"/>
      <c r="AE336" s="48"/>
      <c r="AF336" s="48"/>
      <c r="AG336" s="48"/>
      <c r="AH336" s="48"/>
      <c r="AI336" s="48"/>
      <c r="AJ336" s="25"/>
      <c r="AK336" s="50"/>
      <c r="AL336" s="25"/>
      <c r="AM336" s="25"/>
      <c r="AN336" s="68" t="s">
        <v>1965</v>
      </c>
      <c r="AO336" s="24">
        <v>0.0033333333333333335</v>
      </c>
      <c r="AP336" s="7" t="s">
        <v>633</v>
      </c>
      <c r="AQ336" s="7" t="s">
        <v>633</v>
      </c>
      <c r="AR336" s="7" t="s">
        <v>633</v>
      </c>
      <c r="AS336" s="7" t="b">
        <f>NOT(ISERROR(MATCH(A336,'Villages according to موسوعة ال'!C:C,0)))</f>
        <v>1</v>
      </c>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row>
    <row r="337">
      <c r="A337" s="7" t="s">
        <v>6</v>
      </c>
      <c r="B337" s="26" t="s">
        <v>7</v>
      </c>
      <c r="E337" s="25"/>
      <c r="F337" s="25"/>
      <c r="G337" s="84"/>
      <c r="H337" s="3" t="s">
        <v>1966</v>
      </c>
      <c r="I337" s="7" t="s">
        <v>616</v>
      </c>
      <c r="J337" s="7" t="s">
        <v>1967</v>
      </c>
      <c r="K337" s="47"/>
      <c r="L337" s="47"/>
      <c r="M337" s="48" t="b">
        <v>0</v>
      </c>
      <c r="N337" s="48" t="b">
        <v>0</v>
      </c>
      <c r="O337" s="48"/>
      <c r="P337" s="48" t="b">
        <v>0</v>
      </c>
      <c r="Q337" s="48" t="b">
        <v>0</v>
      </c>
      <c r="R337" s="48" t="b">
        <v>0</v>
      </c>
      <c r="S337" s="48"/>
      <c r="T337" s="32"/>
      <c r="U337" s="48" t="b">
        <v>0</v>
      </c>
      <c r="V337" s="48"/>
      <c r="W337" s="48" t="b">
        <v>0</v>
      </c>
      <c r="X337" s="48" t="b">
        <v>0</v>
      </c>
      <c r="Y337" s="48"/>
      <c r="Z337" s="48"/>
      <c r="AA337" s="48"/>
      <c r="AB337" s="48"/>
      <c r="AC337" s="49"/>
      <c r="AD337" s="48"/>
      <c r="AE337" s="48"/>
      <c r="AF337" s="48"/>
      <c r="AG337" s="48"/>
      <c r="AH337" s="48"/>
      <c r="AI337" s="48"/>
      <c r="AJ337" s="25"/>
      <c r="AK337" s="50"/>
      <c r="AL337" s="25"/>
      <c r="AM337" s="25"/>
      <c r="AN337" s="35" t="s">
        <v>1968</v>
      </c>
      <c r="AO337" s="24">
        <v>0.004016203703703704</v>
      </c>
      <c r="AP337" s="7" t="s">
        <v>633</v>
      </c>
      <c r="AQ337" s="7" t="s">
        <v>633</v>
      </c>
      <c r="AR337" s="7" t="s">
        <v>633</v>
      </c>
      <c r="AS337" s="7" t="b">
        <f>NOT(ISERROR(MATCH(A337,'Villages according to موسوعة ال'!C:C,0)))</f>
        <v>1</v>
      </c>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row>
    <row r="338">
      <c r="A338" s="7" t="s">
        <v>6</v>
      </c>
      <c r="B338" s="26" t="s">
        <v>7</v>
      </c>
      <c r="E338" s="25"/>
      <c r="F338" s="25"/>
      <c r="G338" s="84"/>
      <c r="H338" s="3" t="s">
        <v>1969</v>
      </c>
      <c r="I338" s="7" t="s">
        <v>638</v>
      </c>
      <c r="J338" s="7" t="s">
        <v>1970</v>
      </c>
      <c r="K338" s="47"/>
      <c r="L338" s="47"/>
      <c r="M338" s="48" t="b">
        <v>0</v>
      </c>
      <c r="N338" s="48" t="b">
        <v>0</v>
      </c>
      <c r="O338" s="48"/>
      <c r="P338" s="48" t="b">
        <v>0</v>
      </c>
      <c r="Q338" s="48" t="b">
        <v>0</v>
      </c>
      <c r="R338" s="48" t="b">
        <v>0</v>
      </c>
      <c r="S338" s="48"/>
      <c r="T338" s="32"/>
      <c r="U338" s="48" t="b">
        <v>0</v>
      </c>
      <c r="V338" s="48"/>
      <c r="W338" s="48" t="b">
        <v>0</v>
      </c>
      <c r="X338" s="48" t="b">
        <v>0</v>
      </c>
      <c r="Y338" s="48"/>
      <c r="Z338" s="48"/>
      <c r="AA338" s="48"/>
      <c r="AB338" s="48"/>
      <c r="AC338" s="49"/>
      <c r="AD338" s="48"/>
      <c r="AE338" s="48"/>
      <c r="AF338" s="48"/>
      <c r="AG338" s="48"/>
      <c r="AH338" s="48"/>
      <c r="AI338" s="48"/>
      <c r="AJ338" s="25"/>
      <c r="AK338" s="50"/>
      <c r="AL338" s="25"/>
      <c r="AM338" s="25"/>
      <c r="AN338" s="35" t="s">
        <v>1971</v>
      </c>
      <c r="AO338" s="24">
        <v>0.04083333333333333</v>
      </c>
      <c r="AP338" s="3" t="s">
        <v>1972</v>
      </c>
      <c r="AQ338" s="7" t="s">
        <v>633</v>
      </c>
      <c r="AR338" s="7" t="s">
        <v>633</v>
      </c>
      <c r="AS338" s="7" t="b">
        <f>NOT(ISERROR(MATCH(A338,'Villages according to موسوعة ال'!C:C,0)))</f>
        <v>1</v>
      </c>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row>
    <row r="339">
      <c r="A339" s="7" t="s">
        <v>6</v>
      </c>
      <c r="B339" s="26" t="s">
        <v>7</v>
      </c>
      <c r="E339" s="25"/>
      <c r="F339" s="25"/>
      <c r="G339" s="84"/>
      <c r="H339" s="3" t="s">
        <v>1973</v>
      </c>
      <c r="I339" s="7" t="s">
        <v>616</v>
      </c>
      <c r="J339" s="7" t="s">
        <v>1974</v>
      </c>
      <c r="K339" s="47"/>
      <c r="L339" s="47"/>
      <c r="M339" s="48" t="b">
        <v>0</v>
      </c>
      <c r="N339" s="48" t="b">
        <v>0</v>
      </c>
      <c r="O339" s="48"/>
      <c r="P339" s="48" t="b">
        <v>0</v>
      </c>
      <c r="Q339" s="48" t="b">
        <v>0</v>
      </c>
      <c r="R339" s="48" t="b">
        <v>0</v>
      </c>
      <c r="S339" s="48"/>
      <c r="T339" s="32"/>
      <c r="U339" s="48" t="b">
        <v>0</v>
      </c>
      <c r="V339" s="48"/>
      <c r="W339" s="48" t="b">
        <v>0</v>
      </c>
      <c r="X339" s="48" t="b">
        <v>0</v>
      </c>
      <c r="Y339" s="48"/>
      <c r="Z339" s="48"/>
      <c r="AA339" s="48"/>
      <c r="AB339" s="48"/>
      <c r="AC339" s="49"/>
      <c r="AD339" s="48"/>
      <c r="AE339" s="48"/>
      <c r="AF339" s="48"/>
      <c r="AG339" s="48"/>
      <c r="AH339" s="48"/>
      <c r="AI339" s="48"/>
      <c r="AJ339" s="25"/>
      <c r="AK339" s="50"/>
      <c r="AL339" s="25"/>
      <c r="AM339" s="25"/>
      <c r="AN339" s="35" t="s">
        <v>1975</v>
      </c>
      <c r="AO339" s="24">
        <v>0.005092592592592593</v>
      </c>
      <c r="AP339" s="3" t="s">
        <v>1976</v>
      </c>
      <c r="AQ339" s="7" t="s">
        <v>633</v>
      </c>
      <c r="AR339" s="7" t="s">
        <v>633</v>
      </c>
      <c r="AS339" s="7" t="b">
        <f>NOT(ISERROR(MATCH(A339,'Villages according to موسوعة ال'!C:C,0)))</f>
        <v>1</v>
      </c>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row>
    <row r="340">
      <c r="A340" s="7" t="s">
        <v>6</v>
      </c>
      <c r="B340" s="26" t="s">
        <v>7</v>
      </c>
      <c r="E340" s="25"/>
      <c r="F340" s="25"/>
      <c r="G340" s="84"/>
      <c r="H340" s="3" t="s">
        <v>1977</v>
      </c>
      <c r="I340" s="7" t="s">
        <v>616</v>
      </c>
      <c r="J340" s="7" t="s">
        <v>1978</v>
      </c>
      <c r="K340" s="47"/>
      <c r="L340" s="47"/>
      <c r="M340" s="48" t="b">
        <v>0</v>
      </c>
      <c r="N340" s="48" t="b">
        <v>0</v>
      </c>
      <c r="O340" s="48"/>
      <c r="P340" s="48" t="b">
        <v>0</v>
      </c>
      <c r="Q340" s="48" t="b">
        <v>0</v>
      </c>
      <c r="R340" s="48" t="b">
        <v>0</v>
      </c>
      <c r="S340" s="48"/>
      <c r="T340" s="32"/>
      <c r="U340" s="48" t="b">
        <v>0</v>
      </c>
      <c r="V340" s="48"/>
      <c r="W340" s="48" t="b">
        <v>0</v>
      </c>
      <c r="X340" s="48" t="b">
        <v>0</v>
      </c>
      <c r="Y340" s="48"/>
      <c r="Z340" s="48"/>
      <c r="AA340" s="48"/>
      <c r="AB340" s="48"/>
      <c r="AC340" s="49"/>
      <c r="AD340" s="48"/>
      <c r="AE340" s="48"/>
      <c r="AF340" s="48"/>
      <c r="AG340" s="48"/>
      <c r="AH340" s="48"/>
      <c r="AI340" s="48"/>
      <c r="AJ340" s="25"/>
      <c r="AK340" s="50"/>
      <c r="AL340" s="25"/>
      <c r="AM340" s="25"/>
      <c r="AN340" s="35" t="s">
        <v>1979</v>
      </c>
      <c r="AO340" s="24">
        <v>0.05164351851851852</v>
      </c>
      <c r="AP340" s="3" t="s">
        <v>1980</v>
      </c>
      <c r="AQ340" s="7" t="s">
        <v>633</v>
      </c>
      <c r="AR340" s="7" t="s">
        <v>633</v>
      </c>
      <c r="AS340" s="7" t="b">
        <f>NOT(ISERROR(MATCH(A340,'Villages according to موسوعة ال'!C:C,0)))</f>
        <v>1</v>
      </c>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row>
    <row r="341">
      <c r="A341" s="7" t="s">
        <v>6</v>
      </c>
      <c r="B341" s="26" t="s">
        <v>7</v>
      </c>
      <c r="E341" s="25"/>
      <c r="F341" s="25"/>
      <c r="G341" s="84"/>
      <c r="H341" s="3" t="s">
        <v>1981</v>
      </c>
      <c r="I341" s="7" t="s">
        <v>616</v>
      </c>
      <c r="J341" s="7" t="s">
        <v>1982</v>
      </c>
      <c r="K341" s="47"/>
      <c r="L341" s="54" t="s">
        <v>1983</v>
      </c>
      <c r="M341" s="31" t="b">
        <v>0</v>
      </c>
      <c r="N341" s="31" t="b">
        <v>0</v>
      </c>
      <c r="O341" s="31"/>
      <c r="P341" s="31" t="b">
        <v>0</v>
      </c>
      <c r="Q341" s="31" t="b">
        <v>0</v>
      </c>
      <c r="R341" s="31" t="b">
        <v>0</v>
      </c>
      <c r="S341" s="31"/>
      <c r="T341" s="32"/>
      <c r="U341" s="31" t="b">
        <v>0</v>
      </c>
      <c r="V341" s="31"/>
      <c r="W341" s="31" t="b">
        <v>0</v>
      </c>
      <c r="X341" s="31" t="b">
        <v>0</v>
      </c>
      <c r="Y341" s="31"/>
      <c r="Z341" s="31"/>
      <c r="AA341" s="31"/>
      <c r="AB341" s="31"/>
      <c r="AC341" s="45"/>
      <c r="AD341" s="31"/>
      <c r="AE341" s="31"/>
      <c r="AF341" s="31"/>
      <c r="AG341" s="31"/>
      <c r="AH341" s="31"/>
      <c r="AI341" s="31"/>
      <c r="AJ341" s="3"/>
      <c r="AK341" s="34"/>
      <c r="AL341" s="3"/>
      <c r="AM341" s="25"/>
      <c r="AN341" s="35" t="s">
        <v>1984</v>
      </c>
      <c r="AO341" s="24">
        <v>0.009050925925925926</v>
      </c>
      <c r="AP341" s="3" t="s">
        <v>1884</v>
      </c>
      <c r="AQ341" s="7" t="s">
        <v>633</v>
      </c>
      <c r="AR341" s="7" t="s">
        <v>633</v>
      </c>
      <c r="AS341" s="7" t="b">
        <f>NOT(ISERROR(MATCH(A341,'Villages according to موسوعة ال'!C:C,0)))</f>
        <v>1</v>
      </c>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row>
    <row r="342">
      <c r="A342" s="7" t="s">
        <v>6</v>
      </c>
      <c r="B342" s="26" t="s">
        <v>7</v>
      </c>
      <c r="E342" s="25"/>
      <c r="F342" s="25"/>
      <c r="K342" s="54" t="s">
        <v>1985</v>
      </c>
      <c r="L342" s="47"/>
      <c r="M342" s="48" t="b">
        <v>0</v>
      </c>
      <c r="N342" s="48" t="b">
        <v>0</v>
      </c>
      <c r="O342" s="48"/>
      <c r="P342" s="48" t="b">
        <v>0</v>
      </c>
      <c r="Q342" s="48" t="b">
        <v>0</v>
      </c>
      <c r="R342" s="48" t="b">
        <v>0</v>
      </c>
      <c r="S342" s="48"/>
      <c r="T342" s="32"/>
      <c r="U342" s="48" t="b">
        <v>0</v>
      </c>
      <c r="V342" s="48"/>
      <c r="W342" s="48" t="b">
        <v>0</v>
      </c>
      <c r="X342" s="48" t="b">
        <v>0</v>
      </c>
      <c r="Y342" s="48"/>
      <c r="Z342" s="48"/>
      <c r="AA342" s="48"/>
      <c r="AB342" s="48"/>
      <c r="AC342" s="49"/>
      <c r="AD342" s="48"/>
      <c r="AE342" s="48"/>
      <c r="AF342" s="48"/>
      <c r="AG342" s="48"/>
      <c r="AH342" s="48"/>
      <c r="AI342" s="48"/>
      <c r="AJ342" s="25"/>
      <c r="AK342" s="50"/>
      <c r="AL342" s="25"/>
      <c r="AM342" s="25"/>
      <c r="AN342" s="35" t="s">
        <v>1986</v>
      </c>
      <c r="AO342" s="24">
        <v>0.0016898148148148148</v>
      </c>
      <c r="AP342" s="3" t="s">
        <v>1884</v>
      </c>
      <c r="AQ342" s="7" t="s">
        <v>633</v>
      </c>
      <c r="AR342" s="7" t="s">
        <v>633</v>
      </c>
      <c r="AS342" s="7" t="b">
        <f>NOT(ISERROR(MATCH(A342,'Villages according to موسوعة ال'!C:C,0)))</f>
        <v>1</v>
      </c>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row>
    <row r="343">
      <c r="A343" s="3" t="s">
        <v>444</v>
      </c>
      <c r="B343" s="26" t="s">
        <v>445</v>
      </c>
      <c r="C343" s="7" t="s">
        <v>445</v>
      </c>
      <c r="D343" s="7" t="s">
        <v>446</v>
      </c>
      <c r="E343" s="25"/>
      <c r="F343" s="25"/>
      <c r="G343" s="84"/>
      <c r="H343" s="3" t="s">
        <v>1987</v>
      </c>
      <c r="I343" s="7" t="s">
        <v>638</v>
      </c>
      <c r="J343" s="7" t="s">
        <v>1988</v>
      </c>
      <c r="K343" s="47"/>
      <c r="L343" s="47"/>
      <c r="M343" s="48" t="b">
        <v>0</v>
      </c>
      <c r="N343" s="48" t="b">
        <v>0</v>
      </c>
      <c r="O343" s="48"/>
      <c r="P343" s="48" t="b">
        <v>0</v>
      </c>
      <c r="Q343" s="48" t="b">
        <v>0</v>
      </c>
      <c r="R343" s="48" t="b">
        <v>0</v>
      </c>
      <c r="S343" s="48"/>
      <c r="T343" s="32"/>
      <c r="U343" s="48" t="b">
        <v>0</v>
      </c>
      <c r="V343" s="48"/>
      <c r="W343" s="48" t="b">
        <v>0</v>
      </c>
      <c r="X343" s="48" t="b">
        <v>0</v>
      </c>
      <c r="Y343" s="48"/>
      <c r="Z343" s="48"/>
      <c r="AA343" s="48"/>
      <c r="AB343" s="48"/>
      <c r="AC343" s="49"/>
      <c r="AD343" s="48"/>
      <c r="AE343" s="48"/>
      <c r="AF343" s="48"/>
      <c r="AG343" s="48"/>
      <c r="AH343" s="48"/>
      <c r="AI343" s="48"/>
      <c r="AJ343" s="25"/>
      <c r="AK343" s="50"/>
      <c r="AL343" s="25"/>
      <c r="AM343" s="25"/>
      <c r="AN343" s="35" t="s">
        <v>1989</v>
      </c>
      <c r="AO343" s="24">
        <v>0.008981481481481481</v>
      </c>
      <c r="AP343" s="3" t="s">
        <v>1990</v>
      </c>
      <c r="AQ343" s="7" t="s">
        <v>633</v>
      </c>
      <c r="AR343" s="7" t="s">
        <v>633</v>
      </c>
      <c r="AS343" s="7" t="b">
        <f>NOT(ISERROR(MATCH(A343,'Villages according to موسوعة ال'!C:C,0)))</f>
        <v>1</v>
      </c>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row>
    <row r="344">
      <c r="A344" s="3" t="s">
        <v>444</v>
      </c>
      <c r="B344" s="26" t="s">
        <v>445</v>
      </c>
      <c r="E344" s="25"/>
      <c r="F344" s="25"/>
      <c r="K344" s="47"/>
      <c r="L344" s="47"/>
      <c r="M344" s="48" t="b">
        <v>0</v>
      </c>
      <c r="N344" s="48" t="b">
        <v>0</v>
      </c>
      <c r="O344" s="48"/>
      <c r="P344" s="48" t="b">
        <v>0</v>
      </c>
      <c r="Q344" s="48" t="b">
        <v>0</v>
      </c>
      <c r="R344" s="48" t="b">
        <v>0</v>
      </c>
      <c r="S344" s="48"/>
      <c r="T344" s="32"/>
      <c r="U344" s="48" t="b">
        <v>0</v>
      </c>
      <c r="V344" s="48"/>
      <c r="W344" s="48" t="b">
        <v>0</v>
      </c>
      <c r="X344" s="48" t="b">
        <v>0</v>
      </c>
      <c r="Y344" s="48"/>
      <c r="Z344" s="48"/>
      <c r="AA344" s="48"/>
      <c r="AB344" s="48"/>
      <c r="AC344" s="49"/>
      <c r="AD344" s="48"/>
      <c r="AE344" s="48"/>
      <c r="AF344" s="48"/>
      <c r="AG344" s="48"/>
      <c r="AH344" s="48"/>
      <c r="AI344" s="48"/>
      <c r="AJ344" s="25"/>
      <c r="AK344" s="50"/>
      <c r="AL344" s="25"/>
      <c r="AM344" s="25"/>
      <c r="AN344" s="35" t="s">
        <v>1991</v>
      </c>
      <c r="AO344" s="24">
        <v>0.015578703703703704</v>
      </c>
      <c r="AP344" s="3" t="s">
        <v>1990</v>
      </c>
      <c r="AQ344" s="7" t="s">
        <v>633</v>
      </c>
      <c r="AR344" s="7" t="s">
        <v>633</v>
      </c>
      <c r="AS344" s="7" t="b">
        <f>NOT(ISERROR(MATCH(A344,'Villages according to موسوعة ال'!C:C,0)))</f>
        <v>1</v>
      </c>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row>
    <row r="345">
      <c r="A345" s="3" t="s">
        <v>444</v>
      </c>
      <c r="B345" s="26" t="s">
        <v>445</v>
      </c>
      <c r="E345" s="25"/>
      <c r="F345" s="25"/>
      <c r="G345" s="84"/>
      <c r="H345" s="3" t="s">
        <v>1992</v>
      </c>
      <c r="I345" s="7" t="s">
        <v>638</v>
      </c>
      <c r="J345" s="7" t="s">
        <v>1993</v>
      </c>
      <c r="K345" s="47"/>
      <c r="L345" s="47"/>
      <c r="M345" s="48" t="b">
        <v>0</v>
      </c>
      <c r="N345" s="48" t="b">
        <v>0</v>
      </c>
      <c r="O345" s="48"/>
      <c r="P345" s="48" t="b">
        <v>0</v>
      </c>
      <c r="Q345" s="48" t="b">
        <v>0</v>
      </c>
      <c r="R345" s="48" t="b">
        <v>0</v>
      </c>
      <c r="S345" s="48"/>
      <c r="T345" s="32"/>
      <c r="U345" s="48" t="b">
        <v>0</v>
      </c>
      <c r="V345" s="48"/>
      <c r="W345" s="48" t="b">
        <v>0</v>
      </c>
      <c r="X345" s="48" t="b">
        <v>0</v>
      </c>
      <c r="Y345" s="48"/>
      <c r="Z345" s="48"/>
      <c r="AA345" s="48"/>
      <c r="AB345" s="48"/>
      <c r="AC345" s="49"/>
      <c r="AD345" s="48"/>
      <c r="AE345" s="48"/>
      <c r="AF345" s="48"/>
      <c r="AG345" s="48"/>
      <c r="AH345" s="48"/>
      <c r="AI345" s="48"/>
      <c r="AJ345" s="25"/>
      <c r="AK345" s="50"/>
      <c r="AL345" s="25"/>
      <c r="AM345" s="25"/>
      <c r="AN345" s="35" t="s">
        <v>1994</v>
      </c>
      <c r="AO345" s="24">
        <v>0.003576388888888889</v>
      </c>
      <c r="AP345" s="3" t="s">
        <v>1990</v>
      </c>
      <c r="AQ345" s="7" t="s">
        <v>633</v>
      </c>
      <c r="AR345" s="7" t="s">
        <v>633</v>
      </c>
      <c r="AS345" s="7" t="b">
        <f>NOT(ISERROR(MATCH(A345,'Villages according to موسوعة ال'!C:C,0)))</f>
        <v>1</v>
      </c>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row>
    <row r="346">
      <c r="A346" s="3" t="s">
        <v>444</v>
      </c>
      <c r="B346" s="26" t="s">
        <v>445</v>
      </c>
      <c r="E346" s="25"/>
      <c r="F346" s="25"/>
      <c r="K346" s="47"/>
      <c r="L346" s="47"/>
      <c r="M346" s="48" t="b">
        <v>0</v>
      </c>
      <c r="N346" s="48" t="b">
        <v>0</v>
      </c>
      <c r="O346" s="48"/>
      <c r="P346" s="48" t="b">
        <v>0</v>
      </c>
      <c r="Q346" s="48" t="b">
        <v>0</v>
      </c>
      <c r="R346" s="48" t="b">
        <v>0</v>
      </c>
      <c r="S346" s="48"/>
      <c r="T346" s="32"/>
      <c r="U346" s="48" t="b">
        <v>0</v>
      </c>
      <c r="V346" s="48"/>
      <c r="W346" s="48" t="b">
        <v>0</v>
      </c>
      <c r="X346" s="48" t="b">
        <v>0</v>
      </c>
      <c r="Y346" s="48"/>
      <c r="Z346" s="48"/>
      <c r="AA346" s="48"/>
      <c r="AB346" s="48"/>
      <c r="AC346" s="49"/>
      <c r="AD346" s="48"/>
      <c r="AE346" s="48"/>
      <c r="AF346" s="48"/>
      <c r="AG346" s="48"/>
      <c r="AH346" s="48"/>
      <c r="AI346" s="48"/>
      <c r="AJ346" s="25"/>
      <c r="AK346" s="50"/>
      <c r="AL346" s="25"/>
      <c r="AM346" s="25"/>
      <c r="AN346" s="35" t="s">
        <v>1995</v>
      </c>
      <c r="AO346" s="24">
        <v>0.007673611111111111</v>
      </c>
      <c r="AP346" s="3" t="s">
        <v>1990</v>
      </c>
      <c r="AQ346" s="7" t="s">
        <v>633</v>
      </c>
      <c r="AR346" s="7" t="s">
        <v>633</v>
      </c>
      <c r="AS346" s="7" t="b">
        <f>NOT(ISERROR(MATCH(A346,'Villages according to موسوعة ال'!C:C,0)))</f>
        <v>1</v>
      </c>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row>
    <row r="347">
      <c r="A347" s="3" t="s">
        <v>444</v>
      </c>
      <c r="B347" s="26" t="s">
        <v>445</v>
      </c>
      <c r="E347" s="25"/>
      <c r="F347" s="25"/>
      <c r="K347" s="47"/>
      <c r="L347" s="47"/>
      <c r="M347" s="48" t="b">
        <v>0</v>
      </c>
      <c r="N347" s="48" t="b">
        <v>0</v>
      </c>
      <c r="O347" s="48"/>
      <c r="P347" s="48" t="b">
        <v>0</v>
      </c>
      <c r="Q347" s="48" t="b">
        <v>0</v>
      </c>
      <c r="R347" s="48" t="b">
        <v>0</v>
      </c>
      <c r="S347" s="48"/>
      <c r="T347" s="32"/>
      <c r="U347" s="48" t="b">
        <v>0</v>
      </c>
      <c r="V347" s="48"/>
      <c r="W347" s="48" t="b">
        <v>0</v>
      </c>
      <c r="X347" s="48" t="b">
        <v>0</v>
      </c>
      <c r="Y347" s="48"/>
      <c r="Z347" s="48"/>
      <c r="AA347" s="48"/>
      <c r="AB347" s="48"/>
      <c r="AC347" s="49"/>
      <c r="AD347" s="48"/>
      <c r="AE347" s="48"/>
      <c r="AF347" s="48"/>
      <c r="AG347" s="48"/>
      <c r="AH347" s="48"/>
      <c r="AI347" s="48"/>
      <c r="AJ347" s="25"/>
      <c r="AK347" s="50"/>
      <c r="AL347" s="25"/>
      <c r="AM347" s="25"/>
      <c r="AN347" s="35" t="s">
        <v>1996</v>
      </c>
      <c r="AO347" s="24">
        <v>0.004837962962962963</v>
      </c>
      <c r="AP347" s="3" t="s">
        <v>1990</v>
      </c>
      <c r="AQ347" s="7" t="s">
        <v>633</v>
      </c>
      <c r="AR347" s="7" t="s">
        <v>633</v>
      </c>
      <c r="AS347" s="7" t="b">
        <f>NOT(ISERROR(MATCH(A347,'Villages according to موسوعة ال'!C:C,0)))</f>
        <v>1</v>
      </c>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row>
    <row r="348">
      <c r="A348" s="3" t="s">
        <v>444</v>
      </c>
      <c r="B348" s="26" t="s">
        <v>445</v>
      </c>
      <c r="E348" s="25"/>
      <c r="F348" s="25"/>
      <c r="G348" s="84"/>
      <c r="H348" s="3" t="s">
        <v>1997</v>
      </c>
      <c r="I348" s="7" t="s">
        <v>616</v>
      </c>
      <c r="J348" s="7" t="s">
        <v>1998</v>
      </c>
      <c r="K348" s="47"/>
      <c r="L348" s="47"/>
      <c r="M348" s="48" t="b">
        <v>0</v>
      </c>
      <c r="N348" s="48" t="b">
        <v>0</v>
      </c>
      <c r="O348" s="48"/>
      <c r="P348" s="48" t="b">
        <v>0</v>
      </c>
      <c r="Q348" s="48" t="b">
        <v>0</v>
      </c>
      <c r="R348" s="48" t="b">
        <v>0</v>
      </c>
      <c r="S348" s="48"/>
      <c r="T348" s="32"/>
      <c r="U348" s="48" t="b">
        <v>0</v>
      </c>
      <c r="V348" s="48"/>
      <c r="W348" s="48" t="b">
        <v>0</v>
      </c>
      <c r="X348" s="48" t="b">
        <v>0</v>
      </c>
      <c r="Y348" s="48"/>
      <c r="Z348" s="48"/>
      <c r="AA348" s="48"/>
      <c r="AB348" s="48"/>
      <c r="AC348" s="49"/>
      <c r="AD348" s="48"/>
      <c r="AE348" s="48"/>
      <c r="AF348" s="48"/>
      <c r="AG348" s="48"/>
      <c r="AH348" s="48"/>
      <c r="AI348" s="48"/>
      <c r="AJ348" s="25"/>
      <c r="AK348" s="50"/>
      <c r="AL348" s="25"/>
      <c r="AM348" s="25"/>
      <c r="AN348" s="35" t="s">
        <v>1999</v>
      </c>
      <c r="AO348" s="24">
        <v>0.024895833333333332</v>
      </c>
      <c r="AP348" s="3" t="s">
        <v>1990</v>
      </c>
      <c r="AQ348" s="7" t="s">
        <v>633</v>
      </c>
      <c r="AR348" s="7" t="s">
        <v>633</v>
      </c>
      <c r="AS348" s="7" t="b">
        <f>NOT(ISERROR(MATCH(A348,'Villages according to موسوعة ال'!C:C,0)))</f>
        <v>1</v>
      </c>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row>
    <row r="349">
      <c r="A349" s="3" t="s">
        <v>444</v>
      </c>
      <c r="B349" s="26" t="s">
        <v>445</v>
      </c>
      <c r="E349" s="25"/>
      <c r="F349" s="25"/>
      <c r="K349" s="47"/>
      <c r="L349" s="47"/>
      <c r="M349" s="48" t="b">
        <v>0</v>
      </c>
      <c r="N349" s="48" t="b">
        <v>0</v>
      </c>
      <c r="O349" s="48"/>
      <c r="P349" s="48" t="b">
        <v>0</v>
      </c>
      <c r="Q349" s="48" t="b">
        <v>0</v>
      </c>
      <c r="R349" s="48" t="b">
        <v>0</v>
      </c>
      <c r="S349" s="48"/>
      <c r="T349" s="32"/>
      <c r="U349" s="48" t="b">
        <v>0</v>
      </c>
      <c r="V349" s="48"/>
      <c r="W349" s="48" t="b">
        <v>0</v>
      </c>
      <c r="X349" s="48" t="b">
        <v>0</v>
      </c>
      <c r="Y349" s="48"/>
      <c r="Z349" s="48"/>
      <c r="AA349" s="48"/>
      <c r="AB349" s="48"/>
      <c r="AC349" s="49"/>
      <c r="AD349" s="48"/>
      <c r="AE349" s="48"/>
      <c r="AF349" s="48"/>
      <c r="AG349" s="48"/>
      <c r="AH349" s="48"/>
      <c r="AI349" s="48"/>
      <c r="AJ349" s="25"/>
      <c r="AK349" s="50"/>
      <c r="AL349" s="25"/>
      <c r="AM349" s="25"/>
      <c r="AN349" s="35" t="s">
        <v>2000</v>
      </c>
      <c r="AO349" s="24">
        <v>0.013935185185185186</v>
      </c>
      <c r="AP349" s="3" t="s">
        <v>1990</v>
      </c>
      <c r="AQ349" s="7" t="s">
        <v>633</v>
      </c>
      <c r="AR349" s="7" t="s">
        <v>633</v>
      </c>
      <c r="AS349" s="7" t="b">
        <f>NOT(ISERROR(MATCH(A349,'Villages according to موسوعة ال'!C:C,0)))</f>
        <v>1</v>
      </c>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row>
    <row r="350">
      <c r="A350" s="3" t="s">
        <v>444</v>
      </c>
      <c r="B350" s="26" t="s">
        <v>445</v>
      </c>
      <c r="E350" s="25"/>
      <c r="F350" s="25"/>
      <c r="K350" s="47"/>
      <c r="L350" s="47"/>
      <c r="M350" s="48" t="b">
        <v>0</v>
      </c>
      <c r="N350" s="48" t="b">
        <v>0</v>
      </c>
      <c r="O350" s="48"/>
      <c r="P350" s="48" t="b">
        <v>0</v>
      </c>
      <c r="Q350" s="48" t="b">
        <v>0</v>
      </c>
      <c r="R350" s="48" t="b">
        <v>0</v>
      </c>
      <c r="S350" s="48"/>
      <c r="T350" s="32"/>
      <c r="U350" s="48" t="b">
        <v>0</v>
      </c>
      <c r="V350" s="48"/>
      <c r="W350" s="48" t="b">
        <v>0</v>
      </c>
      <c r="X350" s="48" t="b">
        <v>0</v>
      </c>
      <c r="Y350" s="48"/>
      <c r="Z350" s="48"/>
      <c r="AA350" s="48"/>
      <c r="AB350" s="48"/>
      <c r="AC350" s="49"/>
      <c r="AD350" s="48"/>
      <c r="AE350" s="48"/>
      <c r="AF350" s="48"/>
      <c r="AG350" s="48"/>
      <c r="AH350" s="48"/>
      <c r="AI350" s="48"/>
      <c r="AJ350" s="25"/>
      <c r="AK350" s="50"/>
      <c r="AL350" s="25"/>
      <c r="AM350" s="25"/>
      <c r="AN350" s="35" t="s">
        <v>2001</v>
      </c>
      <c r="AO350" s="24">
        <v>0.02020833333333333</v>
      </c>
      <c r="AP350" s="3" t="s">
        <v>1990</v>
      </c>
      <c r="AQ350" s="7" t="s">
        <v>633</v>
      </c>
      <c r="AR350" s="7" t="s">
        <v>633</v>
      </c>
      <c r="AS350" s="7" t="b">
        <f>NOT(ISERROR(MATCH(A350,'Villages according to موسوعة ال'!C:C,0)))</f>
        <v>1</v>
      </c>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row>
    <row r="351">
      <c r="A351" s="3" t="s">
        <v>2002</v>
      </c>
      <c r="B351" s="43" t="s">
        <v>2003</v>
      </c>
      <c r="C351" s="7" t="s">
        <v>2003</v>
      </c>
      <c r="D351" s="7" t="s">
        <v>437</v>
      </c>
      <c r="E351" s="25"/>
      <c r="F351" s="25"/>
      <c r="G351" s="84"/>
      <c r="H351" s="3" t="s">
        <v>2004</v>
      </c>
      <c r="I351" s="7" t="s">
        <v>616</v>
      </c>
      <c r="J351" s="7" t="s">
        <v>2005</v>
      </c>
      <c r="K351" s="47"/>
      <c r="L351" s="47"/>
      <c r="M351" s="48" t="b">
        <v>0</v>
      </c>
      <c r="N351" s="48" t="b">
        <v>0</v>
      </c>
      <c r="O351" s="48"/>
      <c r="P351" s="48" t="b">
        <v>0</v>
      </c>
      <c r="Q351" s="48" t="b">
        <v>0</v>
      </c>
      <c r="R351" s="48" t="b">
        <v>0</v>
      </c>
      <c r="S351" s="48"/>
      <c r="T351" s="60"/>
      <c r="U351" s="48" t="b">
        <v>0</v>
      </c>
      <c r="V351" s="48"/>
      <c r="W351" s="48" t="b">
        <v>0</v>
      </c>
      <c r="X351" s="48" t="b">
        <v>0</v>
      </c>
      <c r="Y351" s="48"/>
      <c r="Z351" s="48"/>
      <c r="AA351" s="48"/>
      <c r="AB351" s="48"/>
      <c r="AC351" s="49"/>
      <c r="AD351" s="48"/>
      <c r="AE351" s="48"/>
      <c r="AF351" s="48"/>
      <c r="AG351" s="48"/>
      <c r="AH351" s="48"/>
      <c r="AI351" s="48"/>
      <c r="AJ351" s="25"/>
      <c r="AK351" s="34" t="s">
        <v>698</v>
      </c>
      <c r="AL351" s="25"/>
      <c r="AM351" s="25"/>
      <c r="AN351" s="35" t="s">
        <v>2006</v>
      </c>
      <c r="AO351" s="24">
        <v>0.007997685185185186</v>
      </c>
      <c r="AP351" s="3" t="s">
        <v>2007</v>
      </c>
      <c r="AQ351" s="3" t="s">
        <v>2008</v>
      </c>
      <c r="AR351" s="35" t="s">
        <v>2009</v>
      </c>
      <c r="AS351" s="7" t="b">
        <f>NOT(ISERROR(MATCH(A351,'Villages according to موسوعة ال'!C:C,0)))</f>
        <v>1</v>
      </c>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row>
    <row r="352">
      <c r="A352" s="3" t="s">
        <v>2002</v>
      </c>
      <c r="B352" s="43" t="s">
        <v>2003</v>
      </c>
      <c r="E352" s="25"/>
      <c r="F352" s="25"/>
      <c r="G352" s="84"/>
      <c r="K352" s="47"/>
      <c r="L352" s="47"/>
      <c r="M352" s="48" t="b">
        <v>0</v>
      </c>
      <c r="N352" s="48" t="b">
        <v>0</v>
      </c>
      <c r="O352" s="48"/>
      <c r="P352" s="48" t="b">
        <v>0</v>
      </c>
      <c r="Q352" s="48" t="b">
        <v>0</v>
      </c>
      <c r="R352" s="48" t="b">
        <v>0</v>
      </c>
      <c r="S352" s="48"/>
      <c r="T352" s="60"/>
      <c r="U352" s="48" t="b">
        <v>0</v>
      </c>
      <c r="V352" s="48"/>
      <c r="W352" s="48" t="b">
        <v>0</v>
      </c>
      <c r="X352" s="48" t="b">
        <v>0</v>
      </c>
      <c r="Y352" s="48"/>
      <c r="Z352" s="48"/>
      <c r="AA352" s="48"/>
      <c r="AB352" s="48"/>
      <c r="AC352" s="49"/>
      <c r="AD352" s="48"/>
      <c r="AE352" s="48"/>
      <c r="AF352" s="48"/>
      <c r="AG352" s="48"/>
      <c r="AH352" s="48"/>
      <c r="AI352" s="48"/>
      <c r="AJ352" s="25"/>
      <c r="AK352" s="34" t="s">
        <v>698</v>
      </c>
      <c r="AL352" s="25"/>
      <c r="AM352" s="25"/>
      <c r="AN352" s="35" t="s">
        <v>2010</v>
      </c>
      <c r="AO352" s="24">
        <v>0.005706018518518518</v>
      </c>
      <c r="AP352" s="3" t="s">
        <v>2007</v>
      </c>
      <c r="AQ352" s="3" t="s">
        <v>2011</v>
      </c>
      <c r="AR352" s="35" t="s">
        <v>2012</v>
      </c>
      <c r="AS352" s="7" t="b">
        <f>NOT(ISERROR(MATCH(A352,'Villages according to موسوعة ال'!C:C,0)))</f>
        <v>1</v>
      </c>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row>
    <row r="353">
      <c r="A353" s="3" t="s">
        <v>2002</v>
      </c>
      <c r="B353" s="43" t="s">
        <v>2003</v>
      </c>
      <c r="E353" s="25"/>
      <c r="F353" s="25"/>
      <c r="G353" s="84"/>
      <c r="K353" s="47"/>
      <c r="L353" s="47"/>
      <c r="M353" s="48" t="b">
        <v>0</v>
      </c>
      <c r="N353" s="48" t="b">
        <v>0</v>
      </c>
      <c r="O353" s="48"/>
      <c r="P353" s="48" t="b">
        <v>0</v>
      </c>
      <c r="Q353" s="48" t="b">
        <v>0</v>
      </c>
      <c r="R353" s="48" t="b">
        <v>0</v>
      </c>
      <c r="S353" s="48"/>
      <c r="T353" s="60"/>
      <c r="U353" s="48" t="b">
        <v>0</v>
      </c>
      <c r="V353" s="48"/>
      <c r="W353" s="48" t="b">
        <v>0</v>
      </c>
      <c r="X353" s="48" t="b">
        <v>0</v>
      </c>
      <c r="Y353" s="48"/>
      <c r="Z353" s="48"/>
      <c r="AA353" s="48"/>
      <c r="AB353" s="48"/>
      <c r="AC353" s="49"/>
      <c r="AD353" s="48"/>
      <c r="AE353" s="48"/>
      <c r="AF353" s="48"/>
      <c r="AG353" s="48"/>
      <c r="AH353" s="48"/>
      <c r="AI353" s="48"/>
      <c r="AJ353" s="25"/>
      <c r="AK353" s="34" t="s">
        <v>698</v>
      </c>
      <c r="AL353" s="3" t="s">
        <v>699</v>
      </c>
      <c r="AM353" s="3" t="s">
        <v>2013</v>
      </c>
      <c r="AN353" s="35" t="s">
        <v>2014</v>
      </c>
      <c r="AO353" s="24">
        <v>0.004652777777777777</v>
      </c>
      <c r="AP353" s="3" t="s">
        <v>2007</v>
      </c>
      <c r="AQ353" s="3" t="s">
        <v>2011</v>
      </c>
      <c r="AR353" s="35" t="s">
        <v>2015</v>
      </c>
      <c r="AS353" s="7" t="b">
        <f>NOT(ISERROR(MATCH(A353,'Villages according to موسوعة ال'!C:C,0)))</f>
        <v>1</v>
      </c>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row>
    <row r="354">
      <c r="A354" s="3" t="s">
        <v>2002</v>
      </c>
      <c r="B354" s="43" t="s">
        <v>2003</v>
      </c>
      <c r="E354" s="25"/>
      <c r="F354" s="25"/>
      <c r="G354" s="28" t="s">
        <v>1545</v>
      </c>
      <c r="H354" s="3" t="s">
        <v>2016</v>
      </c>
      <c r="I354" s="7" t="s">
        <v>616</v>
      </c>
      <c r="J354" s="7" t="s">
        <v>2017</v>
      </c>
      <c r="K354" s="47"/>
      <c r="L354" s="47"/>
      <c r="M354" s="48" t="b">
        <v>0</v>
      </c>
      <c r="N354" s="48" t="b">
        <v>0</v>
      </c>
      <c r="O354" s="48"/>
      <c r="P354" s="48" t="b">
        <v>0</v>
      </c>
      <c r="Q354" s="48" t="b">
        <v>0</v>
      </c>
      <c r="R354" s="48" t="b">
        <v>0</v>
      </c>
      <c r="S354" s="48"/>
      <c r="T354" s="60"/>
      <c r="U354" s="48" t="b">
        <v>0</v>
      </c>
      <c r="V354" s="48"/>
      <c r="W354" s="48" t="b">
        <v>0</v>
      </c>
      <c r="X354" s="48" t="b">
        <v>0</v>
      </c>
      <c r="Y354" s="48"/>
      <c r="Z354" s="48"/>
      <c r="AA354" s="48"/>
      <c r="AB354" s="48"/>
      <c r="AC354" s="49"/>
      <c r="AD354" s="48"/>
      <c r="AE354" s="48"/>
      <c r="AF354" s="48"/>
      <c r="AG354" s="48"/>
      <c r="AH354" s="48"/>
      <c r="AI354" s="48"/>
      <c r="AJ354" s="25"/>
      <c r="AK354" s="34" t="s">
        <v>698</v>
      </c>
      <c r="AL354" s="3" t="s">
        <v>699</v>
      </c>
      <c r="AM354" s="3" t="s">
        <v>831</v>
      </c>
      <c r="AN354" s="35" t="s">
        <v>2018</v>
      </c>
      <c r="AO354" s="24">
        <v>0.0012268518518518518</v>
      </c>
      <c r="AP354" s="7" t="s">
        <v>2019</v>
      </c>
      <c r="AQ354" s="7" t="s">
        <v>633</v>
      </c>
      <c r="AR354" s="35" t="s">
        <v>2020</v>
      </c>
      <c r="AS354" s="7" t="b">
        <f>NOT(ISERROR(MATCH(A354,'Villages according to موسوعة ال'!C:C,0)))</f>
        <v>1</v>
      </c>
      <c r="AT354" s="25"/>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row>
    <row r="355">
      <c r="A355" s="3" t="s">
        <v>2002</v>
      </c>
      <c r="B355" s="43" t="s">
        <v>2003</v>
      </c>
      <c r="E355" s="25"/>
      <c r="F355" s="25"/>
      <c r="G355" s="84"/>
      <c r="H355" s="7" t="s">
        <v>2021</v>
      </c>
      <c r="I355" s="7" t="s">
        <v>616</v>
      </c>
      <c r="J355" s="7" t="s">
        <v>2022</v>
      </c>
      <c r="K355" s="47"/>
      <c r="L355" s="47"/>
      <c r="M355" s="48" t="b">
        <v>0</v>
      </c>
      <c r="N355" s="48" t="b">
        <v>0</v>
      </c>
      <c r="O355" s="48"/>
      <c r="P355" s="48" t="b">
        <v>0</v>
      </c>
      <c r="Q355" s="48" t="b">
        <v>0</v>
      </c>
      <c r="R355" s="48" t="b">
        <v>0</v>
      </c>
      <c r="S355" s="48"/>
      <c r="T355" s="60"/>
      <c r="U355" s="48" t="b">
        <v>0</v>
      </c>
      <c r="V355" s="48"/>
      <c r="W355" s="48" t="b">
        <v>0</v>
      </c>
      <c r="X355" s="48" t="b">
        <v>0</v>
      </c>
      <c r="Y355" s="48"/>
      <c r="Z355" s="48"/>
      <c r="AA355" s="48"/>
      <c r="AB355" s="48"/>
      <c r="AC355" s="49"/>
      <c r="AD355" s="48"/>
      <c r="AE355" s="48"/>
      <c r="AF355" s="48"/>
      <c r="AG355" s="48"/>
      <c r="AH355" s="48"/>
      <c r="AI355" s="48"/>
      <c r="AJ355" s="25"/>
      <c r="AK355" s="34" t="s">
        <v>698</v>
      </c>
      <c r="AL355" s="3" t="s">
        <v>699</v>
      </c>
      <c r="AM355" s="3" t="s">
        <v>831</v>
      </c>
      <c r="AN355" s="35" t="s">
        <v>2023</v>
      </c>
      <c r="AO355" s="24">
        <v>0.0013425925925925925</v>
      </c>
      <c r="AP355" s="7" t="s">
        <v>633</v>
      </c>
      <c r="AQ355" s="7" t="s">
        <v>633</v>
      </c>
      <c r="AR355" s="35" t="s">
        <v>2024</v>
      </c>
      <c r="AS355" s="7" t="b">
        <f>NOT(ISERROR(MATCH(A355,'Villages according to موسوعة ال'!C:C,0)))</f>
        <v>1</v>
      </c>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row>
    <row r="356">
      <c r="A356" s="3" t="s">
        <v>2002</v>
      </c>
      <c r="B356" s="43" t="s">
        <v>2003</v>
      </c>
      <c r="E356" s="25"/>
      <c r="F356" s="25"/>
      <c r="G356" s="84"/>
      <c r="K356" s="47"/>
      <c r="L356" s="47"/>
      <c r="M356" s="48" t="b">
        <v>0</v>
      </c>
      <c r="N356" s="48" t="b">
        <v>0</v>
      </c>
      <c r="O356" s="48"/>
      <c r="P356" s="48" t="b">
        <v>0</v>
      </c>
      <c r="Q356" s="48" t="b">
        <v>0</v>
      </c>
      <c r="R356" s="48" t="b">
        <v>0</v>
      </c>
      <c r="S356" s="48"/>
      <c r="T356" s="60"/>
      <c r="U356" s="48" t="b">
        <v>0</v>
      </c>
      <c r="V356" s="48"/>
      <c r="W356" s="48" t="b">
        <v>0</v>
      </c>
      <c r="X356" s="48" t="b">
        <v>0</v>
      </c>
      <c r="Y356" s="48"/>
      <c r="Z356" s="48"/>
      <c r="AA356" s="48"/>
      <c r="AB356" s="48"/>
      <c r="AC356" s="49"/>
      <c r="AD356" s="48"/>
      <c r="AE356" s="48"/>
      <c r="AF356" s="48"/>
      <c r="AG356" s="48"/>
      <c r="AH356" s="48"/>
      <c r="AI356" s="48"/>
      <c r="AJ356" s="25"/>
      <c r="AK356" s="34" t="s">
        <v>698</v>
      </c>
      <c r="AL356" s="25"/>
      <c r="AM356" s="25"/>
      <c r="AN356" s="35" t="s">
        <v>2025</v>
      </c>
      <c r="AO356" s="24">
        <v>0.0018402777777777777</v>
      </c>
      <c r="AP356" s="7" t="s">
        <v>633</v>
      </c>
      <c r="AQ356" s="7" t="s">
        <v>633</v>
      </c>
      <c r="AR356" s="35" t="s">
        <v>2026</v>
      </c>
      <c r="AS356" s="7" t="b">
        <f>NOT(ISERROR(MATCH(A356,'Villages according to موسوعة ال'!C:C,0)))</f>
        <v>1</v>
      </c>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row>
    <row r="357">
      <c r="A357" s="3" t="s">
        <v>2002</v>
      </c>
      <c r="B357" s="43" t="s">
        <v>2003</v>
      </c>
      <c r="E357" s="25"/>
      <c r="F357" s="25"/>
      <c r="G357" s="84"/>
      <c r="H357" s="7" t="s">
        <v>2027</v>
      </c>
      <c r="I357" s="7" t="s">
        <v>638</v>
      </c>
      <c r="J357" s="7" t="s">
        <v>2028</v>
      </c>
      <c r="K357" s="47"/>
      <c r="L357" s="47"/>
      <c r="M357" s="48" t="b">
        <v>0</v>
      </c>
      <c r="N357" s="48" t="b">
        <v>0</v>
      </c>
      <c r="O357" s="48"/>
      <c r="P357" s="48" t="b">
        <v>0</v>
      </c>
      <c r="Q357" s="48" t="b">
        <v>0</v>
      </c>
      <c r="R357" s="48" t="b">
        <v>0</v>
      </c>
      <c r="S357" s="48"/>
      <c r="T357" s="60"/>
      <c r="U357" s="48" t="b">
        <v>0</v>
      </c>
      <c r="V357" s="48"/>
      <c r="W357" s="48" t="b">
        <v>0</v>
      </c>
      <c r="X357" s="48" t="b">
        <v>0</v>
      </c>
      <c r="Y357" s="48"/>
      <c r="Z357" s="48"/>
      <c r="AA357" s="48"/>
      <c r="AB357" s="48"/>
      <c r="AC357" s="49"/>
      <c r="AD357" s="48"/>
      <c r="AE357" s="48"/>
      <c r="AF357" s="48"/>
      <c r="AG357" s="48"/>
      <c r="AH357" s="48"/>
      <c r="AI357" s="48"/>
      <c r="AJ357" s="25"/>
      <c r="AK357" s="34" t="s">
        <v>698</v>
      </c>
      <c r="AL357" s="25"/>
      <c r="AM357" s="25"/>
      <c r="AN357" s="35" t="s">
        <v>2029</v>
      </c>
      <c r="AO357" s="24">
        <v>0.0015277777777777779</v>
      </c>
      <c r="AP357" s="7" t="s">
        <v>2019</v>
      </c>
      <c r="AQ357" s="7" t="s">
        <v>633</v>
      </c>
      <c r="AR357" s="35" t="s">
        <v>2030</v>
      </c>
      <c r="AS357" s="7" t="b">
        <f>NOT(ISERROR(MATCH(A357,'Villages according to موسوعة ال'!C:C,0)))</f>
        <v>1</v>
      </c>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row>
    <row r="358">
      <c r="A358" s="3" t="s">
        <v>2002</v>
      </c>
      <c r="B358" s="43" t="s">
        <v>2003</v>
      </c>
      <c r="E358" s="25"/>
      <c r="F358" s="25"/>
      <c r="G358" s="84"/>
      <c r="H358" s="7" t="s">
        <v>2031</v>
      </c>
      <c r="I358" s="7" t="s">
        <v>638</v>
      </c>
      <c r="J358" s="7" t="s">
        <v>2032</v>
      </c>
      <c r="K358" s="47"/>
      <c r="L358" s="47"/>
      <c r="M358" s="48" t="b">
        <v>0</v>
      </c>
      <c r="N358" s="48" t="b">
        <v>0</v>
      </c>
      <c r="O358" s="48"/>
      <c r="P358" s="48" t="b">
        <v>0</v>
      </c>
      <c r="Q358" s="48" t="b">
        <v>0</v>
      </c>
      <c r="R358" s="48" t="b">
        <v>0</v>
      </c>
      <c r="S358" s="48"/>
      <c r="T358" s="60"/>
      <c r="U358" s="48" t="b">
        <v>0</v>
      </c>
      <c r="V358" s="48"/>
      <c r="W358" s="48" t="b">
        <v>0</v>
      </c>
      <c r="X358" s="48" t="b">
        <v>0</v>
      </c>
      <c r="Y358" s="48"/>
      <c r="Z358" s="48"/>
      <c r="AA358" s="48"/>
      <c r="AB358" s="48"/>
      <c r="AC358" s="49"/>
      <c r="AD358" s="48"/>
      <c r="AE358" s="48"/>
      <c r="AF358" s="48"/>
      <c r="AG358" s="48"/>
      <c r="AH358" s="48"/>
      <c r="AI358" s="48"/>
      <c r="AJ358" s="25"/>
      <c r="AK358" s="34" t="s">
        <v>698</v>
      </c>
      <c r="AL358" s="25"/>
      <c r="AM358" s="25"/>
      <c r="AN358" s="35" t="s">
        <v>2033</v>
      </c>
      <c r="AO358" s="24">
        <v>0.0025925925925925925</v>
      </c>
      <c r="AP358" s="7" t="s">
        <v>2019</v>
      </c>
      <c r="AQ358" s="3" t="s">
        <v>2034</v>
      </c>
      <c r="AR358" s="35" t="s">
        <v>2035</v>
      </c>
      <c r="AS358" s="7" t="b">
        <f>NOT(ISERROR(MATCH(A358,'Villages according to موسوعة ال'!C:C,0)))</f>
        <v>1</v>
      </c>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row>
    <row r="359">
      <c r="A359" s="3" t="s">
        <v>2002</v>
      </c>
      <c r="B359" s="43" t="s">
        <v>2003</v>
      </c>
      <c r="E359" s="25"/>
      <c r="F359" s="25"/>
      <c r="G359" s="84"/>
      <c r="H359" s="7" t="s">
        <v>2036</v>
      </c>
      <c r="I359" s="7" t="s">
        <v>616</v>
      </c>
      <c r="J359" s="7" t="s">
        <v>2037</v>
      </c>
      <c r="K359" s="47"/>
      <c r="L359" s="47"/>
      <c r="M359" s="48" t="b">
        <v>0</v>
      </c>
      <c r="N359" s="48" t="b">
        <v>0</v>
      </c>
      <c r="O359" s="48"/>
      <c r="P359" s="48" t="b">
        <v>0</v>
      </c>
      <c r="Q359" s="48" t="b">
        <v>0</v>
      </c>
      <c r="R359" s="48" t="b">
        <v>0</v>
      </c>
      <c r="S359" s="48"/>
      <c r="T359" s="60"/>
      <c r="U359" s="48" t="b">
        <v>0</v>
      </c>
      <c r="V359" s="48"/>
      <c r="W359" s="48" t="b">
        <v>0</v>
      </c>
      <c r="X359" s="48" t="b">
        <v>0</v>
      </c>
      <c r="Y359" s="48"/>
      <c r="Z359" s="48"/>
      <c r="AA359" s="48"/>
      <c r="AB359" s="48"/>
      <c r="AC359" s="49"/>
      <c r="AD359" s="48"/>
      <c r="AE359" s="48"/>
      <c r="AF359" s="48"/>
      <c r="AG359" s="48"/>
      <c r="AH359" s="48"/>
      <c r="AI359" s="48"/>
      <c r="AJ359" s="25"/>
      <c r="AK359" s="34" t="s">
        <v>698</v>
      </c>
      <c r="AL359" s="25"/>
      <c r="AM359" s="25"/>
      <c r="AN359" s="35" t="s">
        <v>2038</v>
      </c>
      <c r="AO359" s="24">
        <v>0.0021875</v>
      </c>
      <c r="AP359" s="7" t="s">
        <v>2039</v>
      </c>
      <c r="AQ359" s="7" t="s">
        <v>633</v>
      </c>
      <c r="AR359" s="35" t="s">
        <v>2040</v>
      </c>
      <c r="AS359" s="7" t="b">
        <f>NOT(ISERROR(MATCH(A359,'Villages according to موسوعة ال'!C:C,0)))</f>
        <v>1</v>
      </c>
      <c r="AT359" s="25"/>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row>
    <row r="360">
      <c r="A360" s="3" t="s">
        <v>2002</v>
      </c>
      <c r="B360" s="26" t="s">
        <v>2003</v>
      </c>
      <c r="E360" s="25"/>
      <c r="F360" s="25"/>
      <c r="G360" s="84"/>
      <c r="K360" s="47"/>
      <c r="L360" s="47"/>
      <c r="M360" s="48" t="b">
        <v>0</v>
      </c>
      <c r="N360" s="48" t="b">
        <v>0</v>
      </c>
      <c r="O360" s="48"/>
      <c r="P360" s="48" t="b">
        <v>0</v>
      </c>
      <c r="Q360" s="48" t="b">
        <v>0</v>
      </c>
      <c r="R360" s="48" t="b">
        <v>0</v>
      </c>
      <c r="S360" s="48"/>
      <c r="T360" s="32"/>
      <c r="U360" s="48" t="b">
        <v>0</v>
      </c>
      <c r="V360" s="48"/>
      <c r="W360" s="48" t="b">
        <v>0</v>
      </c>
      <c r="X360" s="48" t="b">
        <v>0</v>
      </c>
      <c r="Y360" s="48"/>
      <c r="Z360" s="48"/>
      <c r="AA360" s="48"/>
      <c r="AB360" s="48"/>
      <c r="AC360" s="49"/>
      <c r="AD360" s="48"/>
      <c r="AE360" s="48"/>
      <c r="AF360" s="48"/>
      <c r="AG360" s="48"/>
      <c r="AH360" s="48"/>
      <c r="AI360" s="48"/>
      <c r="AJ360" s="25"/>
      <c r="AK360" s="50"/>
      <c r="AL360" s="25"/>
      <c r="AM360" s="25"/>
      <c r="AN360" s="35" t="s">
        <v>2041</v>
      </c>
      <c r="AO360" s="24">
        <v>8.912037037037037E-4</v>
      </c>
      <c r="AP360" s="7" t="s">
        <v>633</v>
      </c>
      <c r="AQ360" s="7" t="s">
        <v>633</v>
      </c>
      <c r="AR360" s="36" t="s">
        <v>633</v>
      </c>
      <c r="AS360" s="7" t="b">
        <f>NOT(ISERROR(MATCH(A360,'Villages according to موسوعة ال'!C:C,0)))</f>
        <v>1</v>
      </c>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row>
    <row r="361">
      <c r="A361" s="3" t="s">
        <v>2002</v>
      </c>
      <c r="B361" s="43" t="s">
        <v>2003</v>
      </c>
      <c r="E361" s="25"/>
      <c r="F361" s="25"/>
      <c r="G361" s="84"/>
      <c r="H361" s="7" t="s">
        <v>2042</v>
      </c>
      <c r="I361" s="7" t="s">
        <v>638</v>
      </c>
      <c r="J361" s="7" t="s">
        <v>2043</v>
      </c>
      <c r="K361" s="47"/>
      <c r="L361" s="47"/>
      <c r="M361" s="48" t="b">
        <v>0</v>
      </c>
      <c r="N361" s="48" t="b">
        <v>0</v>
      </c>
      <c r="O361" s="48"/>
      <c r="P361" s="48" t="b">
        <v>0</v>
      </c>
      <c r="Q361" s="48" t="b">
        <v>0</v>
      </c>
      <c r="R361" s="48" t="b">
        <v>0</v>
      </c>
      <c r="S361" s="48"/>
      <c r="T361" s="60"/>
      <c r="U361" s="48" t="b">
        <v>0</v>
      </c>
      <c r="V361" s="48"/>
      <c r="W361" s="48" t="b">
        <v>0</v>
      </c>
      <c r="X361" s="48" t="b">
        <v>0</v>
      </c>
      <c r="Y361" s="48"/>
      <c r="Z361" s="48"/>
      <c r="AA361" s="48"/>
      <c r="AB361" s="48"/>
      <c r="AC361" s="49"/>
      <c r="AD361" s="48"/>
      <c r="AE361" s="48"/>
      <c r="AF361" s="48"/>
      <c r="AG361" s="48"/>
      <c r="AH361" s="48"/>
      <c r="AI361" s="48"/>
      <c r="AJ361" s="25"/>
      <c r="AK361" s="34" t="s">
        <v>698</v>
      </c>
      <c r="AL361" s="25"/>
      <c r="AM361" s="25"/>
      <c r="AN361" s="35" t="s">
        <v>2044</v>
      </c>
      <c r="AO361" s="24">
        <v>0.0023148148148148147</v>
      </c>
      <c r="AP361" s="7" t="s">
        <v>2045</v>
      </c>
      <c r="AQ361" s="7" t="s">
        <v>633</v>
      </c>
      <c r="AR361" s="35" t="s">
        <v>2046</v>
      </c>
      <c r="AS361" s="7" t="b">
        <f>NOT(ISERROR(MATCH(A361,'Villages according to موسوعة ال'!C:C,0)))</f>
        <v>1</v>
      </c>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row>
    <row r="362">
      <c r="A362" s="3" t="s">
        <v>2002</v>
      </c>
      <c r="B362" s="26" t="s">
        <v>2003</v>
      </c>
      <c r="E362" s="25"/>
      <c r="F362" s="25"/>
      <c r="G362" s="84"/>
      <c r="K362" s="47"/>
      <c r="L362" s="47"/>
      <c r="M362" s="48" t="b">
        <v>0</v>
      </c>
      <c r="N362" s="48" t="b">
        <v>0</v>
      </c>
      <c r="O362" s="48"/>
      <c r="P362" s="48" t="b">
        <v>0</v>
      </c>
      <c r="Q362" s="48" t="b">
        <v>0</v>
      </c>
      <c r="R362" s="48" t="b">
        <v>0</v>
      </c>
      <c r="S362" s="48"/>
      <c r="T362" s="32"/>
      <c r="U362" s="48" t="b">
        <v>0</v>
      </c>
      <c r="V362" s="48"/>
      <c r="W362" s="48" t="b">
        <v>0</v>
      </c>
      <c r="X362" s="48" t="b">
        <v>0</v>
      </c>
      <c r="Y362" s="48"/>
      <c r="Z362" s="48"/>
      <c r="AA362" s="48"/>
      <c r="AB362" s="48"/>
      <c r="AC362" s="49"/>
      <c r="AD362" s="48"/>
      <c r="AE362" s="48"/>
      <c r="AF362" s="48"/>
      <c r="AG362" s="48"/>
      <c r="AH362" s="48"/>
      <c r="AI362" s="48"/>
      <c r="AJ362" s="25"/>
      <c r="AK362" s="50"/>
      <c r="AL362" s="25"/>
      <c r="AM362" s="25"/>
      <c r="AN362" s="35" t="s">
        <v>2047</v>
      </c>
      <c r="AO362" s="24">
        <v>0.0014930555555555556</v>
      </c>
      <c r="AP362" s="3" t="s">
        <v>2007</v>
      </c>
      <c r="AQ362" s="7" t="s">
        <v>633</v>
      </c>
      <c r="AR362" s="36" t="s">
        <v>633</v>
      </c>
      <c r="AS362" s="7" t="b">
        <f>NOT(ISERROR(MATCH(A362,'Villages according to موسوعة ال'!C:C,0)))</f>
        <v>1</v>
      </c>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row>
    <row r="363">
      <c r="A363" s="3" t="s">
        <v>2002</v>
      </c>
      <c r="B363" s="43" t="s">
        <v>2003</v>
      </c>
      <c r="E363" s="25"/>
      <c r="F363" s="25"/>
      <c r="G363" s="84"/>
      <c r="H363" s="7" t="s">
        <v>2048</v>
      </c>
      <c r="I363" s="7" t="s">
        <v>638</v>
      </c>
      <c r="J363" s="7" t="s">
        <v>2049</v>
      </c>
      <c r="K363" s="47"/>
      <c r="L363" s="47"/>
      <c r="M363" s="48" t="b">
        <v>0</v>
      </c>
      <c r="N363" s="48" t="b">
        <v>0</v>
      </c>
      <c r="O363" s="48"/>
      <c r="P363" s="48" t="b">
        <v>0</v>
      </c>
      <c r="Q363" s="48" t="b">
        <v>0</v>
      </c>
      <c r="R363" s="48" t="b">
        <v>0</v>
      </c>
      <c r="S363" s="48"/>
      <c r="T363" s="60"/>
      <c r="U363" s="48" t="b">
        <v>0</v>
      </c>
      <c r="V363" s="48"/>
      <c r="W363" s="48" t="b">
        <v>0</v>
      </c>
      <c r="X363" s="48" t="b">
        <v>0</v>
      </c>
      <c r="Y363" s="48"/>
      <c r="Z363" s="48"/>
      <c r="AA363" s="48"/>
      <c r="AB363" s="48"/>
      <c r="AC363" s="49"/>
      <c r="AD363" s="48"/>
      <c r="AE363" s="48"/>
      <c r="AF363" s="48"/>
      <c r="AG363" s="48"/>
      <c r="AH363" s="48"/>
      <c r="AI363" s="48"/>
      <c r="AJ363" s="25"/>
      <c r="AK363" s="34" t="s">
        <v>698</v>
      </c>
      <c r="AL363" s="3"/>
      <c r="AM363" s="25"/>
      <c r="AN363" s="35" t="s">
        <v>2050</v>
      </c>
      <c r="AO363" s="24">
        <v>0.001574074074074074</v>
      </c>
      <c r="AP363" s="7" t="s">
        <v>633</v>
      </c>
      <c r="AQ363" s="7" t="s">
        <v>633</v>
      </c>
      <c r="AR363" s="35" t="s">
        <v>2051</v>
      </c>
      <c r="AS363" s="7" t="b">
        <f>NOT(ISERROR(MATCH(A363,'Villages according to موسوعة ال'!C:C,0)))</f>
        <v>1</v>
      </c>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row>
    <row r="364">
      <c r="A364" s="3" t="s">
        <v>2002</v>
      </c>
      <c r="B364" s="43" t="s">
        <v>2003</v>
      </c>
      <c r="E364" s="25"/>
      <c r="F364" s="25"/>
      <c r="G364" s="84"/>
      <c r="H364" s="3" t="s">
        <v>2052</v>
      </c>
      <c r="I364" s="7" t="s">
        <v>616</v>
      </c>
      <c r="J364" s="7" t="s">
        <v>2053</v>
      </c>
      <c r="K364" s="47"/>
      <c r="L364" s="47"/>
      <c r="M364" s="48" t="b">
        <v>0</v>
      </c>
      <c r="N364" s="48" t="b">
        <v>0</v>
      </c>
      <c r="O364" s="48"/>
      <c r="P364" s="48" t="b">
        <v>0</v>
      </c>
      <c r="Q364" s="48" t="b">
        <v>0</v>
      </c>
      <c r="R364" s="48" t="b">
        <v>0</v>
      </c>
      <c r="S364" s="48"/>
      <c r="T364" s="60"/>
      <c r="U364" s="48" t="b">
        <v>0</v>
      </c>
      <c r="V364" s="48"/>
      <c r="W364" s="48" t="b">
        <v>0</v>
      </c>
      <c r="X364" s="48" t="b">
        <v>0</v>
      </c>
      <c r="Y364" s="48"/>
      <c r="Z364" s="48"/>
      <c r="AA364" s="48"/>
      <c r="AB364" s="48"/>
      <c r="AC364" s="49"/>
      <c r="AD364" s="48"/>
      <c r="AE364" s="48"/>
      <c r="AF364" s="48"/>
      <c r="AG364" s="48"/>
      <c r="AH364" s="48"/>
      <c r="AI364" s="48"/>
      <c r="AJ364" s="25"/>
      <c r="AK364" s="34" t="s">
        <v>698</v>
      </c>
      <c r="AL364" s="25"/>
      <c r="AM364" s="25"/>
      <c r="AN364" s="35" t="s">
        <v>2054</v>
      </c>
      <c r="AO364" s="24">
        <v>0.002511574074074074</v>
      </c>
      <c r="AP364" s="3" t="s">
        <v>1837</v>
      </c>
      <c r="AQ364" s="7" t="s">
        <v>633</v>
      </c>
      <c r="AR364" s="35" t="s">
        <v>2055</v>
      </c>
      <c r="AS364" s="7" t="b">
        <f>NOT(ISERROR(MATCH(A364,'Villages according to موسوعة ال'!C:C,0)))</f>
        <v>1</v>
      </c>
      <c r="AT364" s="25"/>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row>
    <row r="365">
      <c r="A365" s="7" t="s">
        <v>162</v>
      </c>
      <c r="B365" s="43" t="s">
        <v>163</v>
      </c>
      <c r="C365" s="3" t="s">
        <v>163</v>
      </c>
      <c r="D365" s="7" t="s">
        <v>164</v>
      </c>
      <c r="E365" s="25"/>
      <c r="F365" s="25"/>
      <c r="G365" s="84"/>
      <c r="H365" s="7" t="s">
        <v>633</v>
      </c>
      <c r="I365" s="7" t="s">
        <v>638</v>
      </c>
      <c r="J365" s="7" t="s">
        <v>2056</v>
      </c>
      <c r="K365" s="47"/>
      <c r="L365" s="47"/>
      <c r="M365" s="48" t="b">
        <v>0</v>
      </c>
      <c r="N365" s="48" t="b">
        <v>0</v>
      </c>
      <c r="O365" s="48"/>
      <c r="P365" s="48" t="b">
        <v>0</v>
      </c>
      <c r="Q365" s="48" t="b">
        <v>0</v>
      </c>
      <c r="R365" s="48" t="b">
        <v>0</v>
      </c>
      <c r="S365" s="48"/>
      <c r="T365" s="60"/>
      <c r="U365" s="48" t="b">
        <v>0</v>
      </c>
      <c r="V365" s="48"/>
      <c r="W365" s="48" t="b">
        <v>0</v>
      </c>
      <c r="X365" s="48" t="b">
        <v>0</v>
      </c>
      <c r="Y365" s="48"/>
      <c r="Z365" s="48"/>
      <c r="AA365" s="48"/>
      <c r="AB365" s="48"/>
      <c r="AC365" s="49"/>
      <c r="AD365" s="48"/>
      <c r="AE365" s="48"/>
      <c r="AF365" s="48"/>
      <c r="AG365" s="48"/>
      <c r="AH365" s="48"/>
      <c r="AI365" s="48"/>
      <c r="AJ365" s="25"/>
      <c r="AK365" s="34" t="s">
        <v>698</v>
      </c>
      <c r="AL365" s="25"/>
      <c r="AM365" s="25"/>
      <c r="AN365" s="46" t="s">
        <v>2057</v>
      </c>
      <c r="AO365" s="24">
        <v>0.0</v>
      </c>
      <c r="AP365" s="3" t="s">
        <v>2058</v>
      </c>
      <c r="AQ365" s="7" t="s">
        <v>633</v>
      </c>
      <c r="AR365" s="68" t="s">
        <v>2059</v>
      </c>
      <c r="AS365" s="7" t="b">
        <f>NOT(ISERROR(MATCH(A365,'Villages according to موسوعة ال'!C:C,0)))</f>
        <v>1</v>
      </c>
      <c r="AT365" s="25"/>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row>
    <row r="366">
      <c r="A366" s="7" t="s">
        <v>162</v>
      </c>
      <c r="B366" s="43" t="s">
        <v>163</v>
      </c>
      <c r="E366" s="25"/>
      <c r="F366" s="25"/>
      <c r="G366" s="84"/>
      <c r="H366" s="7" t="s">
        <v>2060</v>
      </c>
      <c r="I366" s="7" t="s">
        <v>616</v>
      </c>
      <c r="J366" s="7" t="s">
        <v>2061</v>
      </c>
      <c r="K366" s="47"/>
      <c r="L366" s="47"/>
      <c r="M366" s="48" t="b">
        <v>0</v>
      </c>
      <c r="N366" s="48" t="b">
        <v>0</v>
      </c>
      <c r="O366" s="48"/>
      <c r="P366" s="48" t="b">
        <v>0</v>
      </c>
      <c r="Q366" s="48" t="b">
        <v>0</v>
      </c>
      <c r="R366" s="48" t="b">
        <v>0</v>
      </c>
      <c r="S366" s="48"/>
      <c r="T366" s="60"/>
      <c r="U366" s="48" t="b">
        <v>0</v>
      </c>
      <c r="V366" s="48"/>
      <c r="W366" s="48" t="b">
        <v>0</v>
      </c>
      <c r="X366" s="48" t="b">
        <v>0</v>
      </c>
      <c r="Y366" s="48"/>
      <c r="Z366" s="48"/>
      <c r="AA366" s="48"/>
      <c r="AB366" s="48"/>
      <c r="AC366" s="49"/>
      <c r="AD366" s="48"/>
      <c r="AE366" s="48"/>
      <c r="AF366" s="48"/>
      <c r="AG366" s="48"/>
      <c r="AH366" s="48"/>
      <c r="AI366" s="48"/>
      <c r="AJ366" s="25"/>
      <c r="AK366" s="34" t="s">
        <v>698</v>
      </c>
      <c r="AL366" s="25"/>
      <c r="AM366" s="25"/>
      <c r="AN366" s="35" t="s">
        <v>2062</v>
      </c>
      <c r="AO366" s="24">
        <v>0.0013078703703703703</v>
      </c>
      <c r="AP366" s="7" t="s">
        <v>2045</v>
      </c>
      <c r="AQ366" s="7" t="s">
        <v>633</v>
      </c>
      <c r="AR366" s="35" t="s">
        <v>2063</v>
      </c>
      <c r="AS366" s="7" t="b">
        <f>NOT(ISERROR(MATCH(A366,'Villages according to موسوعة ال'!C:C,0)))</f>
        <v>1</v>
      </c>
      <c r="AT366" s="25"/>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row>
    <row r="367">
      <c r="A367" s="7" t="s">
        <v>162</v>
      </c>
      <c r="B367" s="43" t="s">
        <v>163</v>
      </c>
      <c r="E367" s="25"/>
      <c r="F367" s="25"/>
      <c r="G367" s="84"/>
      <c r="K367" s="47"/>
      <c r="L367" s="47"/>
      <c r="M367" s="48" t="b">
        <v>0</v>
      </c>
      <c r="N367" s="48" t="b">
        <v>0</v>
      </c>
      <c r="O367" s="48"/>
      <c r="P367" s="48" t="b">
        <v>0</v>
      </c>
      <c r="Q367" s="48" t="b">
        <v>0</v>
      </c>
      <c r="R367" s="48" t="b">
        <v>0</v>
      </c>
      <c r="S367" s="48"/>
      <c r="T367" s="60"/>
      <c r="U367" s="48" t="b">
        <v>0</v>
      </c>
      <c r="V367" s="48"/>
      <c r="W367" s="48" t="b">
        <v>0</v>
      </c>
      <c r="X367" s="48" t="b">
        <v>0</v>
      </c>
      <c r="Y367" s="48"/>
      <c r="Z367" s="48"/>
      <c r="AA367" s="48"/>
      <c r="AB367" s="48"/>
      <c r="AC367" s="49"/>
      <c r="AD367" s="48"/>
      <c r="AE367" s="48"/>
      <c r="AF367" s="48"/>
      <c r="AG367" s="48"/>
      <c r="AH367" s="48"/>
      <c r="AI367" s="48"/>
      <c r="AJ367" s="3" t="s">
        <v>2064</v>
      </c>
      <c r="AK367" s="34" t="s">
        <v>698</v>
      </c>
      <c r="AL367" s="25"/>
      <c r="AM367" s="25"/>
      <c r="AN367" s="35" t="s">
        <v>2065</v>
      </c>
      <c r="AO367" s="24">
        <v>3.2407407407407406E-4</v>
      </c>
      <c r="AP367" s="7" t="s">
        <v>2019</v>
      </c>
      <c r="AQ367" s="7" t="s">
        <v>633</v>
      </c>
      <c r="AR367" s="35" t="s">
        <v>2066</v>
      </c>
      <c r="AS367" s="7" t="b">
        <f>NOT(ISERROR(MATCH(A367,'Villages according to موسوعة ال'!C:C,0)))</f>
        <v>1</v>
      </c>
      <c r="AT367" s="25"/>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row>
    <row r="368">
      <c r="A368" s="7" t="s">
        <v>162</v>
      </c>
      <c r="B368" s="43" t="s">
        <v>163</v>
      </c>
      <c r="E368" s="25"/>
      <c r="F368" s="25"/>
      <c r="G368" s="84"/>
      <c r="K368" s="47"/>
      <c r="L368" s="47"/>
      <c r="M368" s="48" t="b">
        <v>0</v>
      </c>
      <c r="N368" s="48" t="b">
        <v>0</v>
      </c>
      <c r="O368" s="48"/>
      <c r="P368" s="48" t="b">
        <v>0</v>
      </c>
      <c r="Q368" s="48" t="b">
        <v>0</v>
      </c>
      <c r="R368" s="48" t="b">
        <v>0</v>
      </c>
      <c r="S368" s="48"/>
      <c r="T368" s="60"/>
      <c r="U368" s="48" t="b">
        <v>0</v>
      </c>
      <c r="V368" s="48"/>
      <c r="W368" s="48" t="b">
        <v>0</v>
      </c>
      <c r="X368" s="48" t="b">
        <v>0</v>
      </c>
      <c r="Y368" s="48"/>
      <c r="Z368" s="48"/>
      <c r="AA368" s="48"/>
      <c r="AB368" s="48"/>
      <c r="AC368" s="49"/>
      <c r="AD368" s="48"/>
      <c r="AE368" s="48"/>
      <c r="AF368" s="48"/>
      <c r="AG368" s="48"/>
      <c r="AH368" s="48"/>
      <c r="AI368" s="48"/>
      <c r="AJ368" s="3" t="s">
        <v>2067</v>
      </c>
      <c r="AK368" s="34" t="s">
        <v>698</v>
      </c>
      <c r="AL368" s="25"/>
      <c r="AM368" s="25"/>
      <c r="AN368" s="35" t="s">
        <v>2068</v>
      </c>
      <c r="AO368" s="24">
        <v>0.0010763888888888889</v>
      </c>
      <c r="AP368" s="7" t="s">
        <v>2019</v>
      </c>
      <c r="AQ368" s="7" t="s">
        <v>633</v>
      </c>
      <c r="AR368" s="35" t="s">
        <v>2069</v>
      </c>
      <c r="AS368" s="7" t="b">
        <f>NOT(ISERROR(MATCH(A368,'Villages according to موسوعة ال'!C:C,0)))</f>
        <v>1</v>
      </c>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row>
    <row r="369">
      <c r="A369" s="7" t="s">
        <v>162</v>
      </c>
      <c r="B369" s="43" t="s">
        <v>163</v>
      </c>
      <c r="E369" s="25"/>
      <c r="F369" s="25"/>
      <c r="G369" s="84"/>
      <c r="K369" s="47"/>
      <c r="L369" s="47"/>
      <c r="M369" s="48" t="b">
        <v>0</v>
      </c>
      <c r="N369" s="48" t="b">
        <v>0</v>
      </c>
      <c r="O369" s="48"/>
      <c r="P369" s="48" t="b">
        <v>0</v>
      </c>
      <c r="Q369" s="48" t="b">
        <v>0</v>
      </c>
      <c r="R369" s="48" t="b">
        <v>0</v>
      </c>
      <c r="S369" s="48"/>
      <c r="T369" s="60"/>
      <c r="U369" s="48" t="b">
        <v>0</v>
      </c>
      <c r="V369" s="48"/>
      <c r="W369" s="48" t="b">
        <v>0</v>
      </c>
      <c r="X369" s="48" t="b">
        <v>0</v>
      </c>
      <c r="Y369" s="48"/>
      <c r="Z369" s="48"/>
      <c r="AA369" s="48"/>
      <c r="AB369" s="48"/>
      <c r="AC369" s="49"/>
      <c r="AD369" s="48"/>
      <c r="AE369" s="48"/>
      <c r="AF369" s="48"/>
      <c r="AG369" s="48"/>
      <c r="AH369" s="48"/>
      <c r="AI369" s="48"/>
      <c r="AJ369" s="3" t="s">
        <v>2070</v>
      </c>
      <c r="AK369" s="34" t="s">
        <v>698</v>
      </c>
      <c r="AL369" s="25"/>
      <c r="AM369" s="25"/>
      <c r="AN369" s="35" t="s">
        <v>2071</v>
      </c>
      <c r="AO369" s="24">
        <v>0.004641203703703704</v>
      </c>
      <c r="AP369" s="7" t="s">
        <v>2019</v>
      </c>
      <c r="AQ369" s="7" t="s">
        <v>633</v>
      </c>
      <c r="AR369" s="35" t="s">
        <v>2072</v>
      </c>
      <c r="AS369" s="7" t="b">
        <f>NOT(ISERROR(MATCH(A369,'Villages according to موسوعة ال'!C:C,0)))</f>
        <v>1</v>
      </c>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row>
    <row r="370">
      <c r="A370" s="7" t="s">
        <v>162</v>
      </c>
      <c r="B370" s="43" t="s">
        <v>163</v>
      </c>
      <c r="E370" s="25"/>
      <c r="F370" s="25"/>
      <c r="G370" s="84"/>
      <c r="H370" s="7" t="s">
        <v>2073</v>
      </c>
      <c r="I370" s="7" t="s">
        <v>616</v>
      </c>
      <c r="J370" s="7" t="s">
        <v>2074</v>
      </c>
      <c r="K370" s="54" t="s">
        <v>2075</v>
      </c>
      <c r="L370" s="30" t="s">
        <v>2076</v>
      </c>
      <c r="M370" s="48" t="b">
        <v>0</v>
      </c>
      <c r="N370" s="48" t="b">
        <v>0</v>
      </c>
      <c r="O370" s="32" t="s">
        <v>965</v>
      </c>
      <c r="P370" s="48" t="b">
        <v>0</v>
      </c>
      <c r="Q370" s="48" t="b">
        <v>0</v>
      </c>
      <c r="R370" s="48" t="b">
        <v>0</v>
      </c>
      <c r="S370" s="32" t="s">
        <v>966</v>
      </c>
      <c r="T370" s="32" t="s">
        <v>1521</v>
      </c>
      <c r="U370" s="32" t="b">
        <v>1</v>
      </c>
      <c r="V370" s="32" t="s">
        <v>685</v>
      </c>
      <c r="W370" s="48" t="b">
        <v>0</v>
      </c>
      <c r="X370" s="48" t="b">
        <v>0</v>
      </c>
      <c r="Y370" s="32" t="s">
        <v>671</v>
      </c>
      <c r="Z370" s="32"/>
      <c r="AA370" s="48"/>
      <c r="AB370" s="48"/>
      <c r="AC370" s="33" t="s">
        <v>672</v>
      </c>
      <c r="AD370" s="32" t="s">
        <v>686</v>
      </c>
      <c r="AE370" s="32" t="s">
        <v>711</v>
      </c>
      <c r="AF370" s="48"/>
      <c r="AG370" s="48"/>
      <c r="AH370" s="48"/>
      <c r="AI370" s="32" t="s">
        <v>673</v>
      </c>
      <c r="AJ370" s="25"/>
      <c r="AK370" s="34" t="s">
        <v>698</v>
      </c>
      <c r="AL370" s="3" t="s">
        <v>699</v>
      </c>
      <c r="AM370" s="3" t="s">
        <v>907</v>
      </c>
      <c r="AN370" s="35" t="s">
        <v>2077</v>
      </c>
      <c r="AO370" s="24">
        <v>6.365740740740741E-4</v>
      </c>
      <c r="AP370" s="7" t="s">
        <v>2078</v>
      </c>
      <c r="AQ370" s="7" t="s">
        <v>633</v>
      </c>
      <c r="AR370" s="35" t="s">
        <v>2079</v>
      </c>
      <c r="AS370" s="7" t="b">
        <f>NOT(ISERROR(MATCH(A370,'Villages according to موسوعة ال'!C:C,0)))</f>
        <v>1</v>
      </c>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row>
    <row r="371">
      <c r="A371" s="7" t="s">
        <v>162</v>
      </c>
      <c r="B371" s="43" t="s">
        <v>163</v>
      </c>
      <c r="E371" s="25"/>
      <c r="F371" s="25"/>
      <c r="G371" s="84"/>
      <c r="H371" s="7" t="s">
        <v>2080</v>
      </c>
      <c r="I371" s="7" t="s">
        <v>616</v>
      </c>
      <c r="J371" s="7" t="s">
        <v>2081</v>
      </c>
      <c r="K371" s="47"/>
      <c r="L371" s="47"/>
      <c r="M371" s="48" t="b">
        <v>0</v>
      </c>
      <c r="N371" s="48" t="b">
        <v>0</v>
      </c>
      <c r="O371" s="48"/>
      <c r="P371" s="48" t="b">
        <v>0</v>
      </c>
      <c r="Q371" s="48" t="b">
        <v>0</v>
      </c>
      <c r="R371" s="48" t="b">
        <v>0</v>
      </c>
      <c r="S371" s="48"/>
      <c r="T371" s="60"/>
      <c r="U371" s="48" t="b">
        <v>0</v>
      </c>
      <c r="V371" s="48"/>
      <c r="W371" s="48" t="b">
        <v>0</v>
      </c>
      <c r="X371" s="48" t="b">
        <v>0</v>
      </c>
      <c r="Y371" s="48"/>
      <c r="Z371" s="48"/>
      <c r="AA371" s="48"/>
      <c r="AB371" s="48"/>
      <c r="AC371" s="49"/>
      <c r="AD371" s="48"/>
      <c r="AE371" s="48"/>
      <c r="AF371" s="48"/>
      <c r="AG371" s="48"/>
      <c r="AH371" s="48"/>
      <c r="AI371" s="48"/>
      <c r="AJ371" s="25"/>
      <c r="AK371" s="34" t="s">
        <v>698</v>
      </c>
      <c r="AL371" s="25"/>
      <c r="AM371" s="25"/>
      <c r="AN371" s="35" t="s">
        <v>2082</v>
      </c>
      <c r="AO371" s="24">
        <v>0.0030208333333333333</v>
      </c>
      <c r="AP371" s="7" t="s">
        <v>2078</v>
      </c>
      <c r="AQ371" s="7" t="s">
        <v>633</v>
      </c>
      <c r="AR371" s="35" t="s">
        <v>2083</v>
      </c>
      <c r="AS371" s="7" t="b">
        <f>NOT(ISERROR(MATCH(A371,'Villages according to موسوعة ال'!C:C,0)))</f>
        <v>1</v>
      </c>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row>
    <row r="372">
      <c r="A372" s="7" t="s">
        <v>162</v>
      </c>
      <c r="B372" s="43" t="s">
        <v>163</v>
      </c>
      <c r="E372" s="25"/>
      <c r="F372" s="25"/>
      <c r="G372" s="84"/>
      <c r="H372" s="3" t="s">
        <v>2084</v>
      </c>
      <c r="I372" s="7" t="s">
        <v>616</v>
      </c>
      <c r="J372" s="7" t="s">
        <v>2085</v>
      </c>
      <c r="K372" s="47"/>
      <c r="L372" s="47"/>
      <c r="M372" s="48" t="b">
        <v>0</v>
      </c>
      <c r="N372" s="48" t="b">
        <v>0</v>
      </c>
      <c r="O372" s="48"/>
      <c r="P372" s="48" t="b">
        <v>0</v>
      </c>
      <c r="Q372" s="48" t="b">
        <v>0</v>
      </c>
      <c r="R372" s="48" t="b">
        <v>0</v>
      </c>
      <c r="S372" s="48"/>
      <c r="T372" s="60"/>
      <c r="U372" s="48" t="b">
        <v>0</v>
      </c>
      <c r="V372" s="48"/>
      <c r="W372" s="48" t="b">
        <v>0</v>
      </c>
      <c r="X372" s="48" t="b">
        <v>0</v>
      </c>
      <c r="Y372" s="48"/>
      <c r="Z372" s="48"/>
      <c r="AA372" s="48"/>
      <c r="AB372" s="48"/>
      <c r="AC372" s="49"/>
      <c r="AD372" s="48"/>
      <c r="AE372" s="48"/>
      <c r="AF372" s="48"/>
      <c r="AG372" s="48"/>
      <c r="AH372" s="48"/>
      <c r="AI372" s="48"/>
      <c r="AJ372" s="25"/>
      <c r="AK372" s="34" t="s">
        <v>698</v>
      </c>
      <c r="AL372" s="25"/>
      <c r="AM372" s="25"/>
      <c r="AN372" s="35" t="s">
        <v>2086</v>
      </c>
      <c r="AO372" s="24">
        <v>0.00125</v>
      </c>
      <c r="AP372" s="7" t="s">
        <v>633</v>
      </c>
      <c r="AQ372" s="7" t="s">
        <v>633</v>
      </c>
      <c r="AR372" s="35" t="s">
        <v>2087</v>
      </c>
      <c r="AS372" s="7" t="b">
        <f>NOT(ISERROR(MATCH(A372,'Villages according to موسوعة ال'!C:C,0)))</f>
        <v>1</v>
      </c>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row>
    <row r="373">
      <c r="A373" s="7" t="s">
        <v>162</v>
      </c>
      <c r="B373" s="43" t="s">
        <v>163</v>
      </c>
      <c r="E373" s="25"/>
      <c r="F373" s="25"/>
      <c r="G373" s="84"/>
      <c r="H373" s="7" t="s">
        <v>2088</v>
      </c>
      <c r="I373" s="7" t="s">
        <v>638</v>
      </c>
      <c r="J373" s="7" t="s">
        <v>2089</v>
      </c>
      <c r="K373" s="47"/>
      <c r="L373" s="47"/>
      <c r="M373" s="48" t="b">
        <v>0</v>
      </c>
      <c r="N373" s="48" t="b">
        <v>0</v>
      </c>
      <c r="O373" s="48"/>
      <c r="P373" s="48" t="b">
        <v>0</v>
      </c>
      <c r="Q373" s="48" t="b">
        <v>0</v>
      </c>
      <c r="R373" s="48" t="b">
        <v>0</v>
      </c>
      <c r="S373" s="48"/>
      <c r="T373" s="60"/>
      <c r="U373" s="48" t="b">
        <v>0</v>
      </c>
      <c r="V373" s="48"/>
      <c r="W373" s="48" t="b">
        <v>0</v>
      </c>
      <c r="X373" s="48" t="b">
        <v>0</v>
      </c>
      <c r="Y373" s="48"/>
      <c r="Z373" s="48"/>
      <c r="AA373" s="48"/>
      <c r="AB373" s="48"/>
      <c r="AC373" s="49"/>
      <c r="AD373" s="48"/>
      <c r="AE373" s="48"/>
      <c r="AF373" s="48"/>
      <c r="AG373" s="48"/>
      <c r="AH373" s="48"/>
      <c r="AI373" s="48"/>
      <c r="AJ373" s="25"/>
      <c r="AK373" s="34" t="s">
        <v>698</v>
      </c>
      <c r="AL373" s="25"/>
      <c r="AM373" s="25"/>
      <c r="AN373" s="35" t="s">
        <v>2090</v>
      </c>
      <c r="AO373" s="24">
        <v>0.004375</v>
      </c>
      <c r="AP373" s="7" t="s">
        <v>633</v>
      </c>
      <c r="AQ373" s="3" t="s">
        <v>2008</v>
      </c>
      <c r="AR373" s="35" t="s">
        <v>2091</v>
      </c>
      <c r="AS373" s="7" t="b">
        <f>NOT(ISERROR(MATCH(A373,'Villages according to موسوعة ال'!C:C,0)))</f>
        <v>1</v>
      </c>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row>
    <row r="374">
      <c r="A374" s="7" t="s">
        <v>162</v>
      </c>
      <c r="B374" s="43" t="s">
        <v>163</v>
      </c>
      <c r="E374" s="25"/>
      <c r="F374" s="25"/>
      <c r="G374" s="84"/>
      <c r="H374" s="7" t="s">
        <v>2092</v>
      </c>
      <c r="I374" s="7" t="s">
        <v>638</v>
      </c>
      <c r="J374" s="7" t="s">
        <v>2093</v>
      </c>
      <c r="K374" s="54" t="s">
        <v>2094</v>
      </c>
      <c r="L374" s="54" t="s">
        <v>2095</v>
      </c>
      <c r="M374" s="60" t="b">
        <v>0</v>
      </c>
      <c r="N374" s="60" t="b">
        <v>0</v>
      </c>
      <c r="O374" s="60"/>
      <c r="P374" s="60" t="b">
        <v>0</v>
      </c>
      <c r="Q374" s="60" t="b">
        <v>0</v>
      </c>
      <c r="R374" s="60" t="b">
        <v>0</v>
      </c>
      <c r="S374" s="60"/>
      <c r="T374" s="60"/>
      <c r="U374" s="60" t="b">
        <v>0</v>
      </c>
      <c r="V374" s="60"/>
      <c r="W374" s="60" t="b">
        <v>0</v>
      </c>
      <c r="X374" s="60" t="b">
        <v>0</v>
      </c>
      <c r="Y374" s="60"/>
      <c r="Z374" s="60"/>
      <c r="AA374" s="60"/>
      <c r="AB374" s="60"/>
      <c r="AC374" s="61"/>
      <c r="AD374" s="60"/>
      <c r="AE374" s="60"/>
      <c r="AF374" s="60"/>
      <c r="AG374" s="60"/>
      <c r="AH374" s="60"/>
      <c r="AI374" s="60"/>
      <c r="AJ374" s="3"/>
      <c r="AK374" s="34" t="s">
        <v>698</v>
      </c>
      <c r="AL374" s="3"/>
      <c r="AM374" s="25"/>
      <c r="AN374" s="35" t="s">
        <v>2096</v>
      </c>
      <c r="AO374" s="24">
        <v>0.0028703703703703703</v>
      </c>
      <c r="AP374" s="7" t="s">
        <v>633</v>
      </c>
      <c r="AQ374" s="7" t="s">
        <v>633</v>
      </c>
      <c r="AR374" s="35" t="s">
        <v>2097</v>
      </c>
      <c r="AS374" s="7" t="b">
        <f>NOT(ISERROR(MATCH(A374,'Villages according to موسوعة ال'!C:C,0)))</f>
        <v>1</v>
      </c>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row>
    <row r="375">
      <c r="A375" s="7" t="s">
        <v>162</v>
      </c>
      <c r="B375" s="26" t="s">
        <v>163</v>
      </c>
      <c r="E375" s="25"/>
      <c r="F375" s="25"/>
      <c r="G375" s="84"/>
      <c r="H375" s="3" t="s">
        <v>2098</v>
      </c>
      <c r="I375" s="7" t="s">
        <v>616</v>
      </c>
      <c r="J375" s="7" t="s">
        <v>2099</v>
      </c>
      <c r="K375" s="47"/>
      <c r="L375" s="47"/>
      <c r="M375" s="48" t="b">
        <v>0</v>
      </c>
      <c r="N375" s="48" t="b">
        <v>0</v>
      </c>
      <c r="O375" s="48"/>
      <c r="P375" s="48" t="b">
        <v>0</v>
      </c>
      <c r="Q375" s="48" t="b">
        <v>0</v>
      </c>
      <c r="R375" s="48" t="b">
        <v>0</v>
      </c>
      <c r="S375" s="48"/>
      <c r="T375" s="32"/>
      <c r="U375" s="48" t="b">
        <v>0</v>
      </c>
      <c r="V375" s="48"/>
      <c r="W375" s="48" t="b">
        <v>0</v>
      </c>
      <c r="X375" s="48" t="b">
        <v>0</v>
      </c>
      <c r="Y375" s="48"/>
      <c r="Z375" s="48"/>
      <c r="AA375" s="48"/>
      <c r="AB375" s="48"/>
      <c r="AC375" s="49"/>
      <c r="AD375" s="48"/>
      <c r="AE375" s="48"/>
      <c r="AF375" s="48"/>
      <c r="AG375" s="48"/>
      <c r="AH375" s="48"/>
      <c r="AI375" s="48"/>
      <c r="AJ375" s="25"/>
      <c r="AK375" s="50"/>
      <c r="AL375" s="25"/>
      <c r="AM375" s="25"/>
      <c r="AN375" s="35" t="s">
        <v>2100</v>
      </c>
      <c r="AO375" s="24">
        <v>0.003576388888888889</v>
      </c>
      <c r="AP375" s="7" t="s">
        <v>633</v>
      </c>
      <c r="AQ375" s="7" t="s">
        <v>633</v>
      </c>
      <c r="AR375" s="7" t="s">
        <v>633</v>
      </c>
      <c r="AS375" s="7" t="b">
        <f>NOT(ISERROR(MATCH(A375,'Villages according to موسوعة ال'!C:C,0)))</f>
        <v>1</v>
      </c>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row>
    <row r="376">
      <c r="A376" s="7" t="s">
        <v>162</v>
      </c>
      <c r="B376" s="26" t="s">
        <v>163</v>
      </c>
      <c r="E376" s="25"/>
      <c r="F376" s="25"/>
      <c r="G376" s="84"/>
      <c r="H376" s="3" t="s">
        <v>2101</v>
      </c>
      <c r="I376" s="7" t="s">
        <v>638</v>
      </c>
      <c r="J376" s="7" t="s">
        <v>2102</v>
      </c>
      <c r="K376" s="47"/>
      <c r="L376" s="47"/>
      <c r="M376" s="48" t="b">
        <v>0</v>
      </c>
      <c r="N376" s="48" t="b">
        <v>0</v>
      </c>
      <c r="O376" s="48"/>
      <c r="P376" s="48" t="b">
        <v>0</v>
      </c>
      <c r="Q376" s="48" t="b">
        <v>0</v>
      </c>
      <c r="R376" s="48" t="b">
        <v>0</v>
      </c>
      <c r="S376" s="48"/>
      <c r="T376" s="32"/>
      <c r="U376" s="48" t="b">
        <v>0</v>
      </c>
      <c r="V376" s="48"/>
      <c r="W376" s="48" t="b">
        <v>0</v>
      </c>
      <c r="X376" s="48" t="b">
        <v>0</v>
      </c>
      <c r="Y376" s="48"/>
      <c r="Z376" s="48"/>
      <c r="AA376" s="48"/>
      <c r="AB376" s="48"/>
      <c r="AC376" s="49"/>
      <c r="AD376" s="48"/>
      <c r="AE376" s="48"/>
      <c r="AF376" s="48"/>
      <c r="AG376" s="48"/>
      <c r="AH376" s="48"/>
      <c r="AI376" s="48"/>
      <c r="AJ376" s="25"/>
      <c r="AK376" s="50"/>
      <c r="AL376" s="25"/>
      <c r="AM376" s="25"/>
      <c r="AN376" s="35" t="s">
        <v>2103</v>
      </c>
      <c r="AO376" s="24">
        <v>0.0023148148148148147</v>
      </c>
      <c r="AP376" s="7" t="s">
        <v>633</v>
      </c>
      <c r="AQ376" s="7" t="s">
        <v>633</v>
      </c>
      <c r="AR376" s="7" t="s">
        <v>633</v>
      </c>
      <c r="AS376" s="7" t="b">
        <f>NOT(ISERROR(MATCH(A376,'Villages according to موسوعة ال'!C:C,0)))</f>
        <v>1</v>
      </c>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row>
    <row r="377">
      <c r="A377" s="7" t="s">
        <v>162</v>
      </c>
      <c r="B377" s="26" t="s">
        <v>163</v>
      </c>
      <c r="E377" s="25"/>
      <c r="F377" s="25"/>
      <c r="G377" s="84"/>
      <c r="H377" s="3" t="s">
        <v>2104</v>
      </c>
      <c r="I377" s="7" t="s">
        <v>638</v>
      </c>
      <c r="J377" s="7" t="s">
        <v>2105</v>
      </c>
      <c r="K377" s="47"/>
      <c r="L377" s="47"/>
      <c r="M377" s="48" t="b">
        <v>0</v>
      </c>
      <c r="N377" s="48" t="b">
        <v>0</v>
      </c>
      <c r="O377" s="48"/>
      <c r="P377" s="48" t="b">
        <v>0</v>
      </c>
      <c r="Q377" s="48" t="b">
        <v>0</v>
      </c>
      <c r="R377" s="48" t="b">
        <v>0</v>
      </c>
      <c r="S377" s="48"/>
      <c r="T377" s="32"/>
      <c r="U377" s="48" t="b">
        <v>0</v>
      </c>
      <c r="V377" s="48"/>
      <c r="W377" s="48" t="b">
        <v>0</v>
      </c>
      <c r="X377" s="48" t="b">
        <v>0</v>
      </c>
      <c r="Y377" s="48"/>
      <c r="Z377" s="48"/>
      <c r="AA377" s="48"/>
      <c r="AB377" s="48"/>
      <c r="AC377" s="49"/>
      <c r="AD377" s="48"/>
      <c r="AE377" s="48"/>
      <c r="AF377" s="48"/>
      <c r="AG377" s="48"/>
      <c r="AH377" s="48"/>
      <c r="AI377" s="48"/>
      <c r="AJ377" s="25"/>
      <c r="AK377" s="50"/>
      <c r="AL377" s="25"/>
      <c r="AM377" s="25"/>
      <c r="AN377" s="35" t="s">
        <v>2106</v>
      </c>
      <c r="AO377" s="24">
        <v>0.002673611111111111</v>
      </c>
      <c r="AP377" s="7" t="s">
        <v>633</v>
      </c>
      <c r="AQ377" s="7" t="s">
        <v>633</v>
      </c>
      <c r="AR377" s="7" t="s">
        <v>633</v>
      </c>
      <c r="AS377" s="7" t="b">
        <f>NOT(ISERROR(MATCH(A377,'Villages according to موسوعة ال'!C:C,0)))</f>
        <v>1</v>
      </c>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row>
    <row r="378">
      <c r="A378" s="7" t="s">
        <v>162</v>
      </c>
      <c r="B378" s="26" t="s">
        <v>163</v>
      </c>
      <c r="E378" s="25"/>
      <c r="F378" s="25"/>
      <c r="G378" s="84"/>
      <c r="H378" s="7" t="s">
        <v>633</v>
      </c>
      <c r="I378" s="7" t="s">
        <v>638</v>
      </c>
      <c r="J378" s="7" t="s">
        <v>2107</v>
      </c>
      <c r="K378" s="47"/>
      <c r="L378" s="47"/>
      <c r="M378" s="48" t="b">
        <v>0</v>
      </c>
      <c r="N378" s="48" t="b">
        <v>0</v>
      </c>
      <c r="O378" s="48"/>
      <c r="P378" s="48" t="b">
        <v>0</v>
      </c>
      <c r="Q378" s="48" t="b">
        <v>0</v>
      </c>
      <c r="R378" s="48" t="b">
        <v>0</v>
      </c>
      <c r="S378" s="48"/>
      <c r="T378" s="32"/>
      <c r="U378" s="48" t="b">
        <v>0</v>
      </c>
      <c r="V378" s="48"/>
      <c r="W378" s="48" t="b">
        <v>0</v>
      </c>
      <c r="X378" s="48" t="b">
        <v>0</v>
      </c>
      <c r="Y378" s="48"/>
      <c r="Z378" s="48"/>
      <c r="AA378" s="48"/>
      <c r="AB378" s="48"/>
      <c r="AC378" s="49"/>
      <c r="AD378" s="48"/>
      <c r="AE378" s="48"/>
      <c r="AF378" s="48"/>
      <c r="AG378" s="48"/>
      <c r="AH378" s="48"/>
      <c r="AI378" s="48"/>
      <c r="AJ378" s="25"/>
      <c r="AK378" s="50"/>
      <c r="AL378" s="25"/>
      <c r="AM378" s="25"/>
      <c r="AN378" s="35" t="s">
        <v>2108</v>
      </c>
      <c r="AO378" s="24">
        <v>0.0017824074074074075</v>
      </c>
      <c r="AP378" s="7" t="s">
        <v>633</v>
      </c>
      <c r="AQ378" s="7" t="s">
        <v>633</v>
      </c>
      <c r="AR378" s="7" t="s">
        <v>633</v>
      </c>
      <c r="AS378" s="7" t="b">
        <f>NOT(ISERROR(MATCH(A378,'Villages according to موسوعة ال'!C:C,0)))</f>
        <v>1</v>
      </c>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row>
    <row r="379">
      <c r="A379" s="7" t="s">
        <v>162</v>
      </c>
      <c r="B379" s="43" t="s">
        <v>163</v>
      </c>
      <c r="E379" s="25"/>
      <c r="F379" s="25"/>
      <c r="G379" s="84"/>
      <c r="H379" s="3" t="s">
        <v>2109</v>
      </c>
      <c r="I379" s="7" t="s">
        <v>616</v>
      </c>
      <c r="J379" s="7" t="s">
        <v>2110</v>
      </c>
      <c r="K379" s="47"/>
      <c r="L379" s="47"/>
      <c r="M379" s="48" t="b">
        <v>0</v>
      </c>
      <c r="N379" s="48" t="b">
        <v>0</v>
      </c>
      <c r="O379" s="48"/>
      <c r="P379" s="48" t="b">
        <v>0</v>
      </c>
      <c r="Q379" s="48" t="b">
        <v>0</v>
      </c>
      <c r="R379" s="48" t="b">
        <v>0</v>
      </c>
      <c r="S379" s="48"/>
      <c r="T379" s="60"/>
      <c r="U379" s="48" t="b">
        <v>0</v>
      </c>
      <c r="V379" s="48"/>
      <c r="W379" s="48" t="b">
        <v>0</v>
      </c>
      <c r="X379" s="48" t="b">
        <v>0</v>
      </c>
      <c r="Y379" s="48"/>
      <c r="Z379" s="48"/>
      <c r="AA379" s="48"/>
      <c r="AB379" s="48"/>
      <c r="AC379" s="49"/>
      <c r="AD379" s="48"/>
      <c r="AE379" s="48"/>
      <c r="AF379" s="48"/>
      <c r="AG379" s="48"/>
      <c r="AH379" s="48"/>
      <c r="AI379" s="48"/>
      <c r="AJ379" s="25"/>
      <c r="AK379" s="34" t="s">
        <v>698</v>
      </c>
      <c r="AL379" s="25"/>
      <c r="AM379" s="25"/>
      <c r="AN379" s="35" t="s">
        <v>2111</v>
      </c>
      <c r="AO379" s="24">
        <v>0.004537037037037037</v>
      </c>
      <c r="AP379" s="3" t="s">
        <v>2112</v>
      </c>
      <c r="AQ379" s="3" t="s">
        <v>2113</v>
      </c>
      <c r="AR379" s="35" t="s">
        <v>2114</v>
      </c>
      <c r="AS379" s="7" t="b">
        <f>NOT(ISERROR(MATCH(A379,'Villages according to موسوعة ال'!C:C,0)))</f>
        <v>1</v>
      </c>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row>
    <row r="380">
      <c r="A380" s="7" t="s">
        <v>162</v>
      </c>
      <c r="B380" s="43" t="s">
        <v>163</v>
      </c>
      <c r="E380" s="25"/>
      <c r="F380" s="25"/>
      <c r="G380" s="84"/>
      <c r="H380" s="3" t="s">
        <v>2115</v>
      </c>
      <c r="I380" s="7" t="s">
        <v>616</v>
      </c>
      <c r="J380" s="7" t="s">
        <v>2116</v>
      </c>
      <c r="K380" s="47"/>
      <c r="L380" s="47"/>
      <c r="M380" s="48" t="b">
        <v>0</v>
      </c>
      <c r="N380" s="48" t="b">
        <v>0</v>
      </c>
      <c r="O380" s="48"/>
      <c r="P380" s="48" t="b">
        <v>0</v>
      </c>
      <c r="Q380" s="48" t="b">
        <v>0</v>
      </c>
      <c r="R380" s="48" t="b">
        <v>0</v>
      </c>
      <c r="S380" s="48"/>
      <c r="T380" s="60"/>
      <c r="U380" s="48" t="b">
        <v>0</v>
      </c>
      <c r="V380" s="48"/>
      <c r="W380" s="48" t="b">
        <v>0</v>
      </c>
      <c r="X380" s="48" t="b">
        <v>0</v>
      </c>
      <c r="Y380" s="48"/>
      <c r="Z380" s="48"/>
      <c r="AA380" s="48"/>
      <c r="AB380" s="48"/>
      <c r="AC380" s="49"/>
      <c r="AD380" s="48"/>
      <c r="AE380" s="48"/>
      <c r="AF380" s="48"/>
      <c r="AG380" s="48"/>
      <c r="AH380" s="48"/>
      <c r="AI380" s="48"/>
      <c r="AJ380" s="25"/>
      <c r="AK380" s="34" t="s">
        <v>698</v>
      </c>
      <c r="AL380" s="25"/>
      <c r="AM380" s="25"/>
      <c r="AN380" s="35" t="s">
        <v>2117</v>
      </c>
      <c r="AO380" s="24">
        <v>0.0018171296296296297</v>
      </c>
      <c r="AP380" s="3" t="s">
        <v>2112</v>
      </c>
      <c r="AQ380" s="3" t="s">
        <v>2118</v>
      </c>
      <c r="AR380" s="35" t="s">
        <v>2119</v>
      </c>
      <c r="AS380" s="7" t="b">
        <f>NOT(ISERROR(MATCH(A380,'Villages according to موسوعة ال'!C:C,0)))</f>
        <v>1</v>
      </c>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row>
    <row r="381">
      <c r="A381" s="7" t="s">
        <v>162</v>
      </c>
      <c r="B381" s="26" t="s">
        <v>163</v>
      </c>
      <c r="E381" s="25"/>
      <c r="F381" s="25"/>
      <c r="G381" s="84"/>
      <c r="H381" s="3" t="s">
        <v>2120</v>
      </c>
      <c r="I381" s="7" t="s">
        <v>638</v>
      </c>
      <c r="J381" s="7" t="s">
        <v>2121</v>
      </c>
      <c r="K381" s="47"/>
      <c r="L381" s="47"/>
      <c r="M381" s="48" t="b">
        <v>0</v>
      </c>
      <c r="N381" s="48" t="b">
        <v>0</v>
      </c>
      <c r="O381" s="48"/>
      <c r="P381" s="48" t="b">
        <v>0</v>
      </c>
      <c r="Q381" s="48" t="b">
        <v>0</v>
      </c>
      <c r="R381" s="48" t="b">
        <v>0</v>
      </c>
      <c r="S381" s="48"/>
      <c r="T381" s="32"/>
      <c r="U381" s="48" t="b">
        <v>0</v>
      </c>
      <c r="V381" s="48"/>
      <c r="W381" s="48" t="b">
        <v>0</v>
      </c>
      <c r="X381" s="48" t="b">
        <v>0</v>
      </c>
      <c r="Y381" s="48"/>
      <c r="Z381" s="48"/>
      <c r="AA381" s="48"/>
      <c r="AB381" s="48"/>
      <c r="AC381" s="49"/>
      <c r="AD381" s="48"/>
      <c r="AE381" s="48"/>
      <c r="AF381" s="48"/>
      <c r="AG381" s="48"/>
      <c r="AH381" s="48"/>
      <c r="AI381" s="48"/>
      <c r="AJ381" s="25"/>
      <c r="AK381" s="50"/>
      <c r="AL381" s="25"/>
      <c r="AM381" s="25"/>
      <c r="AN381" s="35" t="s">
        <v>2122</v>
      </c>
      <c r="AO381" s="24">
        <v>0.0016666666666666668</v>
      </c>
      <c r="AP381" s="7" t="s">
        <v>633</v>
      </c>
      <c r="AQ381" s="7" t="s">
        <v>633</v>
      </c>
      <c r="AR381" s="7" t="s">
        <v>633</v>
      </c>
      <c r="AS381" s="7" t="b">
        <f>NOT(ISERROR(MATCH(A381,'Villages according to موسوعة ال'!C:C,0)))</f>
        <v>1</v>
      </c>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row>
    <row r="382">
      <c r="A382" s="7" t="s">
        <v>162</v>
      </c>
      <c r="B382" s="26" t="s">
        <v>163</v>
      </c>
      <c r="E382" s="25"/>
      <c r="F382" s="25"/>
      <c r="G382" s="84"/>
      <c r="K382" s="47"/>
      <c r="L382" s="47"/>
      <c r="M382" s="48" t="b">
        <v>0</v>
      </c>
      <c r="N382" s="48" t="b">
        <v>0</v>
      </c>
      <c r="O382" s="48"/>
      <c r="P382" s="48" t="b">
        <v>0</v>
      </c>
      <c r="Q382" s="48" t="b">
        <v>0</v>
      </c>
      <c r="R382" s="48" t="b">
        <v>0</v>
      </c>
      <c r="S382" s="48"/>
      <c r="T382" s="32"/>
      <c r="U382" s="48" t="b">
        <v>0</v>
      </c>
      <c r="V382" s="48"/>
      <c r="W382" s="48" t="b">
        <v>0</v>
      </c>
      <c r="X382" s="48" t="b">
        <v>0</v>
      </c>
      <c r="Y382" s="48"/>
      <c r="Z382" s="48"/>
      <c r="AA382" s="48"/>
      <c r="AB382" s="48"/>
      <c r="AC382" s="49"/>
      <c r="AD382" s="48"/>
      <c r="AE382" s="48"/>
      <c r="AF382" s="48"/>
      <c r="AG382" s="48"/>
      <c r="AH382" s="48"/>
      <c r="AI382" s="48"/>
      <c r="AJ382" s="25"/>
      <c r="AK382" s="50"/>
      <c r="AL382" s="25"/>
      <c r="AM382" s="25"/>
      <c r="AN382" s="35" t="s">
        <v>2123</v>
      </c>
      <c r="AO382" s="24">
        <v>0.003923611111111111</v>
      </c>
      <c r="AP382" s="7" t="s">
        <v>633</v>
      </c>
      <c r="AQ382" s="7" t="s">
        <v>633</v>
      </c>
      <c r="AR382" s="7" t="s">
        <v>633</v>
      </c>
      <c r="AS382" s="7" t="b">
        <f>NOT(ISERROR(MATCH(A382,'Villages according to موسوعة ال'!C:C,0)))</f>
        <v>1</v>
      </c>
      <c r="AT382" s="37"/>
      <c r="AU382" s="108"/>
      <c r="AV382" s="108"/>
      <c r="AW382" s="108"/>
      <c r="AX382" s="108"/>
      <c r="AY382" s="4" t="s">
        <v>633</v>
      </c>
      <c r="AZ382" s="37"/>
      <c r="BA382" s="37"/>
      <c r="BB382" s="37"/>
      <c r="BC382" s="37"/>
      <c r="BD382" s="37"/>
      <c r="BE382" s="37"/>
      <c r="BF382" s="37"/>
      <c r="BG382" s="37"/>
      <c r="BH382" s="37"/>
      <c r="BI382" s="37"/>
      <c r="BJ382" s="37"/>
      <c r="BK382" s="37"/>
      <c r="BL382" s="37"/>
      <c r="BM382" s="37"/>
      <c r="BN382" s="37"/>
      <c r="BO382" s="37"/>
      <c r="BP382" s="37"/>
    </row>
    <row r="383">
      <c r="A383" s="7" t="s">
        <v>162</v>
      </c>
      <c r="B383" s="26" t="s">
        <v>163</v>
      </c>
      <c r="E383" s="25"/>
      <c r="F383" s="25"/>
      <c r="G383" s="84"/>
      <c r="H383" s="3" t="s">
        <v>2124</v>
      </c>
      <c r="I383" s="7" t="s">
        <v>638</v>
      </c>
      <c r="J383" s="46" t="s">
        <v>2125</v>
      </c>
      <c r="K383" s="47"/>
      <c r="L383" s="47"/>
      <c r="M383" s="48" t="b">
        <v>0</v>
      </c>
      <c r="N383" s="48" t="b">
        <v>0</v>
      </c>
      <c r="O383" s="48"/>
      <c r="P383" s="48" t="b">
        <v>0</v>
      </c>
      <c r="Q383" s="48" t="b">
        <v>0</v>
      </c>
      <c r="R383" s="48" t="b">
        <v>0</v>
      </c>
      <c r="S383" s="48"/>
      <c r="T383" s="32"/>
      <c r="U383" s="48" t="b">
        <v>0</v>
      </c>
      <c r="V383" s="48"/>
      <c r="W383" s="48" t="b">
        <v>0</v>
      </c>
      <c r="X383" s="48" t="b">
        <v>0</v>
      </c>
      <c r="Y383" s="48"/>
      <c r="Z383" s="48"/>
      <c r="AA383" s="48"/>
      <c r="AB383" s="48"/>
      <c r="AC383" s="49"/>
      <c r="AD383" s="48"/>
      <c r="AE383" s="48"/>
      <c r="AF383" s="48"/>
      <c r="AG383" s="48"/>
      <c r="AH383" s="48"/>
      <c r="AI383" s="48"/>
      <c r="AJ383" s="25"/>
      <c r="AK383" s="50"/>
      <c r="AL383" s="25"/>
      <c r="AM383" s="25"/>
      <c r="AN383" s="68" t="s">
        <v>2126</v>
      </c>
      <c r="AO383" s="24">
        <v>0.005509259259259259</v>
      </c>
      <c r="AP383" s="7" t="s">
        <v>633</v>
      </c>
      <c r="AQ383" s="7" t="s">
        <v>633</v>
      </c>
      <c r="AR383" s="7" t="s">
        <v>633</v>
      </c>
      <c r="AS383" s="7" t="b">
        <f>NOT(ISERROR(MATCH(A383,'Villages according to موسوعة ال'!C:C,0)))</f>
        <v>1</v>
      </c>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row>
    <row r="384">
      <c r="A384" s="7" t="s">
        <v>162</v>
      </c>
      <c r="B384" s="26" t="s">
        <v>163</v>
      </c>
      <c r="E384" s="25"/>
      <c r="F384" s="25"/>
      <c r="G384" s="84"/>
      <c r="H384" s="3" t="s">
        <v>2127</v>
      </c>
      <c r="I384" s="7" t="s">
        <v>616</v>
      </c>
      <c r="J384" s="46" t="s">
        <v>2128</v>
      </c>
      <c r="K384" s="47"/>
      <c r="L384" s="47"/>
      <c r="M384" s="48" t="b">
        <v>0</v>
      </c>
      <c r="N384" s="48" t="b">
        <v>0</v>
      </c>
      <c r="O384" s="48"/>
      <c r="P384" s="48" t="b">
        <v>0</v>
      </c>
      <c r="Q384" s="48" t="b">
        <v>0</v>
      </c>
      <c r="R384" s="48" t="b">
        <v>0</v>
      </c>
      <c r="S384" s="48"/>
      <c r="T384" s="32"/>
      <c r="U384" s="48" t="b">
        <v>0</v>
      </c>
      <c r="V384" s="48"/>
      <c r="W384" s="48" t="b">
        <v>0</v>
      </c>
      <c r="X384" s="48" t="b">
        <v>0</v>
      </c>
      <c r="Y384" s="48"/>
      <c r="Z384" s="48"/>
      <c r="AA384" s="48"/>
      <c r="AB384" s="48"/>
      <c r="AC384" s="49"/>
      <c r="AD384" s="48"/>
      <c r="AE384" s="48"/>
      <c r="AF384" s="48"/>
      <c r="AG384" s="48"/>
      <c r="AH384" s="48"/>
      <c r="AI384" s="48"/>
      <c r="AJ384" s="25"/>
      <c r="AK384" s="50"/>
      <c r="AL384" s="25"/>
      <c r="AM384" s="25"/>
      <c r="AN384" s="68" t="s">
        <v>2129</v>
      </c>
      <c r="AO384" s="24">
        <v>0.0014583333333333334</v>
      </c>
      <c r="AP384" s="7" t="s">
        <v>633</v>
      </c>
      <c r="AQ384" s="7" t="s">
        <v>633</v>
      </c>
      <c r="AR384" s="7" t="s">
        <v>633</v>
      </c>
      <c r="AS384" s="7" t="b">
        <f>NOT(ISERROR(MATCH(A384,'Villages according to موسوعة ال'!C:C,0)))</f>
        <v>1</v>
      </c>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row>
    <row r="385">
      <c r="A385" s="7" t="s">
        <v>162</v>
      </c>
      <c r="B385" s="26" t="s">
        <v>163</v>
      </c>
      <c r="E385" s="25"/>
      <c r="F385" s="25"/>
      <c r="G385" s="84"/>
      <c r="K385" s="47"/>
      <c r="L385" s="47"/>
      <c r="M385" s="48" t="b">
        <v>0</v>
      </c>
      <c r="N385" s="48" t="b">
        <v>0</v>
      </c>
      <c r="O385" s="48"/>
      <c r="P385" s="48" t="b">
        <v>0</v>
      </c>
      <c r="Q385" s="48" t="b">
        <v>0</v>
      </c>
      <c r="R385" s="48" t="b">
        <v>0</v>
      </c>
      <c r="S385" s="48"/>
      <c r="T385" s="32"/>
      <c r="U385" s="48" t="b">
        <v>0</v>
      </c>
      <c r="V385" s="48"/>
      <c r="W385" s="48" t="b">
        <v>0</v>
      </c>
      <c r="X385" s="48" t="b">
        <v>0</v>
      </c>
      <c r="Y385" s="48"/>
      <c r="Z385" s="48"/>
      <c r="AA385" s="48"/>
      <c r="AB385" s="48"/>
      <c r="AC385" s="49"/>
      <c r="AD385" s="48"/>
      <c r="AE385" s="48"/>
      <c r="AF385" s="48"/>
      <c r="AG385" s="48"/>
      <c r="AH385" s="48"/>
      <c r="AI385" s="48"/>
      <c r="AJ385" s="25"/>
      <c r="AK385" s="50"/>
      <c r="AL385" s="25"/>
      <c r="AM385" s="25"/>
      <c r="AN385" s="68" t="s">
        <v>2130</v>
      </c>
      <c r="AO385" s="24">
        <v>0.00375</v>
      </c>
      <c r="AP385" s="7" t="s">
        <v>633</v>
      </c>
      <c r="AQ385" s="7" t="s">
        <v>633</v>
      </c>
      <c r="AR385" s="7" t="s">
        <v>633</v>
      </c>
      <c r="AS385" s="7" t="b">
        <f>NOT(ISERROR(MATCH(A385,'Villages according to موسوعة ال'!C:C,0)))</f>
        <v>1</v>
      </c>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row>
    <row r="386">
      <c r="A386" s="7" t="s">
        <v>162</v>
      </c>
      <c r="B386" s="26" t="s">
        <v>163</v>
      </c>
      <c r="E386" s="25"/>
      <c r="F386" s="25"/>
      <c r="G386" s="84"/>
      <c r="H386" s="7" t="s">
        <v>633</v>
      </c>
      <c r="I386" s="7" t="s">
        <v>638</v>
      </c>
      <c r="J386" s="7" t="s">
        <v>2131</v>
      </c>
      <c r="K386" s="47"/>
      <c r="L386" s="47"/>
      <c r="M386" s="48" t="b">
        <v>0</v>
      </c>
      <c r="N386" s="48" t="b">
        <v>0</v>
      </c>
      <c r="O386" s="48"/>
      <c r="P386" s="48" t="b">
        <v>0</v>
      </c>
      <c r="Q386" s="48" t="b">
        <v>0</v>
      </c>
      <c r="R386" s="48" t="b">
        <v>0</v>
      </c>
      <c r="S386" s="48"/>
      <c r="T386" s="32"/>
      <c r="U386" s="48" t="b">
        <v>0</v>
      </c>
      <c r="V386" s="48"/>
      <c r="W386" s="48" t="b">
        <v>0</v>
      </c>
      <c r="X386" s="48" t="b">
        <v>0</v>
      </c>
      <c r="Y386" s="48"/>
      <c r="Z386" s="48"/>
      <c r="AA386" s="48"/>
      <c r="AB386" s="48"/>
      <c r="AC386" s="49"/>
      <c r="AD386" s="48"/>
      <c r="AE386" s="48"/>
      <c r="AF386" s="48"/>
      <c r="AG386" s="48"/>
      <c r="AH386" s="48"/>
      <c r="AI386" s="48"/>
      <c r="AJ386" s="25"/>
      <c r="AK386" s="50"/>
      <c r="AL386" s="25"/>
      <c r="AM386" s="25"/>
      <c r="AN386" s="35" t="s">
        <v>2132</v>
      </c>
      <c r="AO386" s="24">
        <v>0.0011921296296296296</v>
      </c>
      <c r="AP386" s="7" t="s">
        <v>633</v>
      </c>
      <c r="AQ386" s="7" t="s">
        <v>633</v>
      </c>
      <c r="AR386" s="7" t="s">
        <v>633</v>
      </c>
      <c r="AS386" s="7" t="b">
        <f>NOT(ISERROR(MATCH(A386,'Villages according to موسوعة ال'!C:C,0)))</f>
        <v>1</v>
      </c>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row>
    <row r="387">
      <c r="A387" s="7" t="s">
        <v>162</v>
      </c>
      <c r="B387" s="26" t="s">
        <v>163</v>
      </c>
      <c r="E387" s="25"/>
      <c r="F387" s="25"/>
      <c r="G387" s="84"/>
      <c r="H387" s="3" t="s">
        <v>2133</v>
      </c>
      <c r="I387" s="7" t="s">
        <v>616</v>
      </c>
      <c r="J387" s="7" t="s">
        <v>2134</v>
      </c>
      <c r="K387" s="47"/>
      <c r="L387" s="47"/>
      <c r="M387" s="48" t="b">
        <v>0</v>
      </c>
      <c r="N387" s="48" t="b">
        <v>0</v>
      </c>
      <c r="O387" s="48"/>
      <c r="P387" s="48" t="b">
        <v>0</v>
      </c>
      <c r="Q387" s="48" t="b">
        <v>0</v>
      </c>
      <c r="R387" s="48" t="b">
        <v>0</v>
      </c>
      <c r="S387" s="48"/>
      <c r="T387" s="32"/>
      <c r="U387" s="48" t="b">
        <v>0</v>
      </c>
      <c r="V387" s="48"/>
      <c r="W387" s="48" t="b">
        <v>0</v>
      </c>
      <c r="X387" s="48" t="b">
        <v>0</v>
      </c>
      <c r="Y387" s="48"/>
      <c r="Z387" s="48"/>
      <c r="AA387" s="48"/>
      <c r="AB387" s="48"/>
      <c r="AC387" s="49"/>
      <c r="AD387" s="48"/>
      <c r="AE387" s="48"/>
      <c r="AF387" s="48"/>
      <c r="AG387" s="48"/>
      <c r="AH387" s="48"/>
      <c r="AI387" s="48"/>
      <c r="AJ387" s="25"/>
      <c r="AK387" s="34" t="s">
        <v>666</v>
      </c>
      <c r="AL387" s="3"/>
      <c r="AM387" s="25"/>
      <c r="AN387" s="35" t="s">
        <v>2135</v>
      </c>
      <c r="AO387" s="24">
        <v>0.0016898148148148148</v>
      </c>
      <c r="AP387" s="7" t="s">
        <v>633</v>
      </c>
      <c r="AQ387" s="7" t="s">
        <v>633</v>
      </c>
      <c r="AR387" s="7" t="s">
        <v>633</v>
      </c>
      <c r="AS387" s="7" t="b">
        <f>NOT(ISERROR(MATCH(A387,'Villages according to موسوعة ال'!C:C,0)))</f>
        <v>1</v>
      </c>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row>
    <row r="388">
      <c r="A388" s="7" t="s">
        <v>162</v>
      </c>
      <c r="B388" s="26" t="s">
        <v>163</v>
      </c>
      <c r="E388" s="25"/>
      <c r="F388" s="25"/>
      <c r="G388" s="84"/>
      <c r="H388" s="3" t="s">
        <v>2136</v>
      </c>
      <c r="I388" s="7" t="s">
        <v>638</v>
      </c>
      <c r="J388" s="7" t="s">
        <v>2137</v>
      </c>
      <c r="K388" s="54" t="s">
        <v>2138</v>
      </c>
      <c r="L388" s="54" t="s">
        <v>2139</v>
      </c>
      <c r="M388" s="31" t="b">
        <v>0</v>
      </c>
      <c r="N388" s="31" t="b">
        <v>0</v>
      </c>
      <c r="O388" s="31"/>
      <c r="P388" s="31" t="b">
        <v>0</v>
      </c>
      <c r="Q388" s="31" t="b">
        <v>0</v>
      </c>
      <c r="R388" s="31" t="b">
        <v>0</v>
      </c>
      <c r="S388" s="31"/>
      <c r="T388" s="32"/>
      <c r="U388" s="31" t="b">
        <v>0</v>
      </c>
      <c r="V388" s="31"/>
      <c r="W388" s="31" t="b">
        <v>0</v>
      </c>
      <c r="X388" s="31" t="b">
        <v>0</v>
      </c>
      <c r="Y388" s="31"/>
      <c r="Z388" s="31"/>
      <c r="AA388" s="31"/>
      <c r="AB388" s="31"/>
      <c r="AC388" s="45"/>
      <c r="AD388" s="31"/>
      <c r="AE388" s="31"/>
      <c r="AF388" s="31"/>
      <c r="AG388" s="31"/>
      <c r="AH388" s="31"/>
      <c r="AI388" s="31"/>
      <c r="AJ388" s="3"/>
      <c r="AK388" s="34" t="s">
        <v>636</v>
      </c>
      <c r="AL388" s="3"/>
      <c r="AM388" s="25"/>
      <c r="AN388" s="35" t="s">
        <v>2140</v>
      </c>
      <c r="AO388" s="24">
        <v>0.0013425925925925925</v>
      </c>
      <c r="AP388" s="7" t="s">
        <v>633</v>
      </c>
      <c r="AQ388" s="7" t="s">
        <v>633</v>
      </c>
      <c r="AR388" s="7" t="s">
        <v>633</v>
      </c>
      <c r="AS388" s="7" t="b">
        <f>NOT(ISERROR(MATCH(A388,'Villages according to موسوعة ال'!C:C,0)))</f>
        <v>1</v>
      </c>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row>
    <row r="389">
      <c r="A389" s="7" t="s">
        <v>162</v>
      </c>
      <c r="B389" s="26" t="s">
        <v>163</v>
      </c>
      <c r="E389" s="25"/>
      <c r="F389" s="25"/>
      <c r="G389" s="84"/>
      <c r="H389" s="3" t="s">
        <v>2141</v>
      </c>
      <c r="I389" s="7" t="s">
        <v>616</v>
      </c>
      <c r="J389" s="7" t="s">
        <v>2142</v>
      </c>
      <c r="K389" s="54" t="s">
        <v>2143</v>
      </c>
      <c r="L389" s="30" t="s">
        <v>2144</v>
      </c>
      <c r="M389" s="32" t="b">
        <v>0</v>
      </c>
      <c r="N389" s="32" t="b">
        <v>0</v>
      </c>
      <c r="O389" s="32"/>
      <c r="P389" s="32" t="b">
        <v>0</v>
      </c>
      <c r="Q389" s="32" t="b">
        <v>0</v>
      </c>
      <c r="R389" s="32" t="b">
        <v>0</v>
      </c>
      <c r="S389" s="32"/>
      <c r="T389" s="32"/>
      <c r="U389" s="32" t="b">
        <v>0</v>
      </c>
      <c r="V389" s="32"/>
      <c r="W389" s="32" t="b">
        <v>0</v>
      </c>
      <c r="X389" s="32" t="b">
        <v>0</v>
      </c>
      <c r="Y389" s="32"/>
      <c r="Z389" s="32"/>
      <c r="AA389" s="32"/>
      <c r="AB389" s="32"/>
      <c r="AC389" s="33"/>
      <c r="AD389" s="32"/>
      <c r="AE389" s="32"/>
      <c r="AF389" s="32"/>
      <c r="AG389" s="32"/>
      <c r="AH389" s="32"/>
      <c r="AI389" s="32"/>
      <c r="AJ389" s="7"/>
      <c r="AK389" s="34" t="s">
        <v>636</v>
      </c>
      <c r="AL389" s="3"/>
      <c r="AM389" s="25"/>
      <c r="AN389" s="35" t="s">
        <v>2145</v>
      </c>
      <c r="AO389" s="24">
        <v>0.0014699074074074074</v>
      </c>
      <c r="AP389" s="7" t="s">
        <v>633</v>
      </c>
      <c r="AQ389" s="7" t="s">
        <v>633</v>
      </c>
      <c r="AR389" s="7" t="s">
        <v>633</v>
      </c>
      <c r="AS389" s="7" t="b">
        <f>NOT(ISERROR(MATCH(A389,'Villages according to موسوعة ال'!C:C,0)))</f>
        <v>1</v>
      </c>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row>
    <row r="390">
      <c r="A390" s="7" t="s">
        <v>162</v>
      </c>
      <c r="B390" s="26" t="s">
        <v>163</v>
      </c>
      <c r="E390" s="25"/>
      <c r="F390" s="25"/>
      <c r="G390" s="84"/>
      <c r="H390" s="3" t="s">
        <v>2146</v>
      </c>
      <c r="I390" s="7" t="s">
        <v>638</v>
      </c>
      <c r="J390" s="7" t="s">
        <v>2147</v>
      </c>
      <c r="K390" s="54" t="s">
        <v>2148</v>
      </c>
      <c r="L390" s="54" t="s">
        <v>2149</v>
      </c>
      <c r="M390" s="31" t="b">
        <v>0</v>
      </c>
      <c r="N390" s="31" t="b">
        <v>0</v>
      </c>
      <c r="O390" s="31"/>
      <c r="P390" s="31" t="b">
        <v>0</v>
      </c>
      <c r="Q390" s="31" t="b">
        <v>0</v>
      </c>
      <c r="R390" s="31" t="b">
        <v>0</v>
      </c>
      <c r="S390" s="31"/>
      <c r="T390" s="32"/>
      <c r="U390" s="31" t="b">
        <v>0</v>
      </c>
      <c r="V390" s="31"/>
      <c r="W390" s="31" t="b">
        <v>0</v>
      </c>
      <c r="X390" s="31" t="b">
        <v>0</v>
      </c>
      <c r="Y390" s="31"/>
      <c r="Z390" s="31"/>
      <c r="AA390" s="31"/>
      <c r="AB390" s="31"/>
      <c r="AC390" s="45"/>
      <c r="AD390" s="31"/>
      <c r="AE390" s="31"/>
      <c r="AF390" s="31"/>
      <c r="AG390" s="31"/>
      <c r="AH390" s="31"/>
      <c r="AI390" s="31"/>
      <c r="AJ390" s="3"/>
      <c r="AK390" s="34" t="s">
        <v>666</v>
      </c>
      <c r="AL390" s="3"/>
      <c r="AM390" s="25"/>
      <c r="AN390" s="35" t="s">
        <v>2150</v>
      </c>
      <c r="AO390" s="24">
        <v>0.0013541666666666667</v>
      </c>
      <c r="AP390" s="7" t="s">
        <v>633</v>
      </c>
      <c r="AQ390" s="7" t="s">
        <v>633</v>
      </c>
      <c r="AR390" s="7" t="s">
        <v>633</v>
      </c>
      <c r="AS390" s="7" t="b">
        <f>NOT(ISERROR(MATCH(A390,'Villages according to موسوعة ال'!C:C,0)))</f>
        <v>1</v>
      </c>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row>
    <row r="391">
      <c r="A391" s="7" t="s">
        <v>162</v>
      </c>
      <c r="B391" s="26" t="s">
        <v>163</v>
      </c>
      <c r="E391" s="25"/>
      <c r="F391" s="25"/>
      <c r="G391" s="84"/>
      <c r="H391" s="3" t="s">
        <v>2151</v>
      </c>
      <c r="I391" s="7" t="s">
        <v>638</v>
      </c>
      <c r="J391" s="7" t="s">
        <v>2152</v>
      </c>
      <c r="K391" s="54" t="s">
        <v>2153</v>
      </c>
      <c r="L391" s="30" t="s">
        <v>2154</v>
      </c>
      <c r="M391" s="32" t="b">
        <v>0</v>
      </c>
      <c r="N391" s="32" t="b">
        <v>0</v>
      </c>
      <c r="O391" s="32"/>
      <c r="P391" s="32" t="b">
        <v>0</v>
      </c>
      <c r="Q391" s="32" t="b">
        <v>0</v>
      </c>
      <c r="R391" s="32" t="b">
        <v>0</v>
      </c>
      <c r="S391" s="32"/>
      <c r="T391" s="32"/>
      <c r="U391" s="32" t="b">
        <v>0</v>
      </c>
      <c r="V391" s="32"/>
      <c r="W391" s="32" t="b">
        <v>0</v>
      </c>
      <c r="X391" s="32" t="b">
        <v>0</v>
      </c>
      <c r="Y391" s="32"/>
      <c r="Z391" s="32"/>
      <c r="AA391" s="32"/>
      <c r="AB391" s="32"/>
      <c r="AC391" s="33"/>
      <c r="AD391" s="32"/>
      <c r="AE391" s="32"/>
      <c r="AF391" s="32"/>
      <c r="AG391" s="32"/>
      <c r="AH391" s="32"/>
      <c r="AI391" s="32"/>
      <c r="AJ391" s="7"/>
      <c r="AK391" s="34" t="s">
        <v>636</v>
      </c>
      <c r="AL391" s="3"/>
      <c r="AM391" s="25"/>
      <c r="AN391" s="35" t="s">
        <v>2155</v>
      </c>
      <c r="AO391" s="24">
        <v>0.0013541666666666667</v>
      </c>
      <c r="AP391" s="7" t="s">
        <v>633</v>
      </c>
      <c r="AQ391" s="7" t="s">
        <v>633</v>
      </c>
      <c r="AR391" s="7" t="s">
        <v>633</v>
      </c>
      <c r="AS391" s="7" t="b">
        <f>NOT(ISERROR(MATCH(A391,'Villages according to موسوعة ال'!C:C,0)))</f>
        <v>1</v>
      </c>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row>
    <row r="392">
      <c r="A392" s="7" t="s">
        <v>162</v>
      </c>
      <c r="B392" s="26" t="s">
        <v>163</v>
      </c>
      <c r="E392" s="25"/>
      <c r="F392" s="25"/>
      <c r="G392" s="84"/>
      <c r="H392" s="3" t="s">
        <v>2156</v>
      </c>
      <c r="I392" s="7" t="s">
        <v>616</v>
      </c>
      <c r="J392" s="7" t="s">
        <v>2157</v>
      </c>
      <c r="K392" s="54" t="s">
        <v>2158</v>
      </c>
      <c r="L392" s="30" t="s">
        <v>2159</v>
      </c>
      <c r="M392" s="32" t="b">
        <v>0</v>
      </c>
      <c r="N392" s="32" t="b">
        <v>0</v>
      </c>
      <c r="O392" s="32"/>
      <c r="P392" s="32" t="b">
        <v>0</v>
      </c>
      <c r="Q392" s="32" t="b">
        <v>0</v>
      </c>
      <c r="R392" s="32" t="b">
        <v>0</v>
      </c>
      <c r="S392" s="32"/>
      <c r="T392" s="32"/>
      <c r="U392" s="32" t="b">
        <v>0</v>
      </c>
      <c r="V392" s="32"/>
      <c r="W392" s="32" t="b">
        <v>0</v>
      </c>
      <c r="X392" s="32" t="b">
        <v>0</v>
      </c>
      <c r="Y392" s="32"/>
      <c r="Z392" s="32"/>
      <c r="AA392" s="32"/>
      <c r="AB392" s="32"/>
      <c r="AC392" s="33"/>
      <c r="AD392" s="32"/>
      <c r="AE392" s="32"/>
      <c r="AF392" s="32"/>
      <c r="AG392" s="32"/>
      <c r="AH392" s="32"/>
      <c r="AI392" s="32"/>
      <c r="AJ392" s="7"/>
      <c r="AK392" s="34" t="s">
        <v>636</v>
      </c>
      <c r="AL392" s="3"/>
      <c r="AM392" s="25"/>
      <c r="AN392" s="35" t="s">
        <v>2160</v>
      </c>
      <c r="AO392" s="24">
        <v>0.0010763888888888889</v>
      </c>
      <c r="AP392" s="7" t="s">
        <v>633</v>
      </c>
      <c r="AQ392" s="7" t="s">
        <v>633</v>
      </c>
      <c r="AR392" s="7" t="s">
        <v>633</v>
      </c>
      <c r="AS392" s="7" t="b">
        <f>NOT(ISERROR(MATCH(A392,'Villages according to موسوعة ال'!C:C,0)))</f>
        <v>1</v>
      </c>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row>
    <row r="393">
      <c r="A393" s="7" t="s">
        <v>162</v>
      </c>
      <c r="B393" s="26" t="s">
        <v>163</v>
      </c>
      <c r="E393" s="25"/>
      <c r="F393" s="25"/>
      <c r="G393" s="84"/>
      <c r="K393" s="54" t="s">
        <v>2161</v>
      </c>
      <c r="L393" s="30" t="s">
        <v>2162</v>
      </c>
      <c r="M393" s="32" t="b">
        <v>0</v>
      </c>
      <c r="N393" s="32" t="b">
        <v>0</v>
      </c>
      <c r="O393" s="32"/>
      <c r="P393" s="32" t="b">
        <v>0</v>
      </c>
      <c r="Q393" s="32" t="b">
        <v>0</v>
      </c>
      <c r="R393" s="32" t="b">
        <v>0</v>
      </c>
      <c r="S393" s="32"/>
      <c r="T393" s="32"/>
      <c r="U393" s="32" t="b">
        <v>0</v>
      </c>
      <c r="V393" s="32"/>
      <c r="W393" s="32" t="b">
        <v>0</v>
      </c>
      <c r="X393" s="32" t="b">
        <v>0</v>
      </c>
      <c r="Y393" s="32"/>
      <c r="Z393" s="32"/>
      <c r="AA393" s="32"/>
      <c r="AB393" s="32"/>
      <c r="AC393" s="33"/>
      <c r="AD393" s="32"/>
      <c r="AE393" s="32"/>
      <c r="AF393" s="32"/>
      <c r="AG393" s="32"/>
      <c r="AH393" s="32"/>
      <c r="AI393" s="32"/>
      <c r="AJ393" s="7"/>
      <c r="AK393" s="34" t="s">
        <v>636</v>
      </c>
      <c r="AL393" s="3"/>
      <c r="AM393" s="25"/>
      <c r="AN393" s="35" t="s">
        <v>2163</v>
      </c>
      <c r="AO393" s="24">
        <v>0.0024189814814814816</v>
      </c>
      <c r="AP393" s="7" t="s">
        <v>633</v>
      </c>
      <c r="AQ393" s="7" t="s">
        <v>633</v>
      </c>
      <c r="AR393" s="7" t="s">
        <v>633</v>
      </c>
      <c r="AS393" s="7" t="b">
        <f>NOT(ISERROR(MATCH(A393,'Villages according to موسوعة ال'!C:C,0)))</f>
        <v>1</v>
      </c>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row>
    <row r="394">
      <c r="A394" s="7" t="s">
        <v>162</v>
      </c>
      <c r="B394" s="26" t="s">
        <v>163</v>
      </c>
      <c r="E394" s="25"/>
      <c r="F394" s="25"/>
      <c r="G394" s="84"/>
      <c r="H394" s="3" t="s">
        <v>2164</v>
      </c>
      <c r="I394" s="7" t="s">
        <v>638</v>
      </c>
      <c r="J394" s="7" t="s">
        <v>2165</v>
      </c>
      <c r="K394" s="54" t="s">
        <v>2166</v>
      </c>
      <c r="L394" s="30" t="s">
        <v>2154</v>
      </c>
      <c r="M394" s="32" t="b">
        <v>0</v>
      </c>
      <c r="N394" s="32" t="b">
        <v>0</v>
      </c>
      <c r="O394" s="32"/>
      <c r="P394" s="32" t="b">
        <v>0</v>
      </c>
      <c r="Q394" s="32" t="b">
        <v>0</v>
      </c>
      <c r="R394" s="32" t="b">
        <v>0</v>
      </c>
      <c r="S394" s="32"/>
      <c r="T394" s="32"/>
      <c r="U394" s="32" t="b">
        <v>0</v>
      </c>
      <c r="V394" s="32"/>
      <c r="W394" s="32" t="b">
        <v>0</v>
      </c>
      <c r="X394" s="32" t="b">
        <v>0</v>
      </c>
      <c r="Y394" s="32"/>
      <c r="Z394" s="32"/>
      <c r="AA394" s="32"/>
      <c r="AB394" s="32"/>
      <c r="AC394" s="33"/>
      <c r="AD394" s="32"/>
      <c r="AE394" s="32"/>
      <c r="AF394" s="32"/>
      <c r="AG394" s="32"/>
      <c r="AH394" s="32"/>
      <c r="AI394" s="32"/>
      <c r="AJ394" s="7"/>
      <c r="AK394" s="34" t="s">
        <v>636</v>
      </c>
      <c r="AL394" s="3"/>
      <c r="AM394" s="25"/>
      <c r="AN394" s="35" t="s">
        <v>2167</v>
      </c>
      <c r="AO394" s="24">
        <v>7.87037037037037E-4</v>
      </c>
      <c r="AP394" s="7" t="s">
        <v>633</v>
      </c>
      <c r="AQ394" s="7" t="s">
        <v>633</v>
      </c>
      <c r="AR394" s="7" t="s">
        <v>633</v>
      </c>
      <c r="AS394" s="7" t="b">
        <f>NOT(ISERROR(MATCH(A394,'Villages according to موسوعة ال'!C:C,0)))</f>
        <v>1</v>
      </c>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row>
    <row r="395">
      <c r="A395" s="7" t="s">
        <v>162</v>
      </c>
      <c r="B395" s="26" t="s">
        <v>163</v>
      </c>
      <c r="E395" s="25"/>
      <c r="F395" s="25"/>
      <c r="G395" s="84"/>
      <c r="H395" s="3" t="s">
        <v>2168</v>
      </c>
      <c r="I395" s="7" t="s">
        <v>638</v>
      </c>
      <c r="J395" s="7" t="s">
        <v>2169</v>
      </c>
      <c r="K395" s="54" t="s">
        <v>2166</v>
      </c>
      <c r="L395" s="30" t="s">
        <v>2170</v>
      </c>
      <c r="M395" s="32" t="b">
        <v>0</v>
      </c>
      <c r="N395" s="32" t="b">
        <v>0</v>
      </c>
      <c r="O395" s="32"/>
      <c r="P395" s="32" t="b">
        <v>0</v>
      </c>
      <c r="Q395" s="32" t="b">
        <v>0</v>
      </c>
      <c r="R395" s="32" t="b">
        <v>0</v>
      </c>
      <c r="S395" s="32"/>
      <c r="T395" s="32"/>
      <c r="U395" s="32" t="b">
        <v>0</v>
      </c>
      <c r="V395" s="32"/>
      <c r="W395" s="32" t="b">
        <v>0</v>
      </c>
      <c r="X395" s="32" t="b">
        <v>0</v>
      </c>
      <c r="Y395" s="32"/>
      <c r="Z395" s="32"/>
      <c r="AA395" s="32"/>
      <c r="AB395" s="32"/>
      <c r="AC395" s="33"/>
      <c r="AD395" s="32"/>
      <c r="AE395" s="32"/>
      <c r="AF395" s="32"/>
      <c r="AG395" s="32"/>
      <c r="AH395" s="32"/>
      <c r="AI395" s="32"/>
      <c r="AJ395" s="7"/>
      <c r="AK395" s="34" t="s">
        <v>636</v>
      </c>
      <c r="AL395" s="3"/>
      <c r="AM395" s="25"/>
      <c r="AN395" s="35" t="s">
        <v>2171</v>
      </c>
      <c r="AO395" s="24">
        <v>0.0023263888888888887</v>
      </c>
      <c r="AP395" s="7" t="s">
        <v>633</v>
      </c>
      <c r="AQ395" s="7" t="s">
        <v>633</v>
      </c>
      <c r="AR395" s="7" t="s">
        <v>633</v>
      </c>
      <c r="AS395" s="7" t="b">
        <f>NOT(ISERROR(MATCH(A395,'Villages according to موسوعة ال'!C:C,0)))</f>
        <v>1</v>
      </c>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row>
    <row r="396">
      <c r="A396" s="7" t="s">
        <v>162</v>
      </c>
      <c r="B396" s="26" t="s">
        <v>163</v>
      </c>
      <c r="E396" s="25"/>
      <c r="F396" s="25"/>
      <c r="G396" s="84"/>
      <c r="H396" s="3" t="s">
        <v>2172</v>
      </c>
      <c r="I396" s="7" t="s">
        <v>638</v>
      </c>
      <c r="J396" s="7" t="s">
        <v>2173</v>
      </c>
      <c r="K396" s="54" t="s">
        <v>2174</v>
      </c>
      <c r="L396" s="54" t="s">
        <v>2175</v>
      </c>
      <c r="M396" s="31" t="b">
        <v>0</v>
      </c>
      <c r="N396" s="31" t="b">
        <v>0</v>
      </c>
      <c r="O396" s="31"/>
      <c r="P396" s="31" t="b">
        <v>0</v>
      </c>
      <c r="Q396" s="31" t="b">
        <v>0</v>
      </c>
      <c r="R396" s="31" t="b">
        <v>0</v>
      </c>
      <c r="S396" s="31"/>
      <c r="T396" s="32"/>
      <c r="U396" s="31" t="b">
        <v>0</v>
      </c>
      <c r="V396" s="31"/>
      <c r="W396" s="31" t="b">
        <v>0</v>
      </c>
      <c r="X396" s="31" t="b">
        <v>0</v>
      </c>
      <c r="Y396" s="31"/>
      <c r="Z396" s="31"/>
      <c r="AA396" s="31"/>
      <c r="AB396" s="31"/>
      <c r="AC396" s="45"/>
      <c r="AD396" s="31"/>
      <c r="AE396" s="31"/>
      <c r="AF396" s="31"/>
      <c r="AG396" s="31"/>
      <c r="AH396" s="31"/>
      <c r="AI396" s="31"/>
      <c r="AJ396" s="3"/>
      <c r="AK396" s="34" t="s">
        <v>636</v>
      </c>
      <c r="AL396" s="3"/>
      <c r="AM396" s="25"/>
      <c r="AN396" s="35" t="s">
        <v>2176</v>
      </c>
      <c r="AO396" s="24">
        <v>0.002638888888888889</v>
      </c>
      <c r="AP396" s="7" t="s">
        <v>633</v>
      </c>
      <c r="AQ396" s="7" t="s">
        <v>633</v>
      </c>
      <c r="AR396" s="7" t="s">
        <v>633</v>
      </c>
      <c r="AS396" s="7" t="b">
        <f>NOT(ISERROR(MATCH(A396,'Villages according to موسوعة ال'!C:C,0)))</f>
        <v>1</v>
      </c>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row>
    <row r="397">
      <c r="A397" s="7" t="s">
        <v>162</v>
      </c>
      <c r="B397" s="26" t="s">
        <v>163</v>
      </c>
      <c r="E397" s="25"/>
      <c r="F397" s="25"/>
      <c r="G397" s="84"/>
      <c r="H397" s="3" t="s">
        <v>2177</v>
      </c>
      <c r="I397" s="7" t="s">
        <v>616</v>
      </c>
      <c r="J397" s="7" t="s">
        <v>2178</v>
      </c>
      <c r="K397" s="54" t="s">
        <v>2179</v>
      </c>
      <c r="L397" s="54" t="s">
        <v>2180</v>
      </c>
      <c r="M397" s="31" t="b">
        <v>0</v>
      </c>
      <c r="N397" s="31" t="b">
        <v>0</v>
      </c>
      <c r="O397" s="31"/>
      <c r="P397" s="31" t="b">
        <v>0</v>
      </c>
      <c r="Q397" s="31" t="b">
        <v>0</v>
      </c>
      <c r="R397" s="31" t="b">
        <v>0</v>
      </c>
      <c r="S397" s="31"/>
      <c r="T397" s="32"/>
      <c r="U397" s="31" t="b">
        <v>0</v>
      </c>
      <c r="V397" s="31"/>
      <c r="W397" s="31" t="b">
        <v>0</v>
      </c>
      <c r="X397" s="31" t="b">
        <v>0</v>
      </c>
      <c r="Y397" s="31"/>
      <c r="Z397" s="31"/>
      <c r="AA397" s="31"/>
      <c r="AB397" s="31"/>
      <c r="AC397" s="45"/>
      <c r="AD397" s="31"/>
      <c r="AE397" s="31"/>
      <c r="AF397" s="31"/>
      <c r="AG397" s="31"/>
      <c r="AH397" s="31"/>
      <c r="AI397" s="31"/>
      <c r="AJ397" s="3"/>
      <c r="AK397" s="34" t="s">
        <v>666</v>
      </c>
      <c r="AL397" s="3"/>
      <c r="AM397" s="25"/>
      <c r="AN397" s="7" t="s">
        <v>2181</v>
      </c>
      <c r="AO397" s="24">
        <v>0.004050925925925926</v>
      </c>
      <c r="AP397" s="7" t="s">
        <v>633</v>
      </c>
      <c r="AQ397" s="7" t="s">
        <v>633</v>
      </c>
      <c r="AR397" s="7" t="s">
        <v>633</v>
      </c>
      <c r="AS397" s="7" t="b">
        <f>NOT(ISERROR(MATCH(A397,'Villages according to موسوعة ال'!C:C,0)))</f>
        <v>1</v>
      </c>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row>
    <row r="398">
      <c r="A398" s="7" t="s">
        <v>297</v>
      </c>
      <c r="B398" s="43" t="s">
        <v>2182</v>
      </c>
      <c r="C398" s="7" t="s">
        <v>2182</v>
      </c>
      <c r="D398" s="7" t="s">
        <v>299</v>
      </c>
      <c r="E398" s="7"/>
      <c r="F398" s="7"/>
      <c r="G398" s="28"/>
      <c r="H398" s="7" t="s">
        <v>2183</v>
      </c>
      <c r="I398" s="7" t="s">
        <v>616</v>
      </c>
      <c r="J398" s="7" t="s">
        <v>2184</v>
      </c>
      <c r="K398" s="54" t="s">
        <v>2185</v>
      </c>
      <c r="L398" s="47"/>
      <c r="M398" s="48" t="b">
        <v>0</v>
      </c>
      <c r="N398" s="48" t="b">
        <v>0</v>
      </c>
      <c r="O398" s="48"/>
      <c r="P398" s="48" t="b">
        <v>0</v>
      </c>
      <c r="Q398" s="48" t="b">
        <v>0</v>
      </c>
      <c r="R398" s="48" t="b">
        <v>0</v>
      </c>
      <c r="S398" s="48"/>
      <c r="T398" s="60"/>
      <c r="U398" s="48" t="b">
        <v>0</v>
      </c>
      <c r="V398" s="48"/>
      <c r="W398" s="48" t="b">
        <v>0</v>
      </c>
      <c r="X398" s="48" t="b">
        <v>0</v>
      </c>
      <c r="Y398" s="48"/>
      <c r="Z398" s="48"/>
      <c r="AA398" s="48"/>
      <c r="AB398" s="48"/>
      <c r="AC398" s="49"/>
      <c r="AD398" s="48"/>
      <c r="AE398" s="48"/>
      <c r="AF398" s="48"/>
      <c r="AG398" s="48"/>
      <c r="AH398" s="48"/>
      <c r="AI398" s="48"/>
      <c r="AJ398" s="25"/>
      <c r="AK398" s="34" t="s">
        <v>698</v>
      </c>
      <c r="AL398" s="3"/>
      <c r="AM398" s="25"/>
      <c r="AN398" s="35" t="s">
        <v>2186</v>
      </c>
      <c r="AO398" s="24">
        <v>0.0021527777777777778</v>
      </c>
      <c r="AP398" s="7" t="s">
        <v>633</v>
      </c>
      <c r="AQ398" s="7" t="s">
        <v>633</v>
      </c>
      <c r="AR398" s="35" t="s">
        <v>2187</v>
      </c>
      <c r="AS398" s="7" t="b">
        <f>NOT(ISERROR(MATCH(A398,'Villages according to موسوعة ال'!C:C,0)))</f>
        <v>1</v>
      </c>
      <c r="AT398" s="109"/>
      <c r="AU398" s="109"/>
      <c r="AV398" s="109"/>
      <c r="AW398" s="109"/>
      <c r="AX398" s="109"/>
      <c r="AY398" s="109"/>
      <c r="AZ398" s="109"/>
      <c r="BA398" s="109"/>
      <c r="BB398" s="109"/>
      <c r="BC398" s="109"/>
      <c r="BD398" s="109"/>
      <c r="BE398" s="109"/>
      <c r="BF398" s="109"/>
      <c r="BG398" s="109"/>
      <c r="BH398" s="109"/>
      <c r="BI398" s="109"/>
      <c r="BJ398" s="109"/>
      <c r="BK398" s="109"/>
      <c r="BL398" s="109"/>
      <c r="BM398" s="109"/>
      <c r="BN398" s="109"/>
      <c r="BO398" s="109"/>
      <c r="BP398" s="109"/>
    </row>
    <row r="399">
      <c r="A399" s="7" t="s">
        <v>297</v>
      </c>
      <c r="B399" s="43" t="s">
        <v>2182</v>
      </c>
      <c r="E399" s="25"/>
      <c r="F399" s="25"/>
      <c r="G399" s="84"/>
      <c r="K399" s="54" t="s">
        <v>2188</v>
      </c>
      <c r="L399" s="47"/>
      <c r="M399" s="48" t="b">
        <v>0</v>
      </c>
      <c r="N399" s="48" t="b">
        <v>0</v>
      </c>
      <c r="O399" s="48"/>
      <c r="P399" s="48" t="b">
        <v>0</v>
      </c>
      <c r="Q399" s="48" t="b">
        <v>0</v>
      </c>
      <c r="R399" s="48" t="b">
        <v>0</v>
      </c>
      <c r="S399" s="48"/>
      <c r="T399" s="60"/>
      <c r="U399" s="48" t="b">
        <v>0</v>
      </c>
      <c r="V399" s="48"/>
      <c r="W399" s="48" t="b">
        <v>0</v>
      </c>
      <c r="X399" s="48" t="b">
        <v>0</v>
      </c>
      <c r="Y399" s="48"/>
      <c r="Z399" s="48"/>
      <c r="AA399" s="48"/>
      <c r="AB399" s="48"/>
      <c r="AC399" s="49"/>
      <c r="AD399" s="48"/>
      <c r="AE399" s="48"/>
      <c r="AF399" s="48"/>
      <c r="AG399" s="48"/>
      <c r="AH399" s="48"/>
      <c r="AI399" s="48"/>
      <c r="AJ399" s="25"/>
      <c r="AK399" s="34" t="s">
        <v>698</v>
      </c>
      <c r="AL399" s="25"/>
      <c r="AM399" s="25"/>
      <c r="AN399" s="35" t="s">
        <v>2189</v>
      </c>
      <c r="AO399" s="24">
        <v>0.0034027777777777776</v>
      </c>
      <c r="AP399" s="7" t="s">
        <v>2190</v>
      </c>
      <c r="AQ399" s="73">
        <v>37377.0</v>
      </c>
      <c r="AR399" s="35" t="s">
        <v>2191</v>
      </c>
      <c r="AS399" s="7" t="b">
        <f>NOT(ISERROR(MATCH(A399,'Villages according to موسوعة ال'!C:C,0)))</f>
        <v>1</v>
      </c>
      <c r="AT399" s="110"/>
      <c r="AU399" s="110"/>
      <c r="AV399" s="110"/>
      <c r="AW399" s="110"/>
      <c r="AX399" s="110"/>
      <c r="AY399" s="110"/>
      <c r="AZ399" s="110"/>
      <c r="BA399" s="110"/>
      <c r="BB399" s="110"/>
      <c r="BC399" s="110"/>
      <c r="BD399" s="110"/>
      <c r="BE399" s="110"/>
      <c r="BF399" s="110"/>
      <c r="BG399" s="110"/>
      <c r="BH399" s="110"/>
      <c r="BI399" s="110"/>
      <c r="BJ399" s="110"/>
      <c r="BK399" s="110"/>
      <c r="BL399" s="110"/>
      <c r="BM399" s="110"/>
      <c r="BN399" s="110"/>
      <c r="BO399" s="110"/>
      <c r="BP399" s="110"/>
    </row>
    <row r="400">
      <c r="A400" s="7" t="s">
        <v>297</v>
      </c>
      <c r="B400" s="43" t="s">
        <v>2182</v>
      </c>
      <c r="E400" s="25"/>
      <c r="F400" s="25"/>
      <c r="G400" s="84"/>
      <c r="K400" s="54" t="s">
        <v>2192</v>
      </c>
      <c r="L400" s="47"/>
      <c r="M400" s="48" t="b">
        <v>0</v>
      </c>
      <c r="N400" s="48" t="b">
        <v>0</v>
      </c>
      <c r="O400" s="48"/>
      <c r="P400" s="48" t="b">
        <v>0</v>
      </c>
      <c r="Q400" s="48" t="b">
        <v>0</v>
      </c>
      <c r="R400" s="48" t="b">
        <v>0</v>
      </c>
      <c r="S400" s="48"/>
      <c r="T400" s="60"/>
      <c r="U400" s="48" t="b">
        <v>0</v>
      </c>
      <c r="V400" s="48"/>
      <c r="W400" s="48" t="b">
        <v>0</v>
      </c>
      <c r="X400" s="48" t="b">
        <v>0</v>
      </c>
      <c r="Y400" s="48"/>
      <c r="Z400" s="48"/>
      <c r="AA400" s="48"/>
      <c r="AB400" s="48"/>
      <c r="AC400" s="49"/>
      <c r="AD400" s="48"/>
      <c r="AE400" s="48"/>
      <c r="AF400" s="48"/>
      <c r="AG400" s="48"/>
      <c r="AH400" s="48"/>
      <c r="AI400" s="48"/>
      <c r="AJ400" s="25"/>
      <c r="AK400" s="34" t="s">
        <v>698</v>
      </c>
      <c r="AL400" s="25"/>
      <c r="AM400" s="25"/>
      <c r="AN400" s="35" t="s">
        <v>2193</v>
      </c>
      <c r="AO400" s="24">
        <v>0.004155092592592592</v>
      </c>
      <c r="AP400" s="7" t="s">
        <v>2190</v>
      </c>
      <c r="AQ400" s="73">
        <v>37377.0</v>
      </c>
      <c r="AR400" s="35" t="s">
        <v>2194</v>
      </c>
      <c r="AS400" s="7" t="b">
        <f>NOT(ISERROR(MATCH(A400,'Villages according to موسوعة ال'!C:C,0)))</f>
        <v>1</v>
      </c>
      <c r="AT400" s="110"/>
      <c r="AU400" s="110"/>
      <c r="AV400" s="110"/>
      <c r="AW400" s="110"/>
      <c r="AX400" s="110"/>
      <c r="AY400" s="110"/>
      <c r="AZ400" s="110"/>
      <c r="BA400" s="110"/>
      <c r="BB400" s="110"/>
      <c r="BC400" s="110"/>
      <c r="BD400" s="110"/>
      <c r="BE400" s="110"/>
      <c r="BF400" s="110"/>
      <c r="BG400" s="110"/>
      <c r="BH400" s="110"/>
      <c r="BI400" s="110"/>
      <c r="BJ400" s="110"/>
      <c r="BK400" s="110"/>
      <c r="BL400" s="110"/>
      <c r="BM400" s="110"/>
      <c r="BN400" s="110"/>
      <c r="BO400" s="110"/>
      <c r="BP400" s="110"/>
    </row>
    <row r="401">
      <c r="A401" s="7" t="s">
        <v>297</v>
      </c>
      <c r="B401" s="26" t="s">
        <v>2182</v>
      </c>
      <c r="E401" s="25"/>
      <c r="F401" s="25"/>
      <c r="G401" s="84"/>
      <c r="K401" s="54"/>
      <c r="L401" s="47"/>
      <c r="M401" s="48" t="b">
        <v>0</v>
      </c>
      <c r="N401" s="48" t="b">
        <v>0</v>
      </c>
      <c r="O401" s="48"/>
      <c r="P401" s="48" t="b">
        <v>0</v>
      </c>
      <c r="Q401" s="48" t="b">
        <v>0</v>
      </c>
      <c r="R401" s="48" t="b">
        <v>0</v>
      </c>
      <c r="S401" s="48"/>
      <c r="T401" s="32"/>
      <c r="U401" s="48" t="b">
        <v>0</v>
      </c>
      <c r="V401" s="48"/>
      <c r="W401" s="48" t="b">
        <v>0</v>
      </c>
      <c r="X401" s="48" t="b">
        <v>0</v>
      </c>
      <c r="Y401" s="48"/>
      <c r="Z401" s="48"/>
      <c r="AA401" s="48"/>
      <c r="AB401" s="48"/>
      <c r="AC401" s="49"/>
      <c r="AD401" s="48"/>
      <c r="AE401" s="48"/>
      <c r="AF401" s="48"/>
      <c r="AG401" s="48"/>
      <c r="AH401" s="48"/>
      <c r="AI401" s="48"/>
      <c r="AJ401" s="25"/>
      <c r="AK401" s="34"/>
      <c r="AL401" s="25"/>
      <c r="AM401" s="25"/>
      <c r="AN401" s="35" t="s">
        <v>2195</v>
      </c>
      <c r="AO401" s="24">
        <v>0.010138888888888888</v>
      </c>
      <c r="AP401" s="7"/>
      <c r="AQ401" s="73"/>
      <c r="AR401" s="7" t="s">
        <v>633</v>
      </c>
      <c r="AS401" s="7" t="b">
        <f>NOT(ISERROR(MATCH(A401,'Villages according to موسوعة ال'!C:C,0)))</f>
        <v>1</v>
      </c>
      <c r="AT401" s="111"/>
      <c r="AU401" s="111"/>
      <c r="AV401" s="111"/>
      <c r="AW401" s="111"/>
      <c r="AX401" s="111"/>
      <c r="AY401" s="111"/>
      <c r="AZ401" s="111"/>
      <c r="BA401" s="111"/>
      <c r="BB401" s="111"/>
      <c r="BC401" s="111"/>
      <c r="BD401" s="111"/>
      <c r="BE401" s="111"/>
      <c r="BF401" s="111"/>
      <c r="BG401" s="111"/>
      <c r="BH401" s="111"/>
      <c r="BI401" s="111"/>
      <c r="BJ401" s="111"/>
      <c r="BK401" s="111"/>
      <c r="BL401" s="111"/>
      <c r="BM401" s="111"/>
      <c r="BN401" s="111"/>
      <c r="BO401" s="111"/>
      <c r="BP401" s="111"/>
    </row>
    <row r="402">
      <c r="A402" s="7" t="s">
        <v>297</v>
      </c>
      <c r="B402" s="43" t="s">
        <v>2182</v>
      </c>
      <c r="E402" s="25"/>
      <c r="F402" s="25"/>
      <c r="G402" s="84"/>
      <c r="H402" s="7" t="s">
        <v>2196</v>
      </c>
      <c r="I402" s="7" t="s">
        <v>638</v>
      </c>
      <c r="J402" s="7" t="s">
        <v>2197</v>
      </c>
      <c r="K402" s="54"/>
      <c r="L402" s="47"/>
      <c r="M402" s="48" t="b">
        <v>0</v>
      </c>
      <c r="N402" s="48" t="b">
        <v>0</v>
      </c>
      <c r="O402" s="48"/>
      <c r="P402" s="48" t="b">
        <v>0</v>
      </c>
      <c r="Q402" s="48" t="b">
        <v>0</v>
      </c>
      <c r="R402" s="48" t="b">
        <v>0</v>
      </c>
      <c r="S402" s="48"/>
      <c r="T402" s="60"/>
      <c r="U402" s="48" t="b">
        <v>0</v>
      </c>
      <c r="V402" s="48"/>
      <c r="W402" s="48" t="b">
        <v>0</v>
      </c>
      <c r="X402" s="48" t="b">
        <v>0</v>
      </c>
      <c r="Y402" s="48"/>
      <c r="Z402" s="48"/>
      <c r="AA402" s="48"/>
      <c r="AB402" s="48"/>
      <c r="AC402" s="49"/>
      <c r="AD402" s="48"/>
      <c r="AE402" s="48"/>
      <c r="AF402" s="48"/>
      <c r="AG402" s="48"/>
      <c r="AH402" s="48"/>
      <c r="AI402" s="48"/>
      <c r="AJ402" s="25"/>
      <c r="AK402" s="34" t="s">
        <v>698</v>
      </c>
      <c r="AL402" s="25"/>
      <c r="AM402" s="25"/>
      <c r="AN402" s="35" t="s">
        <v>2198</v>
      </c>
      <c r="AO402" s="24">
        <v>0.0025462962962962965</v>
      </c>
      <c r="AP402" s="7"/>
      <c r="AQ402" s="73"/>
      <c r="AR402" s="35" t="s">
        <v>2199</v>
      </c>
      <c r="AS402" s="7" t="b">
        <f>NOT(ISERROR(MATCH(A402,'Villages according to موسوعة ال'!C:C,0)))</f>
        <v>1</v>
      </c>
      <c r="AT402" s="110"/>
      <c r="AU402" s="110"/>
      <c r="AV402" s="110"/>
      <c r="AW402" s="110"/>
      <c r="AX402" s="110"/>
      <c r="AY402" s="110"/>
      <c r="AZ402" s="110"/>
      <c r="BA402" s="110"/>
      <c r="BB402" s="110"/>
      <c r="BC402" s="110"/>
      <c r="BD402" s="110"/>
      <c r="BE402" s="110"/>
      <c r="BF402" s="110"/>
      <c r="BG402" s="110"/>
      <c r="BH402" s="110"/>
      <c r="BI402" s="110"/>
      <c r="BJ402" s="110"/>
      <c r="BK402" s="110"/>
      <c r="BL402" s="110"/>
      <c r="BM402" s="110"/>
      <c r="BN402" s="110"/>
      <c r="BO402" s="110"/>
      <c r="BP402" s="110"/>
    </row>
    <row r="403">
      <c r="A403" s="7" t="s">
        <v>297</v>
      </c>
      <c r="B403" s="26" t="s">
        <v>2182</v>
      </c>
      <c r="E403" s="25"/>
      <c r="F403" s="25"/>
      <c r="G403" s="84"/>
      <c r="H403" s="7" t="s">
        <v>2200</v>
      </c>
      <c r="I403" s="7" t="s">
        <v>638</v>
      </c>
      <c r="J403" s="7" t="s">
        <v>2201</v>
      </c>
      <c r="K403" s="54"/>
      <c r="L403" s="47"/>
      <c r="M403" s="48" t="b">
        <v>0</v>
      </c>
      <c r="N403" s="48" t="b">
        <v>0</v>
      </c>
      <c r="O403" s="48"/>
      <c r="P403" s="48" t="b">
        <v>0</v>
      </c>
      <c r="Q403" s="48" t="b">
        <v>0</v>
      </c>
      <c r="R403" s="48" t="b">
        <v>0</v>
      </c>
      <c r="S403" s="48"/>
      <c r="T403" s="32"/>
      <c r="U403" s="48" t="b">
        <v>0</v>
      </c>
      <c r="V403" s="48"/>
      <c r="W403" s="48" t="b">
        <v>0</v>
      </c>
      <c r="X403" s="48" t="b">
        <v>0</v>
      </c>
      <c r="Y403" s="48"/>
      <c r="Z403" s="48"/>
      <c r="AA403" s="48"/>
      <c r="AB403" s="48"/>
      <c r="AC403" s="49"/>
      <c r="AD403" s="48"/>
      <c r="AE403" s="48"/>
      <c r="AF403" s="48"/>
      <c r="AG403" s="48"/>
      <c r="AH403" s="48"/>
      <c r="AI403" s="48"/>
      <c r="AJ403" s="25"/>
      <c r="AK403" s="34"/>
      <c r="AL403" s="25"/>
      <c r="AM403" s="25"/>
      <c r="AN403" s="35" t="s">
        <v>2202</v>
      </c>
      <c r="AO403" s="24">
        <v>0.001585648148148148</v>
      </c>
      <c r="AP403" s="7"/>
      <c r="AQ403" s="73"/>
      <c r="AR403" s="7" t="s">
        <v>633</v>
      </c>
      <c r="AS403" s="7" t="b">
        <f>NOT(ISERROR(MATCH(A403,'Villages according to موسوعة ال'!C:C,0)))</f>
        <v>1</v>
      </c>
      <c r="AT403" s="111"/>
      <c r="AU403" s="111"/>
      <c r="AV403" s="111"/>
      <c r="AW403" s="111"/>
      <c r="AX403" s="111"/>
      <c r="AY403" s="111"/>
      <c r="AZ403" s="111"/>
      <c r="BA403" s="111"/>
      <c r="BB403" s="111"/>
      <c r="BC403" s="111"/>
      <c r="BD403" s="111"/>
      <c r="BE403" s="111"/>
      <c r="BF403" s="111"/>
      <c r="BG403" s="111"/>
      <c r="BH403" s="111"/>
      <c r="BI403" s="111"/>
      <c r="BJ403" s="111"/>
      <c r="BK403" s="111"/>
      <c r="BL403" s="111"/>
      <c r="BM403" s="111"/>
      <c r="BN403" s="111"/>
      <c r="BO403" s="111"/>
      <c r="BP403" s="111"/>
    </row>
    <row r="404">
      <c r="A404" s="7" t="s">
        <v>297</v>
      </c>
      <c r="B404" s="26" t="s">
        <v>2182</v>
      </c>
      <c r="E404" s="25"/>
      <c r="F404" s="25"/>
      <c r="G404" s="84"/>
      <c r="H404" s="7" t="s">
        <v>2203</v>
      </c>
      <c r="I404" s="7" t="s">
        <v>638</v>
      </c>
      <c r="J404" s="7" t="s">
        <v>2204</v>
      </c>
      <c r="K404" s="54"/>
      <c r="L404" s="47"/>
      <c r="M404" s="48" t="b">
        <v>0</v>
      </c>
      <c r="N404" s="48" t="b">
        <v>0</v>
      </c>
      <c r="O404" s="48"/>
      <c r="P404" s="48" t="b">
        <v>0</v>
      </c>
      <c r="Q404" s="48" t="b">
        <v>0</v>
      </c>
      <c r="R404" s="48" t="b">
        <v>0</v>
      </c>
      <c r="S404" s="48"/>
      <c r="T404" s="32"/>
      <c r="U404" s="48" t="b">
        <v>0</v>
      </c>
      <c r="V404" s="48"/>
      <c r="W404" s="48" t="b">
        <v>0</v>
      </c>
      <c r="X404" s="48" t="b">
        <v>0</v>
      </c>
      <c r="Y404" s="48"/>
      <c r="Z404" s="48"/>
      <c r="AA404" s="48"/>
      <c r="AB404" s="48"/>
      <c r="AC404" s="49"/>
      <c r="AD404" s="48"/>
      <c r="AE404" s="48"/>
      <c r="AF404" s="48"/>
      <c r="AG404" s="48"/>
      <c r="AH404" s="48"/>
      <c r="AI404" s="48"/>
      <c r="AJ404" s="25"/>
      <c r="AK404" s="34"/>
      <c r="AL404" s="25"/>
      <c r="AM404" s="25"/>
      <c r="AN404" s="35" t="s">
        <v>2205</v>
      </c>
      <c r="AO404" s="24">
        <v>0.003287037037037037</v>
      </c>
      <c r="AP404" s="7"/>
      <c r="AQ404" s="73"/>
      <c r="AR404" s="7" t="s">
        <v>633</v>
      </c>
      <c r="AS404" s="7" t="b">
        <f>NOT(ISERROR(MATCH(A404,'Villages according to موسوعة ال'!C:C,0)))</f>
        <v>1</v>
      </c>
      <c r="AT404" s="111"/>
      <c r="AU404" s="111"/>
      <c r="AV404" s="111"/>
      <c r="AW404" s="111"/>
      <c r="AX404" s="111"/>
      <c r="AY404" s="111"/>
      <c r="AZ404" s="111"/>
      <c r="BA404" s="111"/>
      <c r="BB404" s="111"/>
      <c r="BC404" s="111"/>
      <c r="BD404" s="111"/>
      <c r="BE404" s="111"/>
      <c r="BF404" s="111"/>
      <c r="BG404" s="111"/>
      <c r="BH404" s="111"/>
      <c r="BI404" s="111"/>
      <c r="BJ404" s="111"/>
      <c r="BK404" s="111"/>
      <c r="BL404" s="111"/>
      <c r="BM404" s="111"/>
      <c r="BN404" s="111"/>
      <c r="BO404" s="111"/>
      <c r="BP404" s="111"/>
    </row>
    <row r="405">
      <c r="A405" s="3" t="s">
        <v>2206</v>
      </c>
      <c r="B405" s="43" t="s">
        <v>2207</v>
      </c>
      <c r="C405" s="25" t="s">
        <v>2207</v>
      </c>
      <c r="D405" s="25" t="s">
        <v>279</v>
      </c>
      <c r="E405" s="25"/>
      <c r="F405" s="25"/>
      <c r="G405" s="84"/>
      <c r="H405" s="7" t="s">
        <v>2208</v>
      </c>
      <c r="I405" s="7" t="s">
        <v>638</v>
      </c>
      <c r="J405" s="25" t="s">
        <v>2209</v>
      </c>
      <c r="K405" s="47"/>
      <c r="L405" s="47"/>
      <c r="M405" s="48" t="b">
        <v>0</v>
      </c>
      <c r="N405" s="48" t="b">
        <v>0</v>
      </c>
      <c r="O405" s="48"/>
      <c r="P405" s="48" t="b">
        <v>0</v>
      </c>
      <c r="Q405" s="48" t="b">
        <v>0</v>
      </c>
      <c r="R405" s="48" t="b">
        <v>0</v>
      </c>
      <c r="S405" s="48"/>
      <c r="T405" s="60"/>
      <c r="U405" s="48" t="b">
        <v>0</v>
      </c>
      <c r="V405" s="48"/>
      <c r="W405" s="48" t="b">
        <v>0</v>
      </c>
      <c r="X405" s="48" t="b">
        <v>0</v>
      </c>
      <c r="Y405" s="48"/>
      <c r="Z405" s="48"/>
      <c r="AA405" s="48"/>
      <c r="AB405" s="48"/>
      <c r="AC405" s="49"/>
      <c r="AD405" s="48"/>
      <c r="AE405" s="48"/>
      <c r="AF405" s="48"/>
      <c r="AG405" s="48"/>
      <c r="AH405" s="48"/>
      <c r="AI405" s="48"/>
      <c r="AJ405" s="25"/>
      <c r="AK405" s="34" t="s">
        <v>698</v>
      </c>
      <c r="AL405" s="25"/>
      <c r="AM405" s="25"/>
      <c r="AN405" s="35" t="s">
        <v>2210</v>
      </c>
      <c r="AO405" s="24">
        <v>0.002210648148148148</v>
      </c>
      <c r="AP405" s="7" t="s">
        <v>2211</v>
      </c>
      <c r="AQ405" s="73">
        <v>37622.0</v>
      </c>
      <c r="AR405" s="35" t="s">
        <v>2212</v>
      </c>
      <c r="AS405" s="7" t="b">
        <f>NOT(ISERROR(MATCH(A405,'Villages according to موسوعة ال'!C:C,0)))</f>
        <v>1</v>
      </c>
      <c r="AT405" s="110"/>
      <c r="AU405" s="110"/>
      <c r="AV405" s="110"/>
      <c r="AW405" s="110"/>
      <c r="AX405" s="110"/>
      <c r="AY405" s="110"/>
      <c r="AZ405" s="110"/>
      <c r="BA405" s="110"/>
      <c r="BB405" s="110"/>
      <c r="BC405" s="110"/>
      <c r="BD405" s="110"/>
      <c r="BE405" s="110"/>
      <c r="BF405" s="110"/>
      <c r="BG405" s="110"/>
      <c r="BH405" s="110"/>
      <c r="BI405" s="110"/>
      <c r="BJ405" s="110"/>
      <c r="BK405" s="110"/>
      <c r="BL405" s="110"/>
      <c r="BM405" s="110"/>
      <c r="BN405" s="110"/>
      <c r="BO405" s="110"/>
      <c r="BP405" s="110"/>
    </row>
    <row r="406">
      <c r="A406" s="3" t="s">
        <v>2206</v>
      </c>
      <c r="B406" s="43" t="s">
        <v>2207</v>
      </c>
      <c r="E406" s="25"/>
      <c r="F406" s="25"/>
      <c r="G406" s="84"/>
      <c r="K406" s="47"/>
      <c r="L406" s="47"/>
      <c r="M406" s="48" t="b">
        <v>0</v>
      </c>
      <c r="N406" s="48" t="b">
        <v>0</v>
      </c>
      <c r="O406" s="48"/>
      <c r="P406" s="48" t="b">
        <v>0</v>
      </c>
      <c r="Q406" s="48" t="b">
        <v>0</v>
      </c>
      <c r="R406" s="48" t="b">
        <v>0</v>
      </c>
      <c r="S406" s="48"/>
      <c r="T406" s="60"/>
      <c r="U406" s="48" t="b">
        <v>0</v>
      </c>
      <c r="V406" s="48"/>
      <c r="W406" s="48" t="b">
        <v>0</v>
      </c>
      <c r="X406" s="48" t="b">
        <v>0</v>
      </c>
      <c r="Y406" s="48"/>
      <c r="Z406" s="48"/>
      <c r="AA406" s="48"/>
      <c r="AB406" s="48"/>
      <c r="AC406" s="49"/>
      <c r="AD406" s="48"/>
      <c r="AE406" s="48"/>
      <c r="AF406" s="48"/>
      <c r="AG406" s="48"/>
      <c r="AH406" s="48"/>
      <c r="AI406" s="48"/>
      <c r="AJ406" s="25"/>
      <c r="AK406" s="34" t="s">
        <v>698</v>
      </c>
      <c r="AL406" s="25"/>
      <c r="AM406" s="25"/>
      <c r="AN406" s="35" t="s">
        <v>2213</v>
      </c>
      <c r="AO406" s="24">
        <v>0.001585648148148148</v>
      </c>
      <c r="AP406" s="7" t="s">
        <v>2211</v>
      </c>
      <c r="AQ406" s="7" t="s">
        <v>633</v>
      </c>
      <c r="AR406" s="35" t="s">
        <v>2214</v>
      </c>
      <c r="AS406" s="7" t="b">
        <f>NOT(ISERROR(MATCH(A406,'Villages according to موسوعة ال'!C:C,0)))</f>
        <v>1</v>
      </c>
      <c r="AT406" s="110"/>
      <c r="AU406" s="110"/>
      <c r="AV406" s="110"/>
      <c r="AW406" s="110"/>
      <c r="AX406" s="110"/>
      <c r="AY406" s="110"/>
      <c r="AZ406" s="110"/>
      <c r="BA406" s="110"/>
      <c r="BB406" s="110"/>
      <c r="BC406" s="110"/>
      <c r="BD406" s="110"/>
      <c r="BE406" s="110"/>
      <c r="BF406" s="110"/>
      <c r="BG406" s="110"/>
      <c r="BH406" s="110"/>
      <c r="BI406" s="110"/>
      <c r="BJ406" s="110"/>
      <c r="BK406" s="110"/>
      <c r="BL406" s="110"/>
      <c r="BM406" s="110"/>
      <c r="BN406" s="110"/>
      <c r="BO406" s="110"/>
      <c r="BP406" s="110"/>
    </row>
    <row r="407">
      <c r="A407" s="3" t="s">
        <v>2206</v>
      </c>
      <c r="B407" s="43" t="s">
        <v>2207</v>
      </c>
      <c r="E407" s="25"/>
      <c r="F407" s="25"/>
      <c r="G407" s="84"/>
      <c r="H407" s="7" t="s">
        <v>2215</v>
      </c>
      <c r="I407" s="7" t="s">
        <v>616</v>
      </c>
      <c r="J407" s="7" t="s">
        <v>2216</v>
      </c>
      <c r="K407" s="47"/>
      <c r="L407" s="47"/>
      <c r="M407" s="48" t="b">
        <v>0</v>
      </c>
      <c r="N407" s="48" t="b">
        <v>0</v>
      </c>
      <c r="O407" s="48"/>
      <c r="P407" s="48" t="b">
        <v>0</v>
      </c>
      <c r="Q407" s="48" t="b">
        <v>0</v>
      </c>
      <c r="R407" s="48" t="b">
        <v>0</v>
      </c>
      <c r="S407" s="48"/>
      <c r="T407" s="60"/>
      <c r="U407" s="48" t="b">
        <v>0</v>
      </c>
      <c r="V407" s="48"/>
      <c r="W407" s="48" t="b">
        <v>0</v>
      </c>
      <c r="X407" s="48" t="b">
        <v>0</v>
      </c>
      <c r="Y407" s="48"/>
      <c r="Z407" s="48"/>
      <c r="AA407" s="48"/>
      <c r="AB407" s="48"/>
      <c r="AC407" s="49"/>
      <c r="AD407" s="48"/>
      <c r="AE407" s="48"/>
      <c r="AF407" s="48"/>
      <c r="AG407" s="48"/>
      <c r="AH407" s="48"/>
      <c r="AI407" s="48"/>
      <c r="AJ407" s="25"/>
      <c r="AK407" s="34" t="s">
        <v>698</v>
      </c>
      <c r="AL407" s="25"/>
      <c r="AM407" s="25"/>
      <c r="AN407" s="35" t="s">
        <v>2217</v>
      </c>
      <c r="AO407" s="24">
        <v>6.25E-4</v>
      </c>
      <c r="AP407" s="7" t="s">
        <v>1536</v>
      </c>
      <c r="AQ407" s="73">
        <v>37438.0</v>
      </c>
      <c r="AR407" s="35" t="s">
        <v>2218</v>
      </c>
      <c r="AS407" s="7" t="b">
        <f>NOT(ISERROR(MATCH(A407,'Villages according to موسوعة ال'!C:C,0)))</f>
        <v>1</v>
      </c>
      <c r="AT407" s="110"/>
      <c r="AU407" s="110"/>
      <c r="AV407" s="110"/>
      <c r="AW407" s="110"/>
      <c r="AX407" s="110"/>
      <c r="AY407" s="110"/>
      <c r="AZ407" s="110"/>
      <c r="BA407" s="110"/>
      <c r="BB407" s="110"/>
      <c r="BC407" s="110"/>
      <c r="BD407" s="110"/>
      <c r="BE407" s="110"/>
      <c r="BF407" s="110"/>
      <c r="BG407" s="110"/>
      <c r="BH407" s="110"/>
      <c r="BI407" s="110"/>
      <c r="BJ407" s="110"/>
      <c r="BK407" s="110"/>
      <c r="BL407" s="110"/>
      <c r="BM407" s="110"/>
      <c r="BN407" s="110"/>
      <c r="BO407" s="110"/>
      <c r="BP407" s="110"/>
    </row>
    <row r="408">
      <c r="A408" s="3" t="s">
        <v>2206</v>
      </c>
      <c r="B408" s="26" t="s">
        <v>2207</v>
      </c>
      <c r="E408" s="25"/>
      <c r="F408" s="25"/>
      <c r="G408" s="84"/>
      <c r="K408" s="47"/>
      <c r="L408" s="47"/>
      <c r="M408" s="48" t="b">
        <v>0</v>
      </c>
      <c r="N408" s="48" t="b">
        <v>0</v>
      </c>
      <c r="O408" s="48"/>
      <c r="P408" s="48" t="b">
        <v>0</v>
      </c>
      <c r="Q408" s="48" t="b">
        <v>0</v>
      </c>
      <c r="R408" s="48" t="b">
        <v>0</v>
      </c>
      <c r="S408" s="48"/>
      <c r="T408" s="32"/>
      <c r="U408" s="48" t="b">
        <v>0</v>
      </c>
      <c r="V408" s="48"/>
      <c r="W408" s="48" t="b">
        <v>0</v>
      </c>
      <c r="X408" s="48" t="b">
        <v>0</v>
      </c>
      <c r="Y408" s="48"/>
      <c r="Z408" s="48"/>
      <c r="AA408" s="48"/>
      <c r="AB408" s="48"/>
      <c r="AC408" s="49"/>
      <c r="AD408" s="48"/>
      <c r="AE408" s="48"/>
      <c r="AF408" s="48"/>
      <c r="AG408" s="48"/>
      <c r="AH408" s="48"/>
      <c r="AI408" s="48"/>
      <c r="AJ408" s="25"/>
      <c r="AK408" s="34"/>
      <c r="AL408" s="25"/>
      <c r="AM408" s="25"/>
      <c r="AN408" s="35" t="s">
        <v>2219</v>
      </c>
      <c r="AO408" s="24">
        <v>0.0029745370370370373</v>
      </c>
      <c r="AP408" s="7"/>
      <c r="AQ408" s="73"/>
      <c r="AR408" s="7" t="s">
        <v>633</v>
      </c>
      <c r="AS408" s="7" t="b">
        <f>NOT(ISERROR(MATCH(A408,'Villages according to موسوعة ال'!C:C,0)))</f>
        <v>1</v>
      </c>
      <c r="AT408" s="111"/>
      <c r="AU408" s="111"/>
      <c r="AV408" s="111"/>
      <c r="AW408" s="111"/>
      <c r="AX408" s="111"/>
      <c r="AY408" s="111"/>
      <c r="AZ408" s="111"/>
      <c r="BA408" s="111"/>
      <c r="BB408" s="111"/>
      <c r="BC408" s="111"/>
      <c r="BD408" s="111"/>
      <c r="BE408" s="111"/>
      <c r="BF408" s="111"/>
      <c r="BG408" s="111"/>
      <c r="BH408" s="111"/>
      <c r="BI408" s="111"/>
      <c r="BJ408" s="111"/>
      <c r="BK408" s="111"/>
      <c r="BL408" s="111"/>
      <c r="BM408" s="111"/>
      <c r="BN408" s="111"/>
      <c r="BO408" s="111"/>
      <c r="BP408" s="111"/>
    </row>
    <row r="409">
      <c r="A409" s="3" t="s">
        <v>2206</v>
      </c>
      <c r="B409" s="43" t="s">
        <v>2207</v>
      </c>
      <c r="E409" s="25"/>
      <c r="F409" s="25"/>
      <c r="G409" s="84"/>
      <c r="K409" s="47"/>
      <c r="L409" s="47"/>
      <c r="M409" s="48" t="b">
        <v>0</v>
      </c>
      <c r="N409" s="48" t="b">
        <v>0</v>
      </c>
      <c r="O409" s="48"/>
      <c r="P409" s="48" t="b">
        <v>0</v>
      </c>
      <c r="Q409" s="48" t="b">
        <v>0</v>
      </c>
      <c r="R409" s="48" t="b">
        <v>0</v>
      </c>
      <c r="S409" s="48"/>
      <c r="T409" s="60"/>
      <c r="U409" s="48" t="b">
        <v>0</v>
      </c>
      <c r="V409" s="48"/>
      <c r="W409" s="48" t="b">
        <v>0</v>
      </c>
      <c r="X409" s="48" t="b">
        <v>0</v>
      </c>
      <c r="Y409" s="48"/>
      <c r="Z409" s="48"/>
      <c r="AA409" s="48"/>
      <c r="AB409" s="48"/>
      <c r="AC409" s="49"/>
      <c r="AD409" s="48"/>
      <c r="AE409" s="48"/>
      <c r="AF409" s="48"/>
      <c r="AG409" s="48"/>
      <c r="AH409" s="48"/>
      <c r="AI409" s="48"/>
      <c r="AJ409" s="25"/>
      <c r="AK409" s="34" t="s">
        <v>698</v>
      </c>
      <c r="AL409" s="25"/>
      <c r="AM409" s="25"/>
      <c r="AN409" s="35" t="s">
        <v>2220</v>
      </c>
      <c r="AO409" s="24">
        <v>0.0015509259259259259</v>
      </c>
      <c r="AP409" s="7"/>
      <c r="AQ409" s="73"/>
      <c r="AR409" s="35" t="s">
        <v>2221</v>
      </c>
      <c r="AS409" s="7" t="b">
        <f>NOT(ISERROR(MATCH(A409,'Villages according to موسوعة ال'!C:C,0)))</f>
        <v>1</v>
      </c>
      <c r="AT409" s="110"/>
      <c r="AU409" s="110"/>
      <c r="AV409" s="110"/>
      <c r="AW409" s="110"/>
      <c r="AX409" s="110"/>
      <c r="AY409" s="110"/>
      <c r="AZ409" s="110"/>
      <c r="BA409" s="110"/>
      <c r="BB409" s="110"/>
      <c r="BC409" s="110"/>
      <c r="BD409" s="110"/>
      <c r="BE409" s="110"/>
      <c r="BF409" s="110"/>
      <c r="BG409" s="110"/>
      <c r="BH409" s="110"/>
      <c r="BI409" s="110"/>
      <c r="BJ409" s="110"/>
      <c r="BK409" s="110"/>
      <c r="BL409" s="110"/>
      <c r="BM409" s="110"/>
      <c r="BN409" s="110"/>
      <c r="BO409" s="110"/>
      <c r="BP409" s="110"/>
    </row>
    <row r="410">
      <c r="A410" s="3" t="s">
        <v>2206</v>
      </c>
      <c r="B410" s="26" t="s">
        <v>2207</v>
      </c>
      <c r="E410" s="25"/>
      <c r="F410" s="25"/>
      <c r="G410" s="84"/>
      <c r="K410" s="47"/>
      <c r="L410" s="47"/>
      <c r="M410" s="48" t="b">
        <v>0</v>
      </c>
      <c r="N410" s="48" t="b">
        <v>0</v>
      </c>
      <c r="O410" s="48"/>
      <c r="P410" s="48" t="b">
        <v>0</v>
      </c>
      <c r="Q410" s="48" t="b">
        <v>0</v>
      </c>
      <c r="R410" s="48" t="b">
        <v>0</v>
      </c>
      <c r="S410" s="48"/>
      <c r="T410" s="32"/>
      <c r="U410" s="48" t="b">
        <v>0</v>
      </c>
      <c r="V410" s="48"/>
      <c r="W410" s="48" t="b">
        <v>0</v>
      </c>
      <c r="X410" s="48" t="b">
        <v>0</v>
      </c>
      <c r="Y410" s="48"/>
      <c r="Z410" s="48"/>
      <c r="AA410" s="48"/>
      <c r="AB410" s="48"/>
      <c r="AC410" s="49"/>
      <c r="AD410" s="48"/>
      <c r="AE410" s="48"/>
      <c r="AF410" s="48"/>
      <c r="AG410" s="48"/>
      <c r="AH410" s="48"/>
      <c r="AI410" s="48"/>
      <c r="AJ410" s="25"/>
      <c r="AK410" s="34"/>
      <c r="AL410" s="25"/>
      <c r="AM410" s="25"/>
      <c r="AN410" s="35" t="s">
        <v>2222</v>
      </c>
      <c r="AO410" s="24">
        <v>0.0014583333333333334</v>
      </c>
      <c r="AP410" s="7"/>
      <c r="AQ410" s="73"/>
      <c r="AR410" s="7" t="s">
        <v>633</v>
      </c>
      <c r="AS410" s="7" t="b">
        <f>NOT(ISERROR(MATCH(A410,'Villages according to موسوعة ال'!C:C,0)))</f>
        <v>1</v>
      </c>
      <c r="AT410" s="111"/>
      <c r="AU410" s="111"/>
      <c r="AV410" s="111"/>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row>
    <row r="411">
      <c r="A411" s="3" t="s">
        <v>2206</v>
      </c>
      <c r="B411" s="43" t="s">
        <v>2207</v>
      </c>
      <c r="E411" s="25"/>
      <c r="F411" s="25"/>
      <c r="G411" s="84"/>
      <c r="H411" s="7" t="s">
        <v>2223</v>
      </c>
      <c r="I411" s="7" t="s">
        <v>638</v>
      </c>
      <c r="J411" s="7" t="s">
        <v>2224</v>
      </c>
      <c r="K411" s="47"/>
      <c r="L411" s="47"/>
      <c r="M411" s="48" t="b">
        <v>0</v>
      </c>
      <c r="N411" s="48" t="b">
        <v>0</v>
      </c>
      <c r="O411" s="48"/>
      <c r="P411" s="48" t="b">
        <v>0</v>
      </c>
      <c r="Q411" s="48" t="b">
        <v>0</v>
      </c>
      <c r="R411" s="48" t="b">
        <v>0</v>
      </c>
      <c r="S411" s="48"/>
      <c r="T411" s="60"/>
      <c r="U411" s="48" t="b">
        <v>0</v>
      </c>
      <c r="V411" s="48"/>
      <c r="W411" s="48" t="b">
        <v>0</v>
      </c>
      <c r="X411" s="48" t="b">
        <v>0</v>
      </c>
      <c r="Y411" s="48"/>
      <c r="Z411" s="48"/>
      <c r="AA411" s="48"/>
      <c r="AB411" s="48"/>
      <c r="AC411" s="49"/>
      <c r="AD411" s="48"/>
      <c r="AE411" s="48"/>
      <c r="AF411" s="48"/>
      <c r="AG411" s="48"/>
      <c r="AH411" s="48"/>
      <c r="AI411" s="48"/>
      <c r="AJ411" s="25"/>
      <c r="AK411" s="34" t="s">
        <v>718</v>
      </c>
      <c r="AL411" s="3" t="s">
        <v>699</v>
      </c>
      <c r="AM411" s="3" t="s">
        <v>2013</v>
      </c>
      <c r="AN411" s="35" t="s">
        <v>2225</v>
      </c>
      <c r="AO411" s="24">
        <v>0.004652777777777777</v>
      </c>
      <c r="AP411" s="7" t="s">
        <v>1536</v>
      </c>
      <c r="AQ411" s="73">
        <v>37469.0</v>
      </c>
      <c r="AR411" s="35" t="s">
        <v>2226</v>
      </c>
      <c r="AS411" s="7" t="b">
        <f>NOT(ISERROR(MATCH(A411,'Villages according to موسوعة ال'!C:C,0)))</f>
        <v>1</v>
      </c>
      <c r="AT411" s="110"/>
      <c r="AU411" s="110"/>
      <c r="AV411" s="110"/>
      <c r="AW411" s="110"/>
      <c r="AX411" s="110"/>
      <c r="AY411" s="110"/>
      <c r="AZ411" s="110"/>
      <c r="BA411" s="110"/>
      <c r="BB411" s="110"/>
      <c r="BC411" s="110"/>
      <c r="BD411" s="110"/>
      <c r="BE411" s="110"/>
      <c r="BF411" s="110"/>
      <c r="BG411" s="110"/>
      <c r="BH411" s="110"/>
      <c r="BI411" s="110"/>
      <c r="BJ411" s="110"/>
      <c r="BK411" s="110"/>
      <c r="BL411" s="110"/>
      <c r="BM411" s="110"/>
      <c r="BN411" s="110"/>
      <c r="BO411" s="110"/>
      <c r="BP411" s="110"/>
    </row>
    <row r="412">
      <c r="A412" s="3" t="s">
        <v>2206</v>
      </c>
      <c r="B412" s="43" t="s">
        <v>2207</v>
      </c>
      <c r="E412" s="25"/>
      <c r="F412" s="25"/>
      <c r="G412" s="84"/>
      <c r="H412" s="7" t="s">
        <v>2227</v>
      </c>
      <c r="I412" s="7" t="s">
        <v>616</v>
      </c>
      <c r="J412" s="7" t="s">
        <v>2228</v>
      </c>
      <c r="K412" s="54" t="s">
        <v>2229</v>
      </c>
      <c r="L412" s="47"/>
      <c r="M412" s="48" t="b">
        <v>0</v>
      </c>
      <c r="N412" s="48" t="b">
        <v>0</v>
      </c>
      <c r="O412" s="48"/>
      <c r="P412" s="48" t="b">
        <v>0</v>
      </c>
      <c r="Q412" s="48" t="b">
        <v>0</v>
      </c>
      <c r="R412" s="48" t="b">
        <v>0</v>
      </c>
      <c r="S412" s="48"/>
      <c r="T412" s="60"/>
      <c r="U412" s="48" t="b">
        <v>0</v>
      </c>
      <c r="V412" s="48"/>
      <c r="W412" s="48" t="b">
        <v>0</v>
      </c>
      <c r="X412" s="48" t="b">
        <v>0</v>
      </c>
      <c r="Y412" s="48"/>
      <c r="Z412" s="48"/>
      <c r="AA412" s="48"/>
      <c r="AB412" s="48"/>
      <c r="AC412" s="49"/>
      <c r="AD412" s="48"/>
      <c r="AE412" s="48"/>
      <c r="AF412" s="48"/>
      <c r="AG412" s="48"/>
      <c r="AH412" s="48"/>
      <c r="AI412" s="48"/>
      <c r="AJ412" s="25"/>
      <c r="AK412" s="34" t="s">
        <v>698</v>
      </c>
      <c r="AL412" s="25"/>
      <c r="AM412" s="25"/>
      <c r="AN412" s="35" t="s">
        <v>2230</v>
      </c>
      <c r="AO412" s="24">
        <v>0.003125</v>
      </c>
      <c r="AP412" s="7" t="s">
        <v>1536</v>
      </c>
      <c r="AQ412" s="7"/>
      <c r="AR412" s="7" t="s">
        <v>633</v>
      </c>
      <c r="AS412" s="7" t="b">
        <f>NOT(ISERROR(MATCH(A412,'Villages according to موسوعة ال'!C:C,0)))</f>
        <v>1</v>
      </c>
      <c r="AT412" s="110"/>
      <c r="AU412" s="110"/>
      <c r="AV412" s="110"/>
      <c r="AW412" s="110"/>
      <c r="AX412" s="110"/>
      <c r="AY412" s="110"/>
      <c r="AZ412" s="110"/>
      <c r="BA412" s="110"/>
      <c r="BB412" s="110"/>
      <c r="BC412" s="110"/>
      <c r="BD412" s="110"/>
      <c r="BE412" s="110"/>
      <c r="BF412" s="110"/>
      <c r="BG412" s="110"/>
      <c r="BH412" s="110"/>
      <c r="BI412" s="110"/>
      <c r="BJ412" s="110"/>
      <c r="BK412" s="110"/>
      <c r="BL412" s="110"/>
      <c r="BM412" s="110"/>
      <c r="BN412" s="110"/>
      <c r="BO412" s="110"/>
      <c r="BP412" s="110"/>
    </row>
    <row r="413">
      <c r="A413" s="3" t="s">
        <v>2206</v>
      </c>
      <c r="B413" s="43" t="s">
        <v>2207</v>
      </c>
      <c r="E413" s="25"/>
      <c r="F413" s="25"/>
      <c r="G413" s="84"/>
      <c r="H413" s="7" t="s">
        <v>2231</v>
      </c>
      <c r="I413" s="7" t="s">
        <v>638</v>
      </c>
      <c r="J413" s="7" t="s">
        <v>2232</v>
      </c>
      <c r="K413" s="54"/>
      <c r="L413" s="47"/>
      <c r="M413" s="48" t="b">
        <v>0</v>
      </c>
      <c r="N413" s="48" t="b">
        <v>0</v>
      </c>
      <c r="O413" s="48"/>
      <c r="P413" s="48" t="b">
        <v>0</v>
      </c>
      <c r="Q413" s="48" t="b">
        <v>0</v>
      </c>
      <c r="R413" s="48" t="b">
        <v>0</v>
      </c>
      <c r="S413" s="48"/>
      <c r="T413" s="60"/>
      <c r="U413" s="48" t="b">
        <v>0</v>
      </c>
      <c r="V413" s="48"/>
      <c r="W413" s="48" t="b">
        <v>0</v>
      </c>
      <c r="X413" s="48" t="b">
        <v>0</v>
      </c>
      <c r="Y413" s="48"/>
      <c r="Z413" s="48"/>
      <c r="AA413" s="48"/>
      <c r="AB413" s="48"/>
      <c r="AC413" s="49"/>
      <c r="AD413" s="48"/>
      <c r="AE413" s="48"/>
      <c r="AF413" s="48"/>
      <c r="AG413" s="48"/>
      <c r="AH413" s="48"/>
      <c r="AI413" s="48"/>
      <c r="AJ413" s="25"/>
      <c r="AK413" s="34" t="s">
        <v>698</v>
      </c>
      <c r="AL413" s="25"/>
      <c r="AM413" s="25"/>
      <c r="AN413" s="35" t="s">
        <v>2233</v>
      </c>
      <c r="AO413" s="24">
        <v>0.0019212962962962964</v>
      </c>
      <c r="AP413" s="7" t="s">
        <v>633</v>
      </c>
      <c r="AQ413" s="7" t="s">
        <v>633</v>
      </c>
      <c r="AR413" s="35" t="s">
        <v>2234</v>
      </c>
      <c r="AS413" s="7" t="b">
        <f>NOT(ISERROR(MATCH(A413,'Villages according to موسوعة ال'!C:C,0)))</f>
        <v>1</v>
      </c>
      <c r="AT413" s="110"/>
      <c r="AU413" s="110"/>
      <c r="AV413" s="110"/>
      <c r="AW413" s="110"/>
      <c r="AX413" s="110"/>
      <c r="AY413" s="110"/>
      <c r="AZ413" s="110"/>
      <c r="BA413" s="110"/>
      <c r="BB413" s="110"/>
      <c r="BC413" s="110"/>
      <c r="BD413" s="110"/>
      <c r="BE413" s="110"/>
      <c r="BF413" s="110"/>
      <c r="BG413" s="110"/>
      <c r="BH413" s="110"/>
      <c r="BI413" s="110"/>
      <c r="BJ413" s="110"/>
      <c r="BK413" s="110"/>
      <c r="BL413" s="110"/>
      <c r="BM413" s="110"/>
      <c r="BN413" s="110"/>
      <c r="BO413" s="110"/>
      <c r="BP413" s="110"/>
    </row>
    <row r="414">
      <c r="A414" s="3" t="s">
        <v>2206</v>
      </c>
      <c r="B414" s="43" t="s">
        <v>2207</v>
      </c>
      <c r="E414" s="25"/>
      <c r="F414" s="25"/>
      <c r="G414" s="84"/>
      <c r="K414" s="54"/>
      <c r="L414" s="47"/>
      <c r="M414" s="48" t="b">
        <v>0</v>
      </c>
      <c r="N414" s="48" t="b">
        <v>0</v>
      </c>
      <c r="O414" s="48"/>
      <c r="P414" s="48" t="b">
        <v>0</v>
      </c>
      <c r="Q414" s="48" t="b">
        <v>0</v>
      </c>
      <c r="R414" s="48" t="b">
        <v>0</v>
      </c>
      <c r="S414" s="48"/>
      <c r="T414" s="60"/>
      <c r="U414" s="48" t="b">
        <v>0</v>
      </c>
      <c r="V414" s="48"/>
      <c r="W414" s="48" t="b">
        <v>0</v>
      </c>
      <c r="X414" s="48" t="b">
        <v>0</v>
      </c>
      <c r="Y414" s="48"/>
      <c r="Z414" s="48"/>
      <c r="AA414" s="48"/>
      <c r="AB414" s="48"/>
      <c r="AC414" s="49"/>
      <c r="AD414" s="48"/>
      <c r="AE414" s="48"/>
      <c r="AF414" s="48"/>
      <c r="AG414" s="48"/>
      <c r="AH414" s="48"/>
      <c r="AI414" s="48"/>
      <c r="AJ414" s="25"/>
      <c r="AK414" s="34" t="s">
        <v>698</v>
      </c>
      <c r="AL414" s="25"/>
      <c r="AM414" s="25"/>
      <c r="AN414" s="35" t="s">
        <v>2235</v>
      </c>
      <c r="AO414" s="24">
        <v>0.001261574074074074</v>
      </c>
      <c r="AP414" s="7" t="s">
        <v>633</v>
      </c>
      <c r="AQ414" s="7" t="s">
        <v>633</v>
      </c>
      <c r="AR414" s="35" t="s">
        <v>2236</v>
      </c>
      <c r="AS414" s="7" t="b">
        <f>NOT(ISERROR(MATCH(A414,'Villages according to موسوعة ال'!C:C,0)))</f>
        <v>1</v>
      </c>
      <c r="AT414" s="110"/>
      <c r="AU414" s="110"/>
      <c r="AV414" s="110"/>
      <c r="AW414" s="110"/>
      <c r="AX414" s="110"/>
      <c r="AY414" s="110"/>
      <c r="AZ414" s="110"/>
      <c r="BA414" s="110"/>
      <c r="BB414" s="110"/>
      <c r="BC414" s="110"/>
      <c r="BD414" s="110"/>
      <c r="BE414" s="110"/>
      <c r="BF414" s="110"/>
      <c r="BG414" s="110"/>
      <c r="BH414" s="110"/>
      <c r="BI414" s="110"/>
      <c r="BJ414" s="110"/>
      <c r="BK414" s="110"/>
      <c r="BL414" s="110"/>
      <c r="BM414" s="110"/>
      <c r="BN414" s="110"/>
      <c r="BO414" s="110"/>
      <c r="BP414" s="110"/>
    </row>
    <row r="415">
      <c r="A415" s="3" t="s">
        <v>2206</v>
      </c>
      <c r="B415" s="26" t="s">
        <v>2207</v>
      </c>
      <c r="E415" s="25"/>
      <c r="F415" s="25"/>
      <c r="G415" s="84"/>
      <c r="H415" s="7" t="s">
        <v>2237</v>
      </c>
      <c r="I415" s="7" t="s">
        <v>616</v>
      </c>
      <c r="J415" s="7" t="s">
        <v>2238</v>
      </c>
      <c r="K415" s="54"/>
      <c r="L415" s="47"/>
      <c r="M415" s="48" t="b">
        <v>0</v>
      </c>
      <c r="N415" s="48" t="b">
        <v>0</v>
      </c>
      <c r="O415" s="48"/>
      <c r="P415" s="48" t="b">
        <v>0</v>
      </c>
      <c r="Q415" s="48" t="b">
        <v>0</v>
      </c>
      <c r="R415" s="48" t="b">
        <v>0</v>
      </c>
      <c r="S415" s="48"/>
      <c r="T415" s="32"/>
      <c r="U415" s="48" t="b">
        <v>0</v>
      </c>
      <c r="V415" s="48"/>
      <c r="W415" s="48" t="b">
        <v>0</v>
      </c>
      <c r="X415" s="48" t="b">
        <v>0</v>
      </c>
      <c r="Y415" s="48"/>
      <c r="Z415" s="48"/>
      <c r="AA415" s="48"/>
      <c r="AB415" s="48"/>
      <c r="AC415" s="49"/>
      <c r="AD415" s="48"/>
      <c r="AE415" s="48"/>
      <c r="AF415" s="48"/>
      <c r="AG415" s="48"/>
      <c r="AH415" s="48"/>
      <c r="AI415" s="48"/>
      <c r="AJ415" s="25"/>
      <c r="AK415" s="34"/>
      <c r="AL415" s="25"/>
      <c r="AM415" s="25"/>
      <c r="AN415" s="35" t="s">
        <v>2239</v>
      </c>
      <c r="AO415" s="24">
        <v>0.001261574074074074</v>
      </c>
      <c r="AP415" s="7"/>
      <c r="AQ415" s="7"/>
      <c r="AR415" s="7" t="s">
        <v>633</v>
      </c>
      <c r="AS415" s="7" t="b">
        <f>NOT(ISERROR(MATCH(A415,'Villages according to موسوعة ال'!C:C,0)))</f>
        <v>1</v>
      </c>
      <c r="AT415" s="111"/>
      <c r="AU415" s="111"/>
      <c r="AV415" s="111"/>
      <c r="AW415" s="111"/>
      <c r="AX415" s="111"/>
      <c r="AY415" s="111"/>
      <c r="AZ415" s="111"/>
      <c r="BA415" s="111"/>
      <c r="BB415" s="111"/>
      <c r="BC415" s="111"/>
      <c r="BD415" s="111"/>
      <c r="BE415" s="111"/>
      <c r="BF415" s="111"/>
      <c r="BG415" s="111"/>
      <c r="BH415" s="111"/>
      <c r="BI415" s="111"/>
      <c r="BJ415" s="111"/>
      <c r="BK415" s="111"/>
      <c r="BL415" s="111"/>
      <c r="BM415" s="111"/>
      <c r="BN415" s="111"/>
      <c r="BO415" s="111"/>
      <c r="BP415" s="111"/>
    </row>
    <row r="416">
      <c r="A416" s="3" t="s">
        <v>2206</v>
      </c>
      <c r="B416" s="26" t="s">
        <v>2207</v>
      </c>
      <c r="E416" s="25"/>
      <c r="F416" s="25"/>
      <c r="G416" s="84"/>
      <c r="H416" s="7" t="s">
        <v>2240</v>
      </c>
      <c r="I416" s="7" t="s">
        <v>638</v>
      </c>
      <c r="J416" s="7" t="s">
        <v>2241</v>
      </c>
      <c r="K416" s="54"/>
      <c r="L416" s="47"/>
      <c r="M416" s="48" t="b">
        <v>0</v>
      </c>
      <c r="N416" s="48" t="b">
        <v>0</v>
      </c>
      <c r="O416" s="48"/>
      <c r="P416" s="48" t="b">
        <v>0</v>
      </c>
      <c r="Q416" s="48" t="b">
        <v>0</v>
      </c>
      <c r="R416" s="48" t="b">
        <v>0</v>
      </c>
      <c r="S416" s="48"/>
      <c r="T416" s="32"/>
      <c r="U416" s="48" t="b">
        <v>0</v>
      </c>
      <c r="V416" s="48"/>
      <c r="W416" s="48" t="b">
        <v>0</v>
      </c>
      <c r="X416" s="48" t="b">
        <v>0</v>
      </c>
      <c r="Y416" s="48"/>
      <c r="Z416" s="48"/>
      <c r="AA416" s="48"/>
      <c r="AB416" s="48"/>
      <c r="AC416" s="49"/>
      <c r="AD416" s="48"/>
      <c r="AE416" s="48"/>
      <c r="AF416" s="48"/>
      <c r="AG416" s="48"/>
      <c r="AH416" s="48"/>
      <c r="AI416" s="48"/>
      <c r="AJ416" s="25"/>
      <c r="AK416" s="34"/>
      <c r="AL416" s="25"/>
      <c r="AM416" s="25"/>
      <c r="AN416" s="35" t="s">
        <v>2242</v>
      </c>
      <c r="AO416" s="24">
        <v>0.00318287037037037</v>
      </c>
      <c r="AP416" s="7"/>
      <c r="AQ416" s="7"/>
      <c r="AR416" s="7" t="s">
        <v>633</v>
      </c>
      <c r="AS416" s="7" t="b">
        <f>NOT(ISERROR(MATCH(A416,'Villages according to موسوعة ال'!C:C,0)))</f>
        <v>1</v>
      </c>
      <c r="AT416" s="111"/>
      <c r="AU416" s="111"/>
      <c r="AV416" s="111"/>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row>
    <row r="417">
      <c r="A417" s="3" t="s">
        <v>2206</v>
      </c>
      <c r="B417" s="26" t="s">
        <v>2207</v>
      </c>
      <c r="E417" s="25"/>
      <c r="F417" s="25"/>
      <c r="G417" s="84"/>
      <c r="K417" s="54"/>
      <c r="L417" s="47"/>
      <c r="M417" s="48" t="b">
        <v>0</v>
      </c>
      <c r="N417" s="48" t="b">
        <v>0</v>
      </c>
      <c r="O417" s="48"/>
      <c r="P417" s="48" t="b">
        <v>0</v>
      </c>
      <c r="Q417" s="48" t="b">
        <v>0</v>
      </c>
      <c r="R417" s="48" t="b">
        <v>0</v>
      </c>
      <c r="S417" s="48"/>
      <c r="T417" s="32"/>
      <c r="U417" s="48" t="b">
        <v>0</v>
      </c>
      <c r="V417" s="48"/>
      <c r="W417" s="48" t="b">
        <v>0</v>
      </c>
      <c r="X417" s="48" t="b">
        <v>0</v>
      </c>
      <c r="Y417" s="48"/>
      <c r="Z417" s="48"/>
      <c r="AA417" s="48"/>
      <c r="AB417" s="48"/>
      <c r="AC417" s="49"/>
      <c r="AD417" s="48"/>
      <c r="AE417" s="48"/>
      <c r="AF417" s="48"/>
      <c r="AG417" s="48"/>
      <c r="AH417" s="48"/>
      <c r="AI417" s="48"/>
      <c r="AJ417" s="25"/>
      <c r="AK417" s="34"/>
      <c r="AL417" s="25"/>
      <c r="AM417" s="25"/>
      <c r="AN417" s="35" t="s">
        <v>2243</v>
      </c>
      <c r="AO417" s="24">
        <v>0.005636574074074074</v>
      </c>
      <c r="AP417" s="7"/>
      <c r="AQ417" s="7"/>
      <c r="AR417" s="7" t="s">
        <v>633</v>
      </c>
      <c r="AS417" s="7" t="b">
        <f>NOT(ISERROR(MATCH(A417,'Villages according to موسوعة ال'!C:C,0)))</f>
        <v>1</v>
      </c>
      <c r="AT417" s="111"/>
      <c r="AU417" s="111"/>
      <c r="AV417" s="111"/>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row>
    <row r="418">
      <c r="A418" s="3" t="s">
        <v>2206</v>
      </c>
      <c r="B418" s="26" t="s">
        <v>2207</v>
      </c>
      <c r="E418" s="25"/>
      <c r="F418" s="25"/>
      <c r="G418" s="84"/>
      <c r="H418" s="7" t="s">
        <v>633</v>
      </c>
      <c r="I418" s="7" t="s">
        <v>616</v>
      </c>
      <c r="J418" s="7" t="s">
        <v>2244</v>
      </c>
      <c r="K418" s="54"/>
      <c r="L418" s="47"/>
      <c r="M418" s="48" t="b">
        <v>0</v>
      </c>
      <c r="N418" s="48" t="b">
        <v>0</v>
      </c>
      <c r="O418" s="48"/>
      <c r="P418" s="48" t="b">
        <v>0</v>
      </c>
      <c r="Q418" s="48" t="b">
        <v>0</v>
      </c>
      <c r="R418" s="48" t="b">
        <v>0</v>
      </c>
      <c r="S418" s="48"/>
      <c r="T418" s="32"/>
      <c r="U418" s="48" t="b">
        <v>0</v>
      </c>
      <c r="V418" s="48"/>
      <c r="W418" s="48" t="b">
        <v>0</v>
      </c>
      <c r="X418" s="48" t="b">
        <v>0</v>
      </c>
      <c r="Y418" s="48"/>
      <c r="Z418" s="48"/>
      <c r="AA418" s="48"/>
      <c r="AB418" s="48"/>
      <c r="AC418" s="49"/>
      <c r="AD418" s="48"/>
      <c r="AE418" s="48"/>
      <c r="AF418" s="48"/>
      <c r="AG418" s="48"/>
      <c r="AH418" s="48"/>
      <c r="AI418" s="48"/>
      <c r="AJ418" s="25"/>
      <c r="AK418" s="34"/>
      <c r="AL418" s="25"/>
      <c r="AM418" s="25"/>
      <c r="AN418" s="35" t="s">
        <v>2245</v>
      </c>
      <c r="AO418" s="24">
        <v>0.0036689814814814814</v>
      </c>
      <c r="AP418" s="7"/>
      <c r="AQ418" s="7"/>
      <c r="AR418" s="7" t="s">
        <v>633</v>
      </c>
      <c r="AS418" s="7" t="b">
        <f>NOT(ISERROR(MATCH(A418,'Villages according to موسوعة ال'!C:C,0)))</f>
        <v>1</v>
      </c>
      <c r="AT418" s="111"/>
      <c r="AU418" s="111"/>
      <c r="AV418" s="111"/>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row>
    <row r="419">
      <c r="A419" s="3" t="s">
        <v>2206</v>
      </c>
      <c r="B419" s="26" t="s">
        <v>2207</v>
      </c>
      <c r="E419" s="25"/>
      <c r="F419" s="25"/>
      <c r="G419" s="84"/>
      <c r="H419" s="7" t="s">
        <v>633</v>
      </c>
      <c r="I419" s="7" t="s">
        <v>638</v>
      </c>
      <c r="J419" s="7" t="s">
        <v>2246</v>
      </c>
      <c r="K419" s="54"/>
      <c r="L419" s="47"/>
      <c r="M419" s="48" t="b">
        <v>0</v>
      </c>
      <c r="N419" s="48" t="b">
        <v>0</v>
      </c>
      <c r="O419" s="48"/>
      <c r="P419" s="48" t="b">
        <v>0</v>
      </c>
      <c r="Q419" s="48" t="b">
        <v>0</v>
      </c>
      <c r="R419" s="48" t="b">
        <v>0</v>
      </c>
      <c r="S419" s="48"/>
      <c r="T419" s="32"/>
      <c r="U419" s="48" t="b">
        <v>0</v>
      </c>
      <c r="V419" s="48"/>
      <c r="W419" s="48" t="b">
        <v>0</v>
      </c>
      <c r="X419" s="48" t="b">
        <v>0</v>
      </c>
      <c r="Y419" s="48"/>
      <c r="Z419" s="48"/>
      <c r="AA419" s="48"/>
      <c r="AB419" s="48"/>
      <c r="AC419" s="49"/>
      <c r="AD419" s="48"/>
      <c r="AE419" s="48"/>
      <c r="AF419" s="48"/>
      <c r="AG419" s="48"/>
      <c r="AH419" s="48"/>
      <c r="AI419" s="48"/>
      <c r="AJ419" s="25"/>
      <c r="AK419" s="34"/>
      <c r="AL419" s="25"/>
      <c r="AM419" s="25"/>
      <c r="AN419" s="35" t="s">
        <v>2247</v>
      </c>
      <c r="AO419" s="24">
        <v>0.0014467592592592592</v>
      </c>
      <c r="AP419" s="7"/>
      <c r="AQ419" s="7"/>
      <c r="AR419" s="7" t="s">
        <v>633</v>
      </c>
      <c r="AS419" s="7" t="b">
        <f>NOT(ISERROR(MATCH(A419,'Villages according to موسوعة ال'!C:C,0)))</f>
        <v>1</v>
      </c>
      <c r="AT419" s="111"/>
      <c r="AU419" s="111"/>
      <c r="AV419" s="111"/>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row>
    <row r="420">
      <c r="A420" s="7" t="s">
        <v>51</v>
      </c>
      <c r="B420" s="26" t="s">
        <v>52</v>
      </c>
      <c r="C420" s="85" t="s">
        <v>52</v>
      </c>
      <c r="D420" s="85" t="s">
        <v>53</v>
      </c>
      <c r="E420" s="25"/>
      <c r="F420" s="25"/>
      <c r="G420" s="84"/>
      <c r="H420" s="7" t="s">
        <v>633</v>
      </c>
      <c r="I420" s="85" t="s">
        <v>616</v>
      </c>
      <c r="J420" s="7" t="s">
        <v>2248</v>
      </c>
      <c r="K420" s="47"/>
      <c r="L420" s="47"/>
      <c r="M420" s="48" t="b">
        <v>0</v>
      </c>
      <c r="N420" s="48" t="b">
        <v>0</v>
      </c>
      <c r="O420" s="48"/>
      <c r="P420" s="48" t="b">
        <v>0</v>
      </c>
      <c r="Q420" s="48" t="b">
        <v>0</v>
      </c>
      <c r="R420" s="48" t="b">
        <v>0</v>
      </c>
      <c r="S420" s="48"/>
      <c r="T420" s="32"/>
      <c r="U420" s="48" t="b">
        <v>0</v>
      </c>
      <c r="V420" s="48"/>
      <c r="W420" s="48" t="b">
        <v>0</v>
      </c>
      <c r="X420" s="48" t="b">
        <v>0</v>
      </c>
      <c r="Y420" s="48"/>
      <c r="Z420" s="48"/>
      <c r="AA420" s="48"/>
      <c r="AB420" s="48"/>
      <c r="AC420" s="49"/>
      <c r="AD420" s="48"/>
      <c r="AE420" s="48"/>
      <c r="AF420" s="48"/>
      <c r="AG420" s="48"/>
      <c r="AH420" s="48"/>
      <c r="AI420" s="48"/>
      <c r="AJ420" s="25"/>
      <c r="AK420" s="50" t="s">
        <v>636</v>
      </c>
      <c r="AL420" s="25"/>
      <c r="AM420" s="25"/>
      <c r="AN420" s="112" t="s">
        <v>2249</v>
      </c>
      <c r="AO420" s="24">
        <v>3.8194444444444446E-4</v>
      </c>
      <c r="AP420" s="3" t="s">
        <v>2250</v>
      </c>
      <c r="AQ420" s="7" t="s">
        <v>633</v>
      </c>
      <c r="AR420" s="7" t="s">
        <v>633</v>
      </c>
      <c r="AS420" s="7" t="b">
        <f>NOT(ISERROR(MATCH(A420,'Villages according to موسوعة ال'!C:C,0)))</f>
        <v>1</v>
      </c>
      <c r="AT420" s="111"/>
      <c r="AU420" s="111"/>
      <c r="AV420" s="111"/>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row>
    <row r="421">
      <c r="A421" s="7" t="s">
        <v>51</v>
      </c>
      <c r="B421" s="43" t="s">
        <v>52</v>
      </c>
      <c r="E421" s="25"/>
      <c r="F421" s="25"/>
      <c r="G421" s="84"/>
      <c r="H421" s="7" t="s">
        <v>633</v>
      </c>
      <c r="I421" s="7" t="s">
        <v>616</v>
      </c>
      <c r="J421" s="7" t="s">
        <v>2248</v>
      </c>
      <c r="K421" s="47"/>
      <c r="L421" s="47"/>
      <c r="M421" s="48" t="b">
        <v>0</v>
      </c>
      <c r="N421" s="48" t="b">
        <v>0</v>
      </c>
      <c r="O421" s="48"/>
      <c r="P421" s="48" t="b">
        <v>0</v>
      </c>
      <c r="Q421" s="48" t="b">
        <v>0</v>
      </c>
      <c r="R421" s="48" t="b">
        <v>0</v>
      </c>
      <c r="S421" s="48"/>
      <c r="T421" s="32"/>
      <c r="U421" s="48" t="b">
        <v>0</v>
      </c>
      <c r="V421" s="48"/>
      <c r="W421" s="48" t="b">
        <v>0</v>
      </c>
      <c r="X421" s="48" t="b">
        <v>0</v>
      </c>
      <c r="Y421" s="48"/>
      <c r="Z421" s="48"/>
      <c r="AA421" s="48"/>
      <c r="AB421" s="48"/>
      <c r="AC421" s="49"/>
      <c r="AD421" s="48"/>
      <c r="AE421" s="48"/>
      <c r="AF421" s="48"/>
      <c r="AG421" s="48"/>
      <c r="AH421" s="48"/>
      <c r="AI421" s="48"/>
      <c r="AJ421" s="25"/>
      <c r="AK421" s="34" t="s">
        <v>718</v>
      </c>
      <c r="AL421" s="3" t="s">
        <v>823</v>
      </c>
      <c r="AM421" s="3" t="s">
        <v>700</v>
      </c>
      <c r="AN421" s="35" t="s">
        <v>2251</v>
      </c>
      <c r="AO421" s="24">
        <v>0.0014351851851851852</v>
      </c>
      <c r="AP421" s="3" t="s">
        <v>2250</v>
      </c>
      <c r="AQ421" s="3" t="s">
        <v>2252</v>
      </c>
      <c r="AR421" s="35" t="s">
        <v>2253</v>
      </c>
      <c r="AS421" s="7" t="b">
        <f>NOT(ISERROR(MATCH(A421,'Villages according to موسوعة ال'!C:C,0)))</f>
        <v>1</v>
      </c>
      <c r="AT421" s="25"/>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row>
    <row r="422">
      <c r="A422" s="7" t="s">
        <v>51</v>
      </c>
      <c r="B422" s="43" t="s">
        <v>52</v>
      </c>
      <c r="E422" s="25"/>
      <c r="F422" s="25"/>
      <c r="G422" s="84"/>
      <c r="H422" s="3" t="s">
        <v>2254</v>
      </c>
      <c r="I422" s="7" t="s">
        <v>638</v>
      </c>
      <c r="J422" s="36" t="s">
        <v>2255</v>
      </c>
      <c r="K422" s="54" t="s">
        <v>2256</v>
      </c>
      <c r="L422" s="54" t="s">
        <v>2257</v>
      </c>
      <c r="M422" s="31" t="b">
        <v>0</v>
      </c>
      <c r="N422" s="31" t="b">
        <v>0</v>
      </c>
      <c r="O422" s="31"/>
      <c r="P422" s="31" t="b">
        <v>0</v>
      </c>
      <c r="Q422" s="31" t="b">
        <v>0</v>
      </c>
      <c r="R422" s="31" t="b">
        <v>0</v>
      </c>
      <c r="S422" s="31"/>
      <c r="T422" s="32"/>
      <c r="U422" s="31" t="b">
        <v>0</v>
      </c>
      <c r="V422" s="31"/>
      <c r="W422" s="31" t="b">
        <v>0</v>
      </c>
      <c r="X422" s="31" t="b">
        <v>0</v>
      </c>
      <c r="Y422" s="31"/>
      <c r="Z422" s="31"/>
      <c r="AA422" s="31"/>
      <c r="AB422" s="31"/>
      <c r="AC422" s="45"/>
      <c r="AD422" s="31"/>
      <c r="AE422" s="31"/>
      <c r="AF422" s="31"/>
      <c r="AG422" s="31"/>
      <c r="AH422" s="31"/>
      <c r="AI422" s="31"/>
      <c r="AJ422" s="3"/>
      <c r="AK422" s="34" t="s">
        <v>718</v>
      </c>
      <c r="AL422" s="3" t="s">
        <v>734</v>
      </c>
      <c r="AM422" s="3" t="s">
        <v>735</v>
      </c>
      <c r="AN422" s="35" t="s">
        <v>2258</v>
      </c>
      <c r="AO422" s="24">
        <v>0.004907407407407407</v>
      </c>
      <c r="AP422" s="3" t="s">
        <v>2259</v>
      </c>
      <c r="AQ422" s="7" t="s">
        <v>633</v>
      </c>
      <c r="AR422" s="35" t="s">
        <v>2260</v>
      </c>
      <c r="AS422" s="7" t="b">
        <f>NOT(ISERROR(MATCH(A422,'Villages according to موسوعة ال'!C:C,0)))</f>
        <v>1</v>
      </c>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row>
    <row r="423">
      <c r="A423" s="7" t="s">
        <v>51</v>
      </c>
      <c r="B423" s="43" t="s">
        <v>52</v>
      </c>
      <c r="E423" s="25"/>
      <c r="F423" s="25"/>
      <c r="G423" s="84"/>
      <c r="H423" s="3" t="s">
        <v>2254</v>
      </c>
      <c r="I423" s="7" t="s">
        <v>638</v>
      </c>
      <c r="J423" s="7" t="s">
        <v>2255</v>
      </c>
      <c r="K423" s="47"/>
      <c r="L423" s="54" t="s">
        <v>2261</v>
      </c>
      <c r="M423" s="31" t="b">
        <v>0</v>
      </c>
      <c r="N423" s="31" t="b">
        <v>0</v>
      </c>
      <c r="O423" s="31"/>
      <c r="P423" s="31" t="b">
        <v>0</v>
      </c>
      <c r="Q423" s="31" t="b">
        <v>0</v>
      </c>
      <c r="R423" s="31" t="b">
        <v>0</v>
      </c>
      <c r="S423" s="31"/>
      <c r="T423" s="32"/>
      <c r="U423" s="31" t="b">
        <v>0</v>
      </c>
      <c r="V423" s="31"/>
      <c r="W423" s="31" t="b">
        <v>0</v>
      </c>
      <c r="X423" s="31" t="b">
        <v>0</v>
      </c>
      <c r="Y423" s="31"/>
      <c r="Z423" s="31"/>
      <c r="AA423" s="31"/>
      <c r="AB423" s="31"/>
      <c r="AC423" s="45"/>
      <c r="AD423" s="31"/>
      <c r="AE423" s="31"/>
      <c r="AF423" s="31"/>
      <c r="AG423" s="31"/>
      <c r="AH423" s="31"/>
      <c r="AI423" s="31"/>
      <c r="AJ423" s="3"/>
      <c r="AK423" s="34" t="s">
        <v>631</v>
      </c>
      <c r="AL423" s="25"/>
      <c r="AM423" s="25"/>
      <c r="AN423" s="35" t="s">
        <v>2262</v>
      </c>
      <c r="AO423" s="24">
        <v>0.004907407407407407</v>
      </c>
      <c r="AP423" s="3" t="s">
        <v>2259</v>
      </c>
      <c r="AQ423" s="25"/>
      <c r="AR423" s="7" t="s">
        <v>633</v>
      </c>
      <c r="AS423" s="7" t="b">
        <f>NOT(ISERROR(MATCH(A423,'Villages according to موسوعة ال'!C:C,0)))</f>
        <v>1</v>
      </c>
      <c r="AT423" s="25"/>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row>
    <row r="424">
      <c r="A424" s="7" t="s">
        <v>51</v>
      </c>
      <c r="B424" s="43" t="s">
        <v>52</v>
      </c>
      <c r="E424" s="25"/>
      <c r="F424" s="25"/>
      <c r="G424" s="84"/>
      <c r="H424" s="7" t="s">
        <v>633</v>
      </c>
      <c r="I424" s="7" t="s">
        <v>638</v>
      </c>
      <c r="J424" s="7" t="s">
        <v>2263</v>
      </c>
      <c r="K424" s="54" t="s">
        <v>2264</v>
      </c>
      <c r="L424" s="54" t="s">
        <v>2265</v>
      </c>
      <c r="M424" s="31" t="b">
        <v>0</v>
      </c>
      <c r="N424" s="31" t="b">
        <v>0</v>
      </c>
      <c r="O424" s="31"/>
      <c r="P424" s="31" t="b">
        <v>0</v>
      </c>
      <c r="Q424" s="31" t="b">
        <v>0</v>
      </c>
      <c r="R424" s="31" t="b">
        <v>0</v>
      </c>
      <c r="S424" s="31"/>
      <c r="T424" s="32"/>
      <c r="U424" s="31" t="b">
        <v>0</v>
      </c>
      <c r="V424" s="31"/>
      <c r="W424" s="31" t="b">
        <v>0</v>
      </c>
      <c r="X424" s="31" t="b">
        <v>0</v>
      </c>
      <c r="Y424" s="31"/>
      <c r="Z424" s="31"/>
      <c r="AA424" s="31"/>
      <c r="AB424" s="31"/>
      <c r="AC424" s="45"/>
      <c r="AD424" s="31"/>
      <c r="AE424" s="31"/>
      <c r="AF424" s="31"/>
      <c r="AG424" s="31"/>
      <c r="AH424" s="31"/>
      <c r="AI424" s="31"/>
      <c r="AJ424" s="7" t="s">
        <v>2266</v>
      </c>
      <c r="AK424" s="34" t="s">
        <v>698</v>
      </c>
      <c r="AL424" s="3" t="s">
        <v>699</v>
      </c>
      <c r="AM424" s="3" t="s">
        <v>735</v>
      </c>
      <c r="AN424" s="35" t="s">
        <v>2267</v>
      </c>
      <c r="AO424" s="24">
        <v>0.004907407407407407</v>
      </c>
      <c r="AP424" s="3" t="s">
        <v>2259</v>
      </c>
      <c r="AQ424" s="25"/>
      <c r="AR424" s="35" t="s">
        <v>2268</v>
      </c>
      <c r="AS424" s="7" t="b">
        <f>NOT(ISERROR(MATCH(A424,'Villages according to موسوعة ال'!C:C,0)))</f>
        <v>1</v>
      </c>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row>
    <row r="425">
      <c r="A425" s="7" t="s">
        <v>51</v>
      </c>
      <c r="B425" s="43" t="s">
        <v>52</v>
      </c>
      <c r="E425" s="25"/>
      <c r="F425" s="25"/>
      <c r="G425" s="84"/>
      <c r="H425" s="3" t="s">
        <v>2269</v>
      </c>
      <c r="I425" s="7" t="s">
        <v>616</v>
      </c>
      <c r="J425" s="7" t="s">
        <v>2270</v>
      </c>
      <c r="K425" s="54" t="s">
        <v>2271</v>
      </c>
      <c r="L425" s="54" t="s">
        <v>2272</v>
      </c>
      <c r="M425" s="31" t="b">
        <v>0</v>
      </c>
      <c r="N425" s="31" t="b">
        <v>0</v>
      </c>
      <c r="O425" s="31"/>
      <c r="P425" s="31" t="b">
        <v>0</v>
      </c>
      <c r="Q425" s="31" t="b">
        <v>0</v>
      </c>
      <c r="R425" s="31" t="b">
        <v>0</v>
      </c>
      <c r="S425" s="31"/>
      <c r="T425" s="32"/>
      <c r="U425" s="31" t="b">
        <v>0</v>
      </c>
      <c r="V425" s="31"/>
      <c r="W425" s="31" t="b">
        <v>0</v>
      </c>
      <c r="X425" s="31" t="b">
        <v>0</v>
      </c>
      <c r="Y425" s="31"/>
      <c r="Z425" s="31"/>
      <c r="AA425" s="31"/>
      <c r="AB425" s="31"/>
      <c r="AC425" s="45"/>
      <c r="AD425" s="31"/>
      <c r="AE425" s="31"/>
      <c r="AF425" s="31"/>
      <c r="AG425" s="31"/>
      <c r="AH425" s="31"/>
      <c r="AI425" s="31"/>
      <c r="AJ425" s="3"/>
      <c r="AK425" s="34" t="s">
        <v>631</v>
      </c>
      <c r="AL425" s="3" t="s">
        <v>937</v>
      </c>
      <c r="AM425" s="25"/>
      <c r="AN425" s="35" t="s">
        <v>2273</v>
      </c>
      <c r="AO425" s="24">
        <v>0.002662037037037037</v>
      </c>
      <c r="AP425" s="3" t="s">
        <v>2274</v>
      </c>
      <c r="AQ425" s="25"/>
      <c r="AR425" s="7" t="s">
        <v>633</v>
      </c>
      <c r="AS425" s="7" t="b">
        <f>NOT(ISERROR(MATCH(A425,'Villages according to موسوعة ال'!C:C,0)))</f>
        <v>1</v>
      </c>
      <c r="AT425" s="25"/>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row>
    <row r="426">
      <c r="A426" s="7" t="s">
        <v>90</v>
      </c>
      <c r="B426" s="43" t="s">
        <v>91</v>
      </c>
      <c r="C426" s="7" t="s">
        <v>91</v>
      </c>
      <c r="D426" s="7" t="s">
        <v>92</v>
      </c>
      <c r="E426" s="25"/>
      <c r="F426" s="25"/>
      <c r="G426" s="84"/>
      <c r="H426" s="3" t="s">
        <v>2275</v>
      </c>
      <c r="I426" s="7" t="s">
        <v>616</v>
      </c>
      <c r="J426" s="7" t="s">
        <v>2276</v>
      </c>
      <c r="K426" s="54" t="s">
        <v>2277</v>
      </c>
      <c r="L426" s="54" t="s">
        <v>2278</v>
      </c>
      <c r="M426" s="31" t="b">
        <v>0</v>
      </c>
      <c r="N426" s="31" t="b">
        <v>0</v>
      </c>
      <c r="O426" s="31"/>
      <c r="P426" s="31" t="b">
        <v>0</v>
      </c>
      <c r="Q426" s="31" t="b">
        <v>0</v>
      </c>
      <c r="R426" s="31" t="b">
        <v>0</v>
      </c>
      <c r="S426" s="31"/>
      <c r="T426" s="32"/>
      <c r="U426" s="31" t="b">
        <v>0</v>
      </c>
      <c r="V426" s="31"/>
      <c r="W426" s="31" t="b">
        <v>0</v>
      </c>
      <c r="X426" s="31" t="b">
        <v>0</v>
      </c>
      <c r="Y426" s="31"/>
      <c r="Z426" s="31"/>
      <c r="AA426" s="31"/>
      <c r="AB426" s="31"/>
      <c r="AC426" s="45"/>
      <c r="AD426" s="31"/>
      <c r="AE426" s="31"/>
      <c r="AF426" s="31"/>
      <c r="AG426" s="31"/>
      <c r="AH426" s="31"/>
      <c r="AI426" s="31"/>
      <c r="AJ426" s="3"/>
      <c r="AK426" s="34" t="s">
        <v>631</v>
      </c>
      <c r="AL426" s="3" t="s">
        <v>675</v>
      </c>
      <c r="AM426" s="3" t="s">
        <v>676</v>
      </c>
      <c r="AN426" s="35" t="s">
        <v>2279</v>
      </c>
      <c r="AO426" s="24">
        <v>7.87037037037037E-4</v>
      </c>
      <c r="AP426" s="3" t="s">
        <v>2280</v>
      </c>
      <c r="AQ426" s="3" t="s">
        <v>2252</v>
      </c>
      <c r="AR426" s="35" t="s">
        <v>2281</v>
      </c>
      <c r="AS426" s="7" t="b">
        <f>NOT(ISERROR(MATCH(A426,'Villages according to موسوعة ال'!C:C,0)))</f>
        <v>1</v>
      </c>
      <c r="AT426" s="25"/>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row>
    <row r="427">
      <c r="A427" s="7" t="s">
        <v>144</v>
      </c>
      <c r="B427" s="43" t="s">
        <v>145</v>
      </c>
      <c r="C427" s="7" t="s">
        <v>145</v>
      </c>
      <c r="D427" s="7" t="s">
        <v>146</v>
      </c>
      <c r="E427" s="7" t="s">
        <v>850</v>
      </c>
      <c r="F427" s="7" t="s">
        <v>692</v>
      </c>
      <c r="G427" s="28"/>
      <c r="H427" s="7" t="s">
        <v>2282</v>
      </c>
      <c r="I427" s="7" t="s">
        <v>616</v>
      </c>
      <c r="J427" s="7" t="s">
        <v>2283</v>
      </c>
      <c r="K427" s="54" t="s">
        <v>2284</v>
      </c>
      <c r="L427" s="47"/>
      <c r="M427" s="48" t="b">
        <v>0</v>
      </c>
      <c r="N427" s="48" t="b">
        <v>0</v>
      </c>
      <c r="O427" s="48"/>
      <c r="P427" s="48" t="b">
        <v>0</v>
      </c>
      <c r="Q427" s="48" t="b">
        <v>0</v>
      </c>
      <c r="R427" s="48" t="b">
        <v>0</v>
      </c>
      <c r="S427" s="48"/>
      <c r="T427" s="60"/>
      <c r="U427" s="48" t="b">
        <v>0</v>
      </c>
      <c r="V427" s="48"/>
      <c r="W427" s="48" t="b">
        <v>0</v>
      </c>
      <c r="X427" s="48" t="b">
        <v>0</v>
      </c>
      <c r="Y427" s="48"/>
      <c r="Z427" s="48"/>
      <c r="AA427" s="48"/>
      <c r="AB427" s="48"/>
      <c r="AC427" s="49"/>
      <c r="AD427" s="48"/>
      <c r="AE427" s="48"/>
      <c r="AF427" s="48"/>
      <c r="AG427" s="48"/>
      <c r="AH427" s="48"/>
      <c r="AI427" s="48"/>
      <c r="AJ427" s="25"/>
      <c r="AK427" s="34" t="s">
        <v>698</v>
      </c>
      <c r="AL427" s="25"/>
      <c r="AM427" s="25"/>
      <c r="AN427" s="35" t="s">
        <v>2285</v>
      </c>
      <c r="AO427" s="24">
        <v>0.0014699074074074074</v>
      </c>
      <c r="AP427" s="7" t="s">
        <v>2286</v>
      </c>
      <c r="AQ427" s="73">
        <v>43221.0</v>
      </c>
      <c r="AR427" s="35" t="s">
        <v>2287</v>
      </c>
      <c r="AS427" s="7" t="b">
        <f>NOT(ISERROR(MATCH(A427,'Villages according to موسوعة ال'!C:C,0)))</f>
        <v>1</v>
      </c>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row>
    <row r="428">
      <c r="A428" s="7" t="s">
        <v>144</v>
      </c>
      <c r="B428" s="43" t="s">
        <v>145</v>
      </c>
      <c r="E428" s="7"/>
      <c r="F428" s="7"/>
      <c r="G428" s="28"/>
      <c r="H428" s="7" t="s">
        <v>2288</v>
      </c>
      <c r="I428" s="7" t="s">
        <v>616</v>
      </c>
      <c r="J428" s="7" t="s">
        <v>2289</v>
      </c>
      <c r="K428" s="54" t="s">
        <v>2290</v>
      </c>
      <c r="L428" s="54"/>
      <c r="M428" s="60" t="b">
        <v>0</v>
      </c>
      <c r="N428" s="60" t="b">
        <v>0</v>
      </c>
      <c r="O428" s="60"/>
      <c r="P428" s="60" t="b">
        <v>0</v>
      </c>
      <c r="Q428" s="60" t="b">
        <v>0</v>
      </c>
      <c r="R428" s="60" t="b">
        <v>0</v>
      </c>
      <c r="S428" s="60"/>
      <c r="T428" s="60"/>
      <c r="U428" s="60" t="b">
        <v>0</v>
      </c>
      <c r="V428" s="60"/>
      <c r="W428" s="60" t="b">
        <v>0</v>
      </c>
      <c r="X428" s="60" t="b">
        <v>0</v>
      </c>
      <c r="Y428" s="60"/>
      <c r="Z428" s="60"/>
      <c r="AA428" s="60"/>
      <c r="AB428" s="60"/>
      <c r="AC428" s="61"/>
      <c r="AD428" s="60"/>
      <c r="AE428" s="60"/>
      <c r="AF428" s="60"/>
      <c r="AG428" s="60"/>
      <c r="AH428" s="60"/>
      <c r="AI428" s="60"/>
      <c r="AJ428" s="3" t="s">
        <v>2291</v>
      </c>
      <c r="AK428" s="34" t="s">
        <v>698</v>
      </c>
      <c r="AL428" s="25"/>
      <c r="AM428" s="25"/>
      <c r="AN428" s="35" t="s">
        <v>2292</v>
      </c>
      <c r="AO428" s="24">
        <v>0.003425925925925926</v>
      </c>
      <c r="AP428" s="7" t="s">
        <v>633</v>
      </c>
      <c r="AQ428" s="7" t="s">
        <v>633</v>
      </c>
      <c r="AR428" s="35" t="s">
        <v>2293</v>
      </c>
      <c r="AS428" s="7" t="b">
        <f>NOT(ISERROR(MATCH(A428,'Villages according to موسوعة ال'!C:C,0)))</f>
        <v>1</v>
      </c>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row>
    <row r="429">
      <c r="A429" s="7" t="s">
        <v>144</v>
      </c>
      <c r="B429" s="26" t="s">
        <v>145</v>
      </c>
      <c r="E429" s="7"/>
      <c r="F429" s="7"/>
      <c r="G429" s="28"/>
      <c r="H429" s="7" t="s">
        <v>2294</v>
      </c>
      <c r="I429" s="7" t="s">
        <v>638</v>
      </c>
      <c r="J429" s="7" t="s">
        <v>2295</v>
      </c>
      <c r="K429" s="54" t="s">
        <v>2296</v>
      </c>
      <c r="L429" s="54" t="s">
        <v>2297</v>
      </c>
      <c r="M429" s="31" t="b">
        <v>0</v>
      </c>
      <c r="N429" s="31" t="b">
        <v>0</v>
      </c>
      <c r="O429" s="31"/>
      <c r="P429" s="31" t="b">
        <v>0</v>
      </c>
      <c r="Q429" s="31" t="b">
        <v>0</v>
      </c>
      <c r="R429" s="31" t="b">
        <v>0</v>
      </c>
      <c r="S429" s="31"/>
      <c r="T429" s="32"/>
      <c r="U429" s="31" t="b">
        <v>0</v>
      </c>
      <c r="V429" s="31"/>
      <c r="W429" s="31" t="b">
        <v>0</v>
      </c>
      <c r="X429" s="31" t="b">
        <v>0</v>
      </c>
      <c r="Y429" s="31"/>
      <c r="Z429" s="31"/>
      <c r="AA429" s="31"/>
      <c r="AB429" s="31"/>
      <c r="AC429" s="45"/>
      <c r="AD429" s="31"/>
      <c r="AE429" s="31"/>
      <c r="AF429" s="31"/>
      <c r="AG429" s="31"/>
      <c r="AH429" s="31"/>
      <c r="AI429" s="31"/>
      <c r="AJ429" s="3" t="s">
        <v>2298</v>
      </c>
      <c r="AK429" s="34"/>
      <c r="AL429" s="25"/>
      <c r="AM429" s="25"/>
      <c r="AN429" s="35" t="s">
        <v>2299</v>
      </c>
      <c r="AO429" s="24">
        <v>0.0027314814814814814</v>
      </c>
      <c r="AP429" s="7"/>
      <c r="AQ429" s="25"/>
      <c r="AR429" s="7" t="s">
        <v>633</v>
      </c>
      <c r="AS429" s="7" t="b">
        <f>NOT(ISERROR(MATCH(A429,'Villages according to موسوعة ال'!C:C,0)))</f>
        <v>1</v>
      </c>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row>
    <row r="430">
      <c r="A430" s="7" t="s">
        <v>144</v>
      </c>
      <c r="B430" s="43" t="s">
        <v>145</v>
      </c>
      <c r="E430" s="7"/>
      <c r="F430" s="7"/>
      <c r="G430" s="28"/>
      <c r="H430" s="7" t="s">
        <v>2300</v>
      </c>
      <c r="I430" s="7" t="s">
        <v>638</v>
      </c>
      <c r="J430" s="7" t="s">
        <v>2301</v>
      </c>
      <c r="K430" s="54" t="s">
        <v>2302</v>
      </c>
      <c r="L430" s="54"/>
      <c r="M430" s="60" t="b">
        <v>0</v>
      </c>
      <c r="N430" s="60" t="b">
        <v>0</v>
      </c>
      <c r="O430" s="60"/>
      <c r="P430" s="60" t="b">
        <v>0</v>
      </c>
      <c r="Q430" s="60" t="b">
        <v>0</v>
      </c>
      <c r="R430" s="60" t="b">
        <v>0</v>
      </c>
      <c r="S430" s="60"/>
      <c r="T430" s="60"/>
      <c r="U430" s="60" t="b">
        <v>0</v>
      </c>
      <c r="V430" s="60"/>
      <c r="W430" s="60" t="b">
        <v>0</v>
      </c>
      <c r="X430" s="60" t="b">
        <v>0</v>
      </c>
      <c r="Y430" s="60"/>
      <c r="Z430" s="60"/>
      <c r="AA430" s="60"/>
      <c r="AB430" s="60"/>
      <c r="AC430" s="61"/>
      <c r="AD430" s="60"/>
      <c r="AE430" s="60"/>
      <c r="AF430" s="60"/>
      <c r="AG430" s="60"/>
      <c r="AH430" s="60"/>
      <c r="AI430" s="60"/>
      <c r="AJ430" s="3"/>
      <c r="AK430" s="34" t="s">
        <v>698</v>
      </c>
      <c r="AL430" s="25"/>
      <c r="AM430" s="25"/>
      <c r="AN430" s="35" t="s">
        <v>2303</v>
      </c>
      <c r="AO430" s="24">
        <v>0.005763888888888889</v>
      </c>
      <c r="AP430" s="7" t="s">
        <v>633</v>
      </c>
      <c r="AQ430" s="73">
        <v>37438.0</v>
      </c>
      <c r="AR430" s="35" t="s">
        <v>2304</v>
      </c>
      <c r="AS430" s="7" t="b">
        <f>NOT(ISERROR(MATCH(A430,'Villages according to موسوعة ال'!C:C,0)))</f>
        <v>1</v>
      </c>
      <c r="AT430" s="25"/>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row>
    <row r="431">
      <c r="A431" s="7" t="s">
        <v>144</v>
      </c>
      <c r="B431" s="43" t="s">
        <v>145</v>
      </c>
      <c r="E431" s="7"/>
      <c r="F431" s="7"/>
      <c r="G431" s="28"/>
      <c r="H431" s="7" t="s">
        <v>2305</v>
      </c>
      <c r="I431" s="7" t="s">
        <v>638</v>
      </c>
      <c r="J431" s="7" t="s">
        <v>2306</v>
      </c>
      <c r="K431" s="54" t="s">
        <v>2307</v>
      </c>
      <c r="L431" s="54" t="s">
        <v>2297</v>
      </c>
      <c r="M431" s="32" t="b">
        <v>1</v>
      </c>
      <c r="N431" s="60" t="b">
        <v>0</v>
      </c>
      <c r="O431" s="32" t="s">
        <v>965</v>
      </c>
      <c r="P431" s="60" t="b">
        <v>0</v>
      </c>
      <c r="Q431" s="60" t="b">
        <v>0</v>
      </c>
      <c r="R431" s="60" t="b">
        <v>0</v>
      </c>
      <c r="S431" s="32" t="s">
        <v>966</v>
      </c>
      <c r="T431" s="32" t="s">
        <v>1521</v>
      </c>
      <c r="U431" s="60" t="b">
        <v>0</v>
      </c>
      <c r="V431" s="60"/>
      <c r="W431" s="60" t="b">
        <v>0</v>
      </c>
      <c r="X431" s="60" t="b">
        <v>0</v>
      </c>
      <c r="Y431" s="60"/>
      <c r="Z431" s="60"/>
      <c r="AA431" s="32" t="s">
        <v>822</v>
      </c>
      <c r="AB431" s="32" t="s">
        <v>1193</v>
      </c>
      <c r="AC431" s="33" t="s">
        <v>672</v>
      </c>
      <c r="AD431" s="32" t="s">
        <v>686</v>
      </c>
      <c r="AE431" s="32" t="s">
        <v>711</v>
      </c>
      <c r="AF431" s="60"/>
      <c r="AG431" s="60"/>
      <c r="AH431" s="60"/>
      <c r="AI431" s="32" t="s">
        <v>1523</v>
      </c>
      <c r="AJ431" s="3" t="s">
        <v>2308</v>
      </c>
      <c r="AK431" s="34" t="s">
        <v>698</v>
      </c>
      <c r="AL431" s="3" t="s">
        <v>675</v>
      </c>
      <c r="AM431" s="3" t="s">
        <v>868</v>
      </c>
      <c r="AN431" s="35" t="s">
        <v>2309</v>
      </c>
      <c r="AO431" s="24">
        <v>0.0024074074074074076</v>
      </c>
      <c r="AP431" s="7" t="s">
        <v>633</v>
      </c>
      <c r="AQ431" s="73">
        <v>37439.0</v>
      </c>
      <c r="AR431" s="35" t="s">
        <v>2310</v>
      </c>
      <c r="AS431" s="7" t="b">
        <f>NOT(ISERROR(MATCH(A431,'Villages according to موسوعة ال'!C:C,0)))</f>
        <v>1</v>
      </c>
      <c r="AT431" s="25"/>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row>
    <row r="432">
      <c r="A432" s="7" t="s">
        <v>144</v>
      </c>
      <c r="B432" s="26" t="s">
        <v>145</v>
      </c>
      <c r="E432" s="7"/>
      <c r="F432" s="7"/>
      <c r="G432" s="28"/>
      <c r="H432" s="7" t="s">
        <v>2311</v>
      </c>
      <c r="I432" s="7" t="s">
        <v>638</v>
      </c>
      <c r="J432" s="7" t="s">
        <v>2312</v>
      </c>
      <c r="K432" s="54" t="s">
        <v>2313</v>
      </c>
      <c r="L432" s="54"/>
      <c r="M432" s="31" t="b">
        <v>0</v>
      </c>
      <c r="N432" s="31" t="b">
        <v>0</v>
      </c>
      <c r="O432" s="31"/>
      <c r="P432" s="31" t="b">
        <v>0</v>
      </c>
      <c r="Q432" s="31" t="b">
        <v>0</v>
      </c>
      <c r="R432" s="31" t="b">
        <v>0</v>
      </c>
      <c r="S432" s="31"/>
      <c r="T432" s="32"/>
      <c r="U432" s="31" t="b">
        <v>0</v>
      </c>
      <c r="V432" s="31"/>
      <c r="W432" s="31" t="b">
        <v>0</v>
      </c>
      <c r="X432" s="31" t="b">
        <v>0</v>
      </c>
      <c r="Y432" s="31"/>
      <c r="Z432" s="31"/>
      <c r="AA432" s="31"/>
      <c r="AB432" s="31"/>
      <c r="AC432" s="45"/>
      <c r="AD432" s="31"/>
      <c r="AE432" s="31"/>
      <c r="AF432" s="31"/>
      <c r="AG432" s="31"/>
      <c r="AH432" s="31"/>
      <c r="AI432" s="31"/>
      <c r="AJ432" s="3" t="s">
        <v>2314</v>
      </c>
      <c r="AK432" s="34"/>
      <c r="AL432" s="25"/>
      <c r="AM432" s="25"/>
      <c r="AN432" s="35" t="s">
        <v>2315</v>
      </c>
      <c r="AO432" s="24">
        <v>9.143518518518518E-4</v>
      </c>
      <c r="AP432" s="7" t="s">
        <v>633</v>
      </c>
      <c r="AQ432" s="7" t="s">
        <v>633</v>
      </c>
      <c r="AR432" s="7" t="s">
        <v>633</v>
      </c>
      <c r="AS432" s="7" t="b">
        <f>NOT(ISERROR(MATCH(A432,'Villages according to موسوعة ال'!C:C,0)))</f>
        <v>1</v>
      </c>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row>
    <row r="433">
      <c r="A433" s="7" t="s">
        <v>144</v>
      </c>
      <c r="B433" s="43" t="s">
        <v>145</v>
      </c>
      <c r="E433" s="7" t="s">
        <v>850</v>
      </c>
      <c r="F433" s="7" t="s">
        <v>692</v>
      </c>
      <c r="G433" s="28" t="s">
        <v>1545</v>
      </c>
      <c r="H433" s="7" t="s">
        <v>2316</v>
      </c>
      <c r="I433" s="7" t="s">
        <v>638</v>
      </c>
      <c r="J433" s="7" t="s">
        <v>2317</v>
      </c>
      <c r="K433" s="54" t="s">
        <v>2318</v>
      </c>
      <c r="L433" s="30" t="s">
        <v>2319</v>
      </c>
      <c r="M433" s="32" t="b">
        <v>1</v>
      </c>
      <c r="N433" s="60" t="b">
        <v>0</v>
      </c>
      <c r="O433" s="32" t="s">
        <v>661</v>
      </c>
      <c r="P433" s="60" t="b">
        <v>0</v>
      </c>
      <c r="Q433" s="60" t="b">
        <v>0</v>
      </c>
      <c r="R433" s="60" t="b">
        <v>0</v>
      </c>
      <c r="S433" s="32" t="s">
        <v>966</v>
      </c>
      <c r="T433" s="32" t="s">
        <v>1521</v>
      </c>
      <c r="U433" s="60" t="b">
        <v>0</v>
      </c>
      <c r="V433" s="32" t="s">
        <v>797</v>
      </c>
      <c r="W433" s="32" t="b">
        <v>1</v>
      </c>
      <c r="X433" s="60" t="b">
        <v>0</v>
      </c>
      <c r="Y433" s="32" t="s">
        <v>671</v>
      </c>
      <c r="Z433" s="60"/>
      <c r="AA433" s="60"/>
      <c r="AB433" s="60"/>
      <c r="AC433" s="61"/>
      <c r="AD433" s="32" t="s">
        <v>686</v>
      </c>
      <c r="AE433" s="60"/>
      <c r="AF433" s="60"/>
      <c r="AG433" s="60"/>
      <c r="AH433" s="60"/>
      <c r="AI433" s="32" t="s">
        <v>1523</v>
      </c>
      <c r="AJ433" s="3" t="s">
        <v>2320</v>
      </c>
      <c r="AK433" s="34" t="s">
        <v>698</v>
      </c>
      <c r="AL433" s="3" t="s">
        <v>675</v>
      </c>
      <c r="AM433" s="3" t="s">
        <v>907</v>
      </c>
      <c r="AN433" s="35" t="s">
        <v>2321</v>
      </c>
      <c r="AO433" s="24">
        <v>0.0013078703703703703</v>
      </c>
      <c r="AP433" s="7" t="s">
        <v>2322</v>
      </c>
      <c r="AQ433" s="73">
        <v>37439.0</v>
      </c>
      <c r="AR433" s="35" t="s">
        <v>2285</v>
      </c>
      <c r="AS433" s="7" t="b">
        <f>NOT(ISERROR(MATCH(A433,'Villages according to موسوعة ال'!C:C,0)))</f>
        <v>1</v>
      </c>
      <c r="AT433" s="25"/>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row>
    <row r="434">
      <c r="A434" s="7" t="s">
        <v>144</v>
      </c>
      <c r="B434" s="26" t="s">
        <v>145</v>
      </c>
      <c r="E434" s="7" t="s">
        <v>850</v>
      </c>
      <c r="F434" s="7" t="s">
        <v>692</v>
      </c>
      <c r="G434" s="28"/>
      <c r="H434" s="7" t="s">
        <v>2316</v>
      </c>
      <c r="I434" s="7" t="s">
        <v>638</v>
      </c>
      <c r="J434" s="7" t="s">
        <v>2317</v>
      </c>
      <c r="K434" s="54" t="s">
        <v>2323</v>
      </c>
      <c r="L434" s="30"/>
      <c r="M434" s="32" t="b">
        <v>0</v>
      </c>
      <c r="N434" s="32" t="b">
        <v>0</v>
      </c>
      <c r="O434" s="32"/>
      <c r="P434" s="32" t="b">
        <v>0</v>
      </c>
      <c r="Q434" s="32" t="b">
        <v>0</v>
      </c>
      <c r="R434" s="32" t="b">
        <v>0</v>
      </c>
      <c r="S434" s="32"/>
      <c r="T434" s="32"/>
      <c r="U434" s="32" t="b">
        <v>0</v>
      </c>
      <c r="V434" s="32"/>
      <c r="W434" s="32" t="b">
        <v>0</v>
      </c>
      <c r="X434" s="32" t="b">
        <v>0</v>
      </c>
      <c r="Y434" s="32"/>
      <c r="Z434" s="32"/>
      <c r="AA434" s="32"/>
      <c r="AB434" s="32"/>
      <c r="AC434" s="33"/>
      <c r="AD434" s="32"/>
      <c r="AE434" s="32"/>
      <c r="AF434" s="32"/>
      <c r="AG434" s="32"/>
      <c r="AH434" s="32"/>
      <c r="AI434" s="32"/>
      <c r="AJ434" s="3"/>
      <c r="AK434" s="34"/>
      <c r="AL434" s="25"/>
      <c r="AM434" s="25"/>
      <c r="AN434" s="35" t="s">
        <v>2324</v>
      </c>
      <c r="AO434" s="24">
        <v>0.00125</v>
      </c>
      <c r="AP434" s="7" t="s">
        <v>2322</v>
      </c>
      <c r="AQ434" s="73">
        <v>37439.0</v>
      </c>
      <c r="AR434" s="7" t="s">
        <v>633</v>
      </c>
      <c r="AS434" s="7" t="b">
        <f>NOT(ISERROR(MATCH(A434,'Villages according to موسوعة ال'!C:C,0)))</f>
        <v>1</v>
      </c>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row>
    <row r="435">
      <c r="A435" s="7" t="s">
        <v>144</v>
      </c>
      <c r="B435" s="26" t="s">
        <v>145</v>
      </c>
      <c r="E435" s="7" t="s">
        <v>850</v>
      </c>
      <c r="F435" s="7" t="s">
        <v>692</v>
      </c>
      <c r="G435" s="28"/>
      <c r="H435" s="7" t="s">
        <v>2316</v>
      </c>
      <c r="I435" s="7" t="s">
        <v>638</v>
      </c>
      <c r="J435" s="7" t="s">
        <v>2317</v>
      </c>
      <c r="K435" s="54" t="s">
        <v>2325</v>
      </c>
      <c r="L435" s="54"/>
      <c r="M435" s="31" t="b">
        <v>0</v>
      </c>
      <c r="N435" s="31" t="b">
        <v>0</v>
      </c>
      <c r="O435" s="31"/>
      <c r="P435" s="31" t="b">
        <v>0</v>
      </c>
      <c r="Q435" s="31" t="b">
        <v>0</v>
      </c>
      <c r="R435" s="31" t="b">
        <v>0</v>
      </c>
      <c r="S435" s="31"/>
      <c r="T435" s="32"/>
      <c r="U435" s="31" t="b">
        <v>0</v>
      </c>
      <c r="V435" s="31"/>
      <c r="W435" s="31" t="b">
        <v>0</v>
      </c>
      <c r="X435" s="31" t="b">
        <v>0</v>
      </c>
      <c r="Y435" s="31"/>
      <c r="Z435" s="31"/>
      <c r="AA435" s="31"/>
      <c r="AB435" s="31"/>
      <c r="AC435" s="45"/>
      <c r="AD435" s="31"/>
      <c r="AE435" s="31"/>
      <c r="AF435" s="31"/>
      <c r="AG435" s="31"/>
      <c r="AH435" s="31"/>
      <c r="AI435" s="31"/>
      <c r="AJ435" s="3"/>
      <c r="AK435" s="34"/>
      <c r="AL435" s="25"/>
      <c r="AM435" s="25"/>
      <c r="AN435" s="35" t="s">
        <v>2326</v>
      </c>
      <c r="AO435" s="24">
        <v>4.166666666666667E-4</v>
      </c>
      <c r="AP435" s="7" t="s">
        <v>2322</v>
      </c>
      <c r="AQ435" s="73">
        <v>37440.0</v>
      </c>
      <c r="AR435" s="7" t="s">
        <v>633</v>
      </c>
      <c r="AS435" s="7" t="b">
        <f>NOT(ISERROR(MATCH(A435,'Villages according to موسوعة ال'!C:C,0)))</f>
        <v>1</v>
      </c>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row>
    <row r="436">
      <c r="A436" s="7" t="s">
        <v>144</v>
      </c>
      <c r="B436" s="43" t="s">
        <v>145</v>
      </c>
      <c r="E436" s="7"/>
      <c r="F436" s="7"/>
      <c r="G436" s="28"/>
      <c r="H436" s="7" t="s">
        <v>2327</v>
      </c>
      <c r="I436" s="7" t="s">
        <v>638</v>
      </c>
      <c r="J436" s="7" t="s">
        <v>2328</v>
      </c>
      <c r="K436" s="54" t="s">
        <v>2329</v>
      </c>
      <c r="L436" s="54"/>
      <c r="M436" s="60" t="b">
        <v>0</v>
      </c>
      <c r="N436" s="60" t="b">
        <v>0</v>
      </c>
      <c r="O436" s="60"/>
      <c r="P436" s="60" t="b">
        <v>0</v>
      </c>
      <c r="Q436" s="60" t="b">
        <v>0</v>
      </c>
      <c r="R436" s="60" t="b">
        <v>0</v>
      </c>
      <c r="S436" s="60"/>
      <c r="T436" s="60"/>
      <c r="U436" s="60" t="b">
        <v>0</v>
      </c>
      <c r="V436" s="60"/>
      <c r="W436" s="60" t="b">
        <v>0</v>
      </c>
      <c r="X436" s="60" t="b">
        <v>0</v>
      </c>
      <c r="Y436" s="60"/>
      <c r="Z436" s="60"/>
      <c r="AA436" s="60"/>
      <c r="AB436" s="60"/>
      <c r="AC436" s="61"/>
      <c r="AD436" s="60"/>
      <c r="AE436" s="60"/>
      <c r="AF436" s="60"/>
      <c r="AG436" s="60"/>
      <c r="AH436" s="60"/>
      <c r="AI436" s="60"/>
      <c r="AJ436" s="81" t="s">
        <v>2330</v>
      </c>
      <c r="AK436" s="34" t="s">
        <v>698</v>
      </c>
      <c r="AL436" s="25"/>
      <c r="AM436" s="25"/>
      <c r="AN436" s="35" t="s">
        <v>2331</v>
      </c>
      <c r="AO436" s="24">
        <v>0.003923611111111111</v>
      </c>
      <c r="AP436" s="7" t="s">
        <v>2322</v>
      </c>
      <c r="AQ436" s="113">
        <v>37956.0</v>
      </c>
      <c r="AR436" s="35" t="s">
        <v>2332</v>
      </c>
      <c r="AS436" s="7" t="b">
        <f>NOT(ISERROR(MATCH(A436,'Villages according to موسوعة ال'!C:C,0)))</f>
        <v>1</v>
      </c>
      <c r="AT436" s="25"/>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row>
    <row r="437">
      <c r="A437" s="7" t="s">
        <v>144</v>
      </c>
      <c r="B437" s="26" t="s">
        <v>145</v>
      </c>
      <c r="E437" s="7" t="s">
        <v>850</v>
      </c>
      <c r="F437" s="7" t="s">
        <v>692</v>
      </c>
      <c r="G437" s="28"/>
      <c r="H437" s="7" t="s">
        <v>2333</v>
      </c>
      <c r="I437" s="7" t="s">
        <v>638</v>
      </c>
      <c r="J437" s="7" t="s">
        <v>2334</v>
      </c>
      <c r="K437" s="54" t="s">
        <v>2335</v>
      </c>
      <c r="L437" s="54"/>
      <c r="M437" s="31" t="b">
        <v>0</v>
      </c>
      <c r="N437" s="31" t="b">
        <v>0</v>
      </c>
      <c r="O437" s="31"/>
      <c r="P437" s="31" t="b">
        <v>0</v>
      </c>
      <c r="Q437" s="31" t="b">
        <v>0</v>
      </c>
      <c r="R437" s="31" t="b">
        <v>0</v>
      </c>
      <c r="S437" s="31"/>
      <c r="T437" s="32"/>
      <c r="U437" s="31" t="b">
        <v>0</v>
      </c>
      <c r="V437" s="31"/>
      <c r="W437" s="31" t="b">
        <v>0</v>
      </c>
      <c r="X437" s="31" t="b">
        <v>0</v>
      </c>
      <c r="Y437" s="31"/>
      <c r="Z437" s="31"/>
      <c r="AA437" s="31"/>
      <c r="AB437" s="31"/>
      <c r="AC437" s="45"/>
      <c r="AD437" s="31"/>
      <c r="AE437" s="31"/>
      <c r="AF437" s="31"/>
      <c r="AG437" s="31"/>
      <c r="AH437" s="31"/>
      <c r="AI437" s="31"/>
      <c r="AJ437" s="3"/>
      <c r="AK437" s="34"/>
      <c r="AL437" s="25"/>
      <c r="AM437" s="25"/>
      <c r="AN437" s="35" t="s">
        <v>2336</v>
      </c>
      <c r="AO437" s="24">
        <v>0.0013425925925925925</v>
      </c>
      <c r="AP437" s="7" t="s">
        <v>2322</v>
      </c>
      <c r="AQ437" s="7" t="s">
        <v>633</v>
      </c>
      <c r="AR437" s="36" t="s">
        <v>633</v>
      </c>
      <c r="AS437" s="7" t="b">
        <f>NOT(ISERROR(MATCH(A437,'Villages according to موسوعة ال'!C:C,0)))</f>
        <v>1</v>
      </c>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row>
    <row r="438">
      <c r="A438" s="7" t="s">
        <v>144</v>
      </c>
      <c r="B438" s="26" t="s">
        <v>145</v>
      </c>
      <c r="E438" s="7" t="s">
        <v>850</v>
      </c>
      <c r="F438" s="7" t="s">
        <v>692</v>
      </c>
      <c r="G438" s="28"/>
      <c r="H438" s="7" t="s">
        <v>2337</v>
      </c>
      <c r="I438" s="7" t="s">
        <v>638</v>
      </c>
      <c r="J438" s="7" t="s">
        <v>2338</v>
      </c>
      <c r="K438" s="54" t="s">
        <v>2339</v>
      </c>
      <c r="L438" s="54"/>
      <c r="M438" s="31" t="b">
        <v>0</v>
      </c>
      <c r="N438" s="31" t="b">
        <v>0</v>
      </c>
      <c r="O438" s="31"/>
      <c r="P438" s="31" t="b">
        <v>0</v>
      </c>
      <c r="Q438" s="31" t="b">
        <v>0</v>
      </c>
      <c r="R438" s="31" t="b">
        <v>0</v>
      </c>
      <c r="S438" s="31"/>
      <c r="T438" s="32"/>
      <c r="U438" s="31" t="b">
        <v>0</v>
      </c>
      <c r="V438" s="31"/>
      <c r="W438" s="31" t="b">
        <v>0</v>
      </c>
      <c r="X438" s="31" t="b">
        <v>0</v>
      </c>
      <c r="Y438" s="31"/>
      <c r="Z438" s="31"/>
      <c r="AA438" s="31"/>
      <c r="AB438" s="31"/>
      <c r="AC438" s="45"/>
      <c r="AD438" s="31"/>
      <c r="AE438" s="31"/>
      <c r="AF438" s="31"/>
      <c r="AG438" s="31"/>
      <c r="AH438" s="31"/>
      <c r="AI438" s="31"/>
      <c r="AJ438" s="3"/>
      <c r="AK438" s="34"/>
      <c r="AL438" s="25"/>
      <c r="AM438" s="25"/>
      <c r="AN438" s="35" t="s">
        <v>2340</v>
      </c>
      <c r="AO438" s="24">
        <v>0.0021412037037037038</v>
      </c>
      <c r="AP438" s="7" t="s">
        <v>2322</v>
      </c>
      <c r="AQ438" s="25"/>
      <c r="AR438" s="7" t="s">
        <v>633</v>
      </c>
      <c r="AS438" s="7" t="b">
        <f>NOT(ISERROR(MATCH(A438,'Villages according to موسوعة ال'!C:C,0)))</f>
        <v>1</v>
      </c>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row>
    <row r="439">
      <c r="A439" s="7" t="s">
        <v>144</v>
      </c>
      <c r="B439" s="26" t="s">
        <v>145</v>
      </c>
      <c r="E439" s="7"/>
      <c r="F439" s="7"/>
      <c r="G439" s="28"/>
      <c r="H439" s="7" t="s">
        <v>2341</v>
      </c>
      <c r="I439" s="7" t="s">
        <v>638</v>
      </c>
      <c r="J439" s="7" t="s">
        <v>2342</v>
      </c>
      <c r="K439" s="54" t="s">
        <v>2343</v>
      </c>
      <c r="L439" s="54"/>
      <c r="M439" s="31" t="b">
        <v>0</v>
      </c>
      <c r="N439" s="31" t="b">
        <v>0</v>
      </c>
      <c r="O439" s="32"/>
      <c r="P439" s="32" t="b">
        <v>0</v>
      </c>
      <c r="Q439" s="31" t="b">
        <v>0</v>
      </c>
      <c r="R439" s="31" t="b">
        <v>0</v>
      </c>
      <c r="S439" s="32"/>
      <c r="T439" s="32"/>
      <c r="U439" s="32"/>
      <c r="V439" s="31"/>
      <c r="W439" s="31" t="b">
        <v>0</v>
      </c>
      <c r="X439" s="31" t="b">
        <v>0</v>
      </c>
      <c r="Y439" s="31"/>
      <c r="Z439" s="31"/>
      <c r="AA439" s="31"/>
      <c r="AB439" s="31"/>
      <c r="AC439" s="33"/>
      <c r="AD439" s="32"/>
      <c r="AE439" s="31"/>
      <c r="AF439" s="31"/>
      <c r="AG439" s="31"/>
      <c r="AH439" s="32"/>
      <c r="AI439" s="32"/>
      <c r="AJ439" s="3"/>
      <c r="AK439" s="34"/>
      <c r="AL439" s="25"/>
      <c r="AM439" s="25"/>
      <c r="AN439" s="35" t="s">
        <v>2344</v>
      </c>
      <c r="AO439" s="24">
        <v>0.0011458333333333333</v>
      </c>
      <c r="AP439" s="7" t="s">
        <v>2322</v>
      </c>
      <c r="AQ439" s="25"/>
      <c r="AR439" s="7" t="s">
        <v>633</v>
      </c>
      <c r="AS439" s="7" t="b">
        <f>NOT(ISERROR(MATCH(A439,'Villages according to موسوعة ال'!C:C,0)))</f>
        <v>1</v>
      </c>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row>
    <row r="440">
      <c r="A440" s="3" t="s">
        <v>2345</v>
      </c>
      <c r="B440" s="26" t="s">
        <v>2346</v>
      </c>
      <c r="C440" s="7" t="s">
        <v>2346</v>
      </c>
      <c r="D440" s="7" t="s">
        <v>2347</v>
      </c>
      <c r="E440" s="7" t="s">
        <v>2348</v>
      </c>
      <c r="F440" s="7" t="s">
        <v>2349</v>
      </c>
      <c r="G440" s="28"/>
      <c r="H440" s="7" t="s">
        <v>2350</v>
      </c>
      <c r="I440" s="7" t="s">
        <v>616</v>
      </c>
      <c r="J440" s="7" t="s">
        <v>2351</v>
      </c>
      <c r="K440" s="54" t="s">
        <v>2352</v>
      </c>
      <c r="L440" s="3" t="s">
        <v>2353</v>
      </c>
      <c r="M440" s="31" t="b">
        <v>0</v>
      </c>
      <c r="N440" s="31" t="b">
        <v>0</v>
      </c>
      <c r="O440" s="32" t="s">
        <v>965</v>
      </c>
      <c r="P440" s="32" t="b">
        <v>1</v>
      </c>
      <c r="Q440" s="31" t="b">
        <v>0</v>
      </c>
      <c r="R440" s="31" t="b">
        <v>0</v>
      </c>
      <c r="S440" s="32" t="s">
        <v>966</v>
      </c>
      <c r="T440" s="32" t="s">
        <v>1521</v>
      </c>
      <c r="U440" s="32" t="b">
        <v>1</v>
      </c>
      <c r="V440" s="31"/>
      <c r="W440" s="31" t="b">
        <v>0</v>
      </c>
      <c r="X440" s="31" t="b">
        <v>0</v>
      </c>
      <c r="Y440" s="31"/>
      <c r="Z440" s="31"/>
      <c r="AA440" s="31"/>
      <c r="AB440" s="31"/>
      <c r="AC440" s="33" t="s">
        <v>672</v>
      </c>
      <c r="AD440" s="32" t="s">
        <v>686</v>
      </c>
      <c r="AE440" s="31"/>
      <c r="AF440" s="31"/>
      <c r="AG440" s="31"/>
      <c r="AH440" s="32" t="s">
        <v>1765</v>
      </c>
      <c r="AI440" s="32" t="s">
        <v>673</v>
      </c>
      <c r="AK440" s="34" t="s">
        <v>631</v>
      </c>
      <c r="AL440" s="3" t="s">
        <v>675</v>
      </c>
      <c r="AM440" s="3" t="s">
        <v>907</v>
      </c>
      <c r="AN440" s="35" t="s">
        <v>2354</v>
      </c>
      <c r="AO440" s="24">
        <v>0.001851851851851852</v>
      </c>
      <c r="AP440" s="7"/>
      <c r="AQ440" s="25"/>
      <c r="AR440" s="35" t="s">
        <v>2355</v>
      </c>
      <c r="AS440" s="7" t="b">
        <f>NOT(ISERROR(MATCH(A440,'Villages according to موسوعة ال'!C:C,0)))</f>
        <v>1</v>
      </c>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row>
    <row r="441">
      <c r="A441" s="3" t="s">
        <v>2345</v>
      </c>
      <c r="B441" s="43" t="s">
        <v>2346</v>
      </c>
      <c r="E441" s="7" t="s">
        <v>2356</v>
      </c>
      <c r="F441" s="7" t="s">
        <v>692</v>
      </c>
      <c r="G441" s="28"/>
      <c r="H441" s="7" t="s">
        <v>2357</v>
      </c>
      <c r="I441" s="7" t="s">
        <v>616</v>
      </c>
      <c r="J441" s="7" t="s">
        <v>2358</v>
      </c>
      <c r="K441" s="54" t="s">
        <v>2359</v>
      </c>
      <c r="L441" s="54" t="s">
        <v>2360</v>
      </c>
      <c r="M441" s="60" t="b">
        <v>0</v>
      </c>
      <c r="N441" s="60" t="b">
        <v>0</v>
      </c>
      <c r="O441" s="60"/>
      <c r="P441" s="60" t="b">
        <v>0</v>
      </c>
      <c r="Q441" s="60" t="b">
        <v>0</v>
      </c>
      <c r="R441" s="60" t="b">
        <v>0</v>
      </c>
      <c r="S441" s="60"/>
      <c r="T441" s="60"/>
      <c r="U441" s="60" t="b">
        <v>0</v>
      </c>
      <c r="V441" s="60"/>
      <c r="W441" s="60" t="b">
        <v>0</v>
      </c>
      <c r="X441" s="60" t="b">
        <v>0</v>
      </c>
      <c r="Y441" s="60"/>
      <c r="Z441" s="60"/>
      <c r="AA441" s="60"/>
      <c r="AB441" s="60"/>
      <c r="AC441" s="61"/>
      <c r="AD441" s="60"/>
      <c r="AE441" s="60"/>
      <c r="AF441" s="60"/>
      <c r="AG441" s="60"/>
      <c r="AH441" s="60"/>
      <c r="AI441" s="60"/>
      <c r="AJ441" s="3"/>
      <c r="AK441" s="34" t="s">
        <v>698</v>
      </c>
      <c r="AL441" s="25"/>
      <c r="AM441" s="25"/>
      <c r="AN441" s="35" t="s">
        <v>2361</v>
      </c>
      <c r="AO441" s="24">
        <v>0.0021759259259259258</v>
      </c>
      <c r="AP441" s="7"/>
      <c r="AQ441" s="7">
        <v>2018.0</v>
      </c>
      <c r="AR441" s="35" t="s">
        <v>2362</v>
      </c>
      <c r="AS441" s="7" t="b">
        <f>NOT(ISERROR(MATCH(A441,'Villages according to موسوعة ال'!C:C,0)))</f>
        <v>1</v>
      </c>
      <c r="AT441" s="25"/>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row>
    <row r="442">
      <c r="A442" s="3" t="s">
        <v>2345</v>
      </c>
      <c r="B442" s="26" t="s">
        <v>2346</v>
      </c>
      <c r="E442" s="7" t="s">
        <v>826</v>
      </c>
      <c r="F442" s="7" t="s">
        <v>638</v>
      </c>
      <c r="G442" s="28"/>
      <c r="H442" s="7" t="s">
        <v>2363</v>
      </c>
      <c r="I442" s="7" t="s">
        <v>638</v>
      </c>
      <c r="J442" s="7" t="s">
        <v>2364</v>
      </c>
      <c r="K442" s="54"/>
      <c r="L442" s="54" t="s">
        <v>2365</v>
      </c>
      <c r="M442" s="31" t="b">
        <v>0</v>
      </c>
      <c r="N442" s="31" t="b">
        <v>0</v>
      </c>
      <c r="O442" s="31"/>
      <c r="P442" s="31" t="b">
        <v>0</v>
      </c>
      <c r="Q442" s="31" t="b">
        <v>0</v>
      </c>
      <c r="R442" s="31" t="b">
        <v>0</v>
      </c>
      <c r="S442" s="31"/>
      <c r="T442" s="32"/>
      <c r="U442" s="31" t="b">
        <v>0</v>
      </c>
      <c r="V442" s="31"/>
      <c r="W442" s="31" t="b">
        <v>0</v>
      </c>
      <c r="X442" s="31" t="b">
        <v>0</v>
      </c>
      <c r="Y442" s="31"/>
      <c r="Z442" s="31"/>
      <c r="AA442" s="31"/>
      <c r="AB442" s="31"/>
      <c r="AC442" s="45"/>
      <c r="AD442" s="31"/>
      <c r="AE442" s="31"/>
      <c r="AF442" s="31"/>
      <c r="AG442" s="31"/>
      <c r="AH442" s="31"/>
      <c r="AI442" s="31"/>
      <c r="AJ442" s="3" t="s">
        <v>2366</v>
      </c>
      <c r="AK442" s="34"/>
      <c r="AL442" s="25"/>
      <c r="AM442" s="25"/>
      <c r="AN442" s="35" t="s">
        <v>2367</v>
      </c>
      <c r="AO442" s="24">
        <v>7.638888888888889E-4</v>
      </c>
      <c r="AP442" s="7" t="s">
        <v>2368</v>
      </c>
      <c r="AQ442" s="7">
        <v>2025.0</v>
      </c>
      <c r="AR442" s="7" t="s">
        <v>633</v>
      </c>
      <c r="AS442" s="7" t="b">
        <f>NOT(ISERROR(MATCH(A442,'Villages according to موسوعة ال'!C:C,0)))</f>
        <v>1</v>
      </c>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row>
    <row r="443">
      <c r="A443" s="3" t="s">
        <v>2345</v>
      </c>
      <c r="B443" s="26" t="s">
        <v>2346</v>
      </c>
      <c r="F443" s="7" t="s">
        <v>638</v>
      </c>
      <c r="G443" s="28"/>
      <c r="K443" s="54"/>
      <c r="L443" s="54"/>
      <c r="M443" s="31" t="b">
        <v>0</v>
      </c>
      <c r="N443" s="31" t="b">
        <v>0</v>
      </c>
      <c r="O443" s="31"/>
      <c r="P443" s="31" t="b">
        <v>0</v>
      </c>
      <c r="Q443" s="31" t="b">
        <v>0</v>
      </c>
      <c r="R443" s="31" t="b">
        <v>0</v>
      </c>
      <c r="S443" s="31"/>
      <c r="T443" s="32"/>
      <c r="U443" s="31" t="b">
        <v>0</v>
      </c>
      <c r="V443" s="31"/>
      <c r="W443" s="31" t="b">
        <v>0</v>
      </c>
      <c r="X443" s="31" t="b">
        <v>0</v>
      </c>
      <c r="Y443" s="31"/>
      <c r="Z443" s="31"/>
      <c r="AA443" s="31"/>
      <c r="AB443" s="31"/>
      <c r="AC443" s="45"/>
      <c r="AD443" s="31"/>
      <c r="AE443" s="31"/>
      <c r="AF443" s="31"/>
      <c r="AG443" s="31"/>
      <c r="AH443" s="31"/>
      <c r="AI443" s="31"/>
      <c r="AJ443" s="3"/>
      <c r="AK443" s="34"/>
      <c r="AL443" s="25"/>
      <c r="AM443" s="25"/>
      <c r="AN443" s="35" t="s">
        <v>2369</v>
      </c>
      <c r="AO443" s="24">
        <v>9.027777777777777E-4</v>
      </c>
      <c r="AP443" s="7" t="s">
        <v>2368</v>
      </c>
      <c r="AQ443" s="7">
        <v>2025.0</v>
      </c>
      <c r="AR443" s="7" t="s">
        <v>633</v>
      </c>
      <c r="AS443" s="7" t="b">
        <f>NOT(ISERROR(MATCH(A443,'Villages according to موسوعة ال'!C:C,0)))</f>
        <v>1</v>
      </c>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row>
    <row r="444">
      <c r="A444" s="3" t="s">
        <v>156</v>
      </c>
      <c r="B444" s="43" t="s">
        <v>2370</v>
      </c>
      <c r="C444" s="7" t="s">
        <v>2371</v>
      </c>
      <c r="D444" s="7" t="s">
        <v>2372</v>
      </c>
      <c r="E444" s="7" t="s">
        <v>691</v>
      </c>
      <c r="F444" s="7" t="s">
        <v>692</v>
      </c>
      <c r="G444" s="28"/>
      <c r="H444" s="7" t="s">
        <v>2373</v>
      </c>
      <c r="I444" s="7" t="s">
        <v>638</v>
      </c>
      <c r="J444" s="7" t="s">
        <v>2374</v>
      </c>
      <c r="K444" s="54" t="s">
        <v>2375</v>
      </c>
      <c r="L444" s="54" t="s">
        <v>2376</v>
      </c>
      <c r="M444" s="31" t="b">
        <v>0</v>
      </c>
      <c r="N444" s="31" t="b">
        <v>0</v>
      </c>
      <c r="O444" s="31"/>
      <c r="P444" s="31" t="b">
        <v>0</v>
      </c>
      <c r="Q444" s="31" t="b">
        <v>0</v>
      </c>
      <c r="R444" s="31" t="b">
        <v>0</v>
      </c>
      <c r="S444" s="31"/>
      <c r="T444" s="32"/>
      <c r="U444" s="31" t="b">
        <v>0</v>
      </c>
      <c r="V444" s="31"/>
      <c r="W444" s="31" t="b">
        <v>0</v>
      </c>
      <c r="X444" s="31" t="b">
        <v>0</v>
      </c>
      <c r="Y444" s="31"/>
      <c r="Z444" s="31"/>
      <c r="AA444" s="31"/>
      <c r="AB444" s="31"/>
      <c r="AC444" s="45"/>
      <c r="AD444" s="31"/>
      <c r="AE444" s="31"/>
      <c r="AF444" s="31"/>
      <c r="AG444" s="31"/>
      <c r="AH444" s="31"/>
      <c r="AI444" s="31"/>
      <c r="AJ444" s="3"/>
      <c r="AK444" s="34" t="s">
        <v>698</v>
      </c>
      <c r="AL444" s="3" t="s">
        <v>699</v>
      </c>
      <c r="AM444" s="3" t="s">
        <v>831</v>
      </c>
      <c r="AN444" s="35" t="s">
        <v>2377</v>
      </c>
      <c r="AO444" s="24">
        <v>0.001400462962962963</v>
      </c>
      <c r="AP444" s="7" t="s">
        <v>2286</v>
      </c>
      <c r="AQ444" s="73">
        <v>43221.0</v>
      </c>
      <c r="AR444" s="35" t="s">
        <v>2378</v>
      </c>
      <c r="AS444" s="7" t="b">
        <f>NOT(ISERROR(MATCH(A444,'Villages according to موسوعة ال'!C:C,0)))</f>
        <v>1</v>
      </c>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row>
    <row r="445">
      <c r="A445" s="3" t="s">
        <v>156</v>
      </c>
      <c r="B445" s="26" t="s">
        <v>2370</v>
      </c>
      <c r="E445" s="7" t="s">
        <v>2379</v>
      </c>
      <c r="F445" s="7" t="s">
        <v>692</v>
      </c>
      <c r="G445" s="28"/>
      <c r="H445" s="7" t="s">
        <v>2380</v>
      </c>
      <c r="I445" s="7" t="s">
        <v>616</v>
      </c>
      <c r="J445" s="7" t="s">
        <v>2381</v>
      </c>
      <c r="K445" s="54" t="s">
        <v>2382</v>
      </c>
      <c r="L445" s="54" t="s">
        <v>2383</v>
      </c>
      <c r="M445" s="31" t="b">
        <v>0</v>
      </c>
      <c r="N445" s="31" t="b">
        <v>0</v>
      </c>
      <c r="O445" s="31"/>
      <c r="P445" s="31" t="b">
        <v>0</v>
      </c>
      <c r="Q445" s="31" t="b">
        <v>0</v>
      </c>
      <c r="R445" s="31" t="b">
        <v>0</v>
      </c>
      <c r="S445" s="31"/>
      <c r="T445" s="32"/>
      <c r="U445" s="31" t="b">
        <v>0</v>
      </c>
      <c r="V445" s="31"/>
      <c r="W445" s="31" t="b">
        <v>0</v>
      </c>
      <c r="X445" s="31" t="b">
        <v>0</v>
      </c>
      <c r="Y445" s="31"/>
      <c r="Z445" s="31"/>
      <c r="AA445" s="31"/>
      <c r="AB445" s="31"/>
      <c r="AC445" s="45"/>
      <c r="AD445" s="31"/>
      <c r="AE445" s="31"/>
      <c r="AF445" s="31"/>
      <c r="AG445" s="31"/>
      <c r="AH445" s="31"/>
      <c r="AI445" s="31"/>
      <c r="AJ445" s="3"/>
      <c r="AK445" s="34" t="s">
        <v>636</v>
      </c>
      <c r="AL445" s="25"/>
      <c r="AM445" s="25"/>
      <c r="AN445" s="35" t="s">
        <v>2384</v>
      </c>
      <c r="AO445" s="24">
        <v>0.001724537037037037</v>
      </c>
      <c r="AP445" s="7" t="s">
        <v>2286</v>
      </c>
      <c r="AQ445" s="73">
        <v>43221.0</v>
      </c>
      <c r="AR445" s="35" t="s">
        <v>2385</v>
      </c>
      <c r="AS445" s="7" t="b">
        <f>NOT(ISERROR(MATCH(A445,'Villages according to موسوعة ال'!C:C,0)))</f>
        <v>1</v>
      </c>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row>
    <row r="446">
      <c r="A446" s="3" t="s">
        <v>156</v>
      </c>
      <c r="B446" s="26" t="s">
        <v>2370</v>
      </c>
      <c r="E446" s="7" t="s">
        <v>691</v>
      </c>
      <c r="F446" s="7" t="s">
        <v>692</v>
      </c>
      <c r="G446" s="28"/>
      <c r="H446" s="7" t="s">
        <v>2386</v>
      </c>
      <c r="I446" s="7" t="s">
        <v>616</v>
      </c>
      <c r="J446" s="7" t="s">
        <v>2387</v>
      </c>
      <c r="K446" s="54" t="s">
        <v>2388</v>
      </c>
      <c r="L446" s="54" t="s">
        <v>2389</v>
      </c>
      <c r="M446" s="31" t="b">
        <v>0</v>
      </c>
      <c r="N446" s="31" t="b">
        <v>0</v>
      </c>
      <c r="O446" s="31"/>
      <c r="P446" s="31" t="b">
        <v>0</v>
      </c>
      <c r="Q446" s="31" t="b">
        <v>0</v>
      </c>
      <c r="R446" s="31" t="b">
        <v>0</v>
      </c>
      <c r="S446" s="31"/>
      <c r="T446" s="32"/>
      <c r="U446" s="31" t="b">
        <v>0</v>
      </c>
      <c r="V446" s="31"/>
      <c r="W446" s="31" t="b">
        <v>0</v>
      </c>
      <c r="X446" s="31" t="b">
        <v>0</v>
      </c>
      <c r="Y446" s="31"/>
      <c r="Z446" s="31"/>
      <c r="AA446" s="31"/>
      <c r="AB446" s="31"/>
      <c r="AC446" s="45"/>
      <c r="AD446" s="31"/>
      <c r="AE446" s="31"/>
      <c r="AF446" s="31"/>
      <c r="AG446" s="31"/>
      <c r="AH446" s="31"/>
      <c r="AI446" s="31"/>
      <c r="AJ446" s="3"/>
      <c r="AK446" s="34" t="s">
        <v>636</v>
      </c>
      <c r="AL446" s="25"/>
      <c r="AM446" s="25"/>
      <c r="AN446" s="35" t="s">
        <v>2390</v>
      </c>
      <c r="AO446" s="24">
        <v>0.001712962962962963</v>
      </c>
      <c r="AP446" s="25"/>
      <c r="AQ446" s="25"/>
      <c r="AR446" s="7" t="s">
        <v>633</v>
      </c>
      <c r="AS446" s="7" t="b">
        <f>NOT(ISERROR(MATCH(A446,'Villages according to موسوعة ال'!C:C,0)))</f>
        <v>1</v>
      </c>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row>
    <row r="447">
      <c r="A447" s="3" t="s">
        <v>156</v>
      </c>
      <c r="B447" s="26" t="s">
        <v>2370</v>
      </c>
      <c r="E447" s="7" t="s">
        <v>1809</v>
      </c>
      <c r="F447" s="7" t="s">
        <v>692</v>
      </c>
      <c r="G447" s="28"/>
      <c r="H447" s="7" t="s">
        <v>2391</v>
      </c>
      <c r="I447" s="7" t="s">
        <v>638</v>
      </c>
      <c r="J447" s="7" t="s">
        <v>2392</v>
      </c>
      <c r="K447" s="54" t="s">
        <v>2393</v>
      </c>
      <c r="L447" s="54" t="s">
        <v>2394</v>
      </c>
      <c r="M447" s="31" t="b">
        <v>0</v>
      </c>
      <c r="N447" s="31" t="b">
        <v>0</v>
      </c>
      <c r="O447" s="31"/>
      <c r="P447" s="31" t="b">
        <v>0</v>
      </c>
      <c r="Q447" s="31" t="b">
        <v>0</v>
      </c>
      <c r="R447" s="31" t="b">
        <v>0</v>
      </c>
      <c r="S447" s="31"/>
      <c r="T447" s="32"/>
      <c r="U447" s="31" t="b">
        <v>0</v>
      </c>
      <c r="V447" s="31"/>
      <c r="W447" s="31" t="b">
        <v>0</v>
      </c>
      <c r="X447" s="31" t="b">
        <v>0</v>
      </c>
      <c r="Y447" s="31"/>
      <c r="Z447" s="31"/>
      <c r="AA447" s="31"/>
      <c r="AB447" s="31"/>
      <c r="AC447" s="45"/>
      <c r="AD447" s="31"/>
      <c r="AE447" s="31"/>
      <c r="AF447" s="31"/>
      <c r="AG447" s="31"/>
      <c r="AH447" s="31"/>
      <c r="AI447" s="31"/>
      <c r="AJ447" s="3"/>
      <c r="AK447" s="34" t="s">
        <v>636</v>
      </c>
      <c r="AL447" s="25"/>
      <c r="AM447" s="25"/>
      <c r="AN447" s="35" t="s">
        <v>2395</v>
      </c>
      <c r="AO447" s="24">
        <v>0.0017824074074074075</v>
      </c>
      <c r="AP447" s="25"/>
      <c r="AQ447" s="25"/>
      <c r="AR447" s="7" t="s">
        <v>633</v>
      </c>
      <c r="AS447" s="7" t="b">
        <f>NOT(ISERROR(MATCH(A447,'Villages according to موسوعة ال'!C:C,0)))</f>
        <v>1</v>
      </c>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row>
    <row r="448">
      <c r="A448" s="3" t="s">
        <v>156</v>
      </c>
      <c r="B448" s="43" t="s">
        <v>2370</v>
      </c>
      <c r="E448" s="7" t="s">
        <v>1809</v>
      </c>
      <c r="F448" s="7" t="s">
        <v>692</v>
      </c>
      <c r="G448" s="28"/>
      <c r="H448" s="7" t="s">
        <v>2396</v>
      </c>
      <c r="I448" s="7" t="s">
        <v>638</v>
      </c>
      <c r="J448" s="7" t="s">
        <v>2397</v>
      </c>
      <c r="K448" s="54" t="s">
        <v>2398</v>
      </c>
      <c r="L448" s="54" t="s">
        <v>2399</v>
      </c>
      <c r="M448" s="31" t="b">
        <v>0</v>
      </c>
      <c r="N448" s="31" t="b">
        <v>0</v>
      </c>
      <c r="O448" s="31"/>
      <c r="P448" s="31" t="b">
        <v>0</v>
      </c>
      <c r="Q448" s="31" t="b">
        <v>0</v>
      </c>
      <c r="R448" s="31" t="b">
        <v>0</v>
      </c>
      <c r="S448" s="31"/>
      <c r="T448" s="32"/>
      <c r="U448" s="31" t="b">
        <v>0</v>
      </c>
      <c r="V448" s="31"/>
      <c r="W448" s="31" t="b">
        <v>0</v>
      </c>
      <c r="X448" s="31" t="b">
        <v>0</v>
      </c>
      <c r="Y448" s="31"/>
      <c r="Z448" s="31"/>
      <c r="AA448" s="31"/>
      <c r="AB448" s="31"/>
      <c r="AC448" s="45"/>
      <c r="AD448" s="31"/>
      <c r="AE448" s="31"/>
      <c r="AF448" s="31"/>
      <c r="AG448" s="31"/>
      <c r="AH448" s="31"/>
      <c r="AI448" s="31"/>
      <c r="AJ448" s="3"/>
      <c r="AK448" s="34" t="s">
        <v>718</v>
      </c>
      <c r="AL448" s="3" t="s">
        <v>2400</v>
      </c>
      <c r="AM448" s="3" t="s">
        <v>700</v>
      </c>
      <c r="AN448" s="35" t="s">
        <v>2401</v>
      </c>
      <c r="AO448" s="24">
        <v>0.0021064814814814813</v>
      </c>
      <c r="AP448" s="7"/>
      <c r="AQ448" s="7" t="s">
        <v>633</v>
      </c>
      <c r="AR448" s="35" t="s">
        <v>2402</v>
      </c>
      <c r="AS448" s="7" t="b">
        <f>NOT(ISERROR(MATCH(A448,'Villages according to موسوعة ال'!C:C,0)))</f>
        <v>1</v>
      </c>
      <c r="AT448" s="25"/>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row>
    <row r="449">
      <c r="A449" s="3" t="s">
        <v>156</v>
      </c>
      <c r="B449" s="43" t="s">
        <v>2370</v>
      </c>
      <c r="E449" s="7" t="s">
        <v>1809</v>
      </c>
      <c r="F449" s="7" t="s">
        <v>692</v>
      </c>
      <c r="G449" s="28"/>
      <c r="H449" s="7" t="s">
        <v>2403</v>
      </c>
      <c r="I449" s="7" t="s">
        <v>616</v>
      </c>
      <c r="J449" s="7" t="s">
        <v>2404</v>
      </c>
      <c r="K449" s="54" t="s">
        <v>2405</v>
      </c>
      <c r="L449" s="54" t="s">
        <v>2406</v>
      </c>
      <c r="M449" s="60" t="b">
        <v>0</v>
      </c>
      <c r="N449" s="60" t="b">
        <v>0</v>
      </c>
      <c r="O449" s="60"/>
      <c r="P449" s="60" t="b">
        <v>0</v>
      </c>
      <c r="Q449" s="60" t="b">
        <v>0</v>
      </c>
      <c r="R449" s="60" t="b">
        <v>0</v>
      </c>
      <c r="S449" s="60"/>
      <c r="T449" s="60"/>
      <c r="U449" s="60" t="b">
        <v>0</v>
      </c>
      <c r="V449" s="60"/>
      <c r="W449" s="60" t="b">
        <v>0</v>
      </c>
      <c r="X449" s="60" t="b">
        <v>0</v>
      </c>
      <c r="Y449" s="60"/>
      <c r="Z449" s="60"/>
      <c r="AA449" s="60"/>
      <c r="AB449" s="60"/>
      <c r="AC449" s="61"/>
      <c r="AD449" s="60"/>
      <c r="AE449" s="60"/>
      <c r="AF449" s="60"/>
      <c r="AG449" s="60"/>
      <c r="AH449" s="60"/>
      <c r="AI449" s="60"/>
      <c r="AJ449" s="3"/>
      <c r="AK449" s="34" t="s">
        <v>698</v>
      </c>
      <c r="AL449" s="3" t="s">
        <v>699</v>
      </c>
      <c r="AM449" s="3" t="s">
        <v>831</v>
      </c>
      <c r="AN449" s="35" t="s">
        <v>2407</v>
      </c>
      <c r="AO449" s="24">
        <v>0.0010416666666666667</v>
      </c>
      <c r="AP449" s="7" t="s">
        <v>702</v>
      </c>
      <c r="AQ449" s="7">
        <v>2017.0</v>
      </c>
      <c r="AR449" s="35" t="s">
        <v>2408</v>
      </c>
      <c r="AS449" s="7" t="b">
        <f>NOT(ISERROR(MATCH(A449,'Villages according to موسوعة ال'!C:C,0)))</f>
        <v>1</v>
      </c>
      <c r="AT449" s="25"/>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row>
    <row r="450">
      <c r="A450" s="3" t="s">
        <v>156</v>
      </c>
      <c r="B450" s="43" t="s">
        <v>2370</v>
      </c>
      <c r="E450" s="7" t="s">
        <v>850</v>
      </c>
      <c r="F450" s="7" t="s">
        <v>692</v>
      </c>
      <c r="G450" s="28"/>
      <c r="H450" s="7" t="s">
        <v>2409</v>
      </c>
      <c r="I450" s="7" t="s">
        <v>616</v>
      </c>
      <c r="J450" s="7" t="s">
        <v>2410</v>
      </c>
      <c r="K450" s="54" t="s">
        <v>2411</v>
      </c>
      <c r="L450" s="54" t="s">
        <v>2412</v>
      </c>
      <c r="M450" s="60" t="b">
        <v>0</v>
      </c>
      <c r="N450" s="60" t="b">
        <v>0</v>
      </c>
      <c r="O450" s="60"/>
      <c r="P450" s="60" t="b">
        <v>0</v>
      </c>
      <c r="Q450" s="60" t="b">
        <v>0</v>
      </c>
      <c r="R450" s="60" t="b">
        <v>0</v>
      </c>
      <c r="S450" s="60"/>
      <c r="T450" s="60"/>
      <c r="U450" s="60" t="b">
        <v>0</v>
      </c>
      <c r="V450" s="60"/>
      <c r="W450" s="60" t="b">
        <v>0</v>
      </c>
      <c r="X450" s="60" t="b">
        <v>0</v>
      </c>
      <c r="Y450" s="60"/>
      <c r="Z450" s="60"/>
      <c r="AA450" s="60"/>
      <c r="AB450" s="60"/>
      <c r="AC450" s="61"/>
      <c r="AD450" s="60"/>
      <c r="AE450" s="60"/>
      <c r="AF450" s="60"/>
      <c r="AG450" s="60"/>
      <c r="AH450" s="60"/>
      <c r="AI450" s="60"/>
      <c r="AJ450" s="3"/>
      <c r="AK450" s="34" t="s">
        <v>698</v>
      </c>
      <c r="AL450" s="3" t="s">
        <v>699</v>
      </c>
      <c r="AM450" s="3" t="s">
        <v>831</v>
      </c>
      <c r="AN450" s="35" t="s">
        <v>2413</v>
      </c>
      <c r="AO450" s="24">
        <v>0.0014930555555555556</v>
      </c>
      <c r="AP450" s="7" t="s">
        <v>2286</v>
      </c>
      <c r="AQ450" s="73">
        <v>43221.0</v>
      </c>
      <c r="AR450" s="35" t="s">
        <v>2414</v>
      </c>
      <c r="AS450" s="7" t="b">
        <f>NOT(ISERROR(MATCH(A450,'Villages according to موسوعة ال'!C:C,0)))</f>
        <v>1</v>
      </c>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row>
    <row r="451">
      <c r="A451" s="3" t="s">
        <v>156</v>
      </c>
      <c r="B451" s="43" t="s">
        <v>2370</v>
      </c>
      <c r="E451" s="7" t="s">
        <v>850</v>
      </c>
      <c r="F451" s="7" t="s">
        <v>692</v>
      </c>
      <c r="G451" s="28"/>
      <c r="H451" s="7" t="s">
        <v>2415</v>
      </c>
      <c r="I451" s="7" t="s">
        <v>638</v>
      </c>
      <c r="J451" s="7" t="s">
        <v>2416</v>
      </c>
      <c r="K451" s="54" t="s">
        <v>2417</v>
      </c>
      <c r="L451" s="54" t="s">
        <v>2418</v>
      </c>
      <c r="M451" s="60" t="b">
        <v>0</v>
      </c>
      <c r="N451" s="60" t="b">
        <v>0</v>
      </c>
      <c r="O451" s="60"/>
      <c r="P451" s="60" t="b">
        <v>0</v>
      </c>
      <c r="Q451" s="60" t="b">
        <v>0</v>
      </c>
      <c r="R451" s="60" t="b">
        <v>0</v>
      </c>
      <c r="S451" s="60"/>
      <c r="T451" s="60"/>
      <c r="U451" s="60" t="b">
        <v>0</v>
      </c>
      <c r="V451" s="60"/>
      <c r="W451" s="60" t="b">
        <v>0</v>
      </c>
      <c r="X451" s="60" t="b">
        <v>0</v>
      </c>
      <c r="Y451" s="60"/>
      <c r="Z451" s="60"/>
      <c r="AA451" s="60"/>
      <c r="AB451" s="60"/>
      <c r="AC451" s="61"/>
      <c r="AD451" s="60"/>
      <c r="AE451" s="60"/>
      <c r="AF451" s="60"/>
      <c r="AG451" s="60"/>
      <c r="AH451" s="60"/>
      <c r="AI451" s="60"/>
      <c r="AJ451" s="3"/>
      <c r="AK451" s="34" t="s">
        <v>698</v>
      </c>
      <c r="AL451" s="3" t="s">
        <v>699</v>
      </c>
      <c r="AM451" s="3" t="s">
        <v>831</v>
      </c>
      <c r="AN451" s="35" t="s">
        <v>2419</v>
      </c>
      <c r="AO451" s="24">
        <v>0.0018171296296296297</v>
      </c>
      <c r="AP451" s="7" t="s">
        <v>702</v>
      </c>
      <c r="AQ451" s="7">
        <v>2017.0</v>
      </c>
      <c r="AR451" s="35" t="s">
        <v>2420</v>
      </c>
      <c r="AS451" s="7" t="b">
        <f>NOT(ISERROR(MATCH(A451,'Villages according to موسوعة ال'!C:C,0)))</f>
        <v>1</v>
      </c>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row>
    <row r="452">
      <c r="A452" s="3" t="s">
        <v>156</v>
      </c>
      <c r="B452" s="43" t="s">
        <v>2370</v>
      </c>
      <c r="E452" s="7" t="s">
        <v>850</v>
      </c>
      <c r="F452" s="7" t="s">
        <v>692</v>
      </c>
      <c r="G452" s="28"/>
      <c r="H452" s="7" t="s">
        <v>2421</v>
      </c>
      <c r="I452" s="7" t="s">
        <v>616</v>
      </c>
      <c r="J452" s="7" t="s">
        <v>2422</v>
      </c>
      <c r="K452" s="54" t="s">
        <v>2423</v>
      </c>
      <c r="L452" s="54" t="s">
        <v>2424</v>
      </c>
      <c r="M452" s="60" t="b">
        <v>0</v>
      </c>
      <c r="N452" s="60" t="b">
        <v>0</v>
      </c>
      <c r="O452" s="60"/>
      <c r="P452" s="60" t="b">
        <v>0</v>
      </c>
      <c r="Q452" s="60" t="b">
        <v>0</v>
      </c>
      <c r="R452" s="60" t="b">
        <v>0</v>
      </c>
      <c r="S452" s="60"/>
      <c r="T452" s="60"/>
      <c r="U452" s="60" t="b">
        <v>0</v>
      </c>
      <c r="V452" s="60"/>
      <c r="W452" s="60" t="b">
        <v>0</v>
      </c>
      <c r="X452" s="60" t="b">
        <v>0</v>
      </c>
      <c r="Y452" s="60"/>
      <c r="Z452" s="60"/>
      <c r="AA452" s="60"/>
      <c r="AB452" s="60"/>
      <c r="AC452" s="61"/>
      <c r="AD452" s="60"/>
      <c r="AE452" s="60"/>
      <c r="AF452" s="60"/>
      <c r="AG452" s="60"/>
      <c r="AH452" s="60"/>
      <c r="AI452" s="60"/>
      <c r="AJ452" s="3"/>
      <c r="AK452" s="34" t="s">
        <v>698</v>
      </c>
      <c r="AL452" s="3" t="s">
        <v>699</v>
      </c>
      <c r="AM452" s="3" t="s">
        <v>831</v>
      </c>
      <c r="AN452" s="35" t="s">
        <v>2425</v>
      </c>
      <c r="AO452" s="24">
        <v>0.0020949074074074073</v>
      </c>
      <c r="AP452" s="7" t="s">
        <v>2286</v>
      </c>
      <c r="AQ452" s="73">
        <v>43221.0</v>
      </c>
      <c r="AR452" s="35" t="s">
        <v>2426</v>
      </c>
      <c r="AS452" s="7" t="b">
        <f>NOT(ISERROR(MATCH(A452,'Villages according to موسوعة ال'!C:C,0)))</f>
        <v>1</v>
      </c>
      <c r="AT452" s="25"/>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row>
    <row r="453">
      <c r="A453" s="3" t="s">
        <v>156</v>
      </c>
      <c r="B453" s="43" t="s">
        <v>2370</v>
      </c>
      <c r="E453" s="7"/>
      <c r="F453" s="7"/>
      <c r="G453" s="28"/>
      <c r="H453" s="7" t="s">
        <v>2427</v>
      </c>
      <c r="I453" s="7" t="s">
        <v>638</v>
      </c>
      <c r="J453" s="7" t="s">
        <v>2428</v>
      </c>
      <c r="K453" s="54" t="s">
        <v>2429</v>
      </c>
      <c r="L453" s="54" t="s">
        <v>2430</v>
      </c>
      <c r="M453" s="60" t="b">
        <v>0</v>
      </c>
      <c r="N453" s="60" t="b">
        <v>0</v>
      </c>
      <c r="O453" s="60"/>
      <c r="P453" s="60" t="b">
        <v>0</v>
      </c>
      <c r="Q453" s="60" t="b">
        <v>0</v>
      </c>
      <c r="R453" s="60" t="b">
        <v>0</v>
      </c>
      <c r="S453" s="60"/>
      <c r="T453" s="60"/>
      <c r="U453" s="60" t="b">
        <v>0</v>
      </c>
      <c r="V453" s="60"/>
      <c r="W453" s="60" t="b">
        <v>0</v>
      </c>
      <c r="X453" s="60" t="b">
        <v>0</v>
      </c>
      <c r="Y453" s="60"/>
      <c r="Z453" s="60"/>
      <c r="AA453" s="60"/>
      <c r="AB453" s="60"/>
      <c r="AC453" s="61"/>
      <c r="AD453" s="60"/>
      <c r="AE453" s="60"/>
      <c r="AF453" s="60"/>
      <c r="AG453" s="60"/>
      <c r="AH453" s="60"/>
      <c r="AI453" s="60"/>
      <c r="AJ453" s="3"/>
      <c r="AK453" s="34" t="s">
        <v>698</v>
      </c>
      <c r="AL453" s="3" t="s">
        <v>699</v>
      </c>
      <c r="AM453" s="3" t="s">
        <v>831</v>
      </c>
      <c r="AN453" s="35" t="s">
        <v>2431</v>
      </c>
      <c r="AO453" s="24">
        <v>0.0010763888888888889</v>
      </c>
      <c r="AP453" s="7" t="s">
        <v>2322</v>
      </c>
      <c r="AQ453" s="73">
        <v>37408.0</v>
      </c>
      <c r="AR453" s="35" t="s">
        <v>2432</v>
      </c>
      <c r="AS453" s="7" t="b">
        <f>NOT(ISERROR(MATCH(A453,'Villages according to موسوعة ال'!C:C,0)))</f>
        <v>1</v>
      </c>
      <c r="AT453" s="25"/>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row>
    <row r="454">
      <c r="A454" s="3" t="s">
        <v>156</v>
      </c>
      <c r="B454" s="26" t="s">
        <v>2370</v>
      </c>
      <c r="G454" s="28"/>
      <c r="K454" s="54" t="s">
        <v>2433</v>
      </c>
      <c r="L454" s="54"/>
      <c r="M454" s="31" t="b">
        <v>0</v>
      </c>
      <c r="N454" s="31" t="b">
        <v>0</v>
      </c>
      <c r="O454" s="31"/>
      <c r="P454" s="31" t="b">
        <v>0</v>
      </c>
      <c r="Q454" s="31" t="b">
        <v>0</v>
      </c>
      <c r="R454" s="31" t="b">
        <v>0</v>
      </c>
      <c r="S454" s="31"/>
      <c r="T454" s="32"/>
      <c r="U454" s="31" t="b">
        <v>0</v>
      </c>
      <c r="V454" s="31"/>
      <c r="W454" s="31" t="b">
        <v>0</v>
      </c>
      <c r="X454" s="31" t="b">
        <v>0</v>
      </c>
      <c r="Y454" s="31"/>
      <c r="Z454" s="31"/>
      <c r="AA454" s="31"/>
      <c r="AB454" s="31"/>
      <c r="AC454" s="45"/>
      <c r="AD454" s="31"/>
      <c r="AE454" s="31"/>
      <c r="AF454" s="31"/>
      <c r="AG454" s="31"/>
      <c r="AH454" s="31"/>
      <c r="AI454" s="31"/>
      <c r="AJ454" s="3"/>
      <c r="AK454" s="34"/>
      <c r="AL454" s="25"/>
      <c r="AM454" s="25"/>
      <c r="AN454" s="35" t="s">
        <v>2434</v>
      </c>
      <c r="AO454" s="24">
        <v>0.001400462962962963</v>
      </c>
      <c r="AP454" s="7" t="s">
        <v>2322</v>
      </c>
      <c r="AQ454" s="73">
        <v>37408.0</v>
      </c>
      <c r="AR454" s="36" t="s">
        <v>633</v>
      </c>
      <c r="AS454" s="7" t="b">
        <f>NOT(ISERROR(MATCH(A454,'Villages according to موسوعة ال'!C:C,0)))</f>
        <v>1</v>
      </c>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row>
    <row r="455">
      <c r="A455" s="3" t="s">
        <v>156</v>
      </c>
      <c r="B455" s="26" t="s">
        <v>2370</v>
      </c>
      <c r="G455" s="28"/>
      <c r="K455" s="54" t="s">
        <v>2435</v>
      </c>
      <c r="L455" s="54" t="s">
        <v>2436</v>
      </c>
      <c r="M455" s="31" t="b">
        <v>0</v>
      </c>
      <c r="N455" s="31" t="b">
        <v>0</v>
      </c>
      <c r="O455" s="31"/>
      <c r="P455" s="31" t="b">
        <v>0</v>
      </c>
      <c r="Q455" s="31" t="b">
        <v>0</v>
      </c>
      <c r="R455" s="31" t="b">
        <v>0</v>
      </c>
      <c r="S455" s="31"/>
      <c r="T455" s="32"/>
      <c r="U455" s="31" t="b">
        <v>0</v>
      </c>
      <c r="V455" s="31"/>
      <c r="W455" s="31" t="b">
        <v>0</v>
      </c>
      <c r="X455" s="31" t="b">
        <v>0</v>
      </c>
      <c r="Y455" s="31"/>
      <c r="Z455" s="31"/>
      <c r="AA455" s="31"/>
      <c r="AB455" s="31"/>
      <c r="AC455" s="45"/>
      <c r="AD455" s="31"/>
      <c r="AE455" s="31"/>
      <c r="AF455" s="31"/>
      <c r="AG455" s="31"/>
      <c r="AH455" s="31"/>
      <c r="AI455" s="31"/>
      <c r="AJ455" s="3"/>
      <c r="AK455" s="34"/>
      <c r="AL455" s="25"/>
      <c r="AM455" s="25"/>
      <c r="AN455" s="35" t="s">
        <v>2437</v>
      </c>
      <c r="AO455" s="24">
        <v>0.0012037037037037038</v>
      </c>
      <c r="AP455" s="7" t="s">
        <v>2322</v>
      </c>
      <c r="AQ455" s="73">
        <v>37409.0</v>
      </c>
      <c r="AR455" s="36" t="s">
        <v>633</v>
      </c>
      <c r="AS455" s="7" t="b">
        <f>NOT(ISERROR(MATCH(A455,'Villages according to موسوعة ال'!C:C,0)))</f>
        <v>1</v>
      </c>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row>
    <row r="456">
      <c r="A456" s="3" t="s">
        <v>156</v>
      </c>
      <c r="B456" s="43" t="s">
        <v>2370</v>
      </c>
      <c r="G456" s="28"/>
      <c r="K456" s="54" t="s">
        <v>2438</v>
      </c>
      <c r="L456" s="54" t="s">
        <v>2439</v>
      </c>
      <c r="M456" s="60" t="b">
        <v>0</v>
      </c>
      <c r="N456" s="60" t="b">
        <v>0</v>
      </c>
      <c r="O456" s="60"/>
      <c r="P456" s="60" t="b">
        <v>0</v>
      </c>
      <c r="Q456" s="60" t="b">
        <v>0</v>
      </c>
      <c r="R456" s="60" t="b">
        <v>0</v>
      </c>
      <c r="S456" s="60"/>
      <c r="T456" s="60"/>
      <c r="U456" s="60" t="b">
        <v>0</v>
      </c>
      <c r="V456" s="60"/>
      <c r="W456" s="60" t="b">
        <v>0</v>
      </c>
      <c r="X456" s="60" t="b">
        <v>0</v>
      </c>
      <c r="Y456" s="60"/>
      <c r="Z456" s="60"/>
      <c r="AA456" s="60"/>
      <c r="AB456" s="60"/>
      <c r="AC456" s="61"/>
      <c r="AD456" s="60"/>
      <c r="AE456" s="60"/>
      <c r="AF456" s="60"/>
      <c r="AG456" s="60"/>
      <c r="AH456" s="60"/>
      <c r="AI456" s="60"/>
      <c r="AJ456" s="3"/>
      <c r="AK456" s="34" t="s">
        <v>698</v>
      </c>
      <c r="AL456" s="25"/>
      <c r="AM456" s="3"/>
      <c r="AN456" s="35" t="s">
        <v>2440</v>
      </c>
      <c r="AO456" s="24">
        <v>6.712962962962962E-4</v>
      </c>
      <c r="AP456" s="7" t="s">
        <v>2322</v>
      </c>
      <c r="AQ456" s="73">
        <v>37410.0</v>
      </c>
      <c r="AR456" s="35" t="s">
        <v>2441</v>
      </c>
      <c r="AS456" s="7" t="b">
        <f>NOT(ISERROR(MATCH(A456,'Villages according to موسوعة ال'!C:C,0)))</f>
        <v>1</v>
      </c>
      <c r="AT456" s="25"/>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row>
    <row r="457">
      <c r="A457" s="3" t="s">
        <v>156</v>
      </c>
      <c r="B457" s="26" t="s">
        <v>2370</v>
      </c>
      <c r="E457" s="7"/>
      <c r="F457" s="7"/>
      <c r="G457" s="28"/>
      <c r="H457" s="7" t="s">
        <v>2442</v>
      </c>
      <c r="I457" s="7" t="s">
        <v>616</v>
      </c>
      <c r="J457" s="7" t="s">
        <v>2443</v>
      </c>
      <c r="K457" s="54" t="s">
        <v>2444</v>
      </c>
      <c r="L457" s="54" t="s">
        <v>2445</v>
      </c>
      <c r="M457" s="31" t="b">
        <v>0</v>
      </c>
      <c r="N457" s="31" t="b">
        <v>0</v>
      </c>
      <c r="O457" s="31"/>
      <c r="P457" s="31" t="b">
        <v>0</v>
      </c>
      <c r="Q457" s="31" t="b">
        <v>0</v>
      </c>
      <c r="R457" s="31" t="b">
        <v>0</v>
      </c>
      <c r="S457" s="31"/>
      <c r="T457" s="32"/>
      <c r="U457" s="31" t="b">
        <v>0</v>
      </c>
      <c r="V457" s="31"/>
      <c r="W457" s="31" t="b">
        <v>0</v>
      </c>
      <c r="X457" s="31" t="b">
        <v>0</v>
      </c>
      <c r="Y457" s="31"/>
      <c r="Z457" s="31"/>
      <c r="AA457" s="31"/>
      <c r="AB457" s="31"/>
      <c r="AC457" s="45"/>
      <c r="AD457" s="31"/>
      <c r="AE457" s="31"/>
      <c r="AF457" s="31"/>
      <c r="AG457" s="31"/>
      <c r="AH457" s="31"/>
      <c r="AI457" s="31"/>
      <c r="AJ457" s="3"/>
      <c r="AK457" s="34"/>
      <c r="AL457" s="25"/>
      <c r="AM457" s="25"/>
      <c r="AN457" s="35" t="s">
        <v>2446</v>
      </c>
      <c r="AO457" s="24">
        <v>0.0013194444444444445</v>
      </c>
      <c r="AP457" s="7" t="s">
        <v>2322</v>
      </c>
      <c r="AQ457" s="73">
        <v>37409.0</v>
      </c>
      <c r="AR457" s="36" t="s">
        <v>633</v>
      </c>
      <c r="AS457" s="7" t="b">
        <f>NOT(ISERROR(MATCH(A457,'Villages according to موسوعة ال'!C:C,0)))</f>
        <v>1</v>
      </c>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row>
    <row r="458">
      <c r="A458" s="3" t="s">
        <v>156</v>
      </c>
      <c r="B458" s="26" t="s">
        <v>2370</v>
      </c>
      <c r="E458" s="7"/>
      <c r="F458" s="7"/>
      <c r="G458" s="28"/>
      <c r="H458" s="7" t="s">
        <v>2442</v>
      </c>
      <c r="I458" s="7" t="s">
        <v>616</v>
      </c>
      <c r="J458" s="7" t="s">
        <v>2443</v>
      </c>
      <c r="K458" s="54" t="s">
        <v>2447</v>
      </c>
      <c r="L458" s="54" t="s">
        <v>2445</v>
      </c>
      <c r="M458" s="31" t="b">
        <v>0</v>
      </c>
      <c r="N458" s="31" t="b">
        <v>0</v>
      </c>
      <c r="O458" s="31"/>
      <c r="P458" s="31" t="b">
        <v>0</v>
      </c>
      <c r="Q458" s="31" t="b">
        <v>0</v>
      </c>
      <c r="R458" s="31" t="b">
        <v>0</v>
      </c>
      <c r="S458" s="31"/>
      <c r="T458" s="32"/>
      <c r="U458" s="31" t="b">
        <v>0</v>
      </c>
      <c r="V458" s="31"/>
      <c r="W458" s="31" t="b">
        <v>0</v>
      </c>
      <c r="X458" s="31" t="b">
        <v>0</v>
      </c>
      <c r="Y458" s="31"/>
      <c r="Z458" s="31"/>
      <c r="AA458" s="31"/>
      <c r="AB458" s="31"/>
      <c r="AC458" s="45"/>
      <c r="AD458" s="31"/>
      <c r="AE458" s="31"/>
      <c r="AF458" s="31"/>
      <c r="AG458" s="31"/>
      <c r="AH458" s="31"/>
      <c r="AI458" s="31"/>
      <c r="AJ458" s="3"/>
      <c r="AK458" s="34"/>
      <c r="AL458" s="25"/>
      <c r="AM458" s="25"/>
      <c r="AN458" s="35" t="s">
        <v>2448</v>
      </c>
      <c r="AO458" s="24">
        <v>5.555555555555556E-4</v>
      </c>
      <c r="AP458" s="7" t="s">
        <v>2322</v>
      </c>
      <c r="AQ458" s="73">
        <v>37409.0</v>
      </c>
      <c r="AR458" s="36" t="s">
        <v>633</v>
      </c>
      <c r="AS458" s="7" t="b">
        <f>NOT(ISERROR(MATCH(A458,'Villages according to موسوعة ال'!C:C,0)))</f>
        <v>1</v>
      </c>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row>
    <row r="459">
      <c r="A459" s="3" t="s">
        <v>156</v>
      </c>
      <c r="B459" s="26" t="s">
        <v>2370</v>
      </c>
      <c r="E459" s="7"/>
      <c r="F459" s="7"/>
      <c r="G459" s="28"/>
      <c r="H459" s="7" t="s">
        <v>2449</v>
      </c>
      <c r="I459" s="7" t="s">
        <v>616</v>
      </c>
      <c r="J459" s="7" t="s">
        <v>2450</v>
      </c>
      <c r="K459" s="54" t="s">
        <v>2451</v>
      </c>
      <c r="L459" s="54" t="s">
        <v>2452</v>
      </c>
      <c r="M459" s="31" t="b">
        <v>0</v>
      </c>
      <c r="N459" s="31" t="b">
        <v>0</v>
      </c>
      <c r="O459" s="31"/>
      <c r="P459" s="31" t="b">
        <v>0</v>
      </c>
      <c r="Q459" s="31" t="b">
        <v>0</v>
      </c>
      <c r="R459" s="31" t="b">
        <v>0</v>
      </c>
      <c r="S459" s="31"/>
      <c r="T459" s="32"/>
      <c r="U459" s="31" t="b">
        <v>0</v>
      </c>
      <c r="V459" s="31"/>
      <c r="W459" s="31" t="b">
        <v>0</v>
      </c>
      <c r="X459" s="31" t="b">
        <v>0</v>
      </c>
      <c r="Y459" s="31"/>
      <c r="Z459" s="31"/>
      <c r="AA459" s="31"/>
      <c r="AB459" s="31"/>
      <c r="AC459" s="45"/>
      <c r="AD459" s="31"/>
      <c r="AE459" s="31"/>
      <c r="AF459" s="31"/>
      <c r="AG459" s="31"/>
      <c r="AH459" s="31"/>
      <c r="AI459" s="31"/>
      <c r="AJ459" s="3"/>
      <c r="AK459" s="34"/>
      <c r="AL459" s="25"/>
      <c r="AM459" s="25"/>
      <c r="AN459" s="35" t="s">
        <v>2453</v>
      </c>
      <c r="AO459" s="24">
        <v>8.912037037037037E-4</v>
      </c>
      <c r="AP459" s="7" t="s">
        <v>2322</v>
      </c>
      <c r="AQ459" s="73">
        <v>37410.0</v>
      </c>
      <c r="AR459" s="36" t="s">
        <v>633</v>
      </c>
      <c r="AS459" s="7" t="b">
        <f>NOT(ISERROR(MATCH(A459,'Villages according to موسوعة ال'!C:C,0)))</f>
        <v>1</v>
      </c>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row>
    <row r="460">
      <c r="A460" s="3" t="s">
        <v>156</v>
      </c>
      <c r="B460" s="26" t="s">
        <v>2370</v>
      </c>
      <c r="E460" s="7"/>
      <c r="F460" s="7"/>
      <c r="G460" s="28"/>
      <c r="H460" s="7" t="s">
        <v>2454</v>
      </c>
      <c r="I460" s="7" t="s">
        <v>638</v>
      </c>
      <c r="J460" s="7" t="s">
        <v>2455</v>
      </c>
      <c r="K460" s="54" t="s">
        <v>2456</v>
      </c>
      <c r="L460" s="54"/>
      <c r="M460" s="31" t="b">
        <v>0</v>
      </c>
      <c r="N460" s="31" t="b">
        <v>0</v>
      </c>
      <c r="O460" s="31"/>
      <c r="P460" s="31" t="b">
        <v>0</v>
      </c>
      <c r="Q460" s="31" t="b">
        <v>0</v>
      </c>
      <c r="R460" s="31" t="b">
        <v>0</v>
      </c>
      <c r="S460" s="31"/>
      <c r="T460" s="32"/>
      <c r="U460" s="31" t="b">
        <v>0</v>
      </c>
      <c r="V460" s="31"/>
      <c r="W460" s="31" t="b">
        <v>0</v>
      </c>
      <c r="X460" s="31" t="b">
        <v>0</v>
      </c>
      <c r="Y460" s="31"/>
      <c r="Z460" s="31"/>
      <c r="AA460" s="31"/>
      <c r="AB460" s="31"/>
      <c r="AC460" s="45"/>
      <c r="AD460" s="31"/>
      <c r="AE460" s="31"/>
      <c r="AF460" s="31"/>
      <c r="AG460" s="31"/>
      <c r="AH460" s="31"/>
      <c r="AI460" s="31"/>
      <c r="AJ460" s="3"/>
      <c r="AK460" s="34"/>
      <c r="AL460" s="25"/>
      <c r="AM460" s="25"/>
      <c r="AN460" s="35" t="s">
        <v>2457</v>
      </c>
      <c r="AO460" s="24">
        <v>0.0023263888888888887</v>
      </c>
      <c r="AP460" s="7" t="s">
        <v>2322</v>
      </c>
      <c r="AQ460" s="73">
        <v>37411.0</v>
      </c>
      <c r="AR460" s="7" t="s">
        <v>633</v>
      </c>
      <c r="AS460" s="7" t="b">
        <f>NOT(ISERROR(MATCH(A460,'Villages according to موسوعة ال'!C:C,0)))</f>
        <v>1</v>
      </c>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row>
    <row r="461">
      <c r="A461" s="3" t="s">
        <v>156</v>
      </c>
      <c r="B461" s="26" t="s">
        <v>2370</v>
      </c>
      <c r="E461" s="7"/>
      <c r="F461" s="7"/>
      <c r="G461" s="28"/>
      <c r="H461" s="7" t="s">
        <v>2458</v>
      </c>
      <c r="I461" s="7" t="s">
        <v>638</v>
      </c>
      <c r="J461" s="7" t="s">
        <v>2459</v>
      </c>
      <c r="K461" s="54"/>
      <c r="L461" s="54"/>
      <c r="M461" s="31" t="b">
        <v>0</v>
      </c>
      <c r="N461" s="31" t="b">
        <v>0</v>
      </c>
      <c r="O461" s="31"/>
      <c r="P461" s="31" t="b">
        <v>0</v>
      </c>
      <c r="Q461" s="31" t="b">
        <v>0</v>
      </c>
      <c r="R461" s="31" t="b">
        <v>0</v>
      </c>
      <c r="S461" s="31"/>
      <c r="T461" s="32"/>
      <c r="U461" s="31" t="b">
        <v>0</v>
      </c>
      <c r="V461" s="31"/>
      <c r="W461" s="31" t="b">
        <v>0</v>
      </c>
      <c r="X461" s="31" t="b">
        <v>0</v>
      </c>
      <c r="Y461" s="31"/>
      <c r="Z461" s="31"/>
      <c r="AA461" s="31"/>
      <c r="AB461" s="31"/>
      <c r="AC461" s="45"/>
      <c r="AD461" s="31"/>
      <c r="AE461" s="31"/>
      <c r="AF461" s="31"/>
      <c r="AG461" s="31"/>
      <c r="AH461" s="31"/>
      <c r="AI461" s="31"/>
      <c r="AJ461" s="3"/>
      <c r="AK461" s="34"/>
      <c r="AL461" s="25"/>
      <c r="AM461" s="25"/>
      <c r="AN461" s="35" t="s">
        <v>2460</v>
      </c>
      <c r="AO461" s="24">
        <v>0.0017476851851851852</v>
      </c>
      <c r="AP461" s="7" t="s">
        <v>2322</v>
      </c>
      <c r="AQ461" s="73">
        <v>37411.0</v>
      </c>
      <c r="AR461" s="7" t="s">
        <v>633</v>
      </c>
      <c r="AS461" s="7" t="b">
        <f>NOT(ISERROR(MATCH(A461,'Villages according to موسوعة ال'!C:C,0)))</f>
        <v>1</v>
      </c>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row>
    <row r="462">
      <c r="A462" s="3" t="s">
        <v>156</v>
      </c>
      <c r="B462" s="43" t="s">
        <v>2370</v>
      </c>
      <c r="E462" s="7"/>
      <c r="F462" s="7"/>
      <c r="G462" s="28"/>
      <c r="H462" s="7" t="s">
        <v>2461</v>
      </c>
      <c r="I462" s="7" t="s">
        <v>616</v>
      </c>
      <c r="J462" s="7" t="s">
        <v>2462</v>
      </c>
      <c r="K462" s="54" t="s">
        <v>2463</v>
      </c>
      <c r="L462" s="54" t="s">
        <v>2464</v>
      </c>
      <c r="M462" s="60" t="b">
        <v>0</v>
      </c>
      <c r="N462" s="60" t="b">
        <v>0</v>
      </c>
      <c r="O462" s="60"/>
      <c r="P462" s="60" t="b">
        <v>0</v>
      </c>
      <c r="Q462" s="60" t="b">
        <v>0</v>
      </c>
      <c r="R462" s="60" t="b">
        <v>0</v>
      </c>
      <c r="S462" s="60"/>
      <c r="T462" s="60"/>
      <c r="U462" s="60" t="b">
        <v>0</v>
      </c>
      <c r="V462" s="60"/>
      <c r="W462" s="60" t="b">
        <v>0</v>
      </c>
      <c r="X462" s="60" t="b">
        <v>0</v>
      </c>
      <c r="Y462" s="60"/>
      <c r="Z462" s="60"/>
      <c r="AA462" s="60"/>
      <c r="AB462" s="60"/>
      <c r="AC462" s="61"/>
      <c r="AD462" s="60"/>
      <c r="AE462" s="60"/>
      <c r="AF462" s="60"/>
      <c r="AG462" s="60"/>
      <c r="AH462" s="60"/>
      <c r="AI462" s="60"/>
      <c r="AJ462" s="3"/>
      <c r="AK462" s="34" t="s">
        <v>698</v>
      </c>
      <c r="AL462" s="25"/>
      <c r="AM462" s="25"/>
      <c r="AN462" s="35" t="s">
        <v>2465</v>
      </c>
      <c r="AO462" s="24">
        <v>0.0034375</v>
      </c>
      <c r="AP462" s="7" t="s">
        <v>2322</v>
      </c>
      <c r="AQ462" s="73">
        <v>37412.0</v>
      </c>
      <c r="AR462" s="35" t="s">
        <v>2466</v>
      </c>
      <c r="AS462" s="7" t="b">
        <f>NOT(ISERROR(MATCH(A462,'Villages according to موسوعة ال'!C:C,0)))</f>
        <v>1</v>
      </c>
      <c r="AT462" s="25"/>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row>
    <row r="463">
      <c r="A463" s="3" t="s">
        <v>2467</v>
      </c>
      <c r="B463" s="43" t="s">
        <v>2468</v>
      </c>
      <c r="C463" s="7" t="s">
        <v>2468</v>
      </c>
      <c r="D463" s="7" t="s">
        <v>2469</v>
      </c>
      <c r="E463" s="7" t="s">
        <v>2348</v>
      </c>
      <c r="F463" s="7" t="s">
        <v>2349</v>
      </c>
      <c r="G463" s="28" t="s">
        <v>693</v>
      </c>
      <c r="H463" s="7" t="s">
        <v>2470</v>
      </c>
      <c r="I463" s="7" t="s">
        <v>638</v>
      </c>
      <c r="J463" s="7" t="s">
        <v>2471</v>
      </c>
      <c r="K463" s="54" t="s">
        <v>2472</v>
      </c>
      <c r="L463" s="55" t="s">
        <v>2473</v>
      </c>
      <c r="M463" s="60" t="b">
        <v>0</v>
      </c>
      <c r="N463" s="60" t="b">
        <v>0</v>
      </c>
      <c r="O463" s="32" t="s">
        <v>661</v>
      </c>
      <c r="P463" s="60" t="b">
        <v>0</v>
      </c>
      <c r="Q463" s="60" t="b">
        <v>0</v>
      </c>
      <c r="R463" s="32" t="b">
        <v>0</v>
      </c>
      <c r="S463" s="32" t="s">
        <v>621</v>
      </c>
      <c r="T463" s="32" t="s">
        <v>670</v>
      </c>
      <c r="U463" s="60" t="b">
        <v>0</v>
      </c>
      <c r="V463" s="32" t="s">
        <v>797</v>
      </c>
      <c r="W463" s="32" t="b">
        <v>1</v>
      </c>
      <c r="X463" s="32" t="b">
        <v>1</v>
      </c>
      <c r="Y463" s="32" t="s">
        <v>671</v>
      </c>
      <c r="Z463" s="32" t="s">
        <v>1788</v>
      </c>
      <c r="AA463" s="60"/>
      <c r="AB463" s="32" t="s">
        <v>1150</v>
      </c>
      <c r="AC463" s="33" t="s">
        <v>672</v>
      </c>
      <c r="AD463" s="32" t="s">
        <v>686</v>
      </c>
      <c r="AE463" s="32" t="s">
        <v>711</v>
      </c>
      <c r="AF463" s="32" t="s">
        <v>1759</v>
      </c>
      <c r="AG463" s="60"/>
      <c r="AH463" s="60"/>
      <c r="AI463" s="32" t="s">
        <v>673</v>
      </c>
      <c r="AJ463" s="3"/>
      <c r="AK463" s="34" t="s">
        <v>698</v>
      </c>
      <c r="AL463" s="3" t="s">
        <v>675</v>
      </c>
      <c r="AM463" s="3" t="s">
        <v>907</v>
      </c>
      <c r="AN463" s="35" t="s">
        <v>2474</v>
      </c>
      <c r="AO463" s="24">
        <v>0.0018287037037037037</v>
      </c>
      <c r="AP463" s="7" t="s">
        <v>702</v>
      </c>
      <c r="AQ463" s="7">
        <v>2017.0</v>
      </c>
      <c r="AR463" s="35" t="s">
        <v>2475</v>
      </c>
      <c r="AS463" s="7" t="b">
        <f>NOT(ISERROR(MATCH(A463,'Villages according to موسوعة ال'!C:C,0)))</f>
        <v>1</v>
      </c>
      <c r="AT463" s="25"/>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row>
    <row r="464">
      <c r="A464" s="3" t="s">
        <v>2467</v>
      </c>
      <c r="B464" s="43" t="s">
        <v>2468</v>
      </c>
      <c r="E464" s="7" t="s">
        <v>2348</v>
      </c>
      <c r="F464" s="7" t="s">
        <v>2349</v>
      </c>
      <c r="G464" s="28" t="s">
        <v>693</v>
      </c>
      <c r="K464" s="54" t="s">
        <v>2476</v>
      </c>
      <c r="L464" s="55" t="s">
        <v>2477</v>
      </c>
      <c r="M464" s="60" t="b">
        <v>0</v>
      </c>
      <c r="N464" s="60" t="b">
        <v>0</v>
      </c>
      <c r="O464" s="32" t="s">
        <v>661</v>
      </c>
      <c r="P464" s="60" t="b">
        <v>0</v>
      </c>
      <c r="Q464" s="60" t="b">
        <v>0</v>
      </c>
      <c r="R464" s="60" t="b">
        <v>0</v>
      </c>
      <c r="S464" s="32" t="s">
        <v>621</v>
      </c>
      <c r="T464" s="32" t="s">
        <v>670</v>
      </c>
      <c r="U464" s="60" t="b">
        <v>0</v>
      </c>
      <c r="V464" s="60"/>
      <c r="W464" s="32" t="b">
        <v>1</v>
      </c>
      <c r="X464" s="32" t="b">
        <v>1</v>
      </c>
      <c r="Y464" s="60"/>
      <c r="Z464" s="60"/>
      <c r="AA464" s="60"/>
      <c r="AB464" s="32" t="s">
        <v>624</v>
      </c>
      <c r="AC464" s="61"/>
      <c r="AD464" s="32" t="s">
        <v>686</v>
      </c>
      <c r="AE464" s="32" t="s">
        <v>711</v>
      </c>
      <c r="AF464" s="60"/>
      <c r="AG464" s="60"/>
      <c r="AH464" s="60"/>
      <c r="AI464" s="32" t="s">
        <v>673</v>
      </c>
      <c r="AJ464" s="3"/>
      <c r="AK464" s="34" t="s">
        <v>698</v>
      </c>
      <c r="AL464" s="3" t="s">
        <v>675</v>
      </c>
      <c r="AM464" s="3" t="s">
        <v>907</v>
      </c>
      <c r="AN464" s="35" t="s">
        <v>2478</v>
      </c>
      <c r="AO464" s="24">
        <v>0.001851851851851852</v>
      </c>
      <c r="AP464" s="7" t="s">
        <v>702</v>
      </c>
      <c r="AQ464" s="7">
        <v>2017.0</v>
      </c>
      <c r="AR464" s="35" t="s">
        <v>2479</v>
      </c>
      <c r="AS464" s="7" t="b">
        <f>NOT(ISERROR(MATCH(A464,'Villages according to موسوعة ال'!C:C,0)))</f>
        <v>1</v>
      </c>
      <c r="AT464" s="25"/>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row>
    <row r="465">
      <c r="A465" s="3" t="s">
        <v>2467</v>
      </c>
      <c r="B465" s="43" t="s">
        <v>2468</v>
      </c>
      <c r="E465" s="7" t="s">
        <v>691</v>
      </c>
      <c r="F465" s="7" t="s">
        <v>692</v>
      </c>
      <c r="G465" s="28"/>
      <c r="H465" s="7" t="s">
        <v>2480</v>
      </c>
      <c r="I465" s="7" t="s">
        <v>616</v>
      </c>
      <c r="J465" s="7" t="s">
        <v>2481</v>
      </c>
      <c r="K465" s="54" t="s">
        <v>2482</v>
      </c>
      <c r="L465" s="29" t="s">
        <v>2483</v>
      </c>
      <c r="M465" s="64" t="b">
        <v>0</v>
      </c>
      <c r="N465" s="64" t="b">
        <v>0</v>
      </c>
      <c r="O465" s="64"/>
      <c r="P465" s="64" t="b">
        <v>0</v>
      </c>
      <c r="Q465" s="64" t="b">
        <v>0</v>
      </c>
      <c r="R465" s="64" t="b">
        <v>0</v>
      </c>
      <c r="S465" s="64"/>
      <c r="T465" s="32"/>
      <c r="U465" s="64" t="b">
        <v>0</v>
      </c>
      <c r="V465" s="64"/>
      <c r="W465" s="64" t="b">
        <v>0</v>
      </c>
      <c r="X465" s="64" t="b">
        <v>0</v>
      </c>
      <c r="Y465" s="64"/>
      <c r="Z465" s="64"/>
      <c r="AA465" s="64"/>
      <c r="AB465" s="64"/>
      <c r="AC465" s="65"/>
      <c r="AD465" s="64"/>
      <c r="AE465" s="64"/>
      <c r="AF465" s="64"/>
      <c r="AG465" s="64"/>
      <c r="AH465" s="64"/>
      <c r="AI465" s="64"/>
      <c r="AJ465" s="71"/>
      <c r="AK465" s="34" t="s">
        <v>718</v>
      </c>
      <c r="AL465" s="3" t="s">
        <v>2400</v>
      </c>
      <c r="AM465" s="3" t="s">
        <v>700</v>
      </c>
      <c r="AN465" s="35" t="s">
        <v>2484</v>
      </c>
      <c r="AO465" s="24">
        <v>8.333333333333334E-4</v>
      </c>
      <c r="AP465" s="25"/>
      <c r="AQ465" s="25"/>
      <c r="AR465" s="35" t="s">
        <v>2485</v>
      </c>
      <c r="AS465" s="7" t="b">
        <f>NOT(ISERROR(MATCH(A465,'Villages according to موسوعة ال'!C:C,0)))</f>
        <v>1</v>
      </c>
      <c r="AT465" s="25"/>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row>
    <row r="466">
      <c r="A466" s="3" t="s">
        <v>2467</v>
      </c>
      <c r="B466" s="43" t="s">
        <v>2468</v>
      </c>
      <c r="E466" s="7" t="s">
        <v>706</v>
      </c>
      <c r="F466" s="7" t="s">
        <v>692</v>
      </c>
      <c r="G466" s="28"/>
      <c r="H466" s="7" t="s">
        <v>2486</v>
      </c>
      <c r="I466" s="7" t="s">
        <v>638</v>
      </c>
      <c r="J466" s="7" t="s">
        <v>2487</v>
      </c>
      <c r="K466" s="54" t="s">
        <v>2488</v>
      </c>
      <c r="L466" s="29" t="s">
        <v>2489</v>
      </c>
      <c r="M466" s="60" t="b">
        <v>0</v>
      </c>
      <c r="N466" s="60" t="b">
        <v>0</v>
      </c>
      <c r="O466" s="60"/>
      <c r="P466" s="60" t="b">
        <v>0</v>
      </c>
      <c r="Q466" s="60" t="b">
        <v>0</v>
      </c>
      <c r="R466" s="60" t="b">
        <v>0</v>
      </c>
      <c r="S466" s="60"/>
      <c r="T466" s="60"/>
      <c r="U466" s="60" t="b">
        <v>0</v>
      </c>
      <c r="V466" s="60"/>
      <c r="W466" s="60" t="b">
        <v>0</v>
      </c>
      <c r="X466" s="60" t="b">
        <v>0</v>
      </c>
      <c r="Y466" s="60"/>
      <c r="Z466" s="60"/>
      <c r="AA466" s="60"/>
      <c r="AB466" s="60"/>
      <c r="AC466" s="61"/>
      <c r="AD466" s="60"/>
      <c r="AE466" s="60"/>
      <c r="AF466" s="60"/>
      <c r="AG466" s="60"/>
      <c r="AH466" s="60"/>
      <c r="AI466" s="60"/>
      <c r="AJ466" s="71"/>
      <c r="AK466" s="34" t="s">
        <v>698</v>
      </c>
      <c r="AL466" s="25"/>
      <c r="AM466" s="25"/>
      <c r="AN466" s="35" t="s">
        <v>2490</v>
      </c>
      <c r="AO466" s="24">
        <v>0.0019212962962962964</v>
      </c>
      <c r="AP466" s="25"/>
      <c r="AQ466" s="25"/>
      <c r="AR466" s="35" t="s">
        <v>2491</v>
      </c>
      <c r="AS466" s="7" t="b">
        <f>NOT(ISERROR(MATCH(A466,'Villages according to موسوعة ال'!C:C,0)))</f>
        <v>1</v>
      </c>
      <c r="AT466" s="25"/>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row>
    <row r="467">
      <c r="A467" s="3" t="s">
        <v>2467</v>
      </c>
      <c r="B467" s="26" t="s">
        <v>2468</v>
      </c>
      <c r="E467" s="7" t="s">
        <v>850</v>
      </c>
      <c r="F467" s="7" t="s">
        <v>692</v>
      </c>
      <c r="G467" s="28"/>
      <c r="H467" s="7" t="s">
        <v>2492</v>
      </c>
      <c r="I467" s="7" t="s">
        <v>638</v>
      </c>
      <c r="J467" s="7" t="s">
        <v>2493</v>
      </c>
      <c r="K467" s="29" t="s">
        <v>2494</v>
      </c>
      <c r="L467" s="54" t="s">
        <v>2495</v>
      </c>
      <c r="M467" s="31" t="b">
        <v>0</v>
      </c>
      <c r="N467" s="31" t="b">
        <v>0</v>
      </c>
      <c r="O467" s="31"/>
      <c r="P467" s="31" t="b">
        <v>0</v>
      </c>
      <c r="Q467" s="31" t="b">
        <v>0</v>
      </c>
      <c r="R467" s="31" t="b">
        <v>0</v>
      </c>
      <c r="S467" s="31"/>
      <c r="T467" s="32"/>
      <c r="U467" s="31" t="b">
        <v>0</v>
      </c>
      <c r="V467" s="31"/>
      <c r="W467" s="31" t="b">
        <v>0</v>
      </c>
      <c r="X467" s="31" t="b">
        <v>0</v>
      </c>
      <c r="Y467" s="31"/>
      <c r="Z467" s="31"/>
      <c r="AA467" s="31"/>
      <c r="AB467" s="31"/>
      <c r="AC467" s="45"/>
      <c r="AD467" s="31"/>
      <c r="AE467" s="31"/>
      <c r="AF467" s="31"/>
      <c r="AG467" s="31"/>
      <c r="AH467" s="31"/>
      <c r="AI467" s="31"/>
      <c r="AJ467" s="3"/>
      <c r="AK467" s="34" t="s">
        <v>636</v>
      </c>
      <c r="AL467" s="25"/>
      <c r="AM467" s="25"/>
      <c r="AN467" s="35" t="s">
        <v>2496</v>
      </c>
      <c r="AO467" s="24">
        <v>0.0024537037037037036</v>
      </c>
      <c r="AP467" s="25"/>
      <c r="AQ467" s="25"/>
      <c r="AR467" s="36" t="s">
        <v>633</v>
      </c>
      <c r="AS467" s="7" t="b">
        <f>NOT(ISERROR(MATCH(A467,'Villages according to موسوعة ال'!C:C,0)))</f>
        <v>1</v>
      </c>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row>
    <row r="468">
      <c r="A468" s="3" t="s">
        <v>2467</v>
      </c>
      <c r="B468" s="26" t="s">
        <v>2468</v>
      </c>
      <c r="F468" s="7" t="s">
        <v>692</v>
      </c>
      <c r="G468" s="28"/>
      <c r="K468" s="54" t="s">
        <v>2497</v>
      </c>
      <c r="L468" s="47"/>
      <c r="M468" s="48" t="b">
        <v>0</v>
      </c>
      <c r="N468" s="48" t="b">
        <v>0</v>
      </c>
      <c r="O468" s="48"/>
      <c r="P468" s="48" t="b">
        <v>0</v>
      </c>
      <c r="Q468" s="48" t="b">
        <v>0</v>
      </c>
      <c r="R468" s="48" t="b">
        <v>0</v>
      </c>
      <c r="S468" s="48"/>
      <c r="T468" s="32"/>
      <c r="U468" s="48" t="b">
        <v>0</v>
      </c>
      <c r="V468" s="48"/>
      <c r="W468" s="48" t="b">
        <v>0</v>
      </c>
      <c r="X468" s="48" t="b">
        <v>0</v>
      </c>
      <c r="Y468" s="48"/>
      <c r="Z468" s="48"/>
      <c r="AA468" s="48"/>
      <c r="AB468" s="48"/>
      <c r="AC468" s="49"/>
      <c r="AD468" s="48"/>
      <c r="AE468" s="48"/>
      <c r="AF468" s="48"/>
      <c r="AG468" s="48"/>
      <c r="AH468" s="48"/>
      <c r="AI468" s="48"/>
      <c r="AJ468" s="25"/>
      <c r="AK468" s="34" t="s">
        <v>636</v>
      </c>
      <c r="AL468" s="25"/>
      <c r="AM468" s="25"/>
      <c r="AN468" s="35" t="s">
        <v>2498</v>
      </c>
      <c r="AO468" s="24">
        <v>0.0017824074074074075</v>
      </c>
      <c r="AP468" s="25"/>
      <c r="AQ468" s="25"/>
      <c r="AR468" s="7" t="s">
        <v>633</v>
      </c>
      <c r="AS468" s="7" t="b">
        <f>NOT(ISERROR(MATCH(A468,'Villages according to موسوعة ال'!C:C,0)))</f>
        <v>1</v>
      </c>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row>
    <row r="469">
      <c r="A469" s="3" t="s">
        <v>2467</v>
      </c>
      <c r="B469" s="43" t="s">
        <v>2468</v>
      </c>
      <c r="E469" s="7" t="s">
        <v>850</v>
      </c>
      <c r="F469" s="7" t="s">
        <v>692</v>
      </c>
      <c r="G469" s="28"/>
      <c r="H469" s="7" t="s">
        <v>2499</v>
      </c>
      <c r="I469" s="7" t="s">
        <v>638</v>
      </c>
      <c r="J469" s="7" t="s">
        <v>2500</v>
      </c>
      <c r="K469" s="54" t="s">
        <v>2501</v>
      </c>
      <c r="L469" s="54" t="s">
        <v>2502</v>
      </c>
      <c r="M469" s="60" t="b">
        <v>0</v>
      </c>
      <c r="N469" s="60" t="b">
        <v>0</v>
      </c>
      <c r="O469" s="60"/>
      <c r="P469" s="60" t="b">
        <v>0</v>
      </c>
      <c r="Q469" s="60" t="b">
        <v>0</v>
      </c>
      <c r="R469" s="60" t="b">
        <v>0</v>
      </c>
      <c r="S469" s="60"/>
      <c r="T469" s="60"/>
      <c r="U469" s="60" t="b">
        <v>0</v>
      </c>
      <c r="V469" s="60"/>
      <c r="W469" s="60" t="b">
        <v>0</v>
      </c>
      <c r="X469" s="60" t="b">
        <v>0</v>
      </c>
      <c r="Y469" s="60"/>
      <c r="Z469" s="60"/>
      <c r="AA469" s="60"/>
      <c r="AB469" s="60"/>
      <c r="AC469" s="61"/>
      <c r="AD469" s="60"/>
      <c r="AE469" s="60"/>
      <c r="AF469" s="60"/>
      <c r="AG469" s="60"/>
      <c r="AH469" s="60"/>
      <c r="AI469" s="60"/>
      <c r="AJ469" s="3"/>
      <c r="AK469" s="34" t="s">
        <v>698</v>
      </c>
      <c r="AL469" s="25"/>
      <c r="AM469" s="25"/>
      <c r="AN469" s="35" t="s">
        <v>2503</v>
      </c>
      <c r="AO469" s="24">
        <v>0.0018287037037037037</v>
      </c>
      <c r="AP469" s="25"/>
      <c r="AQ469" s="25"/>
      <c r="AR469" s="35" t="s">
        <v>2504</v>
      </c>
      <c r="AS469" s="7" t="b">
        <f>NOT(ISERROR(MATCH(A469,'Villages according to موسوعة ال'!C:C,0)))</f>
        <v>1</v>
      </c>
      <c r="AT469" s="25"/>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row>
    <row r="470">
      <c r="A470" s="3" t="s">
        <v>2467</v>
      </c>
      <c r="B470" s="43" t="s">
        <v>2468</v>
      </c>
      <c r="E470" s="7" t="s">
        <v>850</v>
      </c>
      <c r="F470" s="7" t="s">
        <v>692</v>
      </c>
      <c r="G470" s="28"/>
      <c r="H470" s="7" t="s">
        <v>2505</v>
      </c>
      <c r="I470" s="7" t="s">
        <v>616</v>
      </c>
      <c r="J470" s="7" t="s">
        <v>2506</v>
      </c>
      <c r="K470" s="54" t="s">
        <v>2507</v>
      </c>
      <c r="L470" s="54" t="s">
        <v>2508</v>
      </c>
      <c r="M470" s="31" t="b">
        <v>0</v>
      </c>
      <c r="N470" s="31" t="b">
        <v>0</v>
      </c>
      <c r="O470" s="31"/>
      <c r="P470" s="31" t="b">
        <v>0</v>
      </c>
      <c r="Q470" s="32" t="b">
        <v>0</v>
      </c>
      <c r="R470" s="31" t="b">
        <v>0</v>
      </c>
      <c r="S470" s="31"/>
      <c r="T470" s="32"/>
      <c r="U470" s="31" t="b">
        <v>0</v>
      </c>
      <c r="V470" s="31"/>
      <c r="W470" s="31" t="b">
        <v>0</v>
      </c>
      <c r="X470" s="31" t="b">
        <v>0</v>
      </c>
      <c r="Y470" s="31"/>
      <c r="Z470" s="31"/>
      <c r="AA470" s="31"/>
      <c r="AB470" s="31"/>
      <c r="AC470" s="45"/>
      <c r="AD470" s="31"/>
      <c r="AE470" s="31"/>
      <c r="AF470" s="31"/>
      <c r="AG470" s="31"/>
      <c r="AH470" s="31"/>
      <c r="AI470" s="31"/>
      <c r="AJ470" s="3"/>
      <c r="AK470" s="34" t="s">
        <v>631</v>
      </c>
      <c r="AL470" s="25"/>
      <c r="AM470" s="25"/>
      <c r="AN470" s="35" t="s">
        <v>2509</v>
      </c>
      <c r="AO470" s="24">
        <v>0.0013773148148148147</v>
      </c>
      <c r="AP470" s="25"/>
      <c r="AQ470" s="25"/>
      <c r="AR470" s="36" t="s">
        <v>633</v>
      </c>
      <c r="AS470" s="7" t="b">
        <f>NOT(ISERROR(MATCH(A470,'Villages according to موسوعة ال'!C:C,0)))</f>
        <v>1</v>
      </c>
      <c r="AT470" s="25"/>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row>
    <row r="471">
      <c r="A471" s="3" t="s">
        <v>2467</v>
      </c>
      <c r="B471" s="43" t="s">
        <v>2468</v>
      </c>
      <c r="E471" s="7" t="s">
        <v>2356</v>
      </c>
      <c r="F471" s="7" t="s">
        <v>692</v>
      </c>
      <c r="G471" s="28" t="s">
        <v>693</v>
      </c>
      <c r="H471" s="7" t="s">
        <v>2510</v>
      </c>
      <c r="I471" s="7" t="s">
        <v>638</v>
      </c>
      <c r="J471" s="7" t="s">
        <v>2511</v>
      </c>
      <c r="K471" s="54" t="s">
        <v>2512</v>
      </c>
      <c r="L471" s="54" t="s">
        <v>2513</v>
      </c>
      <c r="M471" s="60" t="b">
        <v>0</v>
      </c>
      <c r="N471" s="32" t="b">
        <v>1</v>
      </c>
      <c r="O471" s="32" t="s">
        <v>661</v>
      </c>
      <c r="P471" s="60" t="b">
        <v>0</v>
      </c>
      <c r="Q471" s="60" t="b">
        <v>0</v>
      </c>
      <c r="R471" s="60" t="b">
        <v>0</v>
      </c>
      <c r="S471" s="60"/>
      <c r="T471" s="32" t="s">
        <v>670</v>
      </c>
      <c r="U471" s="60" t="b">
        <v>0</v>
      </c>
      <c r="V471" s="32" t="s">
        <v>797</v>
      </c>
      <c r="W471" s="32" t="b">
        <v>1</v>
      </c>
      <c r="X471" s="32" t="b">
        <v>1</v>
      </c>
      <c r="Y471" s="32" t="s">
        <v>671</v>
      </c>
      <c r="Z471" s="32" t="s">
        <v>2514</v>
      </c>
      <c r="AA471" s="60"/>
      <c r="AB471" s="60"/>
      <c r="AC471" s="61"/>
      <c r="AD471" s="32" t="s">
        <v>686</v>
      </c>
      <c r="AE471" s="32" t="s">
        <v>711</v>
      </c>
      <c r="AF471" s="32" t="s">
        <v>1759</v>
      </c>
      <c r="AG471" s="60"/>
      <c r="AH471" s="32" t="s">
        <v>687</v>
      </c>
      <c r="AI471" s="32" t="s">
        <v>673</v>
      </c>
      <c r="AJ471" s="3"/>
      <c r="AK471" s="34" t="s">
        <v>698</v>
      </c>
      <c r="AL471" s="3" t="s">
        <v>699</v>
      </c>
      <c r="AM471" s="3" t="s">
        <v>907</v>
      </c>
      <c r="AN471" s="35" t="s">
        <v>2515</v>
      </c>
      <c r="AO471" s="24">
        <v>0.0018865740740740742</v>
      </c>
      <c r="AP471" s="7" t="s">
        <v>702</v>
      </c>
      <c r="AQ471" s="73">
        <v>43221.0</v>
      </c>
      <c r="AR471" s="35" t="s">
        <v>2516</v>
      </c>
      <c r="AS471" s="7" t="b">
        <f>NOT(ISERROR(MATCH(A471,'Villages according to موسوعة ال'!C:C,0)))</f>
        <v>1</v>
      </c>
      <c r="AT471" s="25"/>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row>
    <row r="472">
      <c r="A472" s="7" t="s">
        <v>18</v>
      </c>
      <c r="B472" s="26" t="s">
        <v>19</v>
      </c>
      <c r="C472" s="7" t="s">
        <v>19</v>
      </c>
      <c r="D472" s="7" t="s">
        <v>20</v>
      </c>
      <c r="E472" s="25"/>
      <c r="F472" s="25"/>
      <c r="G472" s="84"/>
      <c r="H472" s="7" t="s">
        <v>2517</v>
      </c>
      <c r="I472" s="7" t="s">
        <v>616</v>
      </c>
      <c r="J472" s="7" t="s">
        <v>2518</v>
      </c>
      <c r="K472" s="54" t="s">
        <v>2519</v>
      </c>
      <c r="L472" s="54" t="s">
        <v>2520</v>
      </c>
      <c r="M472" s="31" t="b">
        <v>0</v>
      </c>
      <c r="N472" s="31" t="b">
        <v>0</v>
      </c>
      <c r="O472" s="31"/>
      <c r="P472" s="31" t="b">
        <v>0</v>
      </c>
      <c r="Q472" s="31" t="b">
        <v>0</v>
      </c>
      <c r="R472" s="31" t="b">
        <v>0</v>
      </c>
      <c r="S472" s="31"/>
      <c r="T472" s="32"/>
      <c r="U472" s="31" t="b">
        <v>0</v>
      </c>
      <c r="V472" s="31"/>
      <c r="W472" s="31" t="b">
        <v>0</v>
      </c>
      <c r="X472" s="31" t="b">
        <v>0</v>
      </c>
      <c r="Y472" s="31"/>
      <c r="Z472" s="31"/>
      <c r="AA472" s="31"/>
      <c r="AB472" s="31"/>
      <c r="AC472" s="45"/>
      <c r="AD472" s="31"/>
      <c r="AE472" s="31"/>
      <c r="AF472" s="31"/>
      <c r="AG472" s="31"/>
      <c r="AH472" s="31"/>
      <c r="AI472" s="31"/>
      <c r="AJ472" s="3"/>
      <c r="AK472" s="34" t="s">
        <v>636</v>
      </c>
      <c r="AL472" s="25"/>
      <c r="AM472" s="25"/>
      <c r="AN472" s="35" t="s">
        <v>2521</v>
      </c>
      <c r="AO472" s="24">
        <v>0.0011111111111111111</v>
      </c>
      <c r="AP472" s="3" t="s">
        <v>2522</v>
      </c>
      <c r="AQ472" s="7" t="s">
        <v>633</v>
      </c>
      <c r="AR472" s="7" t="s">
        <v>633</v>
      </c>
      <c r="AS472" s="7" t="b">
        <f>NOT(ISERROR(MATCH(A472,'Villages according to موسوعة ال'!C:C,0)))</f>
        <v>1</v>
      </c>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row>
    <row r="473">
      <c r="A473" s="7" t="s">
        <v>18</v>
      </c>
      <c r="B473" s="26" t="s">
        <v>19</v>
      </c>
      <c r="E473" s="25"/>
      <c r="F473" s="25"/>
      <c r="G473" s="84"/>
      <c r="H473" s="7" t="s">
        <v>633</v>
      </c>
      <c r="I473" s="7" t="s">
        <v>616</v>
      </c>
      <c r="J473" s="7" t="s">
        <v>2523</v>
      </c>
      <c r="K473" s="54" t="s">
        <v>2524</v>
      </c>
      <c r="L473" s="54" t="s">
        <v>2525</v>
      </c>
      <c r="M473" s="31" t="b">
        <v>0</v>
      </c>
      <c r="N473" s="31" t="b">
        <v>0</v>
      </c>
      <c r="O473" s="31"/>
      <c r="P473" s="31" t="b">
        <v>0</v>
      </c>
      <c r="Q473" s="31" t="b">
        <v>0</v>
      </c>
      <c r="R473" s="31" t="b">
        <v>0</v>
      </c>
      <c r="S473" s="31"/>
      <c r="T473" s="32"/>
      <c r="U473" s="31" t="b">
        <v>0</v>
      </c>
      <c r="V473" s="31"/>
      <c r="W473" s="31" t="b">
        <v>0</v>
      </c>
      <c r="X473" s="31" t="b">
        <v>0</v>
      </c>
      <c r="Y473" s="31"/>
      <c r="Z473" s="31"/>
      <c r="AA473" s="31"/>
      <c r="AB473" s="31"/>
      <c r="AC473" s="45"/>
      <c r="AD473" s="31"/>
      <c r="AE473" s="31"/>
      <c r="AF473" s="31"/>
      <c r="AG473" s="31"/>
      <c r="AH473" s="31"/>
      <c r="AI473" s="31"/>
      <c r="AJ473" s="3"/>
      <c r="AK473" s="34" t="s">
        <v>631</v>
      </c>
      <c r="AL473" s="25"/>
      <c r="AM473" s="25"/>
      <c r="AN473" s="35" t="s">
        <v>2526</v>
      </c>
      <c r="AO473" s="24">
        <v>7.638888888888889E-4</v>
      </c>
      <c r="AP473" s="3" t="s">
        <v>2522</v>
      </c>
      <c r="AQ473" s="7" t="s">
        <v>633</v>
      </c>
      <c r="AR473" s="7" t="s">
        <v>633</v>
      </c>
      <c r="AS473" s="7" t="b">
        <f>NOT(ISERROR(MATCH(A473,'Villages according to موسوعة ال'!C:C,0)))</f>
        <v>1</v>
      </c>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row>
    <row r="474">
      <c r="A474" s="7" t="s">
        <v>39</v>
      </c>
      <c r="B474" s="43" t="s">
        <v>40</v>
      </c>
      <c r="C474" s="25" t="s">
        <v>40</v>
      </c>
      <c r="D474" s="25" t="s">
        <v>41</v>
      </c>
      <c r="E474" s="25"/>
      <c r="F474" s="25"/>
      <c r="G474" s="84"/>
      <c r="H474" s="7" t="s">
        <v>2311</v>
      </c>
      <c r="I474" s="7" t="s">
        <v>638</v>
      </c>
      <c r="J474" s="7" t="s">
        <v>2527</v>
      </c>
      <c r="K474" s="54" t="s">
        <v>2528</v>
      </c>
      <c r="L474" s="54" t="s">
        <v>2529</v>
      </c>
      <c r="M474" s="31" t="b">
        <v>0</v>
      </c>
      <c r="N474" s="31" t="b">
        <v>0</v>
      </c>
      <c r="O474" s="31"/>
      <c r="P474" s="31" t="b">
        <v>0</v>
      </c>
      <c r="Q474" s="31" t="b">
        <v>0</v>
      </c>
      <c r="R474" s="31" t="b">
        <v>0</v>
      </c>
      <c r="S474" s="31"/>
      <c r="T474" s="32"/>
      <c r="U474" s="31" t="b">
        <v>0</v>
      </c>
      <c r="V474" s="31"/>
      <c r="W474" s="31" t="b">
        <v>0</v>
      </c>
      <c r="X474" s="31" t="b">
        <v>0</v>
      </c>
      <c r="Y474" s="31"/>
      <c r="Z474" s="31"/>
      <c r="AA474" s="31"/>
      <c r="AB474" s="31"/>
      <c r="AC474" s="45"/>
      <c r="AD474" s="31"/>
      <c r="AE474" s="31"/>
      <c r="AF474" s="31"/>
      <c r="AG474" s="31"/>
      <c r="AH474" s="31"/>
      <c r="AI474" s="31"/>
      <c r="AJ474" s="3" t="s">
        <v>2530</v>
      </c>
      <c r="AK474" s="34" t="s">
        <v>718</v>
      </c>
      <c r="AL474" s="3" t="s">
        <v>734</v>
      </c>
      <c r="AM474" s="3" t="s">
        <v>2531</v>
      </c>
      <c r="AN474" s="35" t="s">
        <v>2532</v>
      </c>
      <c r="AO474" s="24">
        <v>0.025439814814814814</v>
      </c>
      <c r="AP474" s="3" t="s">
        <v>2533</v>
      </c>
      <c r="AQ474" s="7" t="s">
        <v>633</v>
      </c>
      <c r="AR474" s="35" t="s">
        <v>2534</v>
      </c>
      <c r="AS474" s="7" t="b">
        <f>NOT(ISERROR(MATCH(A474,'Villages according to موسوعة ال'!C:C,0)))</f>
        <v>1</v>
      </c>
      <c r="AT474" s="25"/>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row>
    <row r="475">
      <c r="A475" s="7" t="s">
        <v>60</v>
      </c>
      <c r="B475" s="43" t="s">
        <v>2535</v>
      </c>
      <c r="C475" s="7" t="s">
        <v>2535</v>
      </c>
      <c r="D475" s="7" t="s">
        <v>62</v>
      </c>
      <c r="E475" s="7" t="s">
        <v>850</v>
      </c>
      <c r="F475" s="7" t="s">
        <v>692</v>
      </c>
      <c r="G475" s="84"/>
      <c r="H475" s="7" t="s">
        <v>2536</v>
      </c>
      <c r="I475" s="7" t="s">
        <v>638</v>
      </c>
      <c r="J475" s="7" t="s">
        <v>2537</v>
      </c>
      <c r="K475" s="54" t="s">
        <v>2538</v>
      </c>
      <c r="L475" s="30" t="s">
        <v>2539</v>
      </c>
      <c r="M475" s="60" t="b">
        <v>0</v>
      </c>
      <c r="N475" s="60" t="b">
        <v>0</v>
      </c>
      <c r="O475" s="60"/>
      <c r="P475" s="60" t="b">
        <v>0</v>
      </c>
      <c r="Q475" s="60" t="b">
        <v>0</v>
      </c>
      <c r="R475" s="60" t="b">
        <v>0</v>
      </c>
      <c r="S475" s="60"/>
      <c r="T475" s="60"/>
      <c r="U475" s="60" t="b">
        <v>0</v>
      </c>
      <c r="V475" s="60"/>
      <c r="W475" s="60" t="b">
        <v>0</v>
      </c>
      <c r="X475" s="60" t="b">
        <v>0</v>
      </c>
      <c r="Y475" s="60"/>
      <c r="Z475" s="60"/>
      <c r="AA475" s="60"/>
      <c r="AB475" s="60"/>
      <c r="AC475" s="61"/>
      <c r="AD475" s="60"/>
      <c r="AE475" s="60"/>
      <c r="AF475" s="60"/>
      <c r="AG475" s="60"/>
      <c r="AH475" s="60"/>
      <c r="AI475" s="60"/>
      <c r="AJ475" s="7"/>
      <c r="AK475" s="34" t="s">
        <v>698</v>
      </c>
      <c r="AL475" s="3" t="s">
        <v>699</v>
      </c>
      <c r="AM475" s="3" t="s">
        <v>676</v>
      </c>
      <c r="AN475" s="35" t="s">
        <v>2540</v>
      </c>
      <c r="AO475" s="24">
        <v>0.004340277777777778</v>
      </c>
      <c r="AP475" s="3" t="s">
        <v>2541</v>
      </c>
      <c r="AQ475" s="25"/>
      <c r="AR475" s="35" t="s">
        <v>2542</v>
      </c>
      <c r="AS475" s="7" t="b">
        <f>NOT(ISERROR(MATCH(A475,'Villages according to موسوعة ال'!C:C,0)))</f>
        <v>1</v>
      </c>
      <c r="AT475" s="25"/>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row>
    <row r="476">
      <c r="A476" s="7" t="s">
        <v>60</v>
      </c>
      <c r="B476" s="43" t="s">
        <v>2535</v>
      </c>
      <c r="E476" s="7" t="s">
        <v>850</v>
      </c>
      <c r="F476" s="7" t="s">
        <v>692</v>
      </c>
      <c r="G476" s="28"/>
      <c r="H476" s="7" t="s">
        <v>2543</v>
      </c>
      <c r="I476" s="7" t="s">
        <v>616</v>
      </c>
      <c r="J476" s="7" t="s">
        <v>2544</v>
      </c>
      <c r="K476" s="54" t="s">
        <v>2545</v>
      </c>
      <c r="L476" s="54" t="s">
        <v>2546</v>
      </c>
      <c r="M476" s="31" t="b">
        <v>0</v>
      </c>
      <c r="N476" s="31" t="b">
        <v>0</v>
      </c>
      <c r="O476" s="31"/>
      <c r="P476" s="31" t="b">
        <v>0</v>
      </c>
      <c r="Q476" s="31" t="b">
        <v>0</v>
      </c>
      <c r="R476" s="31" t="b">
        <v>0</v>
      </c>
      <c r="S476" s="31"/>
      <c r="T476" s="32"/>
      <c r="U476" s="31" t="b">
        <v>0</v>
      </c>
      <c r="V476" s="31"/>
      <c r="W476" s="31" t="b">
        <v>0</v>
      </c>
      <c r="X476" s="31" t="b">
        <v>0</v>
      </c>
      <c r="Y476" s="31"/>
      <c r="Z476" s="31"/>
      <c r="AA476" s="31"/>
      <c r="AB476" s="31"/>
      <c r="AC476" s="45"/>
      <c r="AD476" s="31"/>
      <c r="AE476" s="31"/>
      <c r="AF476" s="31"/>
      <c r="AG476" s="31"/>
      <c r="AH476" s="31"/>
      <c r="AI476" s="31"/>
      <c r="AJ476" s="81" t="s">
        <v>2547</v>
      </c>
      <c r="AK476" s="34" t="s">
        <v>718</v>
      </c>
      <c r="AL476" s="3" t="s">
        <v>734</v>
      </c>
      <c r="AM476" s="3" t="s">
        <v>700</v>
      </c>
      <c r="AN476" s="35" t="s">
        <v>2548</v>
      </c>
      <c r="AO476" s="24">
        <v>0.007037037037037037</v>
      </c>
      <c r="AP476" s="3" t="s">
        <v>2549</v>
      </c>
      <c r="AQ476" s="7" t="s">
        <v>633</v>
      </c>
      <c r="AR476" s="35" t="s">
        <v>2550</v>
      </c>
      <c r="AS476" s="7" t="b">
        <f>NOT(ISERROR(MATCH(A476,'Villages according to موسوعة ال'!C:C,0)))</f>
        <v>1</v>
      </c>
      <c r="AT476" s="25"/>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row>
    <row r="477">
      <c r="A477" s="7" t="s">
        <v>60</v>
      </c>
      <c r="B477" s="43" t="s">
        <v>2535</v>
      </c>
      <c r="F477" s="7" t="s">
        <v>692</v>
      </c>
      <c r="G477" s="28"/>
      <c r="K477" s="54"/>
      <c r="L477" s="54"/>
      <c r="M477" s="60" t="b">
        <v>0</v>
      </c>
      <c r="N477" s="60" t="b">
        <v>0</v>
      </c>
      <c r="O477" s="60"/>
      <c r="P477" s="60" t="b">
        <v>0</v>
      </c>
      <c r="Q477" s="60" t="b">
        <v>0</v>
      </c>
      <c r="R477" s="60" t="b">
        <v>0</v>
      </c>
      <c r="S477" s="60"/>
      <c r="T477" s="60"/>
      <c r="U477" s="60" t="b">
        <v>0</v>
      </c>
      <c r="V477" s="60"/>
      <c r="W477" s="60" t="b">
        <v>0</v>
      </c>
      <c r="X477" s="60" t="b">
        <v>0</v>
      </c>
      <c r="Y477" s="60"/>
      <c r="Z477" s="60"/>
      <c r="AA477" s="60"/>
      <c r="AB477" s="60"/>
      <c r="AC477" s="61"/>
      <c r="AD477" s="60"/>
      <c r="AE477" s="60"/>
      <c r="AF477" s="60"/>
      <c r="AG477" s="60"/>
      <c r="AH477" s="60"/>
      <c r="AI477" s="60"/>
      <c r="AJ477" s="3" t="s">
        <v>2551</v>
      </c>
      <c r="AK477" s="34" t="s">
        <v>698</v>
      </c>
      <c r="AL477" s="25"/>
      <c r="AM477" s="3" t="s">
        <v>700</v>
      </c>
      <c r="AO477" s="24">
        <v>0.007037037037037037</v>
      </c>
      <c r="AR477" s="35" t="s">
        <v>2552</v>
      </c>
      <c r="AS477" s="7" t="b">
        <f>NOT(ISERROR(MATCH(A477,'Villages according to موسوعة ال'!C:C,0)))</f>
        <v>1</v>
      </c>
      <c r="AT477" s="25"/>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row>
    <row r="478">
      <c r="A478" s="7" t="s">
        <v>60</v>
      </c>
      <c r="B478" s="26" t="s">
        <v>2535</v>
      </c>
      <c r="E478" s="25"/>
      <c r="F478" s="25"/>
      <c r="G478" s="84"/>
      <c r="H478" s="7"/>
      <c r="I478" s="7" t="s">
        <v>638</v>
      </c>
      <c r="J478" s="7" t="s">
        <v>2553</v>
      </c>
      <c r="K478" s="54" t="s">
        <v>2554</v>
      </c>
      <c r="L478" s="54" t="s">
        <v>2555</v>
      </c>
      <c r="M478" s="31" t="b">
        <v>0</v>
      </c>
      <c r="N478" s="31" t="b">
        <v>0</v>
      </c>
      <c r="O478" s="31"/>
      <c r="P478" s="31" t="b">
        <v>0</v>
      </c>
      <c r="Q478" s="31" t="b">
        <v>0</v>
      </c>
      <c r="R478" s="31" t="b">
        <v>0</v>
      </c>
      <c r="S478" s="31"/>
      <c r="T478" s="32"/>
      <c r="U478" s="31" t="b">
        <v>0</v>
      </c>
      <c r="V478" s="31"/>
      <c r="W478" s="31" t="b">
        <v>0</v>
      </c>
      <c r="X478" s="31" t="b">
        <v>0</v>
      </c>
      <c r="Y478" s="31"/>
      <c r="Z478" s="31"/>
      <c r="AA478" s="31"/>
      <c r="AB478" s="31"/>
      <c r="AC478" s="45"/>
      <c r="AD478" s="31"/>
      <c r="AE478" s="31"/>
      <c r="AF478" s="31"/>
      <c r="AG478" s="31"/>
      <c r="AH478" s="31"/>
      <c r="AI478" s="31"/>
      <c r="AJ478" s="3"/>
      <c r="AK478" s="34" t="s">
        <v>636</v>
      </c>
      <c r="AL478" s="25"/>
      <c r="AM478" s="25"/>
      <c r="AN478" s="35" t="s">
        <v>2556</v>
      </c>
      <c r="AO478" s="24">
        <v>5.208333333333333E-4</v>
      </c>
      <c r="AP478" s="7" t="s">
        <v>2557</v>
      </c>
      <c r="AQ478" s="7" t="s">
        <v>633</v>
      </c>
      <c r="AR478" s="7" t="s">
        <v>633</v>
      </c>
      <c r="AS478" s="7" t="b">
        <f>NOT(ISERROR(MATCH(A478,'Villages according to موسوعة ال'!C:C,0)))</f>
        <v>1</v>
      </c>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row>
    <row r="479">
      <c r="A479" s="7" t="s">
        <v>60</v>
      </c>
      <c r="B479" s="26" t="s">
        <v>2535</v>
      </c>
      <c r="G479" s="84"/>
      <c r="K479" s="54" t="s">
        <v>2558</v>
      </c>
      <c r="L479" s="30" t="s">
        <v>2559</v>
      </c>
      <c r="M479" s="32" t="b">
        <v>0</v>
      </c>
      <c r="N479" s="32" t="b">
        <v>0</v>
      </c>
      <c r="O479" s="32"/>
      <c r="P479" s="32" t="b">
        <v>0</v>
      </c>
      <c r="Q479" s="32" t="b">
        <v>0</v>
      </c>
      <c r="R479" s="32" t="b">
        <v>0</v>
      </c>
      <c r="S479" s="32"/>
      <c r="T479" s="32"/>
      <c r="U479" s="32" t="b">
        <v>0</v>
      </c>
      <c r="V479" s="32"/>
      <c r="W479" s="32" t="b">
        <v>0</v>
      </c>
      <c r="X479" s="32" t="b">
        <v>0</v>
      </c>
      <c r="Y479" s="32"/>
      <c r="Z479" s="32"/>
      <c r="AA479" s="32"/>
      <c r="AB479" s="32"/>
      <c r="AC479" s="33"/>
      <c r="AD479" s="32"/>
      <c r="AE479" s="32"/>
      <c r="AF479" s="32"/>
      <c r="AG479" s="32"/>
      <c r="AH479" s="32"/>
      <c r="AI479" s="32"/>
      <c r="AJ479" s="7"/>
      <c r="AK479" s="34" t="s">
        <v>636</v>
      </c>
      <c r="AL479" s="25"/>
      <c r="AM479" s="25"/>
      <c r="AN479" s="35" t="s">
        <v>2560</v>
      </c>
      <c r="AO479" s="24">
        <v>7.523148148148148E-4</v>
      </c>
      <c r="AP479" s="7" t="s">
        <v>2557</v>
      </c>
      <c r="AQ479" s="4" t="s">
        <v>633</v>
      </c>
      <c r="AR479" s="4" t="s">
        <v>633</v>
      </c>
      <c r="AS479" s="7" t="b">
        <f>NOT(ISERROR(MATCH(A479,'Villages according to موسوعة ال'!C:C,0)))</f>
        <v>1</v>
      </c>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row>
    <row r="480">
      <c r="A480" s="7" t="s">
        <v>60</v>
      </c>
      <c r="B480" s="43" t="s">
        <v>2535</v>
      </c>
      <c r="E480" s="7" t="s">
        <v>850</v>
      </c>
      <c r="F480" s="7" t="s">
        <v>692</v>
      </c>
      <c r="G480" s="28"/>
      <c r="H480" s="7" t="s">
        <v>2561</v>
      </c>
      <c r="I480" s="7" t="s">
        <v>616</v>
      </c>
      <c r="J480" s="7" t="s">
        <v>2562</v>
      </c>
      <c r="K480" s="54" t="s">
        <v>2563</v>
      </c>
      <c r="L480" s="54" t="s">
        <v>2564</v>
      </c>
      <c r="M480" s="60" t="b">
        <v>0</v>
      </c>
      <c r="N480" s="60" t="b">
        <v>0</v>
      </c>
      <c r="O480" s="60"/>
      <c r="P480" s="60" t="b">
        <v>0</v>
      </c>
      <c r="Q480" s="60" t="b">
        <v>0</v>
      </c>
      <c r="R480" s="60" t="b">
        <v>0</v>
      </c>
      <c r="S480" s="60"/>
      <c r="T480" s="60"/>
      <c r="U480" s="60" t="b">
        <v>0</v>
      </c>
      <c r="V480" s="60"/>
      <c r="W480" s="60" t="b">
        <v>0</v>
      </c>
      <c r="X480" s="60" t="b">
        <v>0</v>
      </c>
      <c r="Y480" s="60"/>
      <c r="Z480" s="60"/>
      <c r="AA480" s="60"/>
      <c r="AB480" s="60"/>
      <c r="AC480" s="61"/>
      <c r="AD480" s="60"/>
      <c r="AE480" s="60"/>
      <c r="AF480" s="60"/>
      <c r="AG480" s="60"/>
      <c r="AH480" s="60"/>
      <c r="AI480" s="60"/>
      <c r="AJ480" s="3"/>
      <c r="AK480" s="34" t="s">
        <v>698</v>
      </c>
      <c r="AL480" s="3" t="s">
        <v>699</v>
      </c>
      <c r="AM480" s="3" t="s">
        <v>676</v>
      </c>
      <c r="AN480" s="35" t="s">
        <v>2565</v>
      </c>
      <c r="AO480" s="24">
        <v>0.0017708333333333332</v>
      </c>
      <c r="AP480" s="7" t="s">
        <v>2566</v>
      </c>
      <c r="AQ480" s="73">
        <v>42917.0</v>
      </c>
      <c r="AR480" s="35" t="s">
        <v>2567</v>
      </c>
      <c r="AS480" s="7" t="b">
        <f>NOT(ISERROR(MATCH(A480,'Villages according to موسوعة ال'!C:C,0)))</f>
        <v>1</v>
      </c>
      <c r="AT480" s="25"/>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row>
    <row r="481">
      <c r="A481" s="7" t="s">
        <v>60</v>
      </c>
      <c r="B481" s="43" t="s">
        <v>2535</v>
      </c>
      <c r="E481" s="7" t="s">
        <v>850</v>
      </c>
      <c r="F481" s="7" t="s">
        <v>692</v>
      </c>
      <c r="G481" s="28"/>
      <c r="H481" s="7" t="s">
        <v>2543</v>
      </c>
      <c r="I481" s="7" t="s">
        <v>616</v>
      </c>
      <c r="J481" s="7" t="s">
        <v>2568</v>
      </c>
      <c r="K481" s="59" t="s">
        <v>2569</v>
      </c>
      <c r="L481" s="54" t="s">
        <v>2570</v>
      </c>
      <c r="M481" s="60" t="b">
        <v>0</v>
      </c>
      <c r="N481" s="60" t="b">
        <v>0</v>
      </c>
      <c r="O481" s="60"/>
      <c r="P481" s="60" t="b">
        <v>0</v>
      </c>
      <c r="Q481" s="60" t="b">
        <v>0</v>
      </c>
      <c r="R481" s="60" t="b">
        <v>0</v>
      </c>
      <c r="S481" s="60"/>
      <c r="T481" s="60"/>
      <c r="U481" s="60" t="b">
        <v>0</v>
      </c>
      <c r="V481" s="60"/>
      <c r="W481" s="60" t="b">
        <v>0</v>
      </c>
      <c r="X481" s="60" t="b">
        <v>0</v>
      </c>
      <c r="Y481" s="60"/>
      <c r="Z481" s="60"/>
      <c r="AA481" s="60"/>
      <c r="AB481" s="60"/>
      <c r="AC481" s="61"/>
      <c r="AD481" s="60"/>
      <c r="AE481" s="60"/>
      <c r="AF481" s="60"/>
      <c r="AG481" s="60"/>
      <c r="AH481" s="60"/>
      <c r="AI481" s="60"/>
      <c r="AJ481" s="3"/>
      <c r="AK481" s="34" t="s">
        <v>698</v>
      </c>
      <c r="AL481" s="3" t="s">
        <v>699</v>
      </c>
      <c r="AM481" s="3" t="s">
        <v>676</v>
      </c>
      <c r="AN481" s="35" t="s">
        <v>2571</v>
      </c>
      <c r="AO481" s="24">
        <v>0.0012268518518518518</v>
      </c>
      <c r="AP481" s="7" t="s">
        <v>2572</v>
      </c>
      <c r="AQ481" s="73">
        <v>41000.0</v>
      </c>
      <c r="AR481" s="35" t="s">
        <v>2573</v>
      </c>
      <c r="AS481" s="7" t="b">
        <f>NOT(ISERROR(MATCH(A481,'Villages according to موسوعة ال'!C:C,0)))</f>
        <v>1</v>
      </c>
      <c r="AT481" s="25"/>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row>
    <row r="482">
      <c r="A482" s="7" t="s">
        <v>60</v>
      </c>
      <c r="B482" s="43" t="s">
        <v>2535</v>
      </c>
      <c r="E482" s="7" t="s">
        <v>850</v>
      </c>
      <c r="F482" s="7" t="s">
        <v>692</v>
      </c>
      <c r="G482" s="28"/>
      <c r="H482" s="7" t="s">
        <v>2574</v>
      </c>
      <c r="I482" s="7" t="s">
        <v>616</v>
      </c>
      <c r="J482" s="7" t="s">
        <v>2575</v>
      </c>
      <c r="K482" s="59" t="s">
        <v>2576</v>
      </c>
      <c r="L482" s="29" t="s">
        <v>2577</v>
      </c>
      <c r="M482" s="60" t="b">
        <v>0</v>
      </c>
      <c r="N482" s="60" t="b">
        <v>0</v>
      </c>
      <c r="O482" s="60"/>
      <c r="P482" s="60" t="b">
        <v>0</v>
      </c>
      <c r="Q482" s="60" t="b">
        <v>0</v>
      </c>
      <c r="R482" s="60" t="b">
        <v>0</v>
      </c>
      <c r="S482" s="60"/>
      <c r="T482" s="60"/>
      <c r="U482" s="60" t="b">
        <v>0</v>
      </c>
      <c r="V482" s="60"/>
      <c r="W482" s="60" t="b">
        <v>0</v>
      </c>
      <c r="X482" s="60" t="b">
        <v>0</v>
      </c>
      <c r="Y482" s="60"/>
      <c r="Z482" s="60"/>
      <c r="AA482" s="60"/>
      <c r="AB482" s="60"/>
      <c r="AC482" s="61"/>
      <c r="AD482" s="60"/>
      <c r="AE482" s="60"/>
      <c r="AF482" s="60"/>
      <c r="AG482" s="60"/>
      <c r="AH482" s="60"/>
      <c r="AI482" s="60"/>
      <c r="AJ482" s="71"/>
      <c r="AK482" s="34" t="s">
        <v>698</v>
      </c>
      <c r="AL482" s="3" t="s">
        <v>699</v>
      </c>
      <c r="AM482" s="3" t="s">
        <v>676</v>
      </c>
      <c r="AN482" s="35" t="s">
        <v>2578</v>
      </c>
      <c r="AO482" s="24">
        <v>0.0012962962962962963</v>
      </c>
      <c r="AP482" s="7" t="s">
        <v>2579</v>
      </c>
      <c r="AQ482" s="73">
        <v>43009.0</v>
      </c>
      <c r="AR482" s="35" t="s">
        <v>2580</v>
      </c>
      <c r="AS482" s="7" t="b">
        <f>NOT(ISERROR(MATCH(A482,'Villages according to موسوعة ال'!C:C,0)))</f>
        <v>1</v>
      </c>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row>
    <row r="483">
      <c r="A483" s="7" t="s">
        <v>263</v>
      </c>
      <c r="B483" s="43" t="s">
        <v>264</v>
      </c>
      <c r="C483" s="7" t="s">
        <v>264</v>
      </c>
      <c r="D483" s="7" t="s">
        <v>265</v>
      </c>
      <c r="E483" s="25"/>
      <c r="F483" s="25"/>
      <c r="G483" s="84"/>
      <c r="H483" s="7" t="s">
        <v>2581</v>
      </c>
      <c r="I483" s="7" t="s">
        <v>616</v>
      </c>
      <c r="J483" s="7" t="s">
        <v>2582</v>
      </c>
      <c r="K483" s="54" t="s">
        <v>2583</v>
      </c>
      <c r="L483" s="114"/>
      <c r="M483" s="60" t="b">
        <v>0</v>
      </c>
      <c r="N483" s="60" t="b">
        <v>0</v>
      </c>
      <c r="O483" s="60"/>
      <c r="P483" s="60" t="b">
        <v>0</v>
      </c>
      <c r="Q483" s="60" t="b">
        <v>0</v>
      </c>
      <c r="R483" s="60" t="b">
        <v>0</v>
      </c>
      <c r="S483" s="60"/>
      <c r="T483" s="32"/>
      <c r="U483" s="60" t="b">
        <v>0</v>
      </c>
      <c r="V483" s="60"/>
      <c r="W483" s="60" t="b">
        <v>0</v>
      </c>
      <c r="X483" s="60" t="b">
        <v>0</v>
      </c>
      <c r="Y483" s="60"/>
      <c r="Z483" s="60"/>
      <c r="AA483" s="60"/>
      <c r="AB483" s="60"/>
      <c r="AC483" s="61"/>
      <c r="AD483" s="60"/>
      <c r="AE483" s="60"/>
      <c r="AF483" s="60"/>
      <c r="AG483" s="60"/>
      <c r="AH483" s="60"/>
      <c r="AI483" s="60"/>
      <c r="AJ483" s="115"/>
      <c r="AK483" s="34" t="s">
        <v>718</v>
      </c>
      <c r="AL483" s="3" t="s">
        <v>734</v>
      </c>
      <c r="AM483" s="3" t="s">
        <v>700</v>
      </c>
      <c r="AN483" s="35" t="s">
        <v>2584</v>
      </c>
      <c r="AO483" s="24">
        <v>8.680555555555555E-4</v>
      </c>
      <c r="AP483" s="3" t="s">
        <v>2585</v>
      </c>
      <c r="AQ483" s="7" t="s">
        <v>633</v>
      </c>
      <c r="AR483" s="35" t="s">
        <v>2586</v>
      </c>
      <c r="AS483" s="7" t="b">
        <f>NOT(ISERROR(MATCH(A483,'Villages according to موسوعة ال'!C:C,0)))</f>
        <v>1</v>
      </c>
      <c r="AT483" s="25"/>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row>
    <row r="484">
      <c r="A484" s="7" t="s">
        <v>263</v>
      </c>
      <c r="B484" s="26" t="s">
        <v>264</v>
      </c>
      <c r="G484" s="84"/>
      <c r="K484" s="47"/>
      <c r="L484" s="47"/>
      <c r="M484" s="48" t="b">
        <v>0</v>
      </c>
      <c r="N484" s="48" t="b">
        <v>0</v>
      </c>
      <c r="O484" s="48"/>
      <c r="P484" s="48" t="b">
        <v>0</v>
      </c>
      <c r="Q484" s="48" t="b">
        <v>0</v>
      </c>
      <c r="R484" s="48" t="b">
        <v>0</v>
      </c>
      <c r="S484" s="48"/>
      <c r="T484" s="32"/>
      <c r="U484" s="48" t="b">
        <v>0</v>
      </c>
      <c r="V484" s="48"/>
      <c r="W484" s="48" t="b">
        <v>0</v>
      </c>
      <c r="X484" s="48" t="b">
        <v>0</v>
      </c>
      <c r="Y484" s="48"/>
      <c r="Z484" s="48"/>
      <c r="AA484" s="48"/>
      <c r="AB484" s="48"/>
      <c r="AC484" s="49"/>
      <c r="AD484" s="48"/>
      <c r="AE484" s="48"/>
      <c r="AF484" s="48"/>
      <c r="AG484" s="48"/>
      <c r="AH484" s="48"/>
      <c r="AI484" s="48"/>
      <c r="AJ484" s="25"/>
      <c r="AK484" s="34" t="s">
        <v>666</v>
      </c>
      <c r="AL484" s="25"/>
      <c r="AM484" s="25"/>
      <c r="AN484" s="35" t="s">
        <v>2587</v>
      </c>
      <c r="AO484" s="24">
        <v>6.597222222222222E-4</v>
      </c>
      <c r="AP484" s="3" t="s">
        <v>2585</v>
      </c>
      <c r="AQ484" s="7" t="s">
        <v>633</v>
      </c>
      <c r="AR484" s="7" t="s">
        <v>633</v>
      </c>
      <c r="AS484" s="7" t="b">
        <f>NOT(ISERROR(MATCH(A484,'Villages according to موسوعة ال'!C:C,0)))</f>
        <v>1</v>
      </c>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row>
    <row r="485">
      <c r="A485" s="7" t="s">
        <v>263</v>
      </c>
      <c r="B485" s="43" t="s">
        <v>264</v>
      </c>
      <c r="G485" s="84"/>
      <c r="K485" s="54" t="s">
        <v>2588</v>
      </c>
      <c r="L485" s="54" t="s">
        <v>2589</v>
      </c>
      <c r="M485" s="31" t="b">
        <v>0</v>
      </c>
      <c r="N485" s="31" t="b">
        <v>0</v>
      </c>
      <c r="O485" s="31"/>
      <c r="P485" s="31" t="b">
        <v>0</v>
      </c>
      <c r="Q485" s="31" t="b">
        <v>0</v>
      </c>
      <c r="R485" s="31" t="b">
        <v>0</v>
      </c>
      <c r="S485" s="31"/>
      <c r="T485" s="32"/>
      <c r="U485" s="31" t="b">
        <v>0</v>
      </c>
      <c r="V485" s="31"/>
      <c r="W485" s="31" t="b">
        <v>0</v>
      </c>
      <c r="X485" s="31" t="b">
        <v>0</v>
      </c>
      <c r="Y485" s="31"/>
      <c r="Z485" s="31"/>
      <c r="AA485" s="31"/>
      <c r="AB485" s="31"/>
      <c r="AC485" s="45"/>
      <c r="AD485" s="31"/>
      <c r="AE485" s="31"/>
      <c r="AF485" s="31"/>
      <c r="AG485" s="31"/>
      <c r="AH485" s="31"/>
      <c r="AI485" s="31"/>
      <c r="AJ485" s="3"/>
      <c r="AK485" s="34" t="s">
        <v>631</v>
      </c>
      <c r="AL485" s="25"/>
      <c r="AM485" s="25"/>
      <c r="AN485" s="35" t="s">
        <v>2590</v>
      </c>
      <c r="AO485" s="24">
        <v>0.0011342592592592593</v>
      </c>
      <c r="AP485" s="3" t="s">
        <v>2585</v>
      </c>
      <c r="AQ485" s="7" t="s">
        <v>633</v>
      </c>
      <c r="AR485" s="7" t="s">
        <v>633</v>
      </c>
      <c r="AS485" s="7" t="b">
        <f>NOT(ISERROR(MATCH(A485,'Villages according to موسوعة ال'!C:C,0)))</f>
        <v>1</v>
      </c>
      <c r="AT485" s="25"/>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row>
    <row r="486">
      <c r="A486" s="7" t="s">
        <v>75</v>
      </c>
      <c r="B486" s="43" t="s">
        <v>2591</v>
      </c>
      <c r="C486" s="7" t="s">
        <v>2591</v>
      </c>
      <c r="D486" s="7" t="s">
        <v>77</v>
      </c>
      <c r="E486" s="25"/>
      <c r="F486" s="25"/>
      <c r="G486" s="84"/>
      <c r="H486" s="7" t="s">
        <v>2592</v>
      </c>
      <c r="I486" s="7" t="s">
        <v>638</v>
      </c>
      <c r="J486" s="7" t="s">
        <v>2593</v>
      </c>
      <c r="K486" s="47"/>
      <c r="L486" s="47"/>
      <c r="M486" s="48" t="b">
        <v>0</v>
      </c>
      <c r="N486" s="48" t="b">
        <v>0</v>
      </c>
      <c r="O486" s="48"/>
      <c r="P486" s="48" t="b">
        <v>0</v>
      </c>
      <c r="Q486" s="48" t="b">
        <v>0</v>
      </c>
      <c r="R486" s="48" t="b">
        <v>0</v>
      </c>
      <c r="S486" s="48"/>
      <c r="T486" s="60"/>
      <c r="U486" s="48" t="b">
        <v>0</v>
      </c>
      <c r="V486" s="48"/>
      <c r="W486" s="48" t="b">
        <v>0</v>
      </c>
      <c r="X486" s="48" t="b">
        <v>0</v>
      </c>
      <c r="Y486" s="48"/>
      <c r="Z486" s="48"/>
      <c r="AA486" s="48"/>
      <c r="AB486" s="48"/>
      <c r="AC486" s="49"/>
      <c r="AD486" s="48"/>
      <c r="AE486" s="48"/>
      <c r="AF486" s="48"/>
      <c r="AG486" s="48"/>
      <c r="AH486" s="48"/>
      <c r="AI486" s="48"/>
      <c r="AJ486" s="25"/>
      <c r="AK486" s="34" t="s">
        <v>698</v>
      </c>
      <c r="AL486" s="25"/>
      <c r="AM486" s="25"/>
      <c r="AN486" s="35" t="s">
        <v>2594</v>
      </c>
      <c r="AO486" s="24">
        <v>0.0025810185185185185</v>
      </c>
      <c r="AP486" s="7" t="s">
        <v>2595</v>
      </c>
      <c r="AQ486" s="73">
        <v>37347.0</v>
      </c>
      <c r="AR486" s="35" t="s">
        <v>2596</v>
      </c>
      <c r="AS486" s="7" t="b">
        <f>NOT(ISERROR(MATCH(A486,'Villages according to موسوعة ال'!C:C,0)))</f>
        <v>1</v>
      </c>
      <c r="AT486" s="25"/>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row>
    <row r="487">
      <c r="A487" s="7" t="s">
        <v>75</v>
      </c>
      <c r="B487" s="43" t="s">
        <v>2591</v>
      </c>
      <c r="E487" s="25"/>
      <c r="F487" s="25"/>
      <c r="G487" s="84"/>
      <c r="K487" s="47"/>
      <c r="L487" s="47"/>
      <c r="M487" s="48" t="b">
        <v>0</v>
      </c>
      <c r="N487" s="48" t="b">
        <v>0</v>
      </c>
      <c r="O487" s="48"/>
      <c r="P487" s="48" t="b">
        <v>0</v>
      </c>
      <c r="Q487" s="48" t="b">
        <v>0</v>
      </c>
      <c r="R487" s="48" t="b">
        <v>0</v>
      </c>
      <c r="S487" s="48"/>
      <c r="T487" s="60"/>
      <c r="U487" s="48" t="b">
        <v>0</v>
      </c>
      <c r="V487" s="48"/>
      <c r="W487" s="48" t="b">
        <v>0</v>
      </c>
      <c r="X487" s="48" t="b">
        <v>0</v>
      </c>
      <c r="Y487" s="48"/>
      <c r="Z487" s="48"/>
      <c r="AA487" s="48"/>
      <c r="AB487" s="48"/>
      <c r="AC487" s="49"/>
      <c r="AD487" s="48"/>
      <c r="AE487" s="48"/>
      <c r="AF487" s="48"/>
      <c r="AG487" s="48"/>
      <c r="AH487" s="48"/>
      <c r="AI487" s="48"/>
      <c r="AJ487" s="25"/>
      <c r="AK487" s="34" t="s">
        <v>698</v>
      </c>
      <c r="AL487" s="25"/>
      <c r="AM487" s="25"/>
      <c r="AN487" s="35" t="s">
        <v>2597</v>
      </c>
      <c r="AO487" s="24">
        <v>7.291666666666667E-4</v>
      </c>
      <c r="AP487" s="7" t="s">
        <v>633</v>
      </c>
      <c r="AQ487" s="7" t="s">
        <v>633</v>
      </c>
      <c r="AR487" s="35" t="s">
        <v>2598</v>
      </c>
      <c r="AS487" s="7" t="b">
        <f>NOT(ISERROR(MATCH(A487,'Villages according to موسوعة ال'!C:C,0)))</f>
        <v>1</v>
      </c>
      <c r="AT487" s="25"/>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row>
    <row r="488">
      <c r="A488" s="7" t="s">
        <v>75</v>
      </c>
      <c r="B488" s="43" t="s">
        <v>2591</v>
      </c>
      <c r="E488" s="25"/>
      <c r="F488" s="25"/>
      <c r="G488" s="84"/>
      <c r="H488" s="7" t="s">
        <v>2599</v>
      </c>
      <c r="I488" s="7" t="s">
        <v>616</v>
      </c>
      <c r="J488" s="7" t="s">
        <v>2600</v>
      </c>
      <c r="K488" s="47"/>
      <c r="L488" s="47"/>
      <c r="M488" s="48" t="b">
        <v>0</v>
      </c>
      <c r="N488" s="48" t="b">
        <v>0</v>
      </c>
      <c r="O488" s="48"/>
      <c r="P488" s="48" t="b">
        <v>0</v>
      </c>
      <c r="Q488" s="48" t="b">
        <v>0</v>
      </c>
      <c r="R488" s="48" t="b">
        <v>0</v>
      </c>
      <c r="S488" s="48"/>
      <c r="T488" s="60"/>
      <c r="U488" s="48" t="b">
        <v>0</v>
      </c>
      <c r="V488" s="48"/>
      <c r="W488" s="48" t="b">
        <v>0</v>
      </c>
      <c r="X488" s="48" t="b">
        <v>0</v>
      </c>
      <c r="Y488" s="48"/>
      <c r="Z488" s="48"/>
      <c r="AA488" s="48"/>
      <c r="AB488" s="48"/>
      <c r="AC488" s="49"/>
      <c r="AD488" s="48"/>
      <c r="AE488" s="48"/>
      <c r="AF488" s="48"/>
      <c r="AG488" s="48"/>
      <c r="AH488" s="48"/>
      <c r="AI488" s="48"/>
      <c r="AJ488" s="25"/>
      <c r="AK488" s="34" t="s">
        <v>698</v>
      </c>
      <c r="AL488" s="25"/>
      <c r="AM488" s="25"/>
      <c r="AN488" s="35" t="s">
        <v>2601</v>
      </c>
      <c r="AO488" s="24">
        <v>0.003171296296296296</v>
      </c>
      <c r="AP488" s="7" t="s">
        <v>2595</v>
      </c>
      <c r="AQ488" s="73">
        <v>37408.0</v>
      </c>
      <c r="AR488" s="35" t="s">
        <v>2602</v>
      </c>
      <c r="AS488" s="7" t="b">
        <f>NOT(ISERROR(MATCH(A488,'Villages according to موسوعة ال'!C:C,0)))</f>
        <v>1</v>
      </c>
      <c r="AT488" s="25"/>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row>
    <row r="489">
      <c r="A489" s="7" t="s">
        <v>75</v>
      </c>
      <c r="B489" s="26" t="s">
        <v>2591</v>
      </c>
      <c r="E489" s="25"/>
      <c r="F489" s="25"/>
      <c r="G489" s="84"/>
      <c r="K489" s="47"/>
      <c r="L489" s="47"/>
      <c r="M489" s="48" t="b">
        <v>0</v>
      </c>
      <c r="N489" s="48" t="b">
        <v>0</v>
      </c>
      <c r="O489" s="48"/>
      <c r="P489" s="48" t="b">
        <v>0</v>
      </c>
      <c r="Q489" s="48" t="b">
        <v>0</v>
      </c>
      <c r="R489" s="48" t="b">
        <v>0</v>
      </c>
      <c r="S489" s="48"/>
      <c r="T489" s="32"/>
      <c r="U489" s="48" t="b">
        <v>0</v>
      </c>
      <c r="V489" s="48"/>
      <c r="W489" s="48" t="b">
        <v>0</v>
      </c>
      <c r="X489" s="48" t="b">
        <v>0</v>
      </c>
      <c r="Y489" s="48"/>
      <c r="Z489" s="48"/>
      <c r="AA489" s="48"/>
      <c r="AB489" s="48"/>
      <c r="AC489" s="49"/>
      <c r="AD489" s="48"/>
      <c r="AE489" s="48"/>
      <c r="AF489" s="48"/>
      <c r="AG489" s="48"/>
      <c r="AH489" s="48"/>
      <c r="AI489" s="48"/>
      <c r="AJ489" s="25"/>
      <c r="AK489" s="34"/>
      <c r="AL489" s="25"/>
      <c r="AM489" s="25"/>
      <c r="AN489" s="35" t="s">
        <v>2603</v>
      </c>
      <c r="AO489" s="24">
        <v>0.003321759259259259</v>
      </c>
      <c r="AP489" s="4" t="s">
        <v>633</v>
      </c>
      <c r="AQ489" s="4" t="s">
        <v>633</v>
      </c>
      <c r="AR489" s="4" t="s">
        <v>633</v>
      </c>
      <c r="AS489" s="7" t="b">
        <f>NOT(ISERROR(MATCH(A489,'Villages according to موسوعة ال'!C:C,0)))</f>
        <v>1</v>
      </c>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row>
    <row r="490">
      <c r="A490" s="7" t="s">
        <v>75</v>
      </c>
      <c r="B490" s="26" t="s">
        <v>2591</v>
      </c>
      <c r="E490" s="25"/>
      <c r="F490" s="25"/>
      <c r="G490" s="84"/>
      <c r="H490" s="7" t="s">
        <v>2604</v>
      </c>
      <c r="I490" s="7" t="s">
        <v>616</v>
      </c>
      <c r="J490" s="7" t="s">
        <v>2605</v>
      </c>
      <c r="K490" s="47"/>
      <c r="L490" s="47"/>
      <c r="M490" s="48" t="b">
        <v>0</v>
      </c>
      <c r="N490" s="48" t="b">
        <v>0</v>
      </c>
      <c r="O490" s="48"/>
      <c r="P490" s="48" t="b">
        <v>0</v>
      </c>
      <c r="Q490" s="48" t="b">
        <v>0</v>
      </c>
      <c r="R490" s="48" t="b">
        <v>0</v>
      </c>
      <c r="S490" s="48"/>
      <c r="T490" s="32"/>
      <c r="U490" s="48" t="b">
        <v>0</v>
      </c>
      <c r="V490" s="48"/>
      <c r="W490" s="48" t="b">
        <v>0</v>
      </c>
      <c r="X490" s="48" t="b">
        <v>0</v>
      </c>
      <c r="Y490" s="48"/>
      <c r="Z490" s="48"/>
      <c r="AA490" s="48"/>
      <c r="AB490" s="48"/>
      <c r="AC490" s="49"/>
      <c r="AD490" s="48"/>
      <c r="AE490" s="48"/>
      <c r="AF490" s="48"/>
      <c r="AG490" s="48"/>
      <c r="AH490" s="48"/>
      <c r="AI490" s="48"/>
      <c r="AJ490" s="25"/>
      <c r="AK490" s="34"/>
      <c r="AL490" s="25"/>
      <c r="AM490" s="25"/>
      <c r="AN490" s="35" t="s">
        <v>2601</v>
      </c>
      <c r="AO490" s="24">
        <v>0.002210648148148148</v>
      </c>
      <c r="AP490" s="4" t="s">
        <v>633</v>
      </c>
      <c r="AQ490" s="4" t="s">
        <v>633</v>
      </c>
      <c r="AR490" s="4" t="s">
        <v>633</v>
      </c>
      <c r="AS490" s="7" t="b">
        <f>NOT(ISERROR(MATCH(A490,'Villages according to موسوعة ال'!C:C,0)))</f>
        <v>1</v>
      </c>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row>
    <row r="491">
      <c r="A491" s="7" t="s">
        <v>75</v>
      </c>
      <c r="B491" s="26" t="s">
        <v>2591</v>
      </c>
      <c r="E491" s="25"/>
      <c r="F491" s="25"/>
      <c r="G491" s="84"/>
      <c r="H491" s="7" t="s">
        <v>2606</v>
      </c>
      <c r="I491" s="7" t="s">
        <v>616</v>
      </c>
      <c r="J491" s="7" t="s">
        <v>2607</v>
      </c>
      <c r="K491" s="47"/>
      <c r="L491" s="47"/>
      <c r="M491" s="48" t="b">
        <v>0</v>
      </c>
      <c r="N491" s="48" t="b">
        <v>0</v>
      </c>
      <c r="O491" s="48"/>
      <c r="P491" s="48" t="b">
        <v>0</v>
      </c>
      <c r="Q491" s="48" t="b">
        <v>0</v>
      </c>
      <c r="R491" s="48" t="b">
        <v>0</v>
      </c>
      <c r="S491" s="48"/>
      <c r="T491" s="32"/>
      <c r="U491" s="48" t="b">
        <v>0</v>
      </c>
      <c r="V491" s="48"/>
      <c r="W491" s="48" t="b">
        <v>0</v>
      </c>
      <c r="X491" s="48" t="b">
        <v>0</v>
      </c>
      <c r="Y491" s="48"/>
      <c r="Z491" s="48"/>
      <c r="AA491" s="48"/>
      <c r="AB491" s="48"/>
      <c r="AC491" s="49"/>
      <c r="AD491" s="48"/>
      <c r="AE491" s="48"/>
      <c r="AF491" s="48"/>
      <c r="AG491" s="48"/>
      <c r="AH491" s="48"/>
      <c r="AI491" s="48"/>
      <c r="AJ491" s="25"/>
      <c r="AK491" s="34"/>
      <c r="AL491" s="25"/>
      <c r="AM491" s="25"/>
      <c r="AN491" s="35" t="s">
        <v>2608</v>
      </c>
      <c r="AO491" s="24">
        <v>0.003425925925925926</v>
      </c>
      <c r="AP491" s="4" t="s">
        <v>633</v>
      </c>
      <c r="AQ491" s="4" t="s">
        <v>633</v>
      </c>
      <c r="AR491" s="4" t="s">
        <v>633</v>
      </c>
      <c r="AS491" s="7" t="b">
        <f>NOT(ISERROR(MATCH(A491,'Villages according to موسوعة ال'!C:C,0)))</f>
        <v>1</v>
      </c>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row>
    <row r="492">
      <c r="A492" s="7" t="s">
        <v>75</v>
      </c>
      <c r="B492" s="26" t="s">
        <v>2591</v>
      </c>
      <c r="E492" s="25"/>
      <c r="F492" s="25"/>
      <c r="G492" s="84"/>
      <c r="H492" s="7" t="s">
        <v>2609</v>
      </c>
      <c r="I492" s="7" t="s">
        <v>616</v>
      </c>
      <c r="J492" s="7" t="s">
        <v>2610</v>
      </c>
      <c r="K492" s="47"/>
      <c r="L492" s="47"/>
      <c r="M492" s="48" t="b">
        <v>0</v>
      </c>
      <c r="N492" s="48" t="b">
        <v>0</v>
      </c>
      <c r="O492" s="48"/>
      <c r="P492" s="48" t="b">
        <v>0</v>
      </c>
      <c r="Q492" s="48" t="b">
        <v>0</v>
      </c>
      <c r="R492" s="48" t="b">
        <v>0</v>
      </c>
      <c r="S492" s="48"/>
      <c r="T492" s="32"/>
      <c r="U492" s="48" t="b">
        <v>0</v>
      </c>
      <c r="V492" s="48"/>
      <c r="W492" s="48" t="b">
        <v>0</v>
      </c>
      <c r="X492" s="48" t="b">
        <v>0</v>
      </c>
      <c r="Y492" s="48"/>
      <c r="Z492" s="48"/>
      <c r="AA492" s="48"/>
      <c r="AB492" s="48"/>
      <c r="AC492" s="49"/>
      <c r="AD492" s="48"/>
      <c r="AE492" s="48"/>
      <c r="AF492" s="48"/>
      <c r="AG492" s="48"/>
      <c r="AH492" s="48"/>
      <c r="AI492" s="48"/>
      <c r="AJ492" s="25"/>
      <c r="AK492" s="34"/>
      <c r="AL492" s="25"/>
      <c r="AM492" s="25"/>
      <c r="AN492" s="35" t="s">
        <v>2608</v>
      </c>
      <c r="AO492" s="24">
        <v>7.754629629629629E-4</v>
      </c>
      <c r="AP492" s="4" t="s">
        <v>633</v>
      </c>
      <c r="AQ492" s="4" t="s">
        <v>633</v>
      </c>
      <c r="AR492" s="4" t="s">
        <v>633</v>
      </c>
      <c r="AS492" s="7" t="b">
        <f>NOT(ISERROR(MATCH(A492,'Villages according to موسوعة ال'!C:C,0)))</f>
        <v>1</v>
      </c>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row>
    <row r="493">
      <c r="A493" s="7" t="s">
        <v>75</v>
      </c>
      <c r="B493" s="26" t="s">
        <v>2591</v>
      </c>
      <c r="E493" s="25"/>
      <c r="F493" s="25"/>
      <c r="G493" s="84"/>
      <c r="H493" s="7" t="s">
        <v>2611</v>
      </c>
      <c r="I493" s="7" t="s">
        <v>638</v>
      </c>
      <c r="J493" s="7" t="s">
        <v>2612</v>
      </c>
      <c r="K493" s="47"/>
      <c r="L493" s="47"/>
      <c r="M493" s="48" t="b">
        <v>0</v>
      </c>
      <c r="N493" s="48" t="b">
        <v>0</v>
      </c>
      <c r="O493" s="48"/>
      <c r="P493" s="48" t="b">
        <v>0</v>
      </c>
      <c r="Q493" s="48" t="b">
        <v>0</v>
      </c>
      <c r="R493" s="48" t="b">
        <v>0</v>
      </c>
      <c r="S493" s="48"/>
      <c r="T493" s="32"/>
      <c r="U493" s="48" t="b">
        <v>0</v>
      </c>
      <c r="V493" s="48"/>
      <c r="W493" s="48" t="b">
        <v>0</v>
      </c>
      <c r="X493" s="48" t="b">
        <v>0</v>
      </c>
      <c r="Y493" s="48"/>
      <c r="Z493" s="48"/>
      <c r="AA493" s="48"/>
      <c r="AB493" s="48"/>
      <c r="AC493" s="49"/>
      <c r="AD493" s="48"/>
      <c r="AE493" s="48"/>
      <c r="AF493" s="48"/>
      <c r="AG493" s="48"/>
      <c r="AH493" s="48"/>
      <c r="AI493" s="48"/>
      <c r="AJ493" s="25"/>
      <c r="AK493" s="34"/>
      <c r="AL493" s="25"/>
      <c r="AM493" s="25"/>
      <c r="AN493" s="35" t="s">
        <v>2613</v>
      </c>
      <c r="AO493" s="24">
        <v>0.002685185185185185</v>
      </c>
      <c r="AP493" s="4" t="s">
        <v>633</v>
      </c>
      <c r="AQ493" s="4" t="s">
        <v>633</v>
      </c>
      <c r="AR493" s="4" t="s">
        <v>633</v>
      </c>
      <c r="AS493" s="7" t="b">
        <f>NOT(ISERROR(MATCH(A493,'Villages according to موسوعة ال'!C:C,0)))</f>
        <v>1</v>
      </c>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row>
    <row r="494">
      <c r="A494" s="7" t="s">
        <v>75</v>
      </c>
      <c r="B494" s="26" t="s">
        <v>2591</v>
      </c>
      <c r="E494" s="25"/>
      <c r="F494" s="25"/>
      <c r="G494" s="84"/>
      <c r="K494" s="47"/>
      <c r="L494" s="47"/>
      <c r="M494" s="48" t="b">
        <v>0</v>
      </c>
      <c r="N494" s="48" t="b">
        <v>0</v>
      </c>
      <c r="O494" s="48"/>
      <c r="P494" s="48" t="b">
        <v>0</v>
      </c>
      <c r="Q494" s="48" t="b">
        <v>0</v>
      </c>
      <c r="R494" s="48" t="b">
        <v>0</v>
      </c>
      <c r="S494" s="48"/>
      <c r="T494" s="32"/>
      <c r="U494" s="48" t="b">
        <v>0</v>
      </c>
      <c r="V494" s="48"/>
      <c r="W494" s="48" t="b">
        <v>0</v>
      </c>
      <c r="X494" s="48" t="b">
        <v>0</v>
      </c>
      <c r="Y494" s="48"/>
      <c r="Z494" s="48"/>
      <c r="AA494" s="48"/>
      <c r="AB494" s="48"/>
      <c r="AC494" s="49"/>
      <c r="AD494" s="48"/>
      <c r="AE494" s="48"/>
      <c r="AF494" s="48"/>
      <c r="AG494" s="48"/>
      <c r="AH494" s="48"/>
      <c r="AI494" s="48"/>
      <c r="AJ494" s="25"/>
      <c r="AK494" s="34"/>
      <c r="AL494" s="25"/>
      <c r="AM494" s="25"/>
      <c r="AN494" s="35" t="s">
        <v>2614</v>
      </c>
      <c r="AO494" s="24">
        <v>0.0027546296296296294</v>
      </c>
      <c r="AP494" s="4" t="s">
        <v>633</v>
      </c>
      <c r="AQ494" s="4" t="s">
        <v>633</v>
      </c>
      <c r="AR494" s="4" t="s">
        <v>633</v>
      </c>
      <c r="AS494" s="7" t="b">
        <f>NOT(ISERROR(MATCH(A494,'Villages according to موسوعة ال'!C:C,0)))</f>
        <v>1</v>
      </c>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row>
    <row r="495">
      <c r="A495" s="7" t="s">
        <v>75</v>
      </c>
      <c r="B495" s="26" t="s">
        <v>2591</v>
      </c>
      <c r="E495" s="25"/>
      <c r="F495" s="25"/>
      <c r="G495" s="84"/>
      <c r="K495" s="47"/>
      <c r="L495" s="47"/>
      <c r="M495" s="48" t="b">
        <v>0</v>
      </c>
      <c r="N495" s="48" t="b">
        <v>0</v>
      </c>
      <c r="O495" s="48"/>
      <c r="P495" s="48" t="b">
        <v>0</v>
      </c>
      <c r="Q495" s="48" t="b">
        <v>0</v>
      </c>
      <c r="R495" s="48" t="b">
        <v>0</v>
      </c>
      <c r="S495" s="48"/>
      <c r="T495" s="32"/>
      <c r="U495" s="48" t="b">
        <v>0</v>
      </c>
      <c r="V495" s="48"/>
      <c r="W495" s="48" t="b">
        <v>0</v>
      </c>
      <c r="X495" s="48" t="b">
        <v>0</v>
      </c>
      <c r="Y495" s="48"/>
      <c r="Z495" s="48"/>
      <c r="AA495" s="48"/>
      <c r="AB495" s="48"/>
      <c r="AC495" s="49"/>
      <c r="AD495" s="48"/>
      <c r="AE495" s="48"/>
      <c r="AF495" s="48"/>
      <c r="AG495" s="48"/>
      <c r="AH495" s="48"/>
      <c r="AI495" s="48"/>
      <c r="AJ495" s="25"/>
      <c r="AK495" s="34"/>
      <c r="AL495" s="25"/>
      <c r="AM495" s="25"/>
      <c r="AN495" s="35" t="s">
        <v>2615</v>
      </c>
      <c r="AO495" s="24">
        <v>0.0028356481481481483</v>
      </c>
      <c r="AP495" s="4" t="s">
        <v>633</v>
      </c>
      <c r="AQ495" s="4" t="s">
        <v>633</v>
      </c>
      <c r="AR495" s="4" t="s">
        <v>633</v>
      </c>
      <c r="AS495" s="7" t="b">
        <f>NOT(ISERROR(MATCH(A495,'Villages according to موسوعة ال'!C:C,0)))</f>
        <v>1</v>
      </c>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row>
    <row r="496">
      <c r="A496" s="7" t="s">
        <v>447</v>
      </c>
      <c r="B496" s="43" t="s">
        <v>448</v>
      </c>
      <c r="C496" s="7" t="s">
        <v>448</v>
      </c>
      <c r="D496" s="7" t="s">
        <v>449</v>
      </c>
      <c r="E496" s="25"/>
      <c r="F496" s="25"/>
      <c r="G496" s="84"/>
      <c r="H496" s="7" t="s">
        <v>2616</v>
      </c>
      <c r="I496" s="7" t="s">
        <v>638</v>
      </c>
      <c r="J496" s="7" t="s">
        <v>2617</v>
      </c>
      <c r="K496" s="54" t="s">
        <v>2618</v>
      </c>
      <c r="L496" s="54" t="s">
        <v>2619</v>
      </c>
      <c r="M496" s="60" t="b">
        <v>0</v>
      </c>
      <c r="N496" s="60" t="b">
        <v>0</v>
      </c>
      <c r="O496" s="60"/>
      <c r="P496" s="60" t="b">
        <v>0</v>
      </c>
      <c r="Q496" s="60" t="b">
        <v>0</v>
      </c>
      <c r="R496" s="60" t="b">
        <v>0</v>
      </c>
      <c r="S496" s="60"/>
      <c r="T496" s="60"/>
      <c r="U496" s="60" t="b">
        <v>0</v>
      </c>
      <c r="V496" s="60"/>
      <c r="W496" s="60" t="b">
        <v>0</v>
      </c>
      <c r="X496" s="60" t="b">
        <v>0</v>
      </c>
      <c r="Y496" s="60"/>
      <c r="Z496" s="60"/>
      <c r="AA496" s="60"/>
      <c r="AB496" s="60"/>
      <c r="AC496" s="61"/>
      <c r="AD496" s="60"/>
      <c r="AE496" s="60"/>
      <c r="AF496" s="60"/>
      <c r="AG496" s="60"/>
      <c r="AH496" s="60"/>
      <c r="AI496" s="60"/>
      <c r="AJ496" s="3" t="s">
        <v>2620</v>
      </c>
      <c r="AK496" s="34" t="s">
        <v>698</v>
      </c>
      <c r="AL496" s="3"/>
      <c r="AM496" s="25"/>
      <c r="AN496" s="35" t="s">
        <v>2621</v>
      </c>
      <c r="AO496" s="24">
        <v>0.0014814814814814814</v>
      </c>
      <c r="AP496" s="7" t="s">
        <v>633</v>
      </c>
      <c r="AQ496" s="7" t="s">
        <v>633</v>
      </c>
      <c r="AR496" s="35" t="s">
        <v>2622</v>
      </c>
      <c r="AS496" s="7" t="b">
        <f>NOT(ISERROR(MATCH(A496,'Villages according to موسوعة ال'!C:C,0)))</f>
        <v>1</v>
      </c>
      <c r="AT496" s="25"/>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row>
    <row r="497">
      <c r="A497" s="7" t="s">
        <v>447</v>
      </c>
      <c r="B497" s="26" t="s">
        <v>448</v>
      </c>
      <c r="E497" s="25"/>
      <c r="F497" s="25"/>
      <c r="G497" s="84"/>
      <c r="K497" s="54"/>
      <c r="L497" s="54"/>
      <c r="M497" s="31" t="b">
        <v>0</v>
      </c>
      <c r="N497" s="31" t="b">
        <v>0</v>
      </c>
      <c r="O497" s="31"/>
      <c r="P497" s="31" t="b">
        <v>0</v>
      </c>
      <c r="Q497" s="31" t="b">
        <v>0</v>
      </c>
      <c r="R497" s="31" t="b">
        <v>0</v>
      </c>
      <c r="S497" s="31"/>
      <c r="T497" s="32"/>
      <c r="U497" s="31" t="b">
        <v>0</v>
      </c>
      <c r="V497" s="31"/>
      <c r="W497" s="31" t="b">
        <v>0</v>
      </c>
      <c r="X497" s="31" t="b">
        <v>0</v>
      </c>
      <c r="Y497" s="31"/>
      <c r="Z497" s="31"/>
      <c r="AA497" s="31"/>
      <c r="AB497" s="31"/>
      <c r="AC497" s="45"/>
      <c r="AD497" s="31"/>
      <c r="AE497" s="31"/>
      <c r="AF497" s="31"/>
      <c r="AG497" s="31"/>
      <c r="AH497" s="31"/>
      <c r="AI497" s="31"/>
      <c r="AJ497" s="3"/>
      <c r="AK497" s="34"/>
      <c r="AL497" s="25"/>
      <c r="AM497" s="25"/>
      <c r="AN497" s="35" t="s">
        <v>2623</v>
      </c>
      <c r="AO497" s="24">
        <v>6.365740740740741E-4</v>
      </c>
      <c r="AP497" s="4" t="s">
        <v>633</v>
      </c>
      <c r="AQ497" s="4" t="s">
        <v>633</v>
      </c>
      <c r="AR497" s="4" t="s">
        <v>633</v>
      </c>
      <c r="AS497" s="7" t="b">
        <f>NOT(ISERROR(MATCH(A497,'Villages according to موسوعة ال'!C:C,0)))</f>
        <v>1</v>
      </c>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row>
    <row r="498">
      <c r="A498" s="7" t="s">
        <v>447</v>
      </c>
      <c r="B498" s="43" t="s">
        <v>448</v>
      </c>
      <c r="E498" s="25"/>
      <c r="F498" s="25"/>
      <c r="G498" s="84"/>
      <c r="H498" s="7" t="s">
        <v>2624</v>
      </c>
      <c r="I498" s="7" t="s">
        <v>616</v>
      </c>
      <c r="J498" s="7" t="s">
        <v>2625</v>
      </c>
      <c r="K498" s="54" t="s">
        <v>2626</v>
      </c>
      <c r="L498" s="47"/>
      <c r="M498" s="48" t="b">
        <v>0</v>
      </c>
      <c r="N498" s="48" t="b">
        <v>0</v>
      </c>
      <c r="O498" s="48"/>
      <c r="P498" s="48" t="b">
        <v>0</v>
      </c>
      <c r="Q498" s="48" t="b">
        <v>0</v>
      </c>
      <c r="R498" s="48" t="b">
        <v>0</v>
      </c>
      <c r="S498" s="48"/>
      <c r="T498" s="60"/>
      <c r="U498" s="48" t="b">
        <v>0</v>
      </c>
      <c r="V498" s="48"/>
      <c r="W498" s="48" t="b">
        <v>0</v>
      </c>
      <c r="X498" s="48" t="b">
        <v>0</v>
      </c>
      <c r="Y498" s="48"/>
      <c r="Z498" s="48"/>
      <c r="AA498" s="48"/>
      <c r="AB498" s="48"/>
      <c r="AC498" s="49"/>
      <c r="AD498" s="48"/>
      <c r="AE498" s="48"/>
      <c r="AF498" s="48"/>
      <c r="AG498" s="48"/>
      <c r="AH498" s="48"/>
      <c r="AI498" s="48"/>
      <c r="AJ498" s="25"/>
      <c r="AK498" s="34" t="s">
        <v>698</v>
      </c>
      <c r="AL498" s="3" t="s">
        <v>699</v>
      </c>
      <c r="AM498" s="3" t="s">
        <v>831</v>
      </c>
      <c r="AN498" s="35" t="s">
        <v>2627</v>
      </c>
      <c r="AO498" s="24">
        <v>0.0014236111111111112</v>
      </c>
      <c r="AP498" s="7" t="s">
        <v>2628</v>
      </c>
      <c r="AQ498" s="7" t="s">
        <v>633</v>
      </c>
      <c r="AR498" s="35" t="s">
        <v>2629</v>
      </c>
      <c r="AS498" s="7" t="b">
        <f>NOT(ISERROR(MATCH(A498,'Villages according to موسوعة ال'!C:C,0)))</f>
        <v>1</v>
      </c>
      <c r="AT498" s="25"/>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row>
    <row r="499">
      <c r="A499" s="7" t="s">
        <v>447</v>
      </c>
      <c r="B499" s="26" t="s">
        <v>448</v>
      </c>
      <c r="E499" s="25"/>
      <c r="F499" s="25"/>
      <c r="G499" s="84"/>
      <c r="K499" s="54"/>
      <c r="L499" s="47"/>
      <c r="M499" s="48" t="b">
        <v>0</v>
      </c>
      <c r="N499" s="48" t="b">
        <v>0</v>
      </c>
      <c r="O499" s="48"/>
      <c r="P499" s="48" t="b">
        <v>0</v>
      </c>
      <c r="Q499" s="48" t="b">
        <v>0</v>
      </c>
      <c r="R499" s="48" t="b">
        <v>0</v>
      </c>
      <c r="S499" s="48"/>
      <c r="T499" s="32"/>
      <c r="U499" s="48" t="b">
        <v>0</v>
      </c>
      <c r="V499" s="48"/>
      <c r="W499" s="48" t="b">
        <v>0</v>
      </c>
      <c r="X499" s="48" t="b">
        <v>0</v>
      </c>
      <c r="Y499" s="48"/>
      <c r="Z499" s="48"/>
      <c r="AA499" s="48"/>
      <c r="AB499" s="48"/>
      <c r="AC499" s="49"/>
      <c r="AD499" s="48"/>
      <c r="AE499" s="48"/>
      <c r="AF499" s="48"/>
      <c r="AG499" s="48"/>
      <c r="AH499" s="48"/>
      <c r="AI499" s="48"/>
      <c r="AJ499" s="25"/>
      <c r="AK499" s="34"/>
      <c r="AL499" s="25"/>
      <c r="AM499" s="25"/>
      <c r="AN499" s="35" t="s">
        <v>2630</v>
      </c>
      <c r="AO499" s="24">
        <v>0.004293981481481481</v>
      </c>
      <c r="AP499" s="4" t="s">
        <v>633</v>
      </c>
      <c r="AQ499" s="4" t="s">
        <v>633</v>
      </c>
      <c r="AR499" s="4" t="s">
        <v>633</v>
      </c>
      <c r="AS499" s="7" t="b">
        <f>NOT(ISERROR(MATCH(A499,'Villages according to موسوعة ال'!C:C,0)))</f>
        <v>1</v>
      </c>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row>
    <row r="500">
      <c r="A500" s="7" t="s">
        <v>447</v>
      </c>
      <c r="B500" s="26" t="s">
        <v>448</v>
      </c>
      <c r="E500" s="25"/>
      <c r="F500" s="25"/>
      <c r="G500" s="84"/>
      <c r="K500" s="54"/>
      <c r="L500" s="47"/>
      <c r="M500" s="48" t="b">
        <v>0</v>
      </c>
      <c r="N500" s="48" t="b">
        <v>0</v>
      </c>
      <c r="O500" s="48"/>
      <c r="P500" s="48" t="b">
        <v>0</v>
      </c>
      <c r="Q500" s="48" t="b">
        <v>0</v>
      </c>
      <c r="R500" s="48" t="b">
        <v>0</v>
      </c>
      <c r="S500" s="48"/>
      <c r="T500" s="32"/>
      <c r="U500" s="48" t="b">
        <v>0</v>
      </c>
      <c r="V500" s="48"/>
      <c r="W500" s="48" t="b">
        <v>0</v>
      </c>
      <c r="X500" s="48" t="b">
        <v>0</v>
      </c>
      <c r="Y500" s="48"/>
      <c r="Z500" s="48"/>
      <c r="AA500" s="48"/>
      <c r="AB500" s="48"/>
      <c r="AC500" s="49"/>
      <c r="AD500" s="48"/>
      <c r="AE500" s="48"/>
      <c r="AF500" s="48"/>
      <c r="AG500" s="48"/>
      <c r="AH500" s="48"/>
      <c r="AI500" s="48"/>
      <c r="AJ500" s="25"/>
      <c r="AK500" s="34"/>
      <c r="AL500" s="25"/>
      <c r="AM500" s="25"/>
      <c r="AN500" s="35" t="s">
        <v>2631</v>
      </c>
      <c r="AO500" s="24">
        <v>0.0011342592592592593</v>
      </c>
      <c r="AP500" s="4" t="s">
        <v>633</v>
      </c>
      <c r="AQ500" s="4" t="s">
        <v>633</v>
      </c>
      <c r="AR500" s="4" t="s">
        <v>633</v>
      </c>
      <c r="AS500" s="7" t="b">
        <f>NOT(ISERROR(MATCH(A500,'Villages according to موسوعة ال'!C:C,0)))</f>
        <v>1</v>
      </c>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row>
    <row r="501">
      <c r="A501" s="7" t="s">
        <v>447</v>
      </c>
      <c r="B501" s="26" t="s">
        <v>448</v>
      </c>
      <c r="E501" s="25"/>
      <c r="F501" s="25"/>
      <c r="G501" s="84"/>
      <c r="K501" s="54"/>
      <c r="L501" s="47"/>
      <c r="M501" s="48" t="b">
        <v>0</v>
      </c>
      <c r="N501" s="48" t="b">
        <v>0</v>
      </c>
      <c r="O501" s="48"/>
      <c r="P501" s="48" t="b">
        <v>0</v>
      </c>
      <c r="Q501" s="48" t="b">
        <v>0</v>
      </c>
      <c r="R501" s="48" t="b">
        <v>0</v>
      </c>
      <c r="S501" s="48"/>
      <c r="T501" s="32"/>
      <c r="U501" s="48" t="b">
        <v>0</v>
      </c>
      <c r="V501" s="48"/>
      <c r="W501" s="48" t="b">
        <v>0</v>
      </c>
      <c r="X501" s="48" t="b">
        <v>0</v>
      </c>
      <c r="Y501" s="48"/>
      <c r="Z501" s="48"/>
      <c r="AA501" s="48"/>
      <c r="AB501" s="48"/>
      <c r="AC501" s="49"/>
      <c r="AD501" s="48"/>
      <c r="AE501" s="48"/>
      <c r="AF501" s="48"/>
      <c r="AG501" s="48"/>
      <c r="AH501" s="48"/>
      <c r="AI501" s="48"/>
      <c r="AJ501" s="25"/>
      <c r="AK501" s="34"/>
      <c r="AL501" s="25"/>
      <c r="AM501" s="25"/>
      <c r="AN501" s="88" t="s">
        <v>2632</v>
      </c>
      <c r="AO501" s="24">
        <v>0.002627314814814815</v>
      </c>
      <c r="AP501" s="4" t="s">
        <v>633</v>
      </c>
      <c r="AQ501" s="4" t="s">
        <v>633</v>
      </c>
      <c r="AR501" s="4" t="s">
        <v>633</v>
      </c>
      <c r="AS501" s="7" t="b">
        <f>NOT(ISERROR(MATCH(A501,'Villages according to موسوعة ال'!C:C,0)))</f>
        <v>1</v>
      </c>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row>
    <row r="502">
      <c r="A502" s="7" t="s">
        <v>447</v>
      </c>
      <c r="B502" s="26" t="s">
        <v>448</v>
      </c>
      <c r="E502" s="25"/>
      <c r="F502" s="25"/>
      <c r="G502" s="84"/>
      <c r="K502" s="54"/>
      <c r="L502" s="47"/>
      <c r="M502" s="48" t="b">
        <v>0</v>
      </c>
      <c r="N502" s="48" t="b">
        <v>0</v>
      </c>
      <c r="O502" s="48"/>
      <c r="P502" s="48" t="b">
        <v>0</v>
      </c>
      <c r="Q502" s="48" t="b">
        <v>0</v>
      </c>
      <c r="R502" s="48" t="b">
        <v>0</v>
      </c>
      <c r="S502" s="48"/>
      <c r="T502" s="32"/>
      <c r="U502" s="48" t="b">
        <v>0</v>
      </c>
      <c r="V502" s="48"/>
      <c r="W502" s="48" t="b">
        <v>0</v>
      </c>
      <c r="X502" s="48" t="b">
        <v>0</v>
      </c>
      <c r="Y502" s="48"/>
      <c r="Z502" s="48"/>
      <c r="AA502" s="48"/>
      <c r="AB502" s="48"/>
      <c r="AC502" s="49"/>
      <c r="AD502" s="48"/>
      <c r="AE502" s="48"/>
      <c r="AF502" s="48"/>
      <c r="AG502" s="48"/>
      <c r="AH502" s="48"/>
      <c r="AI502" s="48"/>
      <c r="AJ502" s="25"/>
      <c r="AK502" s="34"/>
      <c r="AL502" s="25"/>
      <c r="AM502" s="25"/>
      <c r="AN502" s="88" t="s">
        <v>2633</v>
      </c>
      <c r="AO502" s="24">
        <v>0.0027083333333333334</v>
      </c>
      <c r="AP502" s="4" t="s">
        <v>633</v>
      </c>
      <c r="AQ502" s="4" t="s">
        <v>633</v>
      </c>
      <c r="AR502" s="4" t="s">
        <v>633</v>
      </c>
      <c r="AS502" s="7" t="b">
        <f>NOT(ISERROR(MATCH(A502,'Villages according to موسوعة ال'!C:C,0)))</f>
        <v>1</v>
      </c>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row>
    <row r="503">
      <c r="A503" s="7" t="s">
        <v>447</v>
      </c>
      <c r="B503" s="26" t="s">
        <v>448</v>
      </c>
      <c r="E503" s="25"/>
      <c r="F503" s="25"/>
      <c r="G503" s="84"/>
      <c r="K503" s="54"/>
      <c r="L503" s="47"/>
      <c r="M503" s="48" t="b">
        <v>0</v>
      </c>
      <c r="N503" s="48" t="b">
        <v>0</v>
      </c>
      <c r="O503" s="48"/>
      <c r="P503" s="48" t="b">
        <v>0</v>
      </c>
      <c r="Q503" s="48" t="b">
        <v>0</v>
      </c>
      <c r="R503" s="48" t="b">
        <v>0</v>
      </c>
      <c r="S503" s="48"/>
      <c r="T503" s="32"/>
      <c r="U503" s="48" t="b">
        <v>0</v>
      </c>
      <c r="V503" s="48"/>
      <c r="W503" s="48" t="b">
        <v>0</v>
      </c>
      <c r="X503" s="48" t="b">
        <v>0</v>
      </c>
      <c r="Y503" s="48"/>
      <c r="Z503" s="48"/>
      <c r="AA503" s="48"/>
      <c r="AB503" s="48"/>
      <c r="AC503" s="49"/>
      <c r="AD503" s="48"/>
      <c r="AE503" s="48"/>
      <c r="AF503" s="48"/>
      <c r="AG503" s="48"/>
      <c r="AH503" s="48"/>
      <c r="AI503" s="48"/>
      <c r="AJ503" s="25"/>
      <c r="AK503" s="34"/>
      <c r="AL503" s="25"/>
      <c r="AM503" s="25"/>
      <c r="AN503" s="88" t="s">
        <v>2634</v>
      </c>
      <c r="AO503" s="24">
        <v>8.101851851851852E-4</v>
      </c>
      <c r="AP503" s="4" t="s">
        <v>633</v>
      </c>
      <c r="AQ503" s="4" t="s">
        <v>633</v>
      </c>
      <c r="AR503" s="4" t="s">
        <v>633</v>
      </c>
      <c r="AS503" s="7" t="b">
        <f>NOT(ISERROR(MATCH(A503,'Villages according to موسوعة ال'!C:C,0)))</f>
        <v>1</v>
      </c>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row>
    <row r="504">
      <c r="A504" s="7" t="s">
        <v>447</v>
      </c>
      <c r="B504" s="43" t="s">
        <v>448</v>
      </c>
      <c r="E504" s="25"/>
      <c r="F504" s="25"/>
      <c r="G504" s="84"/>
      <c r="H504" s="7" t="s">
        <v>2635</v>
      </c>
      <c r="I504" s="7" t="s">
        <v>616</v>
      </c>
      <c r="J504" s="7" t="s">
        <v>2636</v>
      </c>
      <c r="K504" s="54"/>
      <c r="L504" s="47"/>
      <c r="M504" s="48" t="b">
        <v>0</v>
      </c>
      <c r="N504" s="48" t="b">
        <v>0</v>
      </c>
      <c r="O504" s="48"/>
      <c r="P504" s="48" t="b">
        <v>0</v>
      </c>
      <c r="Q504" s="48" t="b">
        <v>0</v>
      </c>
      <c r="R504" s="48" t="b">
        <v>0</v>
      </c>
      <c r="S504" s="48"/>
      <c r="T504" s="60"/>
      <c r="U504" s="48" t="b">
        <v>0</v>
      </c>
      <c r="V504" s="48"/>
      <c r="W504" s="48" t="b">
        <v>0</v>
      </c>
      <c r="X504" s="48" t="b">
        <v>0</v>
      </c>
      <c r="Y504" s="48"/>
      <c r="Z504" s="48"/>
      <c r="AA504" s="48"/>
      <c r="AB504" s="48"/>
      <c r="AC504" s="49"/>
      <c r="AD504" s="48"/>
      <c r="AE504" s="48"/>
      <c r="AF504" s="48"/>
      <c r="AG504" s="48"/>
      <c r="AH504" s="48"/>
      <c r="AI504" s="48"/>
      <c r="AJ504" s="25"/>
      <c r="AK504" s="34" t="s">
        <v>698</v>
      </c>
      <c r="AL504" s="3" t="s">
        <v>823</v>
      </c>
      <c r="AM504" s="3" t="s">
        <v>676</v>
      </c>
      <c r="AN504" s="35" t="s">
        <v>2637</v>
      </c>
      <c r="AO504" s="24">
        <v>0.005613425925925926</v>
      </c>
      <c r="AP504" s="7"/>
      <c r="AQ504" s="7"/>
      <c r="AR504" s="35" t="s">
        <v>2638</v>
      </c>
      <c r="AS504" s="7" t="b">
        <f>NOT(ISERROR(MATCH(A504,'Villages according to موسوعة ال'!C:C,0)))</f>
        <v>1</v>
      </c>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row>
    <row r="505">
      <c r="A505" s="7" t="s">
        <v>447</v>
      </c>
      <c r="B505" s="26" t="s">
        <v>448</v>
      </c>
      <c r="E505" s="25"/>
      <c r="F505" s="25"/>
      <c r="G505" s="84"/>
      <c r="H505" s="7" t="s">
        <v>633</v>
      </c>
      <c r="I505" s="7" t="s">
        <v>616</v>
      </c>
      <c r="J505" s="7" t="s">
        <v>2639</v>
      </c>
      <c r="K505" s="54"/>
      <c r="L505" s="47"/>
      <c r="M505" s="48" t="b">
        <v>0</v>
      </c>
      <c r="N505" s="48" t="b">
        <v>0</v>
      </c>
      <c r="O505" s="48"/>
      <c r="P505" s="48" t="b">
        <v>0</v>
      </c>
      <c r="Q505" s="48" t="b">
        <v>0</v>
      </c>
      <c r="R505" s="48" t="b">
        <v>0</v>
      </c>
      <c r="S505" s="48"/>
      <c r="T505" s="32"/>
      <c r="U505" s="48" t="b">
        <v>0</v>
      </c>
      <c r="V505" s="48"/>
      <c r="W505" s="48" t="b">
        <v>0</v>
      </c>
      <c r="X505" s="48" t="b">
        <v>0</v>
      </c>
      <c r="Y505" s="48"/>
      <c r="Z505" s="48"/>
      <c r="AA505" s="48"/>
      <c r="AB505" s="48"/>
      <c r="AC505" s="49"/>
      <c r="AD505" s="48"/>
      <c r="AE505" s="48"/>
      <c r="AF505" s="48"/>
      <c r="AG505" s="48"/>
      <c r="AH505" s="48"/>
      <c r="AI505" s="48"/>
      <c r="AJ505" s="25"/>
      <c r="AK505" s="34"/>
      <c r="AL505" s="25"/>
      <c r="AM505" s="25"/>
      <c r="AN505" s="35" t="s">
        <v>2640</v>
      </c>
      <c r="AO505" s="24">
        <v>0.0023263888888888887</v>
      </c>
      <c r="AP505" s="4" t="s">
        <v>633</v>
      </c>
      <c r="AQ505" s="4" t="s">
        <v>633</v>
      </c>
      <c r="AR505" s="4" t="s">
        <v>633</v>
      </c>
      <c r="AS505" s="7" t="b">
        <f>NOT(ISERROR(MATCH(A505,'Villages according to موسوعة ال'!C:C,0)))</f>
        <v>1</v>
      </c>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row>
    <row r="506">
      <c r="A506" s="7" t="s">
        <v>447</v>
      </c>
      <c r="B506" s="26" t="s">
        <v>448</v>
      </c>
      <c r="E506" s="25"/>
      <c r="F506" s="25"/>
      <c r="G506" s="84"/>
      <c r="K506" s="54"/>
      <c r="L506" s="47"/>
      <c r="M506" s="48" t="b">
        <v>0</v>
      </c>
      <c r="N506" s="48" t="b">
        <v>0</v>
      </c>
      <c r="O506" s="48"/>
      <c r="P506" s="48" t="b">
        <v>0</v>
      </c>
      <c r="Q506" s="48" t="b">
        <v>0</v>
      </c>
      <c r="R506" s="48" t="b">
        <v>0</v>
      </c>
      <c r="S506" s="48"/>
      <c r="T506" s="32"/>
      <c r="U506" s="48" t="b">
        <v>0</v>
      </c>
      <c r="V506" s="48"/>
      <c r="W506" s="48" t="b">
        <v>0</v>
      </c>
      <c r="X506" s="48" t="b">
        <v>0</v>
      </c>
      <c r="Y506" s="48"/>
      <c r="Z506" s="48"/>
      <c r="AA506" s="48"/>
      <c r="AB506" s="48"/>
      <c r="AC506" s="49"/>
      <c r="AD506" s="48"/>
      <c r="AE506" s="48"/>
      <c r="AF506" s="48"/>
      <c r="AG506" s="48"/>
      <c r="AH506" s="48"/>
      <c r="AI506" s="48"/>
      <c r="AJ506" s="25"/>
      <c r="AK506" s="34"/>
      <c r="AL506" s="25"/>
      <c r="AM506" s="25"/>
      <c r="AN506" s="35" t="s">
        <v>2641</v>
      </c>
      <c r="AO506" s="24">
        <v>0.0014699074074074074</v>
      </c>
      <c r="AP506" s="4" t="s">
        <v>633</v>
      </c>
      <c r="AQ506" s="4" t="s">
        <v>633</v>
      </c>
      <c r="AR506" s="4" t="s">
        <v>633</v>
      </c>
      <c r="AS506" s="7" t="b">
        <f>NOT(ISERROR(MATCH(A506,'Villages according to موسوعة ال'!C:C,0)))</f>
        <v>1</v>
      </c>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row>
    <row r="507">
      <c r="A507" s="7" t="s">
        <v>447</v>
      </c>
      <c r="B507" s="26" t="s">
        <v>448</v>
      </c>
      <c r="E507" s="25"/>
      <c r="F507" s="25"/>
      <c r="G507" s="84"/>
      <c r="K507" s="54"/>
      <c r="L507" s="47"/>
      <c r="M507" s="48" t="b">
        <v>0</v>
      </c>
      <c r="N507" s="48" t="b">
        <v>0</v>
      </c>
      <c r="O507" s="48"/>
      <c r="P507" s="48" t="b">
        <v>0</v>
      </c>
      <c r="Q507" s="48" t="b">
        <v>0</v>
      </c>
      <c r="R507" s="48" t="b">
        <v>0</v>
      </c>
      <c r="S507" s="48"/>
      <c r="T507" s="32"/>
      <c r="U507" s="48" t="b">
        <v>0</v>
      </c>
      <c r="V507" s="48"/>
      <c r="W507" s="48" t="b">
        <v>0</v>
      </c>
      <c r="X507" s="48" t="b">
        <v>0</v>
      </c>
      <c r="Y507" s="48"/>
      <c r="Z507" s="48"/>
      <c r="AA507" s="48"/>
      <c r="AB507" s="48"/>
      <c r="AC507" s="49"/>
      <c r="AD507" s="48"/>
      <c r="AE507" s="48"/>
      <c r="AF507" s="48"/>
      <c r="AG507" s="48"/>
      <c r="AH507" s="48"/>
      <c r="AI507" s="48"/>
      <c r="AJ507" s="25"/>
      <c r="AK507" s="34"/>
      <c r="AL507" s="25"/>
      <c r="AM507" s="25"/>
      <c r="AN507" s="35" t="s">
        <v>2642</v>
      </c>
      <c r="AO507" s="24">
        <v>0.003738425925925926</v>
      </c>
      <c r="AP507" s="4" t="s">
        <v>633</v>
      </c>
      <c r="AQ507" s="4" t="s">
        <v>633</v>
      </c>
      <c r="AR507" s="4" t="s">
        <v>633</v>
      </c>
      <c r="AS507" s="7" t="b">
        <f>NOT(ISERROR(MATCH(A507,'Villages according to موسوعة ال'!C:C,0)))</f>
        <v>1</v>
      </c>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row>
    <row r="508">
      <c r="A508" s="7" t="s">
        <v>447</v>
      </c>
      <c r="B508" s="26" t="s">
        <v>448</v>
      </c>
      <c r="E508" s="25"/>
      <c r="F508" s="25"/>
      <c r="G508" s="84"/>
      <c r="K508" s="54"/>
      <c r="L508" s="47"/>
      <c r="M508" s="48" t="b">
        <v>0</v>
      </c>
      <c r="N508" s="48" t="b">
        <v>0</v>
      </c>
      <c r="O508" s="48"/>
      <c r="P508" s="48" t="b">
        <v>0</v>
      </c>
      <c r="Q508" s="48" t="b">
        <v>0</v>
      </c>
      <c r="R508" s="48" t="b">
        <v>0</v>
      </c>
      <c r="S508" s="48"/>
      <c r="T508" s="32"/>
      <c r="U508" s="48" t="b">
        <v>0</v>
      </c>
      <c r="V508" s="48"/>
      <c r="W508" s="48" t="b">
        <v>0</v>
      </c>
      <c r="X508" s="48" t="b">
        <v>0</v>
      </c>
      <c r="Y508" s="48"/>
      <c r="Z508" s="48"/>
      <c r="AA508" s="48"/>
      <c r="AB508" s="48"/>
      <c r="AC508" s="49"/>
      <c r="AD508" s="48"/>
      <c r="AE508" s="48"/>
      <c r="AF508" s="48"/>
      <c r="AG508" s="48"/>
      <c r="AH508" s="48"/>
      <c r="AI508" s="48"/>
      <c r="AJ508" s="25"/>
      <c r="AK508" s="34"/>
      <c r="AL508" s="25"/>
      <c r="AM508" s="25"/>
      <c r="AN508" s="35" t="s">
        <v>2643</v>
      </c>
      <c r="AO508" s="24">
        <v>0.003148148148148148</v>
      </c>
      <c r="AP508" s="4" t="s">
        <v>633</v>
      </c>
      <c r="AQ508" s="4" t="s">
        <v>633</v>
      </c>
      <c r="AR508" s="4" t="s">
        <v>633</v>
      </c>
      <c r="AS508" s="7" t="b">
        <f>NOT(ISERROR(MATCH(A508,'Villages according to موسوعة ال'!C:C,0)))</f>
        <v>1</v>
      </c>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row>
    <row r="509">
      <c r="A509" s="7" t="s">
        <v>447</v>
      </c>
      <c r="B509" s="26" t="s">
        <v>448</v>
      </c>
      <c r="E509" s="25"/>
      <c r="F509" s="25"/>
      <c r="G509" s="84"/>
      <c r="K509" s="54"/>
      <c r="L509" s="47"/>
      <c r="M509" s="48" t="b">
        <v>0</v>
      </c>
      <c r="N509" s="48" t="b">
        <v>0</v>
      </c>
      <c r="O509" s="48"/>
      <c r="P509" s="48" t="b">
        <v>0</v>
      </c>
      <c r="Q509" s="48" t="b">
        <v>0</v>
      </c>
      <c r="R509" s="48" t="b">
        <v>0</v>
      </c>
      <c r="S509" s="48"/>
      <c r="T509" s="32"/>
      <c r="U509" s="48" t="b">
        <v>0</v>
      </c>
      <c r="V509" s="48"/>
      <c r="W509" s="48" t="b">
        <v>0</v>
      </c>
      <c r="X509" s="48" t="b">
        <v>0</v>
      </c>
      <c r="Y509" s="48"/>
      <c r="Z509" s="48"/>
      <c r="AA509" s="48"/>
      <c r="AB509" s="48"/>
      <c r="AC509" s="49"/>
      <c r="AD509" s="48"/>
      <c r="AE509" s="48"/>
      <c r="AF509" s="48"/>
      <c r="AG509" s="48"/>
      <c r="AH509" s="48"/>
      <c r="AI509" s="48"/>
      <c r="AJ509" s="25"/>
      <c r="AK509" s="34"/>
      <c r="AL509" s="25"/>
      <c r="AM509" s="25"/>
      <c r="AN509" s="35" t="s">
        <v>2644</v>
      </c>
      <c r="AO509" s="24">
        <v>0.00375</v>
      </c>
      <c r="AP509" s="4" t="s">
        <v>633</v>
      </c>
      <c r="AQ509" s="4" t="s">
        <v>633</v>
      </c>
      <c r="AR509" s="4" t="s">
        <v>633</v>
      </c>
      <c r="AS509" s="7" t="b">
        <f>NOT(ISERROR(MATCH(A509,'Villages according to موسوعة ال'!C:C,0)))</f>
        <v>1</v>
      </c>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row>
    <row r="510">
      <c r="A510" s="7" t="s">
        <v>447</v>
      </c>
      <c r="B510" s="26" t="s">
        <v>448</v>
      </c>
      <c r="E510" s="25"/>
      <c r="F510" s="25"/>
      <c r="G510" s="84"/>
      <c r="H510" s="7" t="s">
        <v>2645</v>
      </c>
      <c r="I510" s="7" t="s">
        <v>616</v>
      </c>
      <c r="J510" s="7" t="s">
        <v>2646</v>
      </c>
      <c r="K510" s="54"/>
      <c r="L510" s="47"/>
      <c r="M510" s="48" t="b">
        <v>0</v>
      </c>
      <c r="N510" s="48" t="b">
        <v>0</v>
      </c>
      <c r="O510" s="48"/>
      <c r="P510" s="48" t="b">
        <v>0</v>
      </c>
      <c r="Q510" s="48" t="b">
        <v>0</v>
      </c>
      <c r="R510" s="48" t="b">
        <v>0</v>
      </c>
      <c r="S510" s="48"/>
      <c r="T510" s="32"/>
      <c r="U510" s="48" t="b">
        <v>0</v>
      </c>
      <c r="V510" s="48"/>
      <c r="W510" s="48" t="b">
        <v>0</v>
      </c>
      <c r="X510" s="48" t="b">
        <v>0</v>
      </c>
      <c r="Y510" s="48"/>
      <c r="Z510" s="48"/>
      <c r="AA510" s="48"/>
      <c r="AB510" s="48"/>
      <c r="AC510" s="49"/>
      <c r="AD510" s="48"/>
      <c r="AE510" s="48"/>
      <c r="AF510" s="48"/>
      <c r="AG510" s="48"/>
      <c r="AH510" s="48"/>
      <c r="AI510" s="48"/>
      <c r="AJ510" s="25"/>
      <c r="AK510" s="34"/>
      <c r="AL510" s="25"/>
      <c r="AM510" s="25"/>
      <c r="AN510" s="35" t="s">
        <v>2647</v>
      </c>
      <c r="AO510" s="24">
        <v>0.007372685185185185</v>
      </c>
      <c r="AP510" s="4" t="s">
        <v>633</v>
      </c>
      <c r="AQ510" s="4" t="s">
        <v>633</v>
      </c>
      <c r="AR510" s="4" t="s">
        <v>633</v>
      </c>
      <c r="AS510" s="7" t="b">
        <f>NOT(ISERROR(MATCH(A510,'Villages according to موسوعة ال'!C:C,0)))</f>
        <v>1</v>
      </c>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row>
    <row r="511">
      <c r="A511" s="7" t="s">
        <v>447</v>
      </c>
      <c r="B511" s="26" t="s">
        <v>448</v>
      </c>
      <c r="E511" s="25"/>
      <c r="F511" s="25"/>
      <c r="G511" s="84"/>
      <c r="K511" s="54"/>
      <c r="L511" s="47"/>
      <c r="M511" s="48" t="b">
        <v>0</v>
      </c>
      <c r="N511" s="48" t="b">
        <v>0</v>
      </c>
      <c r="O511" s="48"/>
      <c r="P511" s="48" t="b">
        <v>0</v>
      </c>
      <c r="Q511" s="48" t="b">
        <v>0</v>
      </c>
      <c r="R511" s="48" t="b">
        <v>0</v>
      </c>
      <c r="S511" s="48"/>
      <c r="T511" s="32"/>
      <c r="U511" s="48" t="b">
        <v>0</v>
      </c>
      <c r="V511" s="48"/>
      <c r="W511" s="48" t="b">
        <v>0</v>
      </c>
      <c r="X511" s="48" t="b">
        <v>0</v>
      </c>
      <c r="Y511" s="48"/>
      <c r="Z511" s="48"/>
      <c r="AA511" s="48"/>
      <c r="AB511" s="48"/>
      <c r="AC511" s="49"/>
      <c r="AD511" s="48"/>
      <c r="AE511" s="48"/>
      <c r="AF511" s="48"/>
      <c r="AG511" s="48"/>
      <c r="AH511" s="48"/>
      <c r="AI511" s="48"/>
      <c r="AJ511" s="25"/>
      <c r="AK511" s="34"/>
      <c r="AL511" s="25"/>
      <c r="AM511" s="25"/>
      <c r="AN511" s="35" t="s">
        <v>2648</v>
      </c>
      <c r="AO511" s="24">
        <v>8.333333333333334E-4</v>
      </c>
      <c r="AP511" s="4" t="s">
        <v>633</v>
      </c>
      <c r="AQ511" s="4" t="s">
        <v>633</v>
      </c>
      <c r="AR511" s="4" t="s">
        <v>633</v>
      </c>
      <c r="AS511" s="7" t="b">
        <f>NOT(ISERROR(MATCH(A511,'Villages according to موسوعة ال'!C:C,0)))</f>
        <v>1</v>
      </c>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row>
    <row r="512">
      <c r="A512" s="7" t="s">
        <v>447</v>
      </c>
      <c r="B512" s="26" t="s">
        <v>448</v>
      </c>
      <c r="E512" s="25"/>
      <c r="F512" s="25"/>
      <c r="G512" s="84"/>
      <c r="K512" s="54"/>
      <c r="L512" s="47"/>
      <c r="M512" s="48" t="b">
        <v>0</v>
      </c>
      <c r="N512" s="48" t="b">
        <v>0</v>
      </c>
      <c r="O512" s="48"/>
      <c r="P512" s="48" t="b">
        <v>0</v>
      </c>
      <c r="Q512" s="48" t="b">
        <v>0</v>
      </c>
      <c r="R512" s="48" t="b">
        <v>0</v>
      </c>
      <c r="S512" s="48"/>
      <c r="T512" s="32"/>
      <c r="U512" s="48" t="b">
        <v>0</v>
      </c>
      <c r="V512" s="48"/>
      <c r="W512" s="48" t="b">
        <v>0</v>
      </c>
      <c r="X512" s="48" t="b">
        <v>0</v>
      </c>
      <c r="Y512" s="48"/>
      <c r="Z512" s="48"/>
      <c r="AA512" s="48"/>
      <c r="AB512" s="48"/>
      <c r="AC512" s="49"/>
      <c r="AD512" s="48"/>
      <c r="AE512" s="48"/>
      <c r="AF512" s="48"/>
      <c r="AG512" s="48"/>
      <c r="AH512" s="48"/>
      <c r="AI512" s="48"/>
      <c r="AJ512" s="25"/>
      <c r="AK512" s="34"/>
      <c r="AL512" s="25"/>
      <c r="AM512" s="25"/>
      <c r="AN512" s="35" t="s">
        <v>2649</v>
      </c>
      <c r="AO512" s="24">
        <v>0.002337962962962963</v>
      </c>
      <c r="AP512" s="4" t="s">
        <v>633</v>
      </c>
      <c r="AQ512" s="4" t="s">
        <v>633</v>
      </c>
      <c r="AR512" s="4" t="s">
        <v>633</v>
      </c>
      <c r="AS512" s="7" t="b">
        <f>NOT(ISERROR(MATCH(A512,'Villages according to موسوعة ال'!C:C,0)))</f>
        <v>1</v>
      </c>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row>
    <row r="513">
      <c r="A513" s="7" t="s">
        <v>447</v>
      </c>
      <c r="B513" s="26" t="s">
        <v>448</v>
      </c>
      <c r="E513" s="25"/>
      <c r="F513" s="25"/>
      <c r="G513" s="84"/>
      <c r="H513" s="7" t="s">
        <v>633</v>
      </c>
      <c r="I513" s="7" t="s">
        <v>638</v>
      </c>
      <c r="J513" s="7" t="s">
        <v>2650</v>
      </c>
      <c r="K513" s="54"/>
      <c r="L513" s="47"/>
      <c r="M513" s="48" t="b">
        <v>0</v>
      </c>
      <c r="N513" s="48" t="b">
        <v>0</v>
      </c>
      <c r="O513" s="48"/>
      <c r="P513" s="48" t="b">
        <v>0</v>
      </c>
      <c r="Q513" s="48" t="b">
        <v>0</v>
      </c>
      <c r="R513" s="48" t="b">
        <v>0</v>
      </c>
      <c r="S513" s="48"/>
      <c r="T513" s="32"/>
      <c r="U513" s="48" t="b">
        <v>0</v>
      </c>
      <c r="V513" s="48"/>
      <c r="W513" s="48" t="b">
        <v>0</v>
      </c>
      <c r="X513" s="48" t="b">
        <v>0</v>
      </c>
      <c r="Y513" s="48"/>
      <c r="Z513" s="48"/>
      <c r="AA513" s="48"/>
      <c r="AB513" s="48"/>
      <c r="AC513" s="49"/>
      <c r="AD513" s="48"/>
      <c r="AE513" s="48"/>
      <c r="AF513" s="48"/>
      <c r="AG513" s="48"/>
      <c r="AH513" s="48"/>
      <c r="AI513" s="48"/>
      <c r="AJ513" s="25"/>
      <c r="AK513" s="34"/>
      <c r="AL513" s="25"/>
      <c r="AM513" s="25"/>
      <c r="AN513" s="35" t="s">
        <v>2651</v>
      </c>
      <c r="AO513" s="24">
        <v>0.0012847222222222223</v>
      </c>
      <c r="AP513" s="4" t="s">
        <v>633</v>
      </c>
      <c r="AQ513" s="4" t="s">
        <v>633</v>
      </c>
      <c r="AR513" s="4" t="s">
        <v>633</v>
      </c>
      <c r="AS513" s="7" t="b">
        <f>NOT(ISERROR(MATCH(A513,'Villages according to موسوعة ال'!C:C,0)))</f>
        <v>1</v>
      </c>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row>
    <row r="514">
      <c r="A514" s="7" t="s">
        <v>447</v>
      </c>
      <c r="B514" s="43" t="s">
        <v>448</v>
      </c>
      <c r="E514" s="25"/>
      <c r="F514" s="25"/>
      <c r="G514" s="84"/>
      <c r="H514" s="7" t="s">
        <v>633</v>
      </c>
      <c r="I514" s="7" t="s">
        <v>616</v>
      </c>
      <c r="J514" s="7" t="s">
        <v>2652</v>
      </c>
      <c r="K514" s="54"/>
      <c r="L514" s="47"/>
      <c r="M514" s="48" t="b">
        <v>0</v>
      </c>
      <c r="N514" s="48" t="b">
        <v>0</v>
      </c>
      <c r="O514" s="48"/>
      <c r="P514" s="48" t="b">
        <v>0</v>
      </c>
      <c r="Q514" s="48" t="b">
        <v>0</v>
      </c>
      <c r="R514" s="48" t="b">
        <v>0</v>
      </c>
      <c r="S514" s="48"/>
      <c r="T514" s="60"/>
      <c r="U514" s="48" t="b">
        <v>0</v>
      </c>
      <c r="V514" s="48"/>
      <c r="W514" s="48" t="b">
        <v>0</v>
      </c>
      <c r="X514" s="48" t="b">
        <v>0</v>
      </c>
      <c r="Y514" s="48"/>
      <c r="Z514" s="48"/>
      <c r="AA514" s="48"/>
      <c r="AB514" s="48"/>
      <c r="AC514" s="49"/>
      <c r="AD514" s="48"/>
      <c r="AE514" s="48"/>
      <c r="AF514" s="48"/>
      <c r="AG514" s="48"/>
      <c r="AH514" s="48"/>
      <c r="AI514" s="48"/>
      <c r="AJ514" s="25"/>
      <c r="AK514" s="34" t="s">
        <v>698</v>
      </c>
      <c r="AL514" s="25"/>
      <c r="AM514" s="25"/>
      <c r="AN514" s="35" t="s">
        <v>2653</v>
      </c>
      <c r="AO514" s="24">
        <v>0.0028472222222222223</v>
      </c>
      <c r="AP514" s="7" t="s">
        <v>633</v>
      </c>
      <c r="AQ514" s="7" t="s">
        <v>633</v>
      </c>
      <c r="AR514" s="35" t="s">
        <v>2654</v>
      </c>
      <c r="AS514" s="7" t="b">
        <f>NOT(ISERROR(MATCH(A514,'Villages according to موسوعة ال'!C:C,0)))</f>
        <v>1</v>
      </c>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row>
    <row r="515">
      <c r="A515" s="3" t="s">
        <v>2655</v>
      </c>
      <c r="B515" s="43" t="s">
        <v>2656</v>
      </c>
      <c r="C515" s="7" t="s">
        <v>2656</v>
      </c>
      <c r="D515" s="7" t="s">
        <v>2657</v>
      </c>
      <c r="E515" s="7" t="s">
        <v>1809</v>
      </c>
      <c r="F515" s="7" t="s">
        <v>692</v>
      </c>
      <c r="G515" s="28"/>
      <c r="H515" s="7" t="s">
        <v>2658</v>
      </c>
      <c r="I515" s="7" t="s">
        <v>616</v>
      </c>
      <c r="J515" s="7" t="s">
        <v>2659</v>
      </c>
      <c r="K515" s="54" t="s">
        <v>2660</v>
      </c>
      <c r="L515" s="29" t="s">
        <v>2661</v>
      </c>
      <c r="M515" s="60" t="b">
        <v>0</v>
      </c>
      <c r="N515" s="60" t="b">
        <v>0</v>
      </c>
      <c r="O515" s="60"/>
      <c r="P515" s="60" t="b">
        <v>0</v>
      </c>
      <c r="Q515" s="60" t="b">
        <v>0</v>
      </c>
      <c r="R515" s="60" t="b">
        <v>0</v>
      </c>
      <c r="S515" s="60"/>
      <c r="T515" s="60"/>
      <c r="U515" s="60" t="b">
        <v>0</v>
      </c>
      <c r="V515" s="60"/>
      <c r="W515" s="60" t="b">
        <v>0</v>
      </c>
      <c r="X515" s="60" t="b">
        <v>0</v>
      </c>
      <c r="Y515" s="60"/>
      <c r="Z515" s="60"/>
      <c r="AA515" s="60"/>
      <c r="AB515" s="60"/>
      <c r="AC515" s="61"/>
      <c r="AD515" s="60"/>
      <c r="AE515" s="60"/>
      <c r="AF515" s="60"/>
      <c r="AG515" s="60"/>
      <c r="AH515" s="60"/>
      <c r="AI515" s="60"/>
      <c r="AJ515" s="71"/>
      <c r="AK515" s="34" t="s">
        <v>698</v>
      </c>
      <c r="AL515" s="3" t="s">
        <v>699</v>
      </c>
      <c r="AM515" s="3" t="s">
        <v>676</v>
      </c>
      <c r="AN515" s="35" t="s">
        <v>2662</v>
      </c>
      <c r="AO515" s="24">
        <v>0.0021064814814814813</v>
      </c>
      <c r="AP515" s="7" t="s">
        <v>2579</v>
      </c>
      <c r="AQ515" s="73">
        <v>42979.0</v>
      </c>
      <c r="AR515" s="35" t="s">
        <v>2663</v>
      </c>
      <c r="AS515" s="7" t="b">
        <f>NOT(ISERROR(MATCH(A515,'Villages according to موسوعة ال'!C:C,0)))</f>
        <v>1</v>
      </c>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row>
    <row r="516">
      <c r="A516" s="3" t="s">
        <v>2655</v>
      </c>
      <c r="B516" s="26" t="s">
        <v>2656</v>
      </c>
      <c r="E516" s="7" t="s">
        <v>850</v>
      </c>
      <c r="F516" s="7" t="s">
        <v>692</v>
      </c>
      <c r="G516" s="28"/>
      <c r="H516" s="7" t="s">
        <v>2664</v>
      </c>
      <c r="I516" s="7" t="s">
        <v>638</v>
      </c>
      <c r="J516" s="7" t="s">
        <v>2665</v>
      </c>
      <c r="K516" s="54" t="s">
        <v>2666</v>
      </c>
      <c r="L516" s="54" t="s">
        <v>2667</v>
      </c>
      <c r="M516" s="31" t="b">
        <v>0</v>
      </c>
      <c r="N516" s="31" t="b">
        <v>0</v>
      </c>
      <c r="O516" s="31"/>
      <c r="P516" s="31" t="b">
        <v>0</v>
      </c>
      <c r="Q516" s="31" t="b">
        <v>0</v>
      </c>
      <c r="R516" s="31" t="b">
        <v>0</v>
      </c>
      <c r="S516" s="31"/>
      <c r="T516" s="32"/>
      <c r="U516" s="31" t="b">
        <v>0</v>
      </c>
      <c r="V516" s="31"/>
      <c r="W516" s="31" t="b">
        <v>0</v>
      </c>
      <c r="X516" s="31" t="b">
        <v>0</v>
      </c>
      <c r="Y516" s="31"/>
      <c r="Z516" s="31"/>
      <c r="AA516" s="31"/>
      <c r="AB516" s="31"/>
      <c r="AC516" s="45"/>
      <c r="AD516" s="31"/>
      <c r="AE516" s="31"/>
      <c r="AF516" s="31"/>
      <c r="AG516" s="31"/>
      <c r="AH516" s="31"/>
      <c r="AI516" s="31"/>
      <c r="AJ516" s="3"/>
      <c r="AK516" s="34" t="s">
        <v>636</v>
      </c>
      <c r="AL516" s="25"/>
      <c r="AM516" s="25"/>
      <c r="AN516" s="35" t="s">
        <v>2668</v>
      </c>
      <c r="AO516" s="24">
        <v>0.0016319444444444445</v>
      </c>
      <c r="AP516" s="7" t="s">
        <v>633</v>
      </c>
      <c r="AQ516" s="7" t="s">
        <v>633</v>
      </c>
      <c r="AR516" s="7" t="s">
        <v>633</v>
      </c>
      <c r="AS516" s="7" t="b">
        <f>NOT(ISERROR(MATCH(A516,'Villages according to موسوعة ال'!C:C,0)))</f>
        <v>1</v>
      </c>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row>
    <row r="517">
      <c r="A517" s="3" t="s">
        <v>2669</v>
      </c>
      <c r="B517" s="43" t="s">
        <v>142</v>
      </c>
      <c r="C517" s="7" t="s">
        <v>142</v>
      </c>
      <c r="D517" s="7" t="s">
        <v>143</v>
      </c>
      <c r="E517" s="25"/>
      <c r="F517" s="25"/>
      <c r="G517" s="84"/>
      <c r="H517" s="7" t="s">
        <v>2670</v>
      </c>
      <c r="I517" s="7" t="s">
        <v>616</v>
      </c>
      <c r="J517" s="7" t="s">
        <v>2671</v>
      </c>
      <c r="K517" s="54" t="s">
        <v>2672</v>
      </c>
      <c r="L517" s="54" t="s">
        <v>2673</v>
      </c>
      <c r="M517" s="31" t="b">
        <v>0</v>
      </c>
      <c r="N517" s="31" t="b">
        <v>0</v>
      </c>
      <c r="O517" s="31"/>
      <c r="P517" s="31" t="b">
        <v>0</v>
      </c>
      <c r="Q517" s="31" t="b">
        <v>0</v>
      </c>
      <c r="R517" s="31" t="b">
        <v>0</v>
      </c>
      <c r="S517" s="31"/>
      <c r="T517" s="32"/>
      <c r="U517" s="31" t="b">
        <v>0</v>
      </c>
      <c r="V517" s="31"/>
      <c r="W517" s="31" t="b">
        <v>0</v>
      </c>
      <c r="X517" s="31" t="b">
        <v>0</v>
      </c>
      <c r="Y517" s="31"/>
      <c r="Z517" s="31"/>
      <c r="AA517" s="31"/>
      <c r="AB517" s="31"/>
      <c r="AC517" s="45"/>
      <c r="AD517" s="31"/>
      <c r="AE517" s="31"/>
      <c r="AF517" s="31"/>
      <c r="AG517" s="31"/>
      <c r="AH517" s="31"/>
      <c r="AI517" s="31"/>
      <c r="AJ517" s="3" t="s">
        <v>2674</v>
      </c>
      <c r="AK517" s="34" t="s">
        <v>631</v>
      </c>
      <c r="AL517" s="25"/>
      <c r="AM517" s="25"/>
      <c r="AN517" s="35" t="s">
        <v>2675</v>
      </c>
      <c r="AO517" s="24">
        <v>0.04148148148148148</v>
      </c>
      <c r="AP517" s="7" t="s">
        <v>2676</v>
      </c>
      <c r="AQ517" s="7">
        <v>2022.0</v>
      </c>
      <c r="AR517" s="7" t="s">
        <v>633</v>
      </c>
      <c r="AS517" s="7" t="b">
        <f>NOT(ISERROR(MATCH(A517,'Villages according to موسوعة ال'!C:C,0)))</f>
        <v>1</v>
      </c>
      <c r="AT517" s="25"/>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row>
    <row r="518">
      <c r="A518" s="3" t="s">
        <v>2669</v>
      </c>
      <c r="B518" s="43" t="s">
        <v>142</v>
      </c>
      <c r="D518" s="7" t="s">
        <v>143</v>
      </c>
      <c r="E518" s="25"/>
      <c r="F518" s="25"/>
      <c r="G518" s="84"/>
      <c r="K518" s="54" t="s">
        <v>2677</v>
      </c>
      <c r="L518" s="54" t="s">
        <v>2678</v>
      </c>
      <c r="M518" s="31" t="b">
        <v>0</v>
      </c>
      <c r="N518" s="31" t="b">
        <v>0</v>
      </c>
      <c r="O518" s="31"/>
      <c r="P518" s="31" t="b">
        <v>0</v>
      </c>
      <c r="Q518" s="31" t="b">
        <v>0</v>
      </c>
      <c r="R518" s="31" t="b">
        <v>0</v>
      </c>
      <c r="S518" s="31"/>
      <c r="T518" s="32"/>
      <c r="U518" s="31" t="b">
        <v>0</v>
      </c>
      <c r="V518" s="31"/>
      <c r="W518" s="31" t="b">
        <v>0</v>
      </c>
      <c r="X518" s="31" t="b">
        <v>0</v>
      </c>
      <c r="Y518" s="31"/>
      <c r="Z518" s="31"/>
      <c r="AA518" s="31"/>
      <c r="AB518" s="31"/>
      <c r="AC518" s="45"/>
      <c r="AD518" s="31"/>
      <c r="AE518" s="31"/>
      <c r="AF518" s="31"/>
      <c r="AG518" s="31"/>
      <c r="AH518" s="31"/>
      <c r="AI518" s="31"/>
      <c r="AJ518" s="3"/>
      <c r="AK518" s="34" t="s">
        <v>718</v>
      </c>
      <c r="AL518" s="3" t="s">
        <v>823</v>
      </c>
      <c r="AM518" s="3" t="s">
        <v>700</v>
      </c>
      <c r="AN518" s="35" t="s">
        <v>2679</v>
      </c>
      <c r="AO518" s="24">
        <v>0.0026157407407407405</v>
      </c>
      <c r="AP518" s="7" t="s">
        <v>2676</v>
      </c>
      <c r="AQ518" s="7">
        <v>2022.0</v>
      </c>
      <c r="AR518" s="35" t="s">
        <v>2680</v>
      </c>
      <c r="AS518" s="7" t="b">
        <f>NOT(ISERROR(MATCH(A518,'Villages according to موسوعة ال'!C:C,0)))</f>
        <v>1</v>
      </c>
      <c r="AT518" s="25"/>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row>
    <row r="519">
      <c r="A519" s="3" t="s">
        <v>2681</v>
      </c>
      <c r="B519" s="43" t="s">
        <v>139</v>
      </c>
      <c r="C519" s="85" t="s">
        <v>139</v>
      </c>
      <c r="D519" s="85" t="s">
        <v>140</v>
      </c>
      <c r="E519" s="25"/>
      <c r="F519" s="25"/>
      <c r="G519" s="84"/>
      <c r="H519" s="7" t="s">
        <v>2682</v>
      </c>
      <c r="I519" s="85" t="s">
        <v>638</v>
      </c>
      <c r="J519" s="85" t="s">
        <v>2683</v>
      </c>
      <c r="K519" s="54" t="s">
        <v>2684</v>
      </c>
      <c r="L519" s="116" t="s">
        <v>2685</v>
      </c>
      <c r="M519" s="60" t="b">
        <v>0</v>
      </c>
      <c r="N519" s="60" t="b">
        <v>0</v>
      </c>
      <c r="O519" s="60"/>
      <c r="P519" s="60" t="b">
        <v>0</v>
      </c>
      <c r="Q519" s="60" t="b">
        <v>0</v>
      </c>
      <c r="R519" s="60" t="b">
        <v>0</v>
      </c>
      <c r="S519" s="60"/>
      <c r="T519" s="32"/>
      <c r="U519" s="60" t="b">
        <v>0</v>
      </c>
      <c r="V519" s="60"/>
      <c r="W519" s="60" t="b">
        <v>0</v>
      </c>
      <c r="X519" s="60" t="b">
        <v>0</v>
      </c>
      <c r="Y519" s="60"/>
      <c r="Z519" s="60"/>
      <c r="AA519" s="60"/>
      <c r="AB519" s="60"/>
      <c r="AC519" s="61"/>
      <c r="AD519" s="60"/>
      <c r="AE519" s="60"/>
      <c r="AF519" s="60"/>
      <c r="AG519" s="60"/>
      <c r="AH519" s="60"/>
      <c r="AI519" s="60"/>
      <c r="AJ519" s="3" t="s">
        <v>2686</v>
      </c>
      <c r="AK519" s="34" t="s">
        <v>631</v>
      </c>
      <c r="AL519" s="85"/>
      <c r="AM519" s="3"/>
      <c r="AN519" s="35" t="s">
        <v>2687</v>
      </c>
      <c r="AO519" s="24">
        <v>0.028009259259259258</v>
      </c>
      <c r="AP519" s="85" t="s">
        <v>2688</v>
      </c>
      <c r="AQ519" s="85" t="s">
        <v>633</v>
      </c>
      <c r="AR519" s="85" t="s">
        <v>633</v>
      </c>
      <c r="AS519" s="7" t="b">
        <f>NOT(ISERROR(MATCH(A519,'Villages according to موسوعة ال'!C:C,0)))</f>
        <v>1</v>
      </c>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row>
    <row r="520">
      <c r="A520" s="3" t="s">
        <v>2681</v>
      </c>
      <c r="B520" s="43" t="s">
        <v>139</v>
      </c>
      <c r="E520" s="25"/>
      <c r="F520" s="25"/>
      <c r="G520" s="84"/>
      <c r="K520" s="47"/>
      <c r="L520" s="116"/>
      <c r="M520" s="60" t="b">
        <v>0</v>
      </c>
      <c r="N520" s="60" t="b">
        <v>0</v>
      </c>
      <c r="O520" s="60"/>
      <c r="P520" s="60" t="b">
        <v>0</v>
      </c>
      <c r="Q520" s="60" t="b">
        <v>0</v>
      </c>
      <c r="R520" s="60" t="b">
        <v>0</v>
      </c>
      <c r="S520" s="60"/>
      <c r="T520" s="60"/>
      <c r="U520" s="60" t="b">
        <v>0</v>
      </c>
      <c r="V520" s="60"/>
      <c r="W520" s="60" t="b">
        <v>0</v>
      </c>
      <c r="X520" s="60" t="b">
        <v>0</v>
      </c>
      <c r="Y520" s="60"/>
      <c r="Z520" s="60"/>
      <c r="AA520" s="60"/>
      <c r="AB520" s="60"/>
      <c r="AC520" s="61"/>
      <c r="AD520" s="60"/>
      <c r="AE520" s="60"/>
      <c r="AF520" s="60"/>
      <c r="AG520" s="60"/>
      <c r="AH520" s="60"/>
      <c r="AI520" s="60"/>
      <c r="AJ520" s="3" t="s">
        <v>2689</v>
      </c>
      <c r="AK520" s="34" t="s">
        <v>698</v>
      </c>
      <c r="AL520" s="3" t="s">
        <v>699</v>
      </c>
      <c r="AM520" s="3" t="s">
        <v>831</v>
      </c>
      <c r="AN520" s="35" t="s">
        <v>2690</v>
      </c>
      <c r="AO520" s="24">
        <v>0.028009259259259258</v>
      </c>
      <c r="AP520" s="85" t="s">
        <v>2688</v>
      </c>
      <c r="AQ520" s="85"/>
      <c r="AR520" s="35" t="s">
        <v>2691</v>
      </c>
      <c r="AS520" s="7" t="b">
        <f>NOT(ISERROR(MATCH(A520,'Villages according to موسوعة ال'!C:C,0)))</f>
        <v>1</v>
      </c>
      <c r="AT520" s="25"/>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row>
    <row r="521">
      <c r="A521" s="7" t="s">
        <v>566</v>
      </c>
      <c r="B521" s="43" t="s">
        <v>567</v>
      </c>
      <c r="C521" s="85" t="s">
        <v>567</v>
      </c>
      <c r="D521" s="85" t="s">
        <v>568</v>
      </c>
      <c r="E521" s="25"/>
      <c r="F521" s="25"/>
      <c r="G521" s="84"/>
      <c r="H521" s="25"/>
      <c r="I521" s="85" t="s">
        <v>638</v>
      </c>
      <c r="J521" s="85" t="s">
        <v>2692</v>
      </c>
      <c r="K521" s="47"/>
      <c r="L521" s="116" t="s">
        <v>2693</v>
      </c>
      <c r="M521" s="32" t="b">
        <v>1</v>
      </c>
      <c r="N521" s="60" t="b">
        <v>0</v>
      </c>
      <c r="O521" s="32" t="s">
        <v>620</v>
      </c>
      <c r="P521" s="60" t="b">
        <v>0</v>
      </c>
      <c r="Q521" s="60" t="b">
        <v>0</v>
      </c>
      <c r="R521" s="60" t="b">
        <v>0</v>
      </c>
      <c r="S521" s="32" t="s">
        <v>966</v>
      </c>
      <c r="T521" s="32" t="s">
        <v>2694</v>
      </c>
      <c r="U521" s="60" t="b">
        <v>0</v>
      </c>
      <c r="V521" s="60"/>
      <c r="W521" s="60" t="b">
        <v>0</v>
      </c>
      <c r="X521" s="60" t="b">
        <v>0</v>
      </c>
      <c r="Y521" s="32" t="s">
        <v>671</v>
      </c>
      <c r="Z521" s="60"/>
      <c r="AA521" s="60"/>
      <c r="AB521" s="32" t="s">
        <v>1150</v>
      </c>
      <c r="AC521" s="33" t="s">
        <v>672</v>
      </c>
      <c r="AD521" s="32" t="s">
        <v>686</v>
      </c>
      <c r="AE521" s="32" t="s">
        <v>711</v>
      </c>
      <c r="AF521" s="32" t="s">
        <v>2695</v>
      </c>
      <c r="AG521" s="60"/>
      <c r="AH521" s="60"/>
      <c r="AI521" s="32" t="s">
        <v>1523</v>
      </c>
      <c r="AJ521" s="85"/>
      <c r="AK521" s="34" t="s">
        <v>698</v>
      </c>
      <c r="AL521" s="3" t="s">
        <v>823</v>
      </c>
      <c r="AM521" s="3" t="s">
        <v>700</v>
      </c>
      <c r="AN521" s="112" t="s">
        <v>2696</v>
      </c>
      <c r="AO521" s="24">
        <v>0.0017013888888888888</v>
      </c>
      <c r="AP521" s="85" t="s">
        <v>2697</v>
      </c>
      <c r="AQ521" s="85" t="s">
        <v>633</v>
      </c>
      <c r="AR521" s="35" t="s">
        <v>2698</v>
      </c>
      <c r="AS521" s="7" t="b">
        <f>NOT(ISERROR(MATCH(A521,'Villages according to موسوعة ال'!C:C,0)))</f>
        <v>1</v>
      </c>
      <c r="AT521" s="25"/>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row>
    <row r="522">
      <c r="A522" s="7" t="s">
        <v>566</v>
      </c>
      <c r="B522" s="26" t="s">
        <v>567</v>
      </c>
      <c r="E522" s="25"/>
      <c r="F522" s="25"/>
      <c r="G522" s="84"/>
      <c r="H522" s="25"/>
      <c r="K522" s="47"/>
      <c r="L522" s="116" t="s">
        <v>2699</v>
      </c>
      <c r="M522" s="60" t="b">
        <v>0</v>
      </c>
      <c r="N522" s="60" t="b">
        <v>0</v>
      </c>
      <c r="O522" s="60"/>
      <c r="P522" s="60" t="b">
        <v>0</v>
      </c>
      <c r="Q522" s="60" t="b">
        <v>0</v>
      </c>
      <c r="R522" s="60" t="b">
        <v>0</v>
      </c>
      <c r="S522" s="60"/>
      <c r="T522" s="32"/>
      <c r="U522" s="60" t="b">
        <v>0</v>
      </c>
      <c r="V522" s="60"/>
      <c r="W522" s="60" t="b">
        <v>0</v>
      </c>
      <c r="X522" s="60" t="b">
        <v>0</v>
      </c>
      <c r="Y522" s="60"/>
      <c r="Z522" s="60"/>
      <c r="AA522" s="60"/>
      <c r="AB522" s="60"/>
      <c r="AC522" s="61"/>
      <c r="AD522" s="60"/>
      <c r="AE522" s="60"/>
      <c r="AF522" s="60"/>
      <c r="AG522" s="60"/>
      <c r="AH522" s="60"/>
      <c r="AI522" s="60"/>
      <c r="AJ522" s="85"/>
      <c r="AK522" s="34" t="s">
        <v>636</v>
      </c>
      <c r="AL522" s="25"/>
      <c r="AM522" s="25"/>
      <c r="AN522" s="112" t="s">
        <v>2700</v>
      </c>
      <c r="AO522" s="24">
        <v>0.004664351851851852</v>
      </c>
      <c r="AP522" s="85" t="s">
        <v>2697</v>
      </c>
      <c r="AQ522" s="85" t="s">
        <v>633</v>
      </c>
      <c r="AR522" s="85" t="s">
        <v>633</v>
      </c>
      <c r="AS522" s="7" t="b">
        <f>NOT(ISERROR(MATCH(A522,'Villages according to موسوعة ال'!C:C,0)))</f>
        <v>1</v>
      </c>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row>
    <row r="523">
      <c r="A523" s="7" t="s">
        <v>288</v>
      </c>
      <c r="B523" s="26" t="s">
        <v>289</v>
      </c>
      <c r="C523" s="85" t="s">
        <v>289</v>
      </c>
      <c r="D523" s="85" t="s">
        <v>290</v>
      </c>
      <c r="E523" s="25"/>
      <c r="F523" s="25"/>
      <c r="G523" s="84"/>
      <c r="H523" s="25"/>
      <c r="I523" s="25"/>
      <c r="J523" s="25"/>
      <c r="K523" s="54" t="s">
        <v>2701</v>
      </c>
      <c r="L523" s="30" t="s">
        <v>2702</v>
      </c>
      <c r="M523" s="32" t="b">
        <v>0</v>
      </c>
      <c r="N523" s="32" t="b">
        <v>0</v>
      </c>
      <c r="O523" s="32"/>
      <c r="P523" s="32" t="b">
        <v>0</v>
      </c>
      <c r="Q523" s="32" t="b">
        <v>0</v>
      </c>
      <c r="R523" s="32" t="b">
        <v>0</v>
      </c>
      <c r="S523" s="32"/>
      <c r="T523" s="32"/>
      <c r="U523" s="32" t="b">
        <v>0</v>
      </c>
      <c r="V523" s="32"/>
      <c r="W523" s="32" t="b">
        <v>0</v>
      </c>
      <c r="X523" s="32" t="b">
        <v>0</v>
      </c>
      <c r="Y523" s="32"/>
      <c r="Z523" s="32"/>
      <c r="AA523" s="32"/>
      <c r="AB523" s="32"/>
      <c r="AC523" s="33"/>
      <c r="AD523" s="32"/>
      <c r="AE523" s="32"/>
      <c r="AF523" s="32"/>
      <c r="AG523" s="32"/>
      <c r="AH523" s="32"/>
      <c r="AI523" s="32"/>
      <c r="AJ523" s="25"/>
      <c r="AK523" s="34" t="s">
        <v>636</v>
      </c>
      <c r="AL523" s="25"/>
      <c r="AM523" s="25"/>
      <c r="AN523" s="35" t="s">
        <v>2703</v>
      </c>
      <c r="AO523" s="24">
        <v>0.007627314814814815</v>
      </c>
      <c r="AP523" s="7" t="s">
        <v>633</v>
      </c>
      <c r="AQ523" s="7" t="s">
        <v>633</v>
      </c>
      <c r="AR523" s="7" t="s">
        <v>633</v>
      </c>
      <c r="AS523" s="7" t="b">
        <f>NOT(ISERROR(MATCH(A523,'Villages according to موسوعة ال'!C:C,0)))</f>
        <v>1</v>
      </c>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row>
    <row r="524">
      <c r="A524" s="3" t="s">
        <v>2704</v>
      </c>
      <c r="B524" s="26" t="s">
        <v>2705</v>
      </c>
      <c r="C524" s="85" t="s">
        <v>2705</v>
      </c>
      <c r="D524" s="85" t="s">
        <v>2706</v>
      </c>
      <c r="E524" s="85" t="s">
        <v>2707</v>
      </c>
      <c r="F524" s="85" t="s">
        <v>959</v>
      </c>
      <c r="G524" s="117"/>
      <c r="H524" s="85" t="s">
        <v>2708</v>
      </c>
      <c r="I524" s="85" t="s">
        <v>616</v>
      </c>
      <c r="J524" s="85" t="s">
        <v>2709</v>
      </c>
      <c r="K524" s="54" t="s">
        <v>2710</v>
      </c>
      <c r="L524" s="30" t="s">
        <v>2711</v>
      </c>
      <c r="M524" s="48" t="b">
        <v>0</v>
      </c>
      <c r="N524" s="48" t="b">
        <v>0</v>
      </c>
      <c r="O524" s="48"/>
      <c r="P524" s="48" t="b">
        <v>0</v>
      </c>
      <c r="Q524" s="48" t="b">
        <v>0</v>
      </c>
      <c r="R524" s="48" t="b">
        <v>0</v>
      </c>
      <c r="S524" s="48"/>
      <c r="T524" s="32"/>
      <c r="U524" s="48" t="b">
        <v>0</v>
      </c>
      <c r="V524" s="48"/>
      <c r="W524" s="48" t="b">
        <v>0</v>
      </c>
      <c r="X524" s="48" t="b">
        <v>0</v>
      </c>
      <c r="Y524" s="48"/>
      <c r="Z524" s="48"/>
      <c r="AA524" s="48"/>
      <c r="AB524" s="48"/>
      <c r="AC524" s="49"/>
      <c r="AD524" s="48"/>
      <c r="AE524" s="48"/>
      <c r="AF524" s="48"/>
      <c r="AG524" s="48"/>
      <c r="AH524" s="48"/>
      <c r="AI524" s="48"/>
      <c r="AJ524" s="3" t="s">
        <v>2712</v>
      </c>
      <c r="AK524" s="34" t="s">
        <v>631</v>
      </c>
      <c r="AL524" s="3" t="s">
        <v>734</v>
      </c>
      <c r="AM524" s="3" t="s">
        <v>676</v>
      </c>
      <c r="AN524" s="112" t="s">
        <v>2713</v>
      </c>
      <c r="AO524" s="24">
        <v>0.004953703703703704</v>
      </c>
      <c r="AP524" s="85" t="s">
        <v>633</v>
      </c>
      <c r="AQ524" s="85" t="s">
        <v>633</v>
      </c>
      <c r="AR524" s="35" t="s">
        <v>2714</v>
      </c>
      <c r="AS524" s="7" t="b">
        <f>NOT(ISERROR(MATCH(A524,'Villages according to موسوعة ال'!C:C,0)))</f>
        <v>1</v>
      </c>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row>
    <row r="525">
      <c r="A525" s="3" t="s">
        <v>2704</v>
      </c>
      <c r="B525" s="26" t="s">
        <v>2705</v>
      </c>
      <c r="E525" s="85" t="s">
        <v>2707</v>
      </c>
      <c r="F525" s="85" t="s">
        <v>959</v>
      </c>
      <c r="G525" s="117"/>
      <c r="H525" s="85" t="s">
        <v>2715</v>
      </c>
      <c r="I525" s="85" t="s">
        <v>638</v>
      </c>
      <c r="J525" s="85" t="s">
        <v>2716</v>
      </c>
      <c r="K525" s="116"/>
      <c r="L525" s="47"/>
      <c r="M525" s="48" t="b">
        <v>0</v>
      </c>
      <c r="N525" s="48" t="b">
        <v>0</v>
      </c>
      <c r="O525" s="48"/>
      <c r="P525" s="48" t="b">
        <v>0</v>
      </c>
      <c r="Q525" s="48" t="b">
        <v>0</v>
      </c>
      <c r="R525" s="48" t="b">
        <v>0</v>
      </c>
      <c r="S525" s="48"/>
      <c r="T525" s="32"/>
      <c r="U525" s="48" t="b">
        <v>0</v>
      </c>
      <c r="V525" s="48"/>
      <c r="W525" s="48" t="b">
        <v>0</v>
      </c>
      <c r="X525" s="48" t="b">
        <v>0</v>
      </c>
      <c r="Y525" s="48"/>
      <c r="Z525" s="48"/>
      <c r="AA525" s="48"/>
      <c r="AB525" s="48"/>
      <c r="AC525" s="49"/>
      <c r="AD525" s="48"/>
      <c r="AE525" s="48"/>
      <c r="AF525" s="48"/>
      <c r="AG525" s="48"/>
      <c r="AH525" s="48"/>
      <c r="AI525" s="48"/>
      <c r="AJ525" s="25"/>
      <c r="AK525" s="50"/>
      <c r="AL525" s="25"/>
      <c r="AM525" s="25"/>
      <c r="AN525" s="112" t="s">
        <v>2717</v>
      </c>
      <c r="AO525" s="24">
        <v>0.0016550925925925926</v>
      </c>
      <c r="AP525" s="85" t="s">
        <v>633</v>
      </c>
      <c r="AQ525" s="85" t="s">
        <v>633</v>
      </c>
      <c r="AR525" s="85" t="s">
        <v>633</v>
      </c>
      <c r="AS525" s="7" t="b">
        <f>NOT(ISERROR(MATCH(A525,'Villages according to موسوعة ال'!C:C,0)))</f>
        <v>1</v>
      </c>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row>
    <row r="526">
      <c r="A526" s="3" t="s">
        <v>2704</v>
      </c>
      <c r="B526" s="26" t="s">
        <v>2705</v>
      </c>
      <c r="F526" s="85"/>
      <c r="G526" s="117"/>
      <c r="K526" s="47"/>
      <c r="L526" s="30" t="s">
        <v>2718</v>
      </c>
      <c r="M526" s="48" t="b">
        <v>0</v>
      </c>
      <c r="N526" s="48" t="b">
        <v>0</v>
      </c>
      <c r="O526" s="48"/>
      <c r="P526" s="48" t="b">
        <v>0</v>
      </c>
      <c r="Q526" s="48" t="b">
        <v>0</v>
      </c>
      <c r="R526" s="48" t="b">
        <v>0</v>
      </c>
      <c r="S526" s="48"/>
      <c r="T526" s="32"/>
      <c r="U526" s="48" t="b">
        <v>0</v>
      </c>
      <c r="V526" s="48"/>
      <c r="W526" s="48" t="b">
        <v>0</v>
      </c>
      <c r="X526" s="48" t="b">
        <v>0</v>
      </c>
      <c r="Y526" s="48"/>
      <c r="Z526" s="48"/>
      <c r="AA526" s="48"/>
      <c r="AB526" s="48"/>
      <c r="AC526" s="49"/>
      <c r="AD526" s="48"/>
      <c r="AE526" s="48"/>
      <c r="AF526" s="48"/>
      <c r="AG526" s="48"/>
      <c r="AH526" s="48"/>
      <c r="AI526" s="48"/>
      <c r="AJ526" s="25"/>
      <c r="AK526" s="34" t="s">
        <v>636</v>
      </c>
      <c r="AL526" s="25"/>
      <c r="AM526" s="25"/>
      <c r="AN526" s="112" t="s">
        <v>2719</v>
      </c>
      <c r="AO526" s="24">
        <v>0.007013888888888889</v>
      </c>
      <c r="AP526" s="85" t="s">
        <v>633</v>
      </c>
      <c r="AQ526" s="85" t="s">
        <v>633</v>
      </c>
      <c r="AR526" s="85" t="s">
        <v>633</v>
      </c>
      <c r="AS526" s="7" t="b">
        <f>NOT(ISERROR(MATCH(A526,'Villages according to موسوعة ال'!C:C,0)))</f>
        <v>1</v>
      </c>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row>
    <row r="527">
      <c r="A527" s="3" t="s">
        <v>2704</v>
      </c>
      <c r="B527" s="26" t="s">
        <v>2705</v>
      </c>
      <c r="F527" s="85"/>
      <c r="G527" s="117"/>
      <c r="K527" s="54" t="s">
        <v>2720</v>
      </c>
      <c r="L527" s="47"/>
      <c r="M527" s="48" t="b">
        <v>0</v>
      </c>
      <c r="N527" s="48" t="b">
        <v>0</v>
      </c>
      <c r="O527" s="48"/>
      <c r="P527" s="48" t="b">
        <v>0</v>
      </c>
      <c r="Q527" s="48" t="b">
        <v>0</v>
      </c>
      <c r="R527" s="48" t="b">
        <v>0</v>
      </c>
      <c r="S527" s="48"/>
      <c r="T527" s="32"/>
      <c r="U527" s="48" t="b">
        <v>0</v>
      </c>
      <c r="V527" s="48"/>
      <c r="W527" s="48" t="b">
        <v>0</v>
      </c>
      <c r="X527" s="48" t="b">
        <v>0</v>
      </c>
      <c r="Y527" s="48"/>
      <c r="Z527" s="48"/>
      <c r="AA527" s="48"/>
      <c r="AB527" s="48"/>
      <c r="AC527" s="49"/>
      <c r="AD527" s="48"/>
      <c r="AE527" s="48"/>
      <c r="AF527" s="48"/>
      <c r="AG527" s="48"/>
      <c r="AH527" s="48"/>
      <c r="AI527" s="48"/>
      <c r="AJ527" s="25"/>
      <c r="AK527" s="34" t="s">
        <v>636</v>
      </c>
      <c r="AL527" s="25"/>
      <c r="AM527" s="25"/>
      <c r="AN527" s="112" t="s">
        <v>2721</v>
      </c>
      <c r="AO527" s="24">
        <v>9.25925925925926E-4</v>
      </c>
      <c r="AP527" s="85" t="s">
        <v>633</v>
      </c>
      <c r="AQ527" s="85" t="s">
        <v>633</v>
      </c>
      <c r="AR527" s="85" t="s">
        <v>633</v>
      </c>
      <c r="AS527" s="7" t="b">
        <f>NOT(ISERROR(MATCH(A527,'Villages according to موسوعة ال'!C:C,0)))</f>
        <v>1</v>
      </c>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row>
    <row r="528">
      <c r="A528" s="3" t="s">
        <v>2704</v>
      </c>
      <c r="B528" s="26" t="s">
        <v>2705</v>
      </c>
      <c r="F528" s="85"/>
      <c r="G528" s="117"/>
      <c r="K528" s="47"/>
      <c r="L528" s="30" t="s">
        <v>2722</v>
      </c>
      <c r="M528" s="48" t="b">
        <v>0</v>
      </c>
      <c r="N528" s="48" t="b">
        <v>0</v>
      </c>
      <c r="O528" s="48"/>
      <c r="P528" s="48" t="b">
        <v>0</v>
      </c>
      <c r="Q528" s="48" t="b">
        <v>0</v>
      </c>
      <c r="R528" s="48" t="b">
        <v>0</v>
      </c>
      <c r="S528" s="48"/>
      <c r="T528" s="32"/>
      <c r="U528" s="48" t="b">
        <v>0</v>
      </c>
      <c r="V528" s="48"/>
      <c r="W528" s="48" t="b">
        <v>0</v>
      </c>
      <c r="X528" s="48" t="b">
        <v>0</v>
      </c>
      <c r="Y528" s="48"/>
      <c r="Z528" s="48"/>
      <c r="AA528" s="48"/>
      <c r="AB528" s="48"/>
      <c r="AC528" s="49"/>
      <c r="AD528" s="48"/>
      <c r="AE528" s="48"/>
      <c r="AF528" s="48"/>
      <c r="AG528" s="48"/>
      <c r="AH528" s="48"/>
      <c r="AI528" s="48"/>
      <c r="AJ528" s="25"/>
      <c r="AK528" s="34" t="s">
        <v>636</v>
      </c>
      <c r="AL528" s="25"/>
      <c r="AM528" s="25"/>
      <c r="AN528" s="112" t="s">
        <v>2723</v>
      </c>
      <c r="AO528" s="24">
        <v>0.0013657407407407407</v>
      </c>
      <c r="AP528" s="85" t="s">
        <v>633</v>
      </c>
      <c r="AQ528" s="85" t="s">
        <v>633</v>
      </c>
      <c r="AR528" s="85" t="s">
        <v>633</v>
      </c>
      <c r="AS528" s="7" t="b">
        <f>NOT(ISERROR(MATCH(A528,'Villages according to موسوعة ال'!C:C,0)))</f>
        <v>1</v>
      </c>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row>
    <row r="529">
      <c r="A529" s="3" t="s">
        <v>2724</v>
      </c>
      <c r="B529" s="43" t="s">
        <v>2725</v>
      </c>
      <c r="C529" s="7" t="s">
        <v>2725</v>
      </c>
      <c r="D529" s="85" t="s">
        <v>2726</v>
      </c>
      <c r="E529" s="85" t="s">
        <v>2707</v>
      </c>
      <c r="F529" s="85" t="s">
        <v>959</v>
      </c>
      <c r="G529" s="117"/>
      <c r="H529" s="85" t="s">
        <v>2727</v>
      </c>
      <c r="I529" s="85" t="s">
        <v>638</v>
      </c>
      <c r="J529" s="85" t="s">
        <v>2728</v>
      </c>
      <c r="K529" s="47"/>
      <c r="L529" s="116" t="s">
        <v>2729</v>
      </c>
      <c r="M529" s="60" t="b">
        <v>0</v>
      </c>
      <c r="N529" s="60" t="b">
        <v>0</v>
      </c>
      <c r="O529" s="60"/>
      <c r="P529" s="60" t="b">
        <v>0</v>
      </c>
      <c r="Q529" s="60" t="b">
        <v>0</v>
      </c>
      <c r="R529" s="60" t="b">
        <v>0</v>
      </c>
      <c r="S529" s="60"/>
      <c r="T529" s="60"/>
      <c r="U529" s="60" t="b">
        <v>0</v>
      </c>
      <c r="V529" s="60"/>
      <c r="W529" s="60" t="b">
        <v>0</v>
      </c>
      <c r="X529" s="60" t="b">
        <v>0</v>
      </c>
      <c r="Y529" s="60"/>
      <c r="Z529" s="60"/>
      <c r="AA529" s="60"/>
      <c r="AB529" s="60"/>
      <c r="AC529" s="61"/>
      <c r="AD529" s="60"/>
      <c r="AE529" s="60"/>
      <c r="AF529" s="60"/>
      <c r="AG529" s="60"/>
      <c r="AH529" s="60"/>
      <c r="AI529" s="60"/>
      <c r="AJ529" s="25"/>
      <c r="AK529" s="34" t="s">
        <v>698</v>
      </c>
      <c r="AL529" s="3" t="s">
        <v>699</v>
      </c>
      <c r="AM529" s="3" t="s">
        <v>831</v>
      </c>
      <c r="AN529" s="35" t="s">
        <v>2730</v>
      </c>
      <c r="AO529" s="24">
        <v>7.175925925925926E-4</v>
      </c>
      <c r="AP529" s="85" t="s">
        <v>633</v>
      </c>
      <c r="AQ529" s="85" t="s">
        <v>2731</v>
      </c>
      <c r="AR529" s="35" t="s">
        <v>2732</v>
      </c>
      <c r="AS529" s="7" t="b">
        <f>NOT(ISERROR(MATCH(A529,'Villages according to موسوعة ال'!C:C,0)))</f>
        <v>1</v>
      </c>
      <c r="AT529" s="25"/>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row>
    <row r="530">
      <c r="A530" s="3" t="s">
        <v>2724</v>
      </c>
      <c r="B530" s="26" t="s">
        <v>2725</v>
      </c>
      <c r="F530" s="85"/>
      <c r="G530" s="117"/>
      <c r="K530" s="47"/>
      <c r="L530" s="116" t="s">
        <v>2733</v>
      </c>
      <c r="M530" s="60" t="b">
        <v>0</v>
      </c>
      <c r="N530" s="60" t="b">
        <v>0</v>
      </c>
      <c r="O530" s="60"/>
      <c r="P530" s="60" t="b">
        <v>0</v>
      </c>
      <c r="Q530" s="60" t="b">
        <v>0</v>
      </c>
      <c r="R530" s="60" t="b">
        <v>0</v>
      </c>
      <c r="S530" s="60"/>
      <c r="T530" s="32"/>
      <c r="U530" s="60" t="b">
        <v>0</v>
      </c>
      <c r="V530" s="60"/>
      <c r="W530" s="60" t="b">
        <v>0</v>
      </c>
      <c r="X530" s="60" t="b">
        <v>0</v>
      </c>
      <c r="Y530" s="60"/>
      <c r="Z530" s="60"/>
      <c r="AA530" s="60"/>
      <c r="AB530" s="60"/>
      <c r="AC530" s="61"/>
      <c r="AD530" s="60"/>
      <c r="AE530" s="60"/>
      <c r="AF530" s="60"/>
      <c r="AG530" s="60"/>
      <c r="AH530" s="60"/>
      <c r="AI530" s="60"/>
      <c r="AJ530" s="25"/>
      <c r="AK530" s="34" t="s">
        <v>636</v>
      </c>
      <c r="AL530" s="25"/>
      <c r="AM530" s="25"/>
      <c r="AN530" s="112" t="s">
        <v>2734</v>
      </c>
      <c r="AO530" s="24">
        <v>1.9675925925925926E-4</v>
      </c>
      <c r="AP530" s="85" t="s">
        <v>633</v>
      </c>
      <c r="AQ530" s="85" t="s">
        <v>2731</v>
      </c>
      <c r="AR530" s="85" t="s">
        <v>633</v>
      </c>
      <c r="AS530" s="7" t="b">
        <f>NOT(ISERROR(MATCH(A530,'Villages according to موسوعة ال'!C:C,0)))</f>
        <v>1</v>
      </c>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row>
    <row r="531">
      <c r="A531" s="3" t="s">
        <v>2724</v>
      </c>
      <c r="B531" s="26" t="s">
        <v>2725</v>
      </c>
      <c r="F531" s="85"/>
      <c r="G531" s="117"/>
      <c r="K531" s="47"/>
      <c r="L531" s="116"/>
      <c r="M531" s="60" t="b">
        <v>0</v>
      </c>
      <c r="N531" s="60" t="b">
        <v>0</v>
      </c>
      <c r="O531" s="60"/>
      <c r="P531" s="60" t="b">
        <v>0</v>
      </c>
      <c r="Q531" s="60" t="b">
        <v>0</v>
      </c>
      <c r="R531" s="60" t="b">
        <v>0</v>
      </c>
      <c r="S531" s="60"/>
      <c r="T531" s="32"/>
      <c r="U531" s="60" t="b">
        <v>0</v>
      </c>
      <c r="V531" s="60"/>
      <c r="W531" s="60" t="b">
        <v>0</v>
      </c>
      <c r="X531" s="60" t="b">
        <v>0</v>
      </c>
      <c r="Y531" s="60"/>
      <c r="Z531" s="60"/>
      <c r="AA531" s="60"/>
      <c r="AB531" s="60"/>
      <c r="AC531" s="61"/>
      <c r="AD531" s="60"/>
      <c r="AE531" s="60"/>
      <c r="AF531" s="60"/>
      <c r="AG531" s="60"/>
      <c r="AH531" s="60"/>
      <c r="AI531" s="60"/>
      <c r="AJ531" s="25"/>
      <c r="AK531" s="34" t="s">
        <v>636</v>
      </c>
      <c r="AL531" s="25"/>
      <c r="AM531" s="25"/>
      <c r="AN531" s="35" t="s">
        <v>2735</v>
      </c>
      <c r="AO531" s="24">
        <v>1.273148148148148E-4</v>
      </c>
      <c r="AP531" s="7" t="s">
        <v>633</v>
      </c>
      <c r="AQ531" s="85" t="s">
        <v>2731</v>
      </c>
      <c r="AR531" s="7" t="s">
        <v>633</v>
      </c>
      <c r="AS531" s="7" t="b">
        <f>NOT(ISERROR(MATCH(A531,'Villages according to موسوعة ال'!C:C,0)))</f>
        <v>1</v>
      </c>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row>
    <row r="532">
      <c r="A532" s="3" t="s">
        <v>2724</v>
      </c>
      <c r="B532" s="26" t="s">
        <v>2725</v>
      </c>
      <c r="E532" s="85" t="s">
        <v>2707</v>
      </c>
      <c r="F532" s="85" t="s">
        <v>959</v>
      </c>
      <c r="G532" s="117"/>
      <c r="H532" s="85" t="s">
        <v>2736</v>
      </c>
      <c r="I532" s="85" t="s">
        <v>638</v>
      </c>
      <c r="J532" s="85" t="s">
        <v>2737</v>
      </c>
      <c r="K532" s="116" t="s">
        <v>2738</v>
      </c>
      <c r="L532" s="47"/>
      <c r="M532" s="48" t="b">
        <v>0</v>
      </c>
      <c r="N532" s="48" t="b">
        <v>0</v>
      </c>
      <c r="O532" s="48"/>
      <c r="P532" s="48" t="b">
        <v>0</v>
      </c>
      <c r="Q532" s="48" t="b">
        <v>0</v>
      </c>
      <c r="R532" s="48" t="b">
        <v>0</v>
      </c>
      <c r="S532" s="48"/>
      <c r="T532" s="32"/>
      <c r="U532" s="48" t="b">
        <v>0</v>
      </c>
      <c r="V532" s="48"/>
      <c r="W532" s="48" t="b">
        <v>0</v>
      </c>
      <c r="X532" s="48" t="b">
        <v>0</v>
      </c>
      <c r="Y532" s="48"/>
      <c r="Z532" s="48"/>
      <c r="AA532" s="48"/>
      <c r="AB532" s="48"/>
      <c r="AC532" s="49"/>
      <c r="AD532" s="48"/>
      <c r="AE532" s="48"/>
      <c r="AF532" s="48"/>
      <c r="AG532" s="48"/>
      <c r="AH532" s="48"/>
      <c r="AI532" s="48"/>
      <c r="AJ532" s="25"/>
      <c r="AK532" s="34" t="s">
        <v>636</v>
      </c>
      <c r="AL532" s="25"/>
      <c r="AM532" s="25"/>
      <c r="AN532" s="112" t="s">
        <v>2739</v>
      </c>
      <c r="AO532" s="24">
        <v>6.712962962962962E-4</v>
      </c>
      <c r="AP532" s="85" t="s">
        <v>633</v>
      </c>
      <c r="AQ532" s="85" t="s">
        <v>2731</v>
      </c>
      <c r="AR532" s="85" t="s">
        <v>633</v>
      </c>
      <c r="AS532" s="7" t="b">
        <f>NOT(ISERROR(MATCH(A532,'Villages according to موسوعة ال'!C:C,0)))</f>
        <v>1</v>
      </c>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row>
    <row r="533">
      <c r="A533" s="3" t="s">
        <v>2724</v>
      </c>
      <c r="B533" s="26" t="s">
        <v>2725</v>
      </c>
      <c r="E533" s="85" t="s">
        <v>2707</v>
      </c>
      <c r="F533" s="85" t="s">
        <v>959</v>
      </c>
      <c r="G533" s="117"/>
      <c r="H533" s="85" t="s">
        <v>633</v>
      </c>
      <c r="I533" s="85" t="s">
        <v>638</v>
      </c>
      <c r="J533" s="85" t="s">
        <v>2740</v>
      </c>
      <c r="K533" s="116" t="s">
        <v>2741</v>
      </c>
      <c r="L533" s="116" t="s">
        <v>2742</v>
      </c>
      <c r="M533" s="60" t="b">
        <v>0</v>
      </c>
      <c r="N533" s="60" t="b">
        <v>0</v>
      </c>
      <c r="O533" s="60"/>
      <c r="P533" s="60" t="b">
        <v>0</v>
      </c>
      <c r="Q533" s="60" t="b">
        <v>0</v>
      </c>
      <c r="R533" s="60" t="b">
        <v>0</v>
      </c>
      <c r="S533" s="60"/>
      <c r="T533" s="32"/>
      <c r="U533" s="60" t="b">
        <v>0</v>
      </c>
      <c r="V533" s="60"/>
      <c r="W533" s="60" t="b">
        <v>0</v>
      </c>
      <c r="X533" s="60" t="b">
        <v>0</v>
      </c>
      <c r="Y533" s="60"/>
      <c r="Z533" s="60"/>
      <c r="AA533" s="60"/>
      <c r="AB533" s="60"/>
      <c r="AC533" s="61"/>
      <c r="AD533" s="60"/>
      <c r="AE533" s="60"/>
      <c r="AF533" s="60"/>
      <c r="AG533" s="60"/>
      <c r="AH533" s="60"/>
      <c r="AI533" s="60"/>
      <c r="AJ533" s="25"/>
      <c r="AK533" s="34" t="s">
        <v>636</v>
      </c>
      <c r="AL533" s="25"/>
      <c r="AM533" s="25"/>
      <c r="AN533" s="35" t="s">
        <v>2743</v>
      </c>
      <c r="AO533" s="24">
        <v>1.8518518518518518E-4</v>
      </c>
      <c r="AP533" s="85" t="s">
        <v>633</v>
      </c>
      <c r="AQ533" s="85" t="s">
        <v>633</v>
      </c>
      <c r="AR533" s="85" t="s">
        <v>633</v>
      </c>
      <c r="AS533" s="7" t="b">
        <f>NOT(ISERROR(MATCH(A533,'Villages according to موسوعة ال'!C:C,0)))</f>
        <v>1</v>
      </c>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row>
    <row r="534">
      <c r="A534" s="3" t="s">
        <v>2724</v>
      </c>
      <c r="B534" s="26" t="s">
        <v>2725</v>
      </c>
      <c r="F534" s="85"/>
      <c r="G534" s="117"/>
      <c r="K534" s="116" t="s">
        <v>2744</v>
      </c>
      <c r="L534" s="116" t="s">
        <v>2745</v>
      </c>
      <c r="M534" s="60" t="b">
        <v>0</v>
      </c>
      <c r="N534" s="60" t="b">
        <v>0</v>
      </c>
      <c r="O534" s="60"/>
      <c r="P534" s="60" t="b">
        <v>0</v>
      </c>
      <c r="Q534" s="60" t="b">
        <v>0</v>
      </c>
      <c r="R534" s="60" t="b">
        <v>0</v>
      </c>
      <c r="S534" s="60"/>
      <c r="T534" s="32"/>
      <c r="U534" s="60" t="b">
        <v>0</v>
      </c>
      <c r="V534" s="60"/>
      <c r="W534" s="60" t="b">
        <v>0</v>
      </c>
      <c r="X534" s="60" t="b">
        <v>0</v>
      </c>
      <c r="Y534" s="60"/>
      <c r="Z534" s="60"/>
      <c r="AA534" s="60"/>
      <c r="AB534" s="60"/>
      <c r="AC534" s="61"/>
      <c r="AD534" s="60"/>
      <c r="AE534" s="60"/>
      <c r="AF534" s="60"/>
      <c r="AG534" s="60"/>
      <c r="AH534" s="60"/>
      <c r="AI534" s="60"/>
      <c r="AJ534" s="25"/>
      <c r="AK534" s="34" t="s">
        <v>636</v>
      </c>
      <c r="AL534" s="25"/>
      <c r="AM534" s="25"/>
      <c r="AN534" s="112" t="s">
        <v>2746</v>
      </c>
      <c r="AO534" s="24">
        <v>1.5046296296296297E-4</v>
      </c>
      <c r="AP534" s="85" t="s">
        <v>633</v>
      </c>
      <c r="AQ534" s="85" t="s">
        <v>633</v>
      </c>
      <c r="AR534" s="85" t="s">
        <v>633</v>
      </c>
      <c r="AS534" s="7" t="b">
        <f>NOT(ISERROR(MATCH(A534,'Villages according to موسوعة ال'!C:C,0)))</f>
        <v>1</v>
      </c>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row>
    <row r="535">
      <c r="A535" s="3" t="s">
        <v>2724</v>
      </c>
      <c r="B535" s="26" t="s">
        <v>2725</v>
      </c>
      <c r="F535" s="85"/>
      <c r="G535" s="117"/>
      <c r="K535" s="47"/>
      <c r="L535" s="47"/>
      <c r="M535" s="48" t="b">
        <v>0</v>
      </c>
      <c r="N535" s="48" t="b">
        <v>0</v>
      </c>
      <c r="O535" s="48"/>
      <c r="P535" s="48" t="b">
        <v>0</v>
      </c>
      <c r="Q535" s="48" t="b">
        <v>0</v>
      </c>
      <c r="R535" s="48" t="b">
        <v>0</v>
      </c>
      <c r="S535" s="48"/>
      <c r="T535" s="32"/>
      <c r="U535" s="48" t="b">
        <v>0</v>
      </c>
      <c r="V535" s="48"/>
      <c r="W535" s="48" t="b">
        <v>0</v>
      </c>
      <c r="X535" s="48" t="b">
        <v>0</v>
      </c>
      <c r="Y535" s="48"/>
      <c r="Z535" s="48"/>
      <c r="AA535" s="48"/>
      <c r="AB535" s="48"/>
      <c r="AC535" s="49"/>
      <c r="AD535" s="48"/>
      <c r="AE535" s="48"/>
      <c r="AF535" s="48"/>
      <c r="AG535" s="48"/>
      <c r="AH535" s="48"/>
      <c r="AI535" s="48"/>
      <c r="AJ535" s="25"/>
      <c r="AK535" s="34" t="s">
        <v>636</v>
      </c>
      <c r="AL535" s="25"/>
      <c r="AM535" s="25"/>
      <c r="AN535" s="112" t="s">
        <v>2747</v>
      </c>
      <c r="AO535" s="24">
        <v>5.787037037037037E-5</v>
      </c>
      <c r="AP535" s="85" t="s">
        <v>633</v>
      </c>
      <c r="AQ535" s="85" t="s">
        <v>633</v>
      </c>
      <c r="AR535" s="85" t="s">
        <v>633</v>
      </c>
      <c r="AS535" s="7" t="b">
        <f>NOT(ISERROR(MATCH(A535,'Villages according to موسوعة ال'!C:C,0)))</f>
        <v>1</v>
      </c>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row>
    <row r="536">
      <c r="A536" s="3" t="s">
        <v>2724</v>
      </c>
      <c r="B536" s="26" t="s">
        <v>2725</v>
      </c>
      <c r="E536" s="85" t="s">
        <v>2707</v>
      </c>
      <c r="F536" s="85" t="s">
        <v>959</v>
      </c>
      <c r="G536" s="117"/>
      <c r="H536" s="85" t="s">
        <v>633</v>
      </c>
      <c r="I536" s="85" t="s">
        <v>638</v>
      </c>
      <c r="J536" s="85" t="s">
        <v>2748</v>
      </c>
      <c r="K536" s="47"/>
      <c r="L536" s="116" t="s">
        <v>2749</v>
      </c>
      <c r="M536" s="60" t="b">
        <v>0</v>
      </c>
      <c r="N536" s="60" t="b">
        <v>0</v>
      </c>
      <c r="O536" s="60"/>
      <c r="P536" s="60" t="b">
        <v>0</v>
      </c>
      <c r="Q536" s="60" t="b">
        <v>0</v>
      </c>
      <c r="R536" s="60" t="b">
        <v>0</v>
      </c>
      <c r="S536" s="60"/>
      <c r="T536" s="32"/>
      <c r="U536" s="60" t="b">
        <v>0</v>
      </c>
      <c r="V536" s="60"/>
      <c r="W536" s="60" t="b">
        <v>0</v>
      </c>
      <c r="X536" s="60" t="b">
        <v>0</v>
      </c>
      <c r="Y536" s="60"/>
      <c r="Z536" s="60"/>
      <c r="AA536" s="60"/>
      <c r="AB536" s="60"/>
      <c r="AC536" s="61"/>
      <c r="AD536" s="60"/>
      <c r="AE536" s="60"/>
      <c r="AF536" s="60"/>
      <c r="AG536" s="60"/>
      <c r="AH536" s="60"/>
      <c r="AI536" s="60"/>
      <c r="AJ536" s="25"/>
      <c r="AK536" s="34" t="s">
        <v>636</v>
      </c>
      <c r="AL536" s="25"/>
      <c r="AM536" s="25"/>
      <c r="AN536" s="35" t="s">
        <v>2750</v>
      </c>
      <c r="AO536" s="24">
        <v>1.6203703703703703E-4</v>
      </c>
      <c r="AP536" s="85" t="s">
        <v>633</v>
      </c>
      <c r="AQ536" s="85" t="s">
        <v>633</v>
      </c>
      <c r="AR536" s="85" t="s">
        <v>633</v>
      </c>
      <c r="AS536" s="7" t="b">
        <f>NOT(ISERROR(MATCH(A536,'Villages according to موسوعة ال'!C:C,0)))</f>
        <v>1</v>
      </c>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row>
    <row r="537">
      <c r="A537" s="3" t="s">
        <v>2724</v>
      </c>
      <c r="B537" s="26" t="s">
        <v>2725</v>
      </c>
      <c r="E537" s="85" t="s">
        <v>2707</v>
      </c>
      <c r="F537" s="85" t="s">
        <v>959</v>
      </c>
      <c r="G537" s="117"/>
      <c r="H537" s="85" t="s">
        <v>633</v>
      </c>
      <c r="I537" s="85" t="s">
        <v>638</v>
      </c>
      <c r="J537" s="7" t="s">
        <v>2751</v>
      </c>
      <c r="K537" s="47"/>
      <c r="L537" s="116"/>
      <c r="M537" s="60" t="b">
        <v>0</v>
      </c>
      <c r="N537" s="60" t="b">
        <v>0</v>
      </c>
      <c r="O537" s="60"/>
      <c r="P537" s="60" t="b">
        <v>0</v>
      </c>
      <c r="Q537" s="60" t="b">
        <v>0</v>
      </c>
      <c r="R537" s="60" t="b">
        <v>0</v>
      </c>
      <c r="S537" s="60"/>
      <c r="T537" s="32"/>
      <c r="U537" s="60" t="b">
        <v>0</v>
      </c>
      <c r="V537" s="60"/>
      <c r="W537" s="60" t="b">
        <v>0</v>
      </c>
      <c r="X537" s="60" t="b">
        <v>0</v>
      </c>
      <c r="Y537" s="60"/>
      <c r="Z537" s="60"/>
      <c r="AA537" s="60"/>
      <c r="AB537" s="60"/>
      <c r="AC537" s="61"/>
      <c r="AD537" s="60"/>
      <c r="AE537" s="60"/>
      <c r="AF537" s="60"/>
      <c r="AG537" s="60"/>
      <c r="AH537" s="60"/>
      <c r="AI537" s="60"/>
      <c r="AJ537" s="25"/>
      <c r="AK537" s="34" t="s">
        <v>636</v>
      </c>
      <c r="AL537" s="25"/>
      <c r="AM537" s="25"/>
      <c r="AN537" s="35" t="s">
        <v>2752</v>
      </c>
      <c r="AO537" s="24">
        <v>1.6203703703703703E-4</v>
      </c>
      <c r="AP537" s="85" t="s">
        <v>633</v>
      </c>
      <c r="AQ537" s="85" t="s">
        <v>633</v>
      </c>
      <c r="AR537" s="85" t="s">
        <v>633</v>
      </c>
      <c r="AS537" s="7" t="b">
        <f>NOT(ISERROR(MATCH(A537,'Villages according to موسوعة ال'!C:C,0)))</f>
        <v>1</v>
      </c>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row>
    <row r="538">
      <c r="A538" s="3" t="s">
        <v>2724</v>
      </c>
      <c r="B538" s="26" t="s">
        <v>2725</v>
      </c>
      <c r="E538" s="85" t="s">
        <v>2707</v>
      </c>
      <c r="F538" s="85" t="s">
        <v>959</v>
      </c>
      <c r="G538" s="117"/>
      <c r="H538" s="85" t="s">
        <v>633</v>
      </c>
      <c r="I538" s="85" t="s">
        <v>638</v>
      </c>
      <c r="J538" s="7" t="s">
        <v>2753</v>
      </c>
      <c r="K538" s="47"/>
      <c r="L538" s="116"/>
      <c r="M538" s="60" t="b">
        <v>0</v>
      </c>
      <c r="N538" s="60" t="b">
        <v>0</v>
      </c>
      <c r="O538" s="60"/>
      <c r="P538" s="60" t="b">
        <v>0</v>
      </c>
      <c r="Q538" s="60" t="b">
        <v>0</v>
      </c>
      <c r="R538" s="60" t="b">
        <v>0</v>
      </c>
      <c r="S538" s="60"/>
      <c r="T538" s="32"/>
      <c r="U538" s="60" t="b">
        <v>0</v>
      </c>
      <c r="V538" s="60"/>
      <c r="W538" s="60" t="b">
        <v>0</v>
      </c>
      <c r="X538" s="60" t="b">
        <v>0</v>
      </c>
      <c r="Y538" s="60"/>
      <c r="Z538" s="60"/>
      <c r="AA538" s="60"/>
      <c r="AB538" s="60"/>
      <c r="AC538" s="61"/>
      <c r="AD538" s="60"/>
      <c r="AE538" s="60"/>
      <c r="AF538" s="60"/>
      <c r="AG538" s="60"/>
      <c r="AH538" s="60"/>
      <c r="AI538" s="60"/>
      <c r="AJ538" s="25"/>
      <c r="AK538" s="34" t="s">
        <v>636</v>
      </c>
      <c r="AL538" s="25"/>
      <c r="AM538" s="25"/>
      <c r="AN538" s="35" t="s">
        <v>2754</v>
      </c>
      <c r="AO538" s="24">
        <v>3.587962962962963E-4</v>
      </c>
      <c r="AP538" s="85" t="s">
        <v>633</v>
      </c>
      <c r="AQ538" s="85" t="s">
        <v>633</v>
      </c>
      <c r="AR538" s="85" t="s">
        <v>633</v>
      </c>
      <c r="AS538" s="7" t="b">
        <f>NOT(ISERROR(MATCH(A538,'Villages according to موسوعة ال'!C:C,0)))</f>
        <v>1</v>
      </c>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row>
    <row r="539">
      <c r="A539" s="3" t="s">
        <v>479</v>
      </c>
      <c r="B539" s="43" t="s">
        <v>480</v>
      </c>
      <c r="C539" s="7"/>
      <c r="D539" s="7" t="s">
        <v>481</v>
      </c>
      <c r="E539" s="25"/>
      <c r="F539" s="25"/>
      <c r="G539" s="84"/>
      <c r="H539" s="7" t="s">
        <v>2755</v>
      </c>
      <c r="I539" s="7" t="s">
        <v>638</v>
      </c>
      <c r="J539" s="7" t="s">
        <v>2756</v>
      </c>
      <c r="K539" s="54" t="s">
        <v>2757</v>
      </c>
      <c r="L539" s="54" t="s">
        <v>2758</v>
      </c>
      <c r="M539" s="31" t="b">
        <v>0</v>
      </c>
      <c r="N539" s="31" t="b">
        <v>0</v>
      </c>
      <c r="O539" s="31"/>
      <c r="P539" s="31" t="b">
        <v>0</v>
      </c>
      <c r="Q539" s="31" t="b">
        <v>0</v>
      </c>
      <c r="R539" s="31" t="b">
        <v>0</v>
      </c>
      <c r="S539" s="31"/>
      <c r="T539" s="32"/>
      <c r="U539" s="31" t="b">
        <v>0</v>
      </c>
      <c r="V539" s="31"/>
      <c r="W539" s="31" t="b">
        <v>0</v>
      </c>
      <c r="X539" s="31" t="b">
        <v>0</v>
      </c>
      <c r="Y539" s="31"/>
      <c r="Z539" s="31"/>
      <c r="AA539" s="31"/>
      <c r="AB539" s="31"/>
      <c r="AC539" s="45"/>
      <c r="AD539" s="31"/>
      <c r="AE539" s="31"/>
      <c r="AF539" s="31"/>
      <c r="AG539" s="31"/>
      <c r="AH539" s="31"/>
      <c r="AI539" s="31"/>
      <c r="AJ539" s="25"/>
      <c r="AK539" s="34" t="s">
        <v>631</v>
      </c>
      <c r="AL539" s="25"/>
      <c r="AM539" s="25"/>
      <c r="AN539" s="35" t="s">
        <v>2759</v>
      </c>
      <c r="AO539" s="24">
        <v>0.0010879629629629629</v>
      </c>
      <c r="AP539" s="7" t="s">
        <v>633</v>
      </c>
      <c r="AQ539" s="7" t="s">
        <v>633</v>
      </c>
      <c r="AR539" s="7" t="s">
        <v>633</v>
      </c>
      <c r="AS539" s="7" t="b">
        <f>NOT(ISERROR(MATCH(A539,'Villages according to موسوعة ال'!C:C,0)))</f>
        <v>1</v>
      </c>
      <c r="AT539" s="25"/>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row>
    <row r="540">
      <c r="A540" s="3" t="s">
        <v>479</v>
      </c>
      <c r="B540" s="43" t="s">
        <v>480</v>
      </c>
      <c r="C540" s="7"/>
      <c r="E540" s="25"/>
      <c r="F540" s="25"/>
      <c r="G540" s="84"/>
      <c r="H540" s="7" t="s">
        <v>2760</v>
      </c>
      <c r="I540" s="7" t="s">
        <v>616</v>
      </c>
      <c r="J540" s="7" t="s">
        <v>2761</v>
      </c>
      <c r="K540" s="54" t="s">
        <v>2762</v>
      </c>
      <c r="L540" s="54" t="s">
        <v>2763</v>
      </c>
      <c r="M540" s="31" t="b">
        <v>0</v>
      </c>
      <c r="N540" s="31" t="b">
        <v>0</v>
      </c>
      <c r="O540" s="31"/>
      <c r="P540" s="31" t="b">
        <v>0</v>
      </c>
      <c r="Q540" s="31" t="b">
        <v>0</v>
      </c>
      <c r="R540" s="31" t="b">
        <v>0</v>
      </c>
      <c r="S540" s="31"/>
      <c r="T540" s="32"/>
      <c r="U540" s="31" t="b">
        <v>0</v>
      </c>
      <c r="V540" s="31"/>
      <c r="W540" s="31" t="b">
        <v>0</v>
      </c>
      <c r="X540" s="31" t="b">
        <v>0</v>
      </c>
      <c r="Y540" s="31"/>
      <c r="Z540" s="31"/>
      <c r="AA540" s="31"/>
      <c r="AB540" s="31"/>
      <c r="AC540" s="45"/>
      <c r="AD540" s="31"/>
      <c r="AE540" s="31"/>
      <c r="AF540" s="31"/>
      <c r="AG540" s="31"/>
      <c r="AH540" s="31"/>
      <c r="AI540" s="31"/>
      <c r="AJ540" s="3" t="s">
        <v>2764</v>
      </c>
      <c r="AK540" s="34" t="s">
        <v>718</v>
      </c>
      <c r="AL540" s="3" t="s">
        <v>675</v>
      </c>
      <c r="AM540" s="3" t="s">
        <v>676</v>
      </c>
      <c r="AN540" s="35" t="s">
        <v>2765</v>
      </c>
      <c r="AO540" s="24">
        <v>0.036458333333333336</v>
      </c>
      <c r="AP540" s="7" t="s">
        <v>2766</v>
      </c>
      <c r="AQ540" s="73">
        <v>41395.0</v>
      </c>
      <c r="AR540" s="35" t="s">
        <v>2767</v>
      </c>
      <c r="AS540" s="7" t="b">
        <f>NOT(ISERROR(MATCH(A540,'Villages according to موسوعة ال'!C:C,0)))</f>
        <v>1</v>
      </c>
      <c r="AT540" s="25"/>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row>
    <row r="541">
      <c r="A541" s="3" t="s">
        <v>479</v>
      </c>
      <c r="B541" s="43" t="s">
        <v>480</v>
      </c>
      <c r="C541" s="7"/>
      <c r="E541" s="25"/>
      <c r="F541" s="25"/>
      <c r="G541" s="84"/>
      <c r="H541" s="7" t="s">
        <v>2760</v>
      </c>
      <c r="I541" s="7" t="s">
        <v>616</v>
      </c>
      <c r="J541" s="7" t="s">
        <v>2761</v>
      </c>
      <c r="K541" s="54" t="s">
        <v>2768</v>
      </c>
      <c r="L541" s="54"/>
      <c r="M541" s="60" t="b">
        <v>0</v>
      </c>
      <c r="N541" s="60" t="b">
        <v>0</v>
      </c>
      <c r="O541" s="60"/>
      <c r="P541" s="60" t="b">
        <v>0</v>
      </c>
      <c r="Q541" s="60" t="b">
        <v>0</v>
      </c>
      <c r="R541" s="60" t="b">
        <v>0</v>
      </c>
      <c r="S541" s="60"/>
      <c r="T541" s="60"/>
      <c r="U541" s="60" t="b">
        <v>0</v>
      </c>
      <c r="V541" s="60"/>
      <c r="W541" s="60" t="b">
        <v>0</v>
      </c>
      <c r="X541" s="60" t="b">
        <v>0</v>
      </c>
      <c r="Y541" s="60"/>
      <c r="Z541" s="60"/>
      <c r="AA541" s="60"/>
      <c r="AB541" s="60"/>
      <c r="AC541" s="61"/>
      <c r="AD541" s="60"/>
      <c r="AE541" s="60"/>
      <c r="AF541" s="60"/>
      <c r="AG541" s="60"/>
      <c r="AH541" s="60"/>
      <c r="AI541" s="60"/>
      <c r="AJ541" s="3" t="s">
        <v>2769</v>
      </c>
      <c r="AK541" s="34" t="s">
        <v>698</v>
      </c>
      <c r="AL541" s="3" t="s">
        <v>675</v>
      </c>
      <c r="AM541" s="3" t="s">
        <v>676</v>
      </c>
      <c r="AN541" s="35" t="s">
        <v>2770</v>
      </c>
      <c r="AO541" s="24">
        <v>0.036458333333333336</v>
      </c>
      <c r="AP541" s="7" t="s">
        <v>2766</v>
      </c>
      <c r="AQ541" s="73">
        <v>41395.0</v>
      </c>
      <c r="AR541" s="118" t="s">
        <v>2771</v>
      </c>
      <c r="AS541" s="7" t="b">
        <f>NOT(ISERROR(MATCH(A541,'Villages according to موسوعة ال'!C:C,0)))</f>
        <v>1</v>
      </c>
      <c r="AT541" s="25"/>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row>
    <row r="542">
      <c r="A542" s="3" t="s">
        <v>479</v>
      </c>
      <c r="B542" s="43" t="s">
        <v>480</v>
      </c>
      <c r="E542" s="25"/>
      <c r="F542" s="25"/>
      <c r="G542" s="84"/>
      <c r="H542" s="7" t="s">
        <v>2772</v>
      </c>
      <c r="I542" s="7" t="s">
        <v>638</v>
      </c>
      <c r="J542" s="7" t="s">
        <v>2773</v>
      </c>
      <c r="K542" s="54" t="s">
        <v>2774</v>
      </c>
      <c r="L542" s="54"/>
      <c r="M542" s="60" t="b">
        <v>0</v>
      </c>
      <c r="N542" s="60" t="b">
        <v>0</v>
      </c>
      <c r="O542" s="60" t="s">
        <v>756</v>
      </c>
      <c r="P542" s="60" t="b">
        <v>0</v>
      </c>
      <c r="Q542" s="60" t="b">
        <v>1</v>
      </c>
      <c r="R542" s="60" t="b">
        <v>0</v>
      </c>
      <c r="S542" s="60" t="s">
        <v>966</v>
      </c>
      <c r="T542" s="60" t="s">
        <v>2694</v>
      </c>
      <c r="U542" s="60" t="b">
        <v>0</v>
      </c>
      <c r="V542" s="60"/>
      <c r="W542" s="60" t="b">
        <v>0</v>
      </c>
      <c r="X542" s="60" t="b">
        <v>0</v>
      </c>
      <c r="Y542" s="60" t="s">
        <v>671</v>
      </c>
      <c r="Z542" s="60" t="s">
        <v>1788</v>
      </c>
      <c r="AA542" s="60"/>
      <c r="AB542" s="60"/>
      <c r="AC542" s="61" t="s">
        <v>672</v>
      </c>
      <c r="AD542" s="60" t="s">
        <v>686</v>
      </c>
      <c r="AE542" s="60" t="s">
        <v>711</v>
      </c>
      <c r="AF542" s="60" t="s">
        <v>2695</v>
      </c>
      <c r="AG542" s="60"/>
      <c r="AH542" s="60"/>
      <c r="AI542" s="60" t="s">
        <v>673</v>
      </c>
      <c r="AJ542" s="119" t="s">
        <v>2775</v>
      </c>
      <c r="AK542" s="34" t="s">
        <v>698</v>
      </c>
      <c r="AL542" s="3"/>
      <c r="AM542" s="3"/>
      <c r="AN542" s="35" t="s">
        <v>2776</v>
      </c>
      <c r="AO542" s="24">
        <v>0.001099537037037037</v>
      </c>
      <c r="AP542" s="7" t="s">
        <v>2777</v>
      </c>
      <c r="AQ542" s="7">
        <v>1973.0</v>
      </c>
      <c r="AR542" s="35" t="s">
        <v>2778</v>
      </c>
      <c r="AS542" s="7" t="b">
        <f>NOT(ISERROR(MATCH(A542,'Villages according to موسوعة ال'!C:C,0)))</f>
        <v>1</v>
      </c>
      <c r="AT542" s="25"/>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row>
    <row r="543">
      <c r="A543" s="3" t="s">
        <v>479</v>
      </c>
      <c r="B543" s="43" t="s">
        <v>480</v>
      </c>
      <c r="E543" s="25"/>
      <c r="F543" s="25"/>
      <c r="G543" s="84"/>
      <c r="H543" s="7" t="s">
        <v>2779</v>
      </c>
      <c r="I543" s="7" t="s">
        <v>638</v>
      </c>
      <c r="J543" s="7" t="s">
        <v>2780</v>
      </c>
      <c r="K543" s="54" t="s">
        <v>2781</v>
      </c>
      <c r="L543" s="54"/>
      <c r="M543" s="60" t="b">
        <v>0</v>
      </c>
      <c r="N543" s="60" t="b">
        <v>0</v>
      </c>
      <c r="O543" s="60" t="s">
        <v>756</v>
      </c>
      <c r="P543" s="60" t="b">
        <v>0</v>
      </c>
      <c r="Q543" s="60" t="b">
        <v>0</v>
      </c>
      <c r="R543" s="60" t="b">
        <v>0</v>
      </c>
      <c r="S543" s="60" t="s">
        <v>966</v>
      </c>
      <c r="T543" s="60" t="s">
        <v>2694</v>
      </c>
      <c r="U543" s="60" t="b">
        <v>0</v>
      </c>
      <c r="V543" s="60"/>
      <c r="W543" s="60" t="b">
        <v>0</v>
      </c>
      <c r="X543" s="60" t="b">
        <v>0</v>
      </c>
      <c r="Y543" s="60"/>
      <c r="Z543" s="60"/>
      <c r="AA543" s="60"/>
      <c r="AB543" s="60"/>
      <c r="AC543" s="61" t="s">
        <v>672</v>
      </c>
      <c r="AD543" s="60" t="s">
        <v>686</v>
      </c>
      <c r="AE543" s="60" t="s">
        <v>711</v>
      </c>
      <c r="AF543" s="60" t="s">
        <v>2695</v>
      </c>
      <c r="AG543" s="60"/>
      <c r="AH543" s="60"/>
      <c r="AI543" s="60" t="s">
        <v>2782</v>
      </c>
      <c r="AJ543" s="119" t="s">
        <v>2783</v>
      </c>
      <c r="AK543" s="34" t="s">
        <v>698</v>
      </c>
      <c r="AL543" s="3"/>
      <c r="AM543" s="3"/>
      <c r="AN543" s="35" t="s">
        <v>2784</v>
      </c>
      <c r="AO543" s="24">
        <v>5.671296296296297E-4</v>
      </c>
      <c r="AP543" s="7" t="s">
        <v>2777</v>
      </c>
      <c r="AQ543" s="7">
        <v>1973.0</v>
      </c>
      <c r="AR543" s="35" t="s">
        <v>2785</v>
      </c>
      <c r="AS543" s="7" t="b">
        <f>NOT(ISERROR(MATCH(A543,'Villages according to موسوعة ال'!C:C,0)))</f>
        <v>1</v>
      </c>
      <c r="AT543" s="25"/>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row>
    <row r="544">
      <c r="A544" s="3" t="s">
        <v>479</v>
      </c>
      <c r="B544" s="43" t="s">
        <v>480</v>
      </c>
      <c r="E544" s="25"/>
      <c r="F544" s="25"/>
      <c r="G544" s="84"/>
      <c r="K544" s="54" t="s">
        <v>2786</v>
      </c>
      <c r="L544" s="54"/>
      <c r="M544" s="60" t="b">
        <v>0</v>
      </c>
      <c r="N544" s="60" t="b">
        <v>0</v>
      </c>
      <c r="O544" s="60" t="s">
        <v>756</v>
      </c>
      <c r="P544" s="60" t="b">
        <v>0</v>
      </c>
      <c r="Q544" s="60" t="b">
        <v>0</v>
      </c>
      <c r="R544" s="60" t="b">
        <v>0</v>
      </c>
      <c r="S544" s="60" t="s">
        <v>966</v>
      </c>
      <c r="T544" s="60" t="s">
        <v>2694</v>
      </c>
      <c r="U544" s="60" t="b">
        <v>0</v>
      </c>
      <c r="V544" s="60"/>
      <c r="W544" s="60" t="b">
        <v>1</v>
      </c>
      <c r="X544" s="60" t="b">
        <v>0</v>
      </c>
      <c r="Y544" s="60"/>
      <c r="Z544" s="60" t="s">
        <v>1788</v>
      </c>
      <c r="AA544" s="60"/>
      <c r="AB544" s="60" t="s">
        <v>1150</v>
      </c>
      <c r="AC544" s="61" t="s">
        <v>672</v>
      </c>
      <c r="AD544" s="60" t="s">
        <v>686</v>
      </c>
      <c r="AE544" s="60" t="s">
        <v>711</v>
      </c>
      <c r="AF544" s="60"/>
      <c r="AG544" s="60" t="s">
        <v>2787</v>
      </c>
      <c r="AH544" s="60"/>
      <c r="AI544" s="60"/>
      <c r="AJ544" s="119" t="s">
        <v>2783</v>
      </c>
      <c r="AK544" s="34" t="s">
        <v>698</v>
      </c>
      <c r="AL544" s="3"/>
      <c r="AM544" s="3"/>
      <c r="AN544" s="35" t="s">
        <v>2788</v>
      </c>
      <c r="AO544" s="24">
        <v>7.754629629629629E-4</v>
      </c>
      <c r="AP544" s="7" t="s">
        <v>2777</v>
      </c>
      <c r="AQ544" s="7">
        <v>1973.0</v>
      </c>
      <c r="AR544" s="35" t="s">
        <v>2789</v>
      </c>
      <c r="AS544" s="7" t="b">
        <f>NOT(ISERROR(MATCH(A544,'Villages according to موسوعة ال'!C:C,0)))</f>
        <v>1</v>
      </c>
      <c r="AT544" s="25"/>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row>
    <row r="545">
      <c r="A545" s="3" t="s">
        <v>479</v>
      </c>
      <c r="B545" s="43" t="s">
        <v>480</v>
      </c>
      <c r="E545" s="25"/>
      <c r="F545" s="25"/>
      <c r="G545" s="84"/>
      <c r="H545" s="7" t="s">
        <v>2790</v>
      </c>
      <c r="I545" s="7" t="s">
        <v>638</v>
      </c>
      <c r="J545" s="7" t="s">
        <v>2791</v>
      </c>
      <c r="K545" s="54" t="s">
        <v>2792</v>
      </c>
      <c r="L545" s="54"/>
      <c r="M545" s="60" t="b">
        <v>0</v>
      </c>
      <c r="N545" s="60" t="b">
        <v>0</v>
      </c>
      <c r="O545" s="60"/>
      <c r="P545" s="60" t="b">
        <v>0</v>
      </c>
      <c r="Q545" s="60" t="b">
        <v>0</v>
      </c>
      <c r="R545" s="60" t="b">
        <v>0</v>
      </c>
      <c r="S545" s="60" t="s">
        <v>2793</v>
      </c>
      <c r="T545" s="60" t="s">
        <v>2694</v>
      </c>
      <c r="U545" s="60" t="b">
        <v>0</v>
      </c>
      <c r="V545" s="60"/>
      <c r="W545" s="60" t="b">
        <v>0</v>
      </c>
      <c r="X545" s="60" t="b">
        <v>0</v>
      </c>
      <c r="Y545" s="60"/>
      <c r="Z545" s="60" t="s">
        <v>1788</v>
      </c>
      <c r="AA545" s="60"/>
      <c r="AB545" s="60"/>
      <c r="AC545" s="61" t="s">
        <v>672</v>
      </c>
      <c r="AD545" s="60" t="s">
        <v>686</v>
      </c>
      <c r="AE545" s="60" t="s">
        <v>711</v>
      </c>
      <c r="AF545" s="60"/>
      <c r="AG545" s="60"/>
      <c r="AH545" s="60"/>
      <c r="AI545" s="60" t="s">
        <v>673</v>
      </c>
      <c r="AJ545" s="119" t="s">
        <v>2775</v>
      </c>
      <c r="AK545" s="34" t="s">
        <v>698</v>
      </c>
      <c r="AL545" s="3"/>
      <c r="AM545" s="3"/>
      <c r="AN545" s="35" t="s">
        <v>2794</v>
      </c>
      <c r="AO545" s="24">
        <v>0.002488425925925926</v>
      </c>
      <c r="AP545" s="7" t="s">
        <v>2777</v>
      </c>
      <c r="AQ545" s="7">
        <v>1973.0</v>
      </c>
      <c r="AR545" s="35" t="s">
        <v>2795</v>
      </c>
      <c r="AS545" s="7" t="b">
        <f>NOT(ISERROR(MATCH(A545,'Villages according to موسوعة ال'!C:C,0)))</f>
        <v>1</v>
      </c>
      <c r="AT545" s="25"/>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row>
    <row r="546">
      <c r="A546" s="3" t="s">
        <v>479</v>
      </c>
      <c r="B546" s="43" t="s">
        <v>480</v>
      </c>
      <c r="E546" s="25"/>
      <c r="F546" s="25"/>
      <c r="G546" s="84"/>
      <c r="K546" s="54" t="s">
        <v>2796</v>
      </c>
      <c r="L546" s="54"/>
      <c r="M546" s="60" t="b">
        <v>0</v>
      </c>
      <c r="N546" s="60" t="b">
        <v>0</v>
      </c>
      <c r="O546" s="60" t="s">
        <v>756</v>
      </c>
      <c r="P546" s="60" t="b">
        <v>0</v>
      </c>
      <c r="Q546" s="60" t="b">
        <v>0</v>
      </c>
      <c r="R546" s="60" t="b">
        <v>0</v>
      </c>
      <c r="S546" s="60" t="s">
        <v>2793</v>
      </c>
      <c r="T546" s="60" t="s">
        <v>2694</v>
      </c>
      <c r="U546" s="60" t="b">
        <v>0</v>
      </c>
      <c r="V546" s="60"/>
      <c r="W546" s="60" t="b">
        <v>0</v>
      </c>
      <c r="X546" s="60" t="b">
        <v>0</v>
      </c>
      <c r="Y546" s="60" t="s">
        <v>671</v>
      </c>
      <c r="Z546" s="60" t="s">
        <v>1788</v>
      </c>
      <c r="AA546" s="60" t="s">
        <v>775</v>
      </c>
      <c r="AB546" s="60" t="s">
        <v>1150</v>
      </c>
      <c r="AC546" s="61" t="s">
        <v>756</v>
      </c>
      <c r="AD546" s="60" t="s">
        <v>686</v>
      </c>
      <c r="AE546" s="60" t="s">
        <v>711</v>
      </c>
      <c r="AF546" s="60"/>
      <c r="AG546" s="60"/>
      <c r="AH546" s="60" t="s">
        <v>2797</v>
      </c>
      <c r="AI546" s="60" t="s">
        <v>673</v>
      </c>
      <c r="AJ546" s="119" t="s">
        <v>2775</v>
      </c>
      <c r="AK546" s="34" t="s">
        <v>698</v>
      </c>
      <c r="AL546" s="3" t="s">
        <v>699</v>
      </c>
      <c r="AM546" s="3" t="s">
        <v>676</v>
      </c>
      <c r="AN546" s="35" t="s">
        <v>2798</v>
      </c>
      <c r="AO546" s="24">
        <v>0.0015046296296296296</v>
      </c>
      <c r="AP546" s="7" t="s">
        <v>2777</v>
      </c>
      <c r="AQ546" s="7">
        <v>1973.0</v>
      </c>
      <c r="AR546" s="35" t="s">
        <v>2799</v>
      </c>
      <c r="AS546" s="7" t="b">
        <f>NOT(ISERROR(MATCH(A546,'Villages according to موسوعة ال'!C:C,0)))</f>
        <v>1</v>
      </c>
      <c r="AT546" s="25"/>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row>
    <row r="547">
      <c r="A547" s="3" t="s">
        <v>479</v>
      </c>
      <c r="B547" s="43" t="s">
        <v>480</v>
      </c>
      <c r="E547" s="25"/>
      <c r="F547" s="25"/>
      <c r="G547" s="84"/>
      <c r="K547" s="54" t="s">
        <v>2800</v>
      </c>
      <c r="L547" s="54"/>
      <c r="M547" s="60" t="b">
        <v>0</v>
      </c>
      <c r="N547" s="60" t="b">
        <v>0</v>
      </c>
      <c r="O547" s="60" t="s">
        <v>756</v>
      </c>
      <c r="P547" s="60" t="b">
        <v>0</v>
      </c>
      <c r="Q547" s="60" t="b">
        <v>0</v>
      </c>
      <c r="R547" s="60" t="b">
        <v>0</v>
      </c>
      <c r="S547" s="60" t="s">
        <v>2793</v>
      </c>
      <c r="T547" s="60" t="s">
        <v>2694</v>
      </c>
      <c r="U547" s="60" t="b">
        <v>0</v>
      </c>
      <c r="V547" s="60"/>
      <c r="W547" s="60" t="b">
        <v>0</v>
      </c>
      <c r="X547" s="60" t="b">
        <v>0</v>
      </c>
      <c r="Y547" s="60"/>
      <c r="Z547" s="60"/>
      <c r="AA547" s="60"/>
      <c r="AB547" s="60"/>
      <c r="AC547" s="61"/>
      <c r="AD547" s="60"/>
      <c r="AE547" s="60"/>
      <c r="AF547" s="60"/>
      <c r="AG547" s="60"/>
      <c r="AH547" s="60"/>
      <c r="AI547" s="60" t="s">
        <v>673</v>
      </c>
      <c r="AJ547" s="119" t="s">
        <v>2775</v>
      </c>
      <c r="AK547" s="34" t="s">
        <v>698</v>
      </c>
      <c r="AL547" s="3"/>
      <c r="AM547" s="3"/>
      <c r="AN547" s="35" t="s">
        <v>2801</v>
      </c>
      <c r="AO547" s="24">
        <v>7.060185185185185E-4</v>
      </c>
      <c r="AP547" s="7" t="s">
        <v>2777</v>
      </c>
      <c r="AQ547" s="7">
        <v>1973.0</v>
      </c>
      <c r="AR547" s="35" t="s">
        <v>2802</v>
      </c>
      <c r="AS547" s="7" t="b">
        <f>NOT(ISERROR(MATCH(A547,'Villages according to موسوعة ال'!C:C,0)))</f>
        <v>1</v>
      </c>
      <c r="AT547" s="25"/>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row>
    <row r="548">
      <c r="A548" s="3" t="s">
        <v>479</v>
      </c>
      <c r="B548" s="43" t="s">
        <v>480</v>
      </c>
      <c r="E548" s="25"/>
      <c r="F548" s="25"/>
      <c r="G548" s="84"/>
      <c r="H548" s="7" t="s">
        <v>2803</v>
      </c>
      <c r="I548" s="7" t="s">
        <v>638</v>
      </c>
      <c r="J548" s="7" t="s">
        <v>2804</v>
      </c>
      <c r="K548" s="54" t="s">
        <v>2805</v>
      </c>
      <c r="L548" s="54"/>
      <c r="M548" s="60" t="b">
        <v>0</v>
      </c>
      <c r="N548" s="60" t="b">
        <v>0</v>
      </c>
      <c r="O548" s="60" t="s">
        <v>756</v>
      </c>
      <c r="P548" s="60" t="b">
        <v>0</v>
      </c>
      <c r="Q548" s="60" t="b">
        <v>0</v>
      </c>
      <c r="R548" s="60" t="b">
        <v>0</v>
      </c>
      <c r="S548" s="60" t="s">
        <v>966</v>
      </c>
      <c r="T548" s="60" t="s">
        <v>2694</v>
      </c>
      <c r="U548" s="60" t="b">
        <v>0</v>
      </c>
      <c r="V548" s="60"/>
      <c r="W548" s="60" t="b">
        <v>0</v>
      </c>
      <c r="X548" s="60" t="b">
        <v>0</v>
      </c>
      <c r="Y548" s="60" t="s">
        <v>671</v>
      </c>
      <c r="Z548" s="60"/>
      <c r="AA548" s="60" t="s">
        <v>775</v>
      </c>
      <c r="AB548" s="60" t="s">
        <v>1150</v>
      </c>
      <c r="AC548" s="61" t="s">
        <v>672</v>
      </c>
      <c r="AD548" s="60" t="s">
        <v>686</v>
      </c>
      <c r="AE548" s="60" t="s">
        <v>711</v>
      </c>
      <c r="AF548" s="60"/>
      <c r="AG548" s="60"/>
      <c r="AH548" s="60" t="s">
        <v>2797</v>
      </c>
      <c r="AI548" s="60"/>
      <c r="AJ548" s="120" t="s">
        <v>2775</v>
      </c>
      <c r="AK548" s="34" t="s">
        <v>698</v>
      </c>
      <c r="AL548" s="3"/>
      <c r="AM548" s="3"/>
      <c r="AN548" s="121" t="s">
        <v>2806</v>
      </c>
      <c r="AO548" s="24">
        <v>0.001574074074074074</v>
      </c>
      <c r="AP548" s="7" t="s">
        <v>2777</v>
      </c>
      <c r="AQ548" s="7">
        <v>1973.0</v>
      </c>
      <c r="AR548" s="121" t="s">
        <v>2807</v>
      </c>
      <c r="AS548" s="7" t="b">
        <f>NOT(ISERROR(MATCH(A548,'Villages according to موسوعة ال'!C:C,0)))</f>
        <v>1</v>
      </c>
      <c r="AT548" s="25"/>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row>
    <row r="549">
      <c r="A549" s="3" t="s">
        <v>479</v>
      </c>
      <c r="B549" s="43" t="s">
        <v>480</v>
      </c>
      <c r="E549" s="25"/>
      <c r="F549" s="25"/>
      <c r="G549" s="84"/>
      <c r="K549" s="54" t="s">
        <v>2808</v>
      </c>
      <c r="L549" s="54"/>
      <c r="M549" s="60" t="b">
        <v>0</v>
      </c>
      <c r="N549" s="60" t="b">
        <v>0</v>
      </c>
      <c r="O549" s="60" t="s">
        <v>756</v>
      </c>
      <c r="P549" s="60" t="b">
        <v>0</v>
      </c>
      <c r="Q549" s="60" t="b">
        <v>0</v>
      </c>
      <c r="R549" s="60" t="b">
        <v>0</v>
      </c>
      <c r="S549" s="60" t="s">
        <v>966</v>
      </c>
      <c r="T549" s="60" t="s">
        <v>2694</v>
      </c>
      <c r="U549" s="60" t="b">
        <v>0</v>
      </c>
      <c r="V549" s="60" t="s">
        <v>797</v>
      </c>
      <c r="W549" s="60" t="b">
        <v>0</v>
      </c>
      <c r="X549" s="60" t="b">
        <v>0</v>
      </c>
      <c r="Y549" s="60"/>
      <c r="Z549" s="60"/>
      <c r="AA549" s="60" t="s">
        <v>775</v>
      </c>
      <c r="AB549" s="60"/>
      <c r="AC549" s="61" t="s">
        <v>672</v>
      </c>
      <c r="AD549" s="60" t="s">
        <v>686</v>
      </c>
      <c r="AE549" s="60" t="s">
        <v>711</v>
      </c>
      <c r="AF549" s="60"/>
      <c r="AG549" s="60"/>
      <c r="AH549" s="60" t="s">
        <v>2797</v>
      </c>
      <c r="AI549" s="60"/>
      <c r="AJ549" s="120" t="s">
        <v>2775</v>
      </c>
      <c r="AK549" s="34" t="s">
        <v>698</v>
      </c>
      <c r="AL549" s="3"/>
      <c r="AM549" s="3"/>
      <c r="AN549" s="121" t="s">
        <v>2809</v>
      </c>
      <c r="AO549" s="24">
        <v>0.0027314814814814814</v>
      </c>
      <c r="AP549" s="7" t="s">
        <v>2777</v>
      </c>
      <c r="AQ549" s="7">
        <v>1973.0</v>
      </c>
      <c r="AR549" s="121" t="s">
        <v>2810</v>
      </c>
      <c r="AS549" s="7" t="b">
        <f>NOT(ISERROR(MATCH(A549,'Villages according to موسوعة ال'!C:C,0)))</f>
        <v>1</v>
      </c>
      <c r="AT549" s="25"/>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row>
    <row r="550">
      <c r="A550" s="3" t="s">
        <v>479</v>
      </c>
      <c r="B550" s="43" t="s">
        <v>480</v>
      </c>
      <c r="E550" s="25"/>
      <c r="F550" s="25"/>
      <c r="G550" s="84"/>
      <c r="H550" s="7" t="s">
        <v>2811</v>
      </c>
      <c r="I550" s="7" t="s">
        <v>638</v>
      </c>
      <c r="J550" s="7" t="s">
        <v>2812</v>
      </c>
      <c r="K550" s="54" t="s">
        <v>2813</v>
      </c>
      <c r="L550" s="54"/>
      <c r="M550" s="60" t="b">
        <v>0</v>
      </c>
      <c r="N550" s="60" t="b">
        <v>0</v>
      </c>
      <c r="O550" s="60" t="s">
        <v>756</v>
      </c>
      <c r="P550" s="60" t="b">
        <v>0</v>
      </c>
      <c r="Q550" s="60" t="b">
        <v>1</v>
      </c>
      <c r="R550" s="60" t="b">
        <v>0</v>
      </c>
      <c r="S550" s="60" t="s">
        <v>966</v>
      </c>
      <c r="T550" s="60" t="s">
        <v>2694</v>
      </c>
      <c r="U550" s="60" t="b">
        <v>0</v>
      </c>
      <c r="V550" s="60" t="s">
        <v>797</v>
      </c>
      <c r="W550" s="60" t="b">
        <v>0</v>
      </c>
      <c r="X550" s="60" t="b">
        <v>0</v>
      </c>
      <c r="Y550" s="60"/>
      <c r="Z550" s="60"/>
      <c r="AA550" s="60"/>
      <c r="AB550" s="60" t="s">
        <v>1150</v>
      </c>
      <c r="AC550" s="61" t="s">
        <v>672</v>
      </c>
      <c r="AD550" s="60" t="s">
        <v>686</v>
      </c>
      <c r="AE550" s="60" t="s">
        <v>711</v>
      </c>
      <c r="AF550" s="60" t="s">
        <v>1759</v>
      </c>
      <c r="AG550" s="60" t="s">
        <v>2787</v>
      </c>
      <c r="AH550" s="60"/>
      <c r="AI550" s="60" t="s">
        <v>2782</v>
      </c>
      <c r="AJ550" s="120" t="s">
        <v>2814</v>
      </c>
      <c r="AK550" s="34" t="s">
        <v>698</v>
      </c>
      <c r="AL550" s="3"/>
      <c r="AM550" s="3"/>
      <c r="AN550" s="121" t="s">
        <v>2815</v>
      </c>
      <c r="AO550" s="24">
        <v>0.002372685185185185</v>
      </c>
      <c r="AP550" s="7" t="s">
        <v>2777</v>
      </c>
      <c r="AQ550" s="7">
        <v>1973.0</v>
      </c>
      <c r="AR550" s="121" t="s">
        <v>2816</v>
      </c>
      <c r="AS550" s="7" t="b">
        <f>NOT(ISERROR(MATCH(A550,'Villages according to موسوعة ال'!C:C,0)))</f>
        <v>1</v>
      </c>
      <c r="AT550" s="25"/>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row>
    <row r="551">
      <c r="A551" s="3" t="s">
        <v>479</v>
      </c>
      <c r="B551" s="43" t="s">
        <v>480</v>
      </c>
      <c r="E551" s="25"/>
      <c r="F551" s="25"/>
      <c r="G551" s="84"/>
      <c r="H551" s="7" t="s">
        <v>2817</v>
      </c>
      <c r="I551" s="7" t="s">
        <v>638</v>
      </c>
      <c r="J551" s="7" t="s">
        <v>2818</v>
      </c>
      <c r="K551" s="54" t="s">
        <v>2819</v>
      </c>
      <c r="L551" s="54"/>
      <c r="M551" s="60" t="b">
        <v>0</v>
      </c>
      <c r="N551" s="60" t="b">
        <v>0</v>
      </c>
      <c r="O551" s="60"/>
      <c r="P551" s="60" t="b">
        <v>0</v>
      </c>
      <c r="Q551" s="60" t="b">
        <v>0</v>
      </c>
      <c r="R551" s="60" t="b">
        <v>0</v>
      </c>
      <c r="S551" s="60"/>
      <c r="T551" s="60"/>
      <c r="U551" s="60" t="b">
        <v>0</v>
      </c>
      <c r="V551" s="60"/>
      <c r="W551" s="60" t="b">
        <v>0</v>
      </c>
      <c r="X551" s="60" t="b">
        <v>0</v>
      </c>
      <c r="Y551" s="60"/>
      <c r="Z551" s="60"/>
      <c r="AA551" s="60"/>
      <c r="AB551" s="60"/>
      <c r="AC551" s="61"/>
      <c r="AD551" s="60"/>
      <c r="AE551" s="60"/>
      <c r="AF551" s="60"/>
      <c r="AG551" s="60"/>
      <c r="AH551" s="60"/>
      <c r="AI551" s="60"/>
      <c r="AJ551" s="120" t="s">
        <v>2820</v>
      </c>
      <c r="AK551" s="34" t="s">
        <v>698</v>
      </c>
      <c r="AL551" s="3"/>
      <c r="AM551" s="3"/>
      <c r="AN551" s="121" t="s">
        <v>2821</v>
      </c>
      <c r="AO551" s="24">
        <v>0.001585648148148148</v>
      </c>
      <c r="AP551" s="7" t="s">
        <v>2777</v>
      </c>
      <c r="AQ551" s="7">
        <v>1973.0</v>
      </c>
      <c r="AR551" s="121" t="s">
        <v>2822</v>
      </c>
      <c r="AS551" s="7" t="b">
        <f>NOT(ISERROR(MATCH(A551,'Villages according to موسوعة ال'!C:C,0)))</f>
        <v>1</v>
      </c>
      <c r="AT551" s="25"/>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row>
    <row r="552">
      <c r="A552" s="7" t="s">
        <v>108</v>
      </c>
      <c r="B552" s="43" t="s">
        <v>109</v>
      </c>
      <c r="C552" s="7" t="s">
        <v>109</v>
      </c>
      <c r="D552" s="7" t="s">
        <v>110</v>
      </c>
      <c r="E552" s="25"/>
      <c r="F552" s="25"/>
      <c r="G552" s="84"/>
      <c r="H552" s="7" t="s">
        <v>2823</v>
      </c>
      <c r="I552" s="7" t="s">
        <v>638</v>
      </c>
      <c r="J552" s="7" t="s">
        <v>2824</v>
      </c>
      <c r="K552" s="47"/>
      <c r="L552" s="30" t="s">
        <v>2825</v>
      </c>
      <c r="M552" s="60" t="b">
        <v>0</v>
      </c>
      <c r="N552" s="60" t="b">
        <v>0</v>
      </c>
      <c r="O552" s="60"/>
      <c r="P552" s="60" t="b">
        <v>0</v>
      </c>
      <c r="Q552" s="60" t="b">
        <v>0</v>
      </c>
      <c r="R552" s="60" t="b">
        <v>0</v>
      </c>
      <c r="S552" s="60"/>
      <c r="T552" s="60"/>
      <c r="U552" s="60" t="b">
        <v>0</v>
      </c>
      <c r="V552" s="60"/>
      <c r="W552" s="60" t="b">
        <v>0</v>
      </c>
      <c r="X552" s="60" t="b">
        <v>0</v>
      </c>
      <c r="Y552" s="60"/>
      <c r="Z552" s="60"/>
      <c r="AA552" s="60"/>
      <c r="AB552" s="60"/>
      <c r="AC552" s="61"/>
      <c r="AD552" s="60"/>
      <c r="AE552" s="60"/>
      <c r="AF552" s="60"/>
      <c r="AG552" s="60"/>
      <c r="AH552" s="60"/>
      <c r="AI552" s="60"/>
      <c r="AJ552" s="104" t="s">
        <v>2826</v>
      </c>
      <c r="AK552" s="34" t="s">
        <v>698</v>
      </c>
      <c r="AL552" s="25"/>
      <c r="AM552" s="25"/>
      <c r="AN552" s="35" t="s">
        <v>2827</v>
      </c>
      <c r="AO552" s="24">
        <v>0.001990740740740741</v>
      </c>
      <c r="AP552" s="7" t="s">
        <v>633</v>
      </c>
      <c r="AQ552" s="7" t="s">
        <v>633</v>
      </c>
      <c r="AR552" s="35" t="s">
        <v>2828</v>
      </c>
      <c r="AS552" s="7" t="b">
        <f>NOT(ISERROR(MATCH(A552,'Villages according to موسوعة ال'!C:C,0)))</f>
        <v>1</v>
      </c>
      <c r="AT552" s="25"/>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row>
    <row r="553">
      <c r="A553" s="7" t="s">
        <v>108</v>
      </c>
      <c r="B553" s="26" t="s">
        <v>109</v>
      </c>
      <c r="E553" s="37"/>
      <c r="F553" s="37"/>
      <c r="G553" s="122"/>
      <c r="K553" s="123"/>
      <c r="L553" s="123"/>
      <c r="M553" s="124" t="b">
        <v>0</v>
      </c>
      <c r="N553" s="124" t="b">
        <v>0</v>
      </c>
      <c r="O553" s="124"/>
      <c r="P553" s="124" t="b">
        <v>0</v>
      </c>
      <c r="Q553" s="124" t="b">
        <v>0</v>
      </c>
      <c r="R553" s="124" t="b">
        <v>0</v>
      </c>
      <c r="S553" s="124"/>
      <c r="T553" s="32"/>
      <c r="U553" s="124" t="b">
        <v>0</v>
      </c>
      <c r="V553" s="124"/>
      <c r="W553" s="124" t="b">
        <v>0</v>
      </c>
      <c r="X553" s="124" t="b">
        <v>0</v>
      </c>
      <c r="Y553" s="124"/>
      <c r="Z553" s="124"/>
      <c r="AA553" s="124"/>
      <c r="AB553" s="124"/>
      <c r="AC553" s="125"/>
      <c r="AD553" s="124"/>
      <c r="AE553" s="124"/>
      <c r="AF553" s="124"/>
      <c r="AG553" s="124"/>
      <c r="AH553" s="124"/>
      <c r="AI553" s="124"/>
      <c r="AJ553" s="37"/>
      <c r="AK553" s="50"/>
      <c r="AL553" s="37"/>
      <c r="AM553" s="37"/>
      <c r="AN553" s="126" t="s">
        <v>2829</v>
      </c>
      <c r="AO553" s="24">
        <v>7.407407407407407E-4</v>
      </c>
      <c r="AP553" s="4" t="s">
        <v>633</v>
      </c>
      <c r="AQ553" s="4" t="s">
        <v>633</v>
      </c>
      <c r="AR553" s="4" t="s">
        <v>633</v>
      </c>
      <c r="AS553" s="7" t="b">
        <f>NOT(ISERROR(MATCH(A553,'Villages according to موسوعة ال'!C:C,0)))</f>
        <v>1</v>
      </c>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row>
    <row r="554">
      <c r="A554" s="7" t="s">
        <v>108</v>
      </c>
      <c r="B554" s="26" t="s">
        <v>109</v>
      </c>
      <c r="E554" s="37"/>
      <c r="F554" s="37"/>
      <c r="G554" s="122"/>
      <c r="K554" s="123"/>
      <c r="L554" s="123"/>
      <c r="M554" s="124" t="b">
        <v>0</v>
      </c>
      <c r="N554" s="124" t="b">
        <v>0</v>
      </c>
      <c r="O554" s="124"/>
      <c r="P554" s="124" t="b">
        <v>0</v>
      </c>
      <c r="Q554" s="124" t="b">
        <v>0</v>
      </c>
      <c r="R554" s="124" t="b">
        <v>0</v>
      </c>
      <c r="S554" s="124"/>
      <c r="T554" s="32"/>
      <c r="U554" s="124" t="b">
        <v>0</v>
      </c>
      <c r="V554" s="124"/>
      <c r="W554" s="124" t="b">
        <v>0</v>
      </c>
      <c r="X554" s="124" t="b">
        <v>0</v>
      </c>
      <c r="Y554" s="124"/>
      <c r="Z554" s="124"/>
      <c r="AA554" s="124"/>
      <c r="AB554" s="124"/>
      <c r="AC554" s="125"/>
      <c r="AD554" s="124"/>
      <c r="AE554" s="124"/>
      <c r="AF554" s="124"/>
      <c r="AG554" s="124"/>
      <c r="AH554" s="124"/>
      <c r="AI554" s="124"/>
      <c r="AJ554" s="37"/>
      <c r="AK554" s="50"/>
      <c r="AL554" s="37"/>
      <c r="AM554" s="37"/>
      <c r="AN554" s="126" t="s">
        <v>2830</v>
      </c>
      <c r="AO554" s="24">
        <v>0.0011226851851851851</v>
      </c>
      <c r="AP554" s="4" t="s">
        <v>633</v>
      </c>
      <c r="AQ554" s="4" t="s">
        <v>633</v>
      </c>
      <c r="AR554" s="4" t="s">
        <v>633</v>
      </c>
      <c r="AS554" s="7" t="b">
        <f>NOT(ISERROR(MATCH(A554,'Villages according to موسوعة ال'!C:C,0)))</f>
        <v>1</v>
      </c>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row>
    <row r="555">
      <c r="A555" s="7" t="s">
        <v>108</v>
      </c>
      <c r="B555" s="26" t="s">
        <v>109</v>
      </c>
      <c r="E555" s="37"/>
      <c r="F555" s="37"/>
      <c r="G555" s="122"/>
      <c r="K555" s="123"/>
      <c r="L555" s="123"/>
      <c r="M555" s="124" t="b">
        <v>0</v>
      </c>
      <c r="N555" s="124" t="b">
        <v>0</v>
      </c>
      <c r="O555" s="124"/>
      <c r="P555" s="124" t="b">
        <v>0</v>
      </c>
      <c r="Q555" s="124" t="b">
        <v>0</v>
      </c>
      <c r="R555" s="124" t="b">
        <v>0</v>
      </c>
      <c r="S555" s="124"/>
      <c r="T555" s="32"/>
      <c r="U555" s="124" t="b">
        <v>0</v>
      </c>
      <c r="V555" s="124"/>
      <c r="W555" s="124" t="b">
        <v>0</v>
      </c>
      <c r="X555" s="124" t="b">
        <v>0</v>
      </c>
      <c r="Y555" s="124"/>
      <c r="Z555" s="124"/>
      <c r="AA555" s="124"/>
      <c r="AB555" s="124"/>
      <c r="AC555" s="125"/>
      <c r="AD555" s="124"/>
      <c r="AE555" s="124"/>
      <c r="AF555" s="124"/>
      <c r="AG555" s="124"/>
      <c r="AH555" s="124"/>
      <c r="AI555" s="124"/>
      <c r="AJ555" s="37"/>
      <c r="AK555" s="50"/>
      <c r="AL555" s="37"/>
      <c r="AM555" s="37"/>
      <c r="AN555" s="126" t="s">
        <v>2831</v>
      </c>
      <c r="AO555" s="24">
        <v>0.0023032407407407407</v>
      </c>
      <c r="AP555" s="4" t="s">
        <v>633</v>
      </c>
      <c r="AQ555" s="4" t="s">
        <v>633</v>
      </c>
      <c r="AR555" s="4" t="s">
        <v>633</v>
      </c>
      <c r="AS555" s="7" t="b">
        <f>NOT(ISERROR(MATCH(A555,'Villages according to موسوعة ال'!C:C,0)))</f>
        <v>1</v>
      </c>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row>
    <row r="556">
      <c r="A556" s="7" t="s">
        <v>108</v>
      </c>
      <c r="B556" s="43" t="s">
        <v>109</v>
      </c>
      <c r="E556" s="25"/>
      <c r="F556" s="25"/>
      <c r="G556" s="84"/>
      <c r="H556" s="7" t="s">
        <v>2832</v>
      </c>
      <c r="I556" s="7" t="s">
        <v>616</v>
      </c>
      <c r="J556" s="7" t="s">
        <v>2833</v>
      </c>
      <c r="K556" s="47"/>
      <c r="L556" s="30" t="s">
        <v>2834</v>
      </c>
      <c r="M556" s="60" t="b">
        <v>0</v>
      </c>
      <c r="N556" s="60" t="b">
        <v>0</v>
      </c>
      <c r="O556" s="60"/>
      <c r="P556" s="60" t="b">
        <v>0</v>
      </c>
      <c r="Q556" s="60" t="b">
        <v>0</v>
      </c>
      <c r="R556" s="60" t="b">
        <v>0</v>
      </c>
      <c r="S556" s="60"/>
      <c r="T556" s="60"/>
      <c r="U556" s="60" t="b">
        <v>0</v>
      </c>
      <c r="V556" s="60"/>
      <c r="W556" s="60" t="b">
        <v>0</v>
      </c>
      <c r="X556" s="60" t="b">
        <v>0</v>
      </c>
      <c r="Y556" s="60"/>
      <c r="Z556" s="60"/>
      <c r="AA556" s="60"/>
      <c r="AB556" s="60"/>
      <c r="AC556" s="61"/>
      <c r="AD556" s="60"/>
      <c r="AE556" s="60"/>
      <c r="AF556" s="60"/>
      <c r="AG556" s="60"/>
      <c r="AH556" s="60"/>
      <c r="AI556" s="60"/>
      <c r="AJ556" s="25"/>
      <c r="AK556" s="34" t="s">
        <v>698</v>
      </c>
      <c r="AL556" s="25"/>
      <c r="AM556" s="25"/>
      <c r="AN556" s="35" t="s">
        <v>2835</v>
      </c>
      <c r="AO556" s="24">
        <v>0.0032407407407407406</v>
      </c>
      <c r="AP556" s="7" t="s">
        <v>633</v>
      </c>
      <c r="AQ556" s="7" t="s">
        <v>633</v>
      </c>
      <c r="AR556" s="35" t="s">
        <v>2836</v>
      </c>
      <c r="AS556" s="7" t="b">
        <f>NOT(ISERROR(MATCH(A556,'Villages according to موسوعة ال'!C:C,0)))</f>
        <v>1</v>
      </c>
      <c r="AT556" s="25"/>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row>
    <row r="557">
      <c r="A557" s="7" t="s">
        <v>108</v>
      </c>
      <c r="B557" s="26" t="s">
        <v>109</v>
      </c>
      <c r="E557" s="37"/>
      <c r="F557" s="37"/>
      <c r="G557" s="122"/>
      <c r="K557" s="123"/>
      <c r="L557" s="123"/>
      <c r="M557" s="124" t="b">
        <v>0</v>
      </c>
      <c r="N557" s="124" t="b">
        <v>0</v>
      </c>
      <c r="O557" s="124"/>
      <c r="P557" s="124" t="b">
        <v>0</v>
      </c>
      <c r="Q557" s="124" t="b">
        <v>0</v>
      </c>
      <c r="R557" s="124" t="b">
        <v>0</v>
      </c>
      <c r="S557" s="124"/>
      <c r="T557" s="32"/>
      <c r="U557" s="124" t="b">
        <v>0</v>
      </c>
      <c r="V557" s="124"/>
      <c r="W557" s="124" t="b">
        <v>0</v>
      </c>
      <c r="X557" s="124" t="b">
        <v>0</v>
      </c>
      <c r="Y557" s="124"/>
      <c r="Z557" s="124"/>
      <c r="AA557" s="124"/>
      <c r="AB557" s="124"/>
      <c r="AC557" s="125"/>
      <c r="AD557" s="124"/>
      <c r="AE557" s="124"/>
      <c r="AF557" s="124"/>
      <c r="AG557" s="124"/>
      <c r="AH557" s="124"/>
      <c r="AI557" s="124"/>
      <c r="AJ557" s="37"/>
      <c r="AK557" s="50"/>
      <c r="AL557" s="37"/>
      <c r="AM557" s="37"/>
      <c r="AN557" s="126" t="s">
        <v>2837</v>
      </c>
      <c r="AO557" s="24">
        <v>0.0022222222222222222</v>
      </c>
      <c r="AP557" s="4" t="s">
        <v>633</v>
      </c>
      <c r="AQ557" s="4" t="s">
        <v>633</v>
      </c>
      <c r="AR557" s="4" t="s">
        <v>633</v>
      </c>
      <c r="AS557" s="7" t="b">
        <f>NOT(ISERROR(MATCH(A557,'Villages according to موسوعة ال'!C:C,0)))</f>
        <v>1</v>
      </c>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row>
    <row r="558">
      <c r="A558" s="3" t="s">
        <v>2838</v>
      </c>
      <c r="B558" s="43" t="s">
        <v>2839</v>
      </c>
      <c r="C558" s="7" t="s">
        <v>2839</v>
      </c>
      <c r="D558" s="7" t="s">
        <v>2840</v>
      </c>
      <c r="E558" s="85" t="s">
        <v>2707</v>
      </c>
      <c r="F558" s="85" t="s">
        <v>959</v>
      </c>
      <c r="G558" s="28" t="s">
        <v>2841</v>
      </c>
      <c r="H558" s="7" t="s">
        <v>2842</v>
      </c>
      <c r="I558" s="7" t="s">
        <v>638</v>
      </c>
      <c r="J558" s="7" t="s">
        <v>2843</v>
      </c>
      <c r="K558" s="54" t="s">
        <v>2844</v>
      </c>
      <c r="L558" s="54"/>
      <c r="M558" s="31" t="b">
        <v>0</v>
      </c>
      <c r="N558" s="31" t="b">
        <v>0</v>
      </c>
      <c r="O558" s="31"/>
      <c r="P558" s="31" t="b">
        <v>0</v>
      </c>
      <c r="Q558" s="31" t="b">
        <v>0</v>
      </c>
      <c r="R558" s="31" t="b">
        <v>0</v>
      </c>
      <c r="S558" s="31"/>
      <c r="T558" s="32"/>
      <c r="U558" s="31" t="b">
        <v>0</v>
      </c>
      <c r="V558" s="31"/>
      <c r="W558" s="31" t="b">
        <v>0</v>
      </c>
      <c r="X558" s="31" t="b">
        <v>0</v>
      </c>
      <c r="Y558" s="31"/>
      <c r="Z558" s="31"/>
      <c r="AA558" s="31"/>
      <c r="AB558" s="31"/>
      <c r="AC558" s="45"/>
      <c r="AD558" s="31"/>
      <c r="AE558" s="31"/>
      <c r="AF558" s="31"/>
      <c r="AG558" s="31"/>
      <c r="AH558" s="31"/>
      <c r="AI558" s="31"/>
      <c r="AJ558" s="25"/>
      <c r="AK558" s="34" t="s">
        <v>631</v>
      </c>
      <c r="AL558" s="3" t="s">
        <v>823</v>
      </c>
      <c r="AM558" s="3" t="s">
        <v>868</v>
      </c>
      <c r="AN558" s="35" t="s">
        <v>2845</v>
      </c>
      <c r="AO558" s="24">
        <v>0.004861111111111111</v>
      </c>
      <c r="AP558" s="7" t="s">
        <v>2846</v>
      </c>
      <c r="AQ558" s="7" t="s">
        <v>633</v>
      </c>
      <c r="AR558" s="35" t="s">
        <v>2847</v>
      </c>
      <c r="AS558" s="7" t="b">
        <f>NOT(ISERROR(MATCH(A558,'Villages according to موسوعة ال'!C:C,0)))</f>
        <v>1</v>
      </c>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row>
    <row r="559">
      <c r="A559" s="3" t="s">
        <v>2838</v>
      </c>
      <c r="B559" s="127" t="s">
        <v>2839</v>
      </c>
      <c r="E559" s="85" t="s">
        <v>2707</v>
      </c>
      <c r="F559" s="85" t="s">
        <v>959</v>
      </c>
      <c r="G559" s="117"/>
      <c r="H559" s="4" t="s">
        <v>2848</v>
      </c>
      <c r="I559" s="4" t="s">
        <v>638</v>
      </c>
      <c r="J559" s="4" t="s">
        <v>2849</v>
      </c>
      <c r="K559" s="123"/>
      <c r="L559" s="123"/>
      <c r="M559" s="124" t="b">
        <v>0</v>
      </c>
      <c r="N559" s="124" t="b">
        <v>0</v>
      </c>
      <c r="O559" s="124"/>
      <c r="P559" s="124" t="b">
        <v>0</v>
      </c>
      <c r="Q559" s="124" t="b">
        <v>0</v>
      </c>
      <c r="R559" s="124" t="b">
        <v>0</v>
      </c>
      <c r="S559" s="124"/>
      <c r="T559" s="32"/>
      <c r="U559" s="124" t="b">
        <v>0</v>
      </c>
      <c r="V559" s="124"/>
      <c r="W559" s="124" t="b">
        <v>0</v>
      </c>
      <c r="X559" s="124" t="b">
        <v>0</v>
      </c>
      <c r="Y559" s="124"/>
      <c r="Z559" s="124"/>
      <c r="AA559" s="124"/>
      <c r="AB559" s="124"/>
      <c r="AC559" s="125"/>
      <c r="AD559" s="124"/>
      <c r="AE559" s="124"/>
      <c r="AF559" s="124"/>
      <c r="AG559" s="124"/>
      <c r="AH559" s="124"/>
      <c r="AI559" s="124"/>
      <c r="AJ559" s="37"/>
      <c r="AK559" s="34" t="s">
        <v>636</v>
      </c>
      <c r="AL559" s="37"/>
      <c r="AM559" s="37"/>
      <c r="AN559" s="126" t="s">
        <v>2850</v>
      </c>
      <c r="AO559" s="24">
        <v>0.0031018518518518517</v>
      </c>
      <c r="AP559" s="4" t="s">
        <v>2846</v>
      </c>
      <c r="AQ559" s="4" t="s">
        <v>633</v>
      </c>
      <c r="AR559" s="4" t="s">
        <v>633</v>
      </c>
      <c r="AS559" s="7" t="b">
        <f>NOT(ISERROR(MATCH(A559,'Villages according to موسوعة ال'!C:C,0)))</f>
        <v>1</v>
      </c>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row>
    <row r="560">
      <c r="A560" s="3" t="s">
        <v>2838</v>
      </c>
      <c r="B560" s="43" t="s">
        <v>2839</v>
      </c>
      <c r="F560" s="85"/>
      <c r="G560" s="117"/>
      <c r="K560" s="47"/>
      <c r="L560" s="47"/>
      <c r="M560" s="48" t="b">
        <v>0</v>
      </c>
      <c r="N560" s="48" t="b">
        <v>0</v>
      </c>
      <c r="O560" s="48"/>
      <c r="P560" s="48" t="b">
        <v>0</v>
      </c>
      <c r="Q560" s="48" t="b">
        <v>0</v>
      </c>
      <c r="R560" s="48" t="b">
        <v>0</v>
      </c>
      <c r="S560" s="48"/>
      <c r="T560" s="32"/>
      <c r="U560" s="48" t="b">
        <v>0</v>
      </c>
      <c r="V560" s="48"/>
      <c r="W560" s="48" t="b">
        <v>0</v>
      </c>
      <c r="X560" s="48" t="b">
        <v>0</v>
      </c>
      <c r="Y560" s="48"/>
      <c r="Z560" s="48"/>
      <c r="AA560" s="48"/>
      <c r="AB560" s="48"/>
      <c r="AC560" s="49"/>
      <c r="AD560" s="48"/>
      <c r="AE560" s="48"/>
      <c r="AF560" s="48"/>
      <c r="AG560" s="48"/>
      <c r="AH560" s="48"/>
      <c r="AI560" s="48"/>
      <c r="AJ560" s="25"/>
      <c r="AK560" s="34" t="s">
        <v>631</v>
      </c>
      <c r="AL560" s="25"/>
      <c r="AM560" s="25"/>
      <c r="AN560" s="35" t="s">
        <v>2851</v>
      </c>
      <c r="AO560" s="24">
        <v>0.004618055555555556</v>
      </c>
      <c r="AP560" s="7" t="s">
        <v>2846</v>
      </c>
      <c r="AQ560" s="7" t="s">
        <v>633</v>
      </c>
      <c r="AR560" s="7" t="s">
        <v>633</v>
      </c>
      <c r="AS560" s="7" t="b">
        <f>NOT(ISERROR(MATCH(A560,'Villages according to موسوعة ال'!C:C,0)))</f>
        <v>1</v>
      </c>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row>
    <row r="561">
      <c r="A561" s="3" t="s">
        <v>2838</v>
      </c>
      <c r="B561" s="127" t="s">
        <v>2839</v>
      </c>
      <c r="F561" s="85"/>
      <c r="G561" s="117"/>
      <c r="K561" s="128" t="s">
        <v>2852</v>
      </c>
      <c r="L561" s="123"/>
      <c r="M561" s="124" t="b">
        <v>0</v>
      </c>
      <c r="N561" s="124" t="b">
        <v>0</v>
      </c>
      <c r="O561" s="124"/>
      <c r="P561" s="124" t="b">
        <v>0</v>
      </c>
      <c r="Q561" s="124" t="b">
        <v>0</v>
      </c>
      <c r="R561" s="124" t="b">
        <v>0</v>
      </c>
      <c r="S561" s="124"/>
      <c r="T561" s="32"/>
      <c r="U561" s="124" t="b">
        <v>0</v>
      </c>
      <c r="V561" s="124"/>
      <c r="W561" s="124" t="b">
        <v>0</v>
      </c>
      <c r="X561" s="124" t="b">
        <v>0</v>
      </c>
      <c r="Y561" s="124"/>
      <c r="Z561" s="124"/>
      <c r="AA561" s="124"/>
      <c r="AB561" s="124"/>
      <c r="AC561" s="125"/>
      <c r="AD561" s="124"/>
      <c r="AE561" s="124"/>
      <c r="AF561" s="124"/>
      <c r="AG561" s="124"/>
      <c r="AH561" s="124"/>
      <c r="AI561" s="124"/>
      <c r="AJ561" s="37"/>
      <c r="AK561" s="34" t="s">
        <v>636</v>
      </c>
      <c r="AL561" s="37"/>
      <c r="AM561" s="37"/>
      <c r="AN561" s="126" t="s">
        <v>2853</v>
      </c>
      <c r="AO561" s="24">
        <v>0.012743055555555556</v>
      </c>
      <c r="AP561" s="4" t="s">
        <v>2846</v>
      </c>
      <c r="AQ561" s="4" t="s">
        <v>633</v>
      </c>
      <c r="AR561" s="4" t="s">
        <v>633</v>
      </c>
      <c r="AS561" s="7" t="b">
        <f>NOT(ISERROR(MATCH(A561,'Villages according to موسوعة ال'!C:C,0)))</f>
        <v>1</v>
      </c>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row>
    <row r="562">
      <c r="A562" s="3" t="s">
        <v>2838</v>
      </c>
      <c r="B562" s="43" t="s">
        <v>2839</v>
      </c>
      <c r="E562" s="85" t="s">
        <v>2707</v>
      </c>
      <c r="F562" s="85" t="s">
        <v>959</v>
      </c>
      <c r="G562" s="117"/>
      <c r="H562" s="7" t="s">
        <v>2736</v>
      </c>
      <c r="I562" s="7" t="s">
        <v>638</v>
      </c>
      <c r="J562" s="7" t="s">
        <v>2854</v>
      </c>
      <c r="K562" s="47"/>
      <c r="L562" s="47"/>
      <c r="M562" s="48" t="b">
        <v>0</v>
      </c>
      <c r="N562" s="48" t="b">
        <v>0</v>
      </c>
      <c r="O562" s="48"/>
      <c r="P562" s="48" t="b">
        <v>0</v>
      </c>
      <c r="Q562" s="48" t="b">
        <v>0</v>
      </c>
      <c r="R562" s="48" t="b">
        <v>0</v>
      </c>
      <c r="S562" s="48"/>
      <c r="T562" s="32"/>
      <c r="U562" s="48" t="b">
        <v>0</v>
      </c>
      <c r="V562" s="48"/>
      <c r="W562" s="48" t="b">
        <v>0</v>
      </c>
      <c r="X562" s="48" t="b">
        <v>0</v>
      </c>
      <c r="Y562" s="48"/>
      <c r="Z562" s="48"/>
      <c r="AA562" s="48"/>
      <c r="AB562" s="48"/>
      <c r="AC562" s="49"/>
      <c r="AD562" s="48"/>
      <c r="AE562" s="48"/>
      <c r="AF562" s="48"/>
      <c r="AG562" s="48"/>
      <c r="AH562" s="48"/>
      <c r="AI562" s="48"/>
      <c r="AJ562" s="3" t="s">
        <v>2855</v>
      </c>
      <c r="AK562" s="34" t="s">
        <v>631</v>
      </c>
      <c r="AL562" s="25"/>
      <c r="AM562" s="25"/>
      <c r="AN562" s="35" t="s">
        <v>2856</v>
      </c>
      <c r="AO562" s="24">
        <v>0.017708333333333333</v>
      </c>
      <c r="AP562" s="7" t="s">
        <v>2846</v>
      </c>
      <c r="AQ562" s="7" t="s">
        <v>633</v>
      </c>
      <c r="AR562" s="7" t="s">
        <v>633</v>
      </c>
      <c r="AS562" s="7" t="b">
        <f>NOT(ISERROR(MATCH(A562,'Villages according to موسوعة ال'!C:C,0)))</f>
        <v>1</v>
      </c>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row>
    <row r="563">
      <c r="A563" s="3" t="s">
        <v>2857</v>
      </c>
      <c r="B563" s="127" t="s">
        <v>2858</v>
      </c>
      <c r="C563" s="4" t="s">
        <v>2858</v>
      </c>
      <c r="D563" s="4" t="s">
        <v>2859</v>
      </c>
      <c r="E563" s="85" t="s">
        <v>2707</v>
      </c>
      <c r="F563" s="85" t="s">
        <v>959</v>
      </c>
      <c r="G563" s="117"/>
      <c r="H563" s="4" t="s">
        <v>2736</v>
      </c>
      <c r="I563" s="4" t="s">
        <v>638</v>
      </c>
      <c r="J563" s="4" t="s">
        <v>2860</v>
      </c>
      <c r="K563" s="128" t="s">
        <v>2861</v>
      </c>
      <c r="L563" s="128" t="s">
        <v>2862</v>
      </c>
      <c r="M563" s="129" t="b">
        <v>0</v>
      </c>
      <c r="N563" s="129" t="b">
        <v>0</v>
      </c>
      <c r="O563" s="129"/>
      <c r="P563" s="129" t="b">
        <v>0</v>
      </c>
      <c r="Q563" s="129" t="b">
        <v>0</v>
      </c>
      <c r="R563" s="129" t="b">
        <v>0</v>
      </c>
      <c r="S563" s="129"/>
      <c r="T563" s="32"/>
      <c r="U563" s="129" t="b">
        <v>0</v>
      </c>
      <c r="V563" s="129"/>
      <c r="W563" s="129" t="b">
        <v>0</v>
      </c>
      <c r="X563" s="129" t="b">
        <v>0</v>
      </c>
      <c r="Y563" s="129"/>
      <c r="Z563" s="129"/>
      <c r="AA563" s="129"/>
      <c r="AB563" s="129"/>
      <c r="AC563" s="130"/>
      <c r="AD563" s="129"/>
      <c r="AE563" s="129"/>
      <c r="AF563" s="129"/>
      <c r="AG563" s="129"/>
      <c r="AH563" s="129"/>
      <c r="AI563" s="129"/>
      <c r="AJ563" s="1"/>
      <c r="AK563" s="34" t="s">
        <v>636</v>
      </c>
      <c r="AL563" s="37"/>
      <c r="AM563" s="37"/>
      <c r="AN563" s="126" t="s">
        <v>2863</v>
      </c>
      <c r="AO563" s="24">
        <v>0.033101851851851855</v>
      </c>
      <c r="AP563" s="131" t="s">
        <v>2864</v>
      </c>
      <c r="AQ563" s="4" t="s">
        <v>633</v>
      </c>
      <c r="AR563" s="4" t="s">
        <v>633</v>
      </c>
      <c r="AS563" s="7" t="b">
        <f>NOT(ISERROR(MATCH(A563,'Villages according to موسوعة ال'!C:C,0)))</f>
        <v>1</v>
      </c>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row>
    <row r="564">
      <c r="A564" s="3" t="s">
        <v>2857</v>
      </c>
      <c r="B564" s="127" t="s">
        <v>2858</v>
      </c>
      <c r="E564" s="85" t="s">
        <v>2707</v>
      </c>
      <c r="F564" s="85" t="s">
        <v>959</v>
      </c>
      <c r="G564" s="117"/>
      <c r="H564" s="4" t="s">
        <v>2865</v>
      </c>
      <c r="I564" s="4" t="s">
        <v>638</v>
      </c>
      <c r="J564" s="4" t="s">
        <v>2866</v>
      </c>
      <c r="K564" s="128" t="s">
        <v>2867</v>
      </c>
      <c r="L564" s="123"/>
      <c r="M564" s="124" t="b">
        <v>0</v>
      </c>
      <c r="N564" s="124" t="b">
        <v>0</v>
      </c>
      <c r="O564" s="124"/>
      <c r="P564" s="124" t="b">
        <v>0</v>
      </c>
      <c r="Q564" s="124" t="b">
        <v>0</v>
      </c>
      <c r="R564" s="124" t="b">
        <v>0</v>
      </c>
      <c r="S564" s="124"/>
      <c r="T564" s="32"/>
      <c r="U564" s="124" t="b">
        <v>0</v>
      </c>
      <c r="V564" s="124"/>
      <c r="W564" s="124" t="b">
        <v>0</v>
      </c>
      <c r="X564" s="124" t="b">
        <v>0</v>
      </c>
      <c r="Y564" s="124"/>
      <c r="Z564" s="124"/>
      <c r="AA564" s="124"/>
      <c r="AB564" s="124"/>
      <c r="AC564" s="125"/>
      <c r="AD564" s="124"/>
      <c r="AE564" s="124"/>
      <c r="AF564" s="124"/>
      <c r="AG564" s="124"/>
      <c r="AH564" s="124"/>
      <c r="AI564" s="124"/>
      <c r="AJ564" s="37"/>
      <c r="AK564" s="34" t="s">
        <v>636</v>
      </c>
      <c r="AL564" s="37"/>
      <c r="AM564" s="37"/>
      <c r="AN564" s="126" t="s">
        <v>2868</v>
      </c>
      <c r="AO564" s="24">
        <v>0.037627314814814815</v>
      </c>
      <c r="AP564" s="131" t="s">
        <v>2864</v>
      </c>
      <c r="AQ564" s="4" t="s">
        <v>633</v>
      </c>
      <c r="AR564" s="4" t="s">
        <v>633</v>
      </c>
      <c r="AS564" s="7" t="b">
        <f>NOT(ISERROR(MATCH(A564,'Villages according to موسوعة ال'!C:C,0)))</f>
        <v>1</v>
      </c>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row>
    <row r="565">
      <c r="A565" s="3" t="s">
        <v>2869</v>
      </c>
      <c r="B565" s="43" t="s">
        <v>2870</v>
      </c>
      <c r="C565" s="7" t="s">
        <v>2870</v>
      </c>
      <c r="D565" s="7" t="s">
        <v>2871</v>
      </c>
      <c r="E565" s="85" t="s">
        <v>2707</v>
      </c>
      <c r="F565" s="7" t="s">
        <v>959</v>
      </c>
      <c r="G565" s="28"/>
      <c r="H565" s="7" t="s">
        <v>2872</v>
      </c>
      <c r="I565" s="7" t="s">
        <v>638</v>
      </c>
      <c r="J565" s="7" t="s">
        <v>2873</v>
      </c>
      <c r="K565" s="47"/>
      <c r="L565" s="47"/>
      <c r="M565" s="48" t="b">
        <v>0</v>
      </c>
      <c r="N565" s="48" t="b">
        <v>0</v>
      </c>
      <c r="O565" s="48"/>
      <c r="P565" s="48" t="b">
        <v>0</v>
      </c>
      <c r="Q565" s="48" t="b">
        <v>0</v>
      </c>
      <c r="R565" s="48" t="b">
        <v>0</v>
      </c>
      <c r="S565" s="48"/>
      <c r="T565" s="32"/>
      <c r="U565" s="48" t="b">
        <v>0</v>
      </c>
      <c r="V565" s="48"/>
      <c r="W565" s="48" t="b">
        <v>0</v>
      </c>
      <c r="X565" s="48" t="b">
        <v>0</v>
      </c>
      <c r="Y565" s="48"/>
      <c r="Z565" s="48"/>
      <c r="AA565" s="48"/>
      <c r="AB565" s="48"/>
      <c r="AC565" s="49"/>
      <c r="AD565" s="48"/>
      <c r="AE565" s="48"/>
      <c r="AF565" s="48"/>
      <c r="AG565" s="48"/>
      <c r="AH565" s="48"/>
      <c r="AI565" s="48"/>
      <c r="AJ565" s="25"/>
      <c r="AK565" s="34" t="s">
        <v>631</v>
      </c>
      <c r="AL565" s="25"/>
      <c r="AM565" s="25"/>
      <c r="AN565" s="35" t="s">
        <v>2874</v>
      </c>
      <c r="AO565" s="24">
        <v>0.0026041666666666665</v>
      </c>
      <c r="AP565" s="74" t="s">
        <v>2875</v>
      </c>
      <c r="AQ565" s="7" t="s">
        <v>633</v>
      </c>
      <c r="AR565" s="7" t="s">
        <v>633</v>
      </c>
      <c r="AS565" s="7" t="b">
        <f>NOT(ISERROR(MATCH(A565,'Villages according to موسوعة ال'!C:C,0)))</f>
        <v>1</v>
      </c>
      <c r="AT565" s="25"/>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row>
    <row r="566">
      <c r="A566" s="3" t="s">
        <v>2869</v>
      </c>
      <c r="B566" s="43" t="s">
        <v>2870</v>
      </c>
      <c r="F566" s="7"/>
      <c r="G566" s="28"/>
      <c r="K566" s="47"/>
      <c r="L566" s="47"/>
      <c r="M566" s="48" t="b">
        <v>0</v>
      </c>
      <c r="N566" s="48" t="b">
        <v>0</v>
      </c>
      <c r="O566" s="48"/>
      <c r="P566" s="48" t="b">
        <v>0</v>
      </c>
      <c r="Q566" s="48" t="b">
        <v>0</v>
      </c>
      <c r="R566" s="48" t="b">
        <v>0</v>
      </c>
      <c r="S566" s="48"/>
      <c r="T566" s="32"/>
      <c r="U566" s="48" t="b">
        <v>0</v>
      </c>
      <c r="V566" s="48"/>
      <c r="W566" s="48" t="b">
        <v>0</v>
      </c>
      <c r="X566" s="48" t="b">
        <v>0</v>
      </c>
      <c r="Y566" s="48"/>
      <c r="Z566" s="48"/>
      <c r="AA566" s="48"/>
      <c r="AB566" s="48"/>
      <c r="AC566" s="49"/>
      <c r="AD566" s="48"/>
      <c r="AE566" s="48"/>
      <c r="AF566" s="48"/>
      <c r="AG566" s="48"/>
      <c r="AH566" s="48"/>
      <c r="AI566" s="48"/>
      <c r="AJ566" s="3" t="s">
        <v>2876</v>
      </c>
      <c r="AK566" s="34" t="s">
        <v>718</v>
      </c>
      <c r="AL566" s="3" t="s">
        <v>734</v>
      </c>
      <c r="AM566" s="3" t="s">
        <v>2531</v>
      </c>
      <c r="AN566" s="35" t="s">
        <v>2877</v>
      </c>
      <c r="AO566" s="24">
        <v>0.003449074074074074</v>
      </c>
      <c r="AP566" s="74" t="s">
        <v>2875</v>
      </c>
      <c r="AQ566" s="7" t="s">
        <v>633</v>
      </c>
      <c r="AR566" s="35" t="s">
        <v>2878</v>
      </c>
      <c r="AS566" s="7" t="b">
        <f>NOT(ISERROR(MATCH(A566,'Villages according to موسوعة ال'!C:C,0)))</f>
        <v>1</v>
      </c>
      <c r="AT566" s="25"/>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row>
    <row r="567">
      <c r="A567" s="3" t="s">
        <v>2869</v>
      </c>
      <c r="B567" s="43" t="s">
        <v>2870</v>
      </c>
      <c r="F567" s="7"/>
      <c r="G567" s="28"/>
      <c r="K567" s="47"/>
      <c r="L567" s="47"/>
      <c r="M567" s="48" t="b">
        <v>0</v>
      </c>
      <c r="N567" s="48" t="b">
        <v>0</v>
      </c>
      <c r="O567" s="48"/>
      <c r="P567" s="48" t="b">
        <v>0</v>
      </c>
      <c r="Q567" s="48" t="b">
        <v>0</v>
      </c>
      <c r="R567" s="48" t="b">
        <v>0</v>
      </c>
      <c r="S567" s="48"/>
      <c r="T567" s="32"/>
      <c r="U567" s="48" t="b">
        <v>0</v>
      </c>
      <c r="V567" s="48"/>
      <c r="W567" s="48" t="b">
        <v>0</v>
      </c>
      <c r="X567" s="48" t="b">
        <v>0</v>
      </c>
      <c r="Y567" s="48"/>
      <c r="Z567" s="48"/>
      <c r="AA567" s="48"/>
      <c r="AB567" s="48"/>
      <c r="AC567" s="49"/>
      <c r="AD567" s="48"/>
      <c r="AE567" s="48"/>
      <c r="AF567" s="48"/>
      <c r="AG567" s="48"/>
      <c r="AH567" s="48"/>
      <c r="AI567" s="48"/>
      <c r="AJ567" s="3" t="s">
        <v>2879</v>
      </c>
      <c r="AK567" s="34" t="s">
        <v>631</v>
      </c>
      <c r="AL567" s="3" t="s">
        <v>937</v>
      </c>
      <c r="AM567" s="3"/>
      <c r="AN567" s="35" t="s">
        <v>2880</v>
      </c>
      <c r="AO567" s="24">
        <v>0.0042361111111111115</v>
      </c>
      <c r="AP567" s="74" t="s">
        <v>2875</v>
      </c>
      <c r="AQ567" s="7" t="s">
        <v>633</v>
      </c>
      <c r="AR567" s="7" t="s">
        <v>633</v>
      </c>
      <c r="AS567" s="7" t="b">
        <f>NOT(ISERROR(MATCH(A567,'Villages according to موسوعة ال'!C:C,0)))</f>
        <v>1</v>
      </c>
      <c r="AT567" s="25"/>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row>
    <row r="568">
      <c r="A568" s="3" t="s">
        <v>2869</v>
      </c>
      <c r="B568" s="43" t="s">
        <v>2870</v>
      </c>
      <c r="E568" s="85" t="s">
        <v>2707</v>
      </c>
      <c r="F568" s="85" t="s">
        <v>959</v>
      </c>
      <c r="G568" s="117"/>
      <c r="H568" s="7" t="s">
        <v>2881</v>
      </c>
      <c r="I568" s="7" t="s">
        <v>638</v>
      </c>
      <c r="J568" s="7" t="s">
        <v>2882</v>
      </c>
      <c r="K568" s="47"/>
      <c r="L568" s="47"/>
      <c r="M568" s="48" t="b">
        <v>0</v>
      </c>
      <c r="N568" s="48" t="b">
        <v>0</v>
      </c>
      <c r="O568" s="48"/>
      <c r="P568" s="48" t="b">
        <v>0</v>
      </c>
      <c r="Q568" s="48" t="b">
        <v>0</v>
      </c>
      <c r="R568" s="48" t="b">
        <v>0</v>
      </c>
      <c r="S568" s="48"/>
      <c r="T568" s="32"/>
      <c r="U568" s="48" t="b">
        <v>0</v>
      </c>
      <c r="V568" s="48"/>
      <c r="W568" s="48" t="b">
        <v>0</v>
      </c>
      <c r="X568" s="48" t="b">
        <v>0</v>
      </c>
      <c r="Y568" s="48"/>
      <c r="Z568" s="48"/>
      <c r="AA568" s="48"/>
      <c r="AB568" s="48"/>
      <c r="AC568" s="49"/>
      <c r="AD568" s="48"/>
      <c r="AE568" s="48"/>
      <c r="AF568" s="48"/>
      <c r="AG568" s="48"/>
      <c r="AH568" s="48"/>
      <c r="AI568" s="48"/>
      <c r="AJ568" s="3"/>
      <c r="AK568" s="34" t="s">
        <v>631</v>
      </c>
      <c r="AL568" s="25"/>
      <c r="AM568" s="25"/>
      <c r="AN568" s="35" t="s">
        <v>2874</v>
      </c>
      <c r="AO568" s="24">
        <v>0.0017013888888888888</v>
      </c>
      <c r="AP568" s="74" t="s">
        <v>2875</v>
      </c>
      <c r="AQ568" s="7" t="s">
        <v>633</v>
      </c>
      <c r="AR568" s="7" t="s">
        <v>633</v>
      </c>
      <c r="AS568" s="7" t="b">
        <f>NOT(ISERROR(MATCH(A568,'Villages according to موسوعة ال'!C:C,0)))</f>
        <v>1</v>
      </c>
      <c r="AT568" s="25"/>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row>
    <row r="569">
      <c r="A569" s="7" t="s">
        <v>633</v>
      </c>
      <c r="B569" s="127" t="s">
        <v>2883</v>
      </c>
      <c r="C569" s="4" t="s">
        <v>2883</v>
      </c>
      <c r="D569" s="4" t="s">
        <v>633</v>
      </c>
      <c r="E569" s="85" t="s">
        <v>2707</v>
      </c>
      <c r="F569" s="85" t="s">
        <v>959</v>
      </c>
      <c r="G569" s="117"/>
      <c r="H569" s="4" t="s">
        <v>633</v>
      </c>
      <c r="I569" s="4" t="s">
        <v>638</v>
      </c>
      <c r="J569" s="4" t="s">
        <v>2884</v>
      </c>
      <c r="K569" s="123"/>
      <c r="L569" s="123"/>
      <c r="M569" s="124" t="b">
        <v>0</v>
      </c>
      <c r="N569" s="124" t="b">
        <v>0</v>
      </c>
      <c r="O569" s="124"/>
      <c r="P569" s="124" t="b">
        <v>0</v>
      </c>
      <c r="Q569" s="124" t="b">
        <v>0</v>
      </c>
      <c r="R569" s="124" t="b">
        <v>0</v>
      </c>
      <c r="S569" s="124"/>
      <c r="T569" s="32"/>
      <c r="U569" s="124" t="b">
        <v>0</v>
      </c>
      <c r="V569" s="124"/>
      <c r="W569" s="124" t="b">
        <v>0</v>
      </c>
      <c r="X569" s="124" t="b">
        <v>0</v>
      </c>
      <c r="Y569" s="124"/>
      <c r="Z569" s="124"/>
      <c r="AA569" s="124"/>
      <c r="AB569" s="124"/>
      <c r="AC569" s="125"/>
      <c r="AD569" s="124"/>
      <c r="AE569" s="124"/>
      <c r="AF569" s="124"/>
      <c r="AG569" s="124"/>
      <c r="AH569" s="124"/>
      <c r="AI569" s="124"/>
      <c r="AJ569" s="3" t="s">
        <v>2885</v>
      </c>
      <c r="AK569" s="34" t="s">
        <v>636</v>
      </c>
      <c r="AL569" s="37"/>
      <c r="AM569" s="37"/>
      <c r="AN569" s="126" t="s">
        <v>2886</v>
      </c>
      <c r="AO569" s="24">
        <v>0.018819444444444444</v>
      </c>
      <c r="AP569" s="131" t="s">
        <v>2887</v>
      </c>
      <c r="AQ569" s="4" t="s">
        <v>633</v>
      </c>
      <c r="AR569" s="4" t="s">
        <v>633</v>
      </c>
      <c r="AS569" s="7" t="b">
        <f>NOT(ISERROR(MATCH(A569,'Villages according to موسوعة ال'!C:C,0)))</f>
        <v>0</v>
      </c>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row>
    <row r="570">
      <c r="A570" s="7" t="s">
        <v>633</v>
      </c>
      <c r="B570" s="43" t="s">
        <v>2888</v>
      </c>
      <c r="C570" s="7" t="s">
        <v>2888</v>
      </c>
      <c r="D570" s="7" t="s">
        <v>633</v>
      </c>
      <c r="E570" s="85" t="s">
        <v>2707</v>
      </c>
      <c r="F570" s="85" t="s">
        <v>959</v>
      </c>
      <c r="G570" s="117"/>
      <c r="H570" s="7" t="s">
        <v>633</v>
      </c>
      <c r="I570" s="7" t="s">
        <v>638</v>
      </c>
      <c r="J570" s="7" t="s">
        <v>2889</v>
      </c>
      <c r="K570" s="47"/>
      <c r="L570" s="47"/>
      <c r="M570" s="48" t="b">
        <v>0</v>
      </c>
      <c r="N570" s="48" t="b">
        <v>0</v>
      </c>
      <c r="O570" s="48"/>
      <c r="P570" s="48" t="b">
        <v>0</v>
      </c>
      <c r="Q570" s="48" t="b">
        <v>0</v>
      </c>
      <c r="R570" s="48" t="b">
        <v>0</v>
      </c>
      <c r="S570" s="48"/>
      <c r="T570" s="32"/>
      <c r="U570" s="48" t="b">
        <v>0</v>
      </c>
      <c r="V570" s="48"/>
      <c r="W570" s="48" t="b">
        <v>0</v>
      </c>
      <c r="X570" s="48" t="b">
        <v>0</v>
      </c>
      <c r="Y570" s="48"/>
      <c r="Z570" s="48"/>
      <c r="AA570" s="48"/>
      <c r="AB570" s="48"/>
      <c r="AC570" s="49"/>
      <c r="AD570" s="48"/>
      <c r="AE570" s="48"/>
      <c r="AF570" s="48"/>
      <c r="AG570" s="48"/>
      <c r="AH570" s="48"/>
      <c r="AI570" s="48"/>
      <c r="AJ570" s="3" t="s">
        <v>2885</v>
      </c>
      <c r="AK570" s="34" t="s">
        <v>631</v>
      </c>
      <c r="AL570" s="25"/>
      <c r="AM570" s="25"/>
      <c r="AN570" s="35" t="s">
        <v>2890</v>
      </c>
      <c r="AO570" s="24">
        <v>0.0018287037037037037</v>
      </c>
      <c r="AP570" s="74" t="s">
        <v>2891</v>
      </c>
      <c r="AQ570" s="7" t="s">
        <v>633</v>
      </c>
      <c r="AR570" s="7" t="s">
        <v>633</v>
      </c>
      <c r="AS570" s="7" t="b">
        <f>NOT(ISERROR(MATCH(A570,'Villages according to موسوعة ال'!C:C,0)))</f>
        <v>0</v>
      </c>
      <c r="AT570" s="25"/>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row>
    <row r="571">
      <c r="A571" s="7" t="s">
        <v>633</v>
      </c>
      <c r="B571" s="43" t="s">
        <v>2892</v>
      </c>
      <c r="C571" s="7" t="s">
        <v>2892</v>
      </c>
      <c r="D571" s="7" t="s">
        <v>633</v>
      </c>
      <c r="E571" s="85" t="s">
        <v>2707</v>
      </c>
      <c r="F571" s="7" t="s">
        <v>959</v>
      </c>
      <c r="G571" s="28"/>
      <c r="H571" s="7" t="s">
        <v>633</v>
      </c>
      <c r="I571" s="7" t="s">
        <v>638</v>
      </c>
      <c r="J571" s="7" t="s">
        <v>2893</v>
      </c>
      <c r="K571" s="47"/>
      <c r="L571" s="47"/>
      <c r="M571" s="48" t="b">
        <v>0</v>
      </c>
      <c r="N571" s="48" t="b">
        <v>0</v>
      </c>
      <c r="O571" s="48"/>
      <c r="P571" s="48" t="b">
        <v>0</v>
      </c>
      <c r="Q571" s="48" t="b">
        <v>0</v>
      </c>
      <c r="R571" s="48" t="b">
        <v>0</v>
      </c>
      <c r="S571" s="48"/>
      <c r="T571" s="32"/>
      <c r="U571" s="48" t="b">
        <v>0</v>
      </c>
      <c r="V571" s="48"/>
      <c r="W571" s="48" t="b">
        <v>0</v>
      </c>
      <c r="X571" s="48" t="b">
        <v>0</v>
      </c>
      <c r="Y571" s="48"/>
      <c r="Z571" s="48"/>
      <c r="AA571" s="48"/>
      <c r="AB571" s="48"/>
      <c r="AC571" s="49"/>
      <c r="AD571" s="48"/>
      <c r="AE571" s="48"/>
      <c r="AF571" s="48"/>
      <c r="AG571" s="48"/>
      <c r="AH571" s="48"/>
      <c r="AI571" s="48"/>
      <c r="AJ571" s="3" t="s">
        <v>2894</v>
      </c>
      <c r="AK571" s="34" t="s">
        <v>631</v>
      </c>
      <c r="AL571" s="25"/>
      <c r="AM571" s="25"/>
      <c r="AN571" s="35" t="s">
        <v>2895</v>
      </c>
      <c r="AO571" s="24">
        <v>0.010555555555555556</v>
      </c>
      <c r="AP571" s="74" t="s">
        <v>2887</v>
      </c>
      <c r="AQ571" s="7" t="s">
        <v>633</v>
      </c>
      <c r="AR571" s="7" t="s">
        <v>633</v>
      </c>
      <c r="AS571" s="7" t="b">
        <f>NOT(ISERROR(MATCH(A571,'Villages according to موسوعة ال'!C:C,0)))</f>
        <v>0</v>
      </c>
      <c r="AT571" s="25"/>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row>
    <row r="572">
      <c r="A572" s="7" t="s">
        <v>633</v>
      </c>
      <c r="B572" s="127" t="s">
        <v>2896</v>
      </c>
      <c r="C572" s="4" t="s">
        <v>2896</v>
      </c>
      <c r="D572" s="4" t="s">
        <v>2897</v>
      </c>
      <c r="E572" s="85" t="s">
        <v>2707</v>
      </c>
      <c r="F572" s="4" t="s">
        <v>959</v>
      </c>
      <c r="G572" s="132"/>
      <c r="H572" s="4" t="s">
        <v>633</v>
      </c>
      <c r="I572" s="4" t="s">
        <v>616</v>
      </c>
      <c r="J572" s="4" t="s">
        <v>2898</v>
      </c>
      <c r="K572" s="123"/>
      <c r="L572" s="123"/>
      <c r="M572" s="124" t="b">
        <v>0</v>
      </c>
      <c r="N572" s="124" t="b">
        <v>0</v>
      </c>
      <c r="O572" s="124"/>
      <c r="P572" s="124" t="b">
        <v>0</v>
      </c>
      <c r="Q572" s="124" t="b">
        <v>0</v>
      </c>
      <c r="R572" s="124" t="b">
        <v>0</v>
      </c>
      <c r="S572" s="124"/>
      <c r="T572" s="32"/>
      <c r="U572" s="124" t="b">
        <v>0</v>
      </c>
      <c r="V572" s="124"/>
      <c r="W572" s="124" t="b">
        <v>0</v>
      </c>
      <c r="X572" s="124" t="b">
        <v>0</v>
      </c>
      <c r="Y572" s="124"/>
      <c r="Z572" s="124"/>
      <c r="AA572" s="124"/>
      <c r="AB572" s="124"/>
      <c r="AC572" s="125"/>
      <c r="AD572" s="124"/>
      <c r="AE572" s="124"/>
      <c r="AF572" s="124"/>
      <c r="AG572" s="124"/>
      <c r="AH572" s="124"/>
      <c r="AI572" s="124"/>
      <c r="AJ572" s="1"/>
      <c r="AK572" s="50"/>
      <c r="AL572" s="37"/>
      <c r="AM572" s="37"/>
      <c r="AN572" s="126" t="s">
        <v>2899</v>
      </c>
      <c r="AO572" s="24">
        <v>0.10840277777777778</v>
      </c>
      <c r="AP572" s="131" t="s">
        <v>2900</v>
      </c>
      <c r="AQ572" s="4" t="s">
        <v>633</v>
      </c>
      <c r="AR572" s="4" t="s">
        <v>633</v>
      </c>
      <c r="AS572" s="7" t="b">
        <f>NOT(ISERROR(MATCH(A572,'Villages according to موسوعة ال'!C:C,0)))</f>
        <v>0</v>
      </c>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row>
    <row r="573">
      <c r="A573" s="7" t="s">
        <v>633</v>
      </c>
      <c r="B573" s="127" t="s">
        <v>2901</v>
      </c>
      <c r="C573" s="4" t="s">
        <v>2901</v>
      </c>
      <c r="D573" s="4" t="s">
        <v>2902</v>
      </c>
      <c r="E573" s="85" t="s">
        <v>2707</v>
      </c>
      <c r="F573" s="4" t="s">
        <v>959</v>
      </c>
      <c r="G573" s="132"/>
      <c r="H573" s="4" t="s">
        <v>2903</v>
      </c>
      <c r="I573" s="4" t="s">
        <v>638</v>
      </c>
      <c r="J573" s="4" t="s">
        <v>2904</v>
      </c>
      <c r="K573" s="123"/>
      <c r="L573" s="123"/>
      <c r="M573" s="124" t="b">
        <v>0</v>
      </c>
      <c r="N573" s="124" t="b">
        <v>0</v>
      </c>
      <c r="O573" s="124"/>
      <c r="P573" s="124" t="b">
        <v>0</v>
      </c>
      <c r="Q573" s="124" t="b">
        <v>0</v>
      </c>
      <c r="R573" s="124" t="b">
        <v>0</v>
      </c>
      <c r="S573" s="124"/>
      <c r="T573" s="32"/>
      <c r="U573" s="124" t="b">
        <v>0</v>
      </c>
      <c r="V573" s="124"/>
      <c r="W573" s="124" t="b">
        <v>0</v>
      </c>
      <c r="X573" s="124" t="b">
        <v>0</v>
      </c>
      <c r="Y573" s="124"/>
      <c r="Z573" s="124"/>
      <c r="AA573" s="124"/>
      <c r="AB573" s="124"/>
      <c r="AC573" s="125"/>
      <c r="AD573" s="124"/>
      <c r="AE573" s="124"/>
      <c r="AF573" s="124"/>
      <c r="AG573" s="124"/>
      <c r="AH573" s="124"/>
      <c r="AI573" s="124"/>
      <c r="AJ573" s="1" t="s">
        <v>2885</v>
      </c>
      <c r="AK573" s="34" t="s">
        <v>636</v>
      </c>
      <c r="AL573" s="37"/>
      <c r="AM573" s="37"/>
      <c r="AN573" s="126" t="s">
        <v>2905</v>
      </c>
      <c r="AO573" s="24">
        <v>0.005891203703703704</v>
      </c>
      <c r="AP573" s="131" t="s">
        <v>2906</v>
      </c>
      <c r="AQ573" s="4" t="s">
        <v>633</v>
      </c>
      <c r="AR573" s="4" t="s">
        <v>633</v>
      </c>
      <c r="AS573" s="7" t="b">
        <f>NOT(ISERROR(MATCH(A573,'Villages according to موسوعة ال'!C:C,0)))</f>
        <v>0</v>
      </c>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row>
    <row r="574">
      <c r="A574" s="7" t="s">
        <v>633</v>
      </c>
      <c r="B574" s="127" t="s">
        <v>2907</v>
      </c>
      <c r="C574" s="133" t="s">
        <v>2907</v>
      </c>
      <c r="D574" s="37"/>
      <c r="E574" s="4" t="s">
        <v>900</v>
      </c>
      <c r="F574" s="4" t="s">
        <v>633</v>
      </c>
      <c r="G574" s="132"/>
      <c r="H574" s="4" t="s">
        <v>633</v>
      </c>
      <c r="I574" s="4" t="s">
        <v>638</v>
      </c>
      <c r="J574" s="4" t="s">
        <v>2908</v>
      </c>
      <c r="K574" s="123"/>
      <c r="L574" s="123"/>
      <c r="M574" s="124" t="b">
        <v>0</v>
      </c>
      <c r="N574" s="124" t="b">
        <v>0</v>
      </c>
      <c r="O574" s="124"/>
      <c r="P574" s="124" t="b">
        <v>0</v>
      </c>
      <c r="Q574" s="124" t="b">
        <v>0</v>
      </c>
      <c r="R574" s="124" t="b">
        <v>0</v>
      </c>
      <c r="S574" s="124"/>
      <c r="T574" s="32"/>
      <c r="U574" s="124" t="b">
        <v>0</v>
      </c>
      <c r="V574" s="124"/>
      <c r="W574" s="124" t="b">
        <v>0</v>
      </c>
      <c r="X574" s="124" t="b">
        <v>0</v>
      </c>
      <c r="Y574" s="124"/>
      <c r="Z574" s="124"/>
      <c r="AA574" s="124"/>
      <c r="AB574" s="124"/>
      <c r="AC574" s="125"/>
      <c r="AD574" s="124"/>
      <c r="AE574" s="124"/>
      <c r="AF574" s="124"/>
      <c r="AG574" s="124"/>
      <c r="AH574" s="124"/>
      <c r="AI574" s="124"/>
      <c r="AJ574" s="37"/>
      <c r="AK574" s="34" t="s">
        <v>636</v>
      </c>
      <c r="AL574" s="37"/>
      <c r="AM574" s="37"/>
      <c r="AN574" s="126" t="s">
        <v>2909</v>
      </c>
      <c r="AO574" s="24">
        <v>3.472222222222222E-5</v>
      </c>
      <c r="AP574" s="131" t="s">
        <v>633</v>
      </c>
      <c r="AQ574" s="4" t="s">
        <v>633</v>
      </c>
      <c r="AR574" s="4" t="s">
        <v>633</v>
      </c>
      <c r="AS574" s="7" t="b">
        <f>NOT(ISERROR(MATCH(A574,'Villages according to موسوعة ال'!C:C,0)))</f>
        <v>0</v>
      </c>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row>
    <row r="575">
      <c r="A575" s="7" t="s">
        <v>633</v>
      </c>
      <c r="B575" s="127" t="s">
        <v>2907</v>
      </c>
      <c r="E575" s="4" t="s">
        <v>900</v>
      </c>
      <c r="G575" s="132"/>
      <c r="K575" s="123"/>
      <c r="L575" s="123"/>
      <c r="M575" s="124" t="b">
        <v>0</v>
      </c>
      <c r="N575" s="124" t="b">
        <v>0</v>
      </c>
      <c r="O575" s="124"/>
      <c r="P575" s="124" t="b">
        <v>0</v>
      </c>
      <c r="Q575" s="124" t="b">
        <v>0</v>
      </c>
      <c r="R575" s="124" t="b">
        <v>0</v>
      </c>
      <c r="S575" s="124"/>
      <c r="T575" s="32"/>
      <c r="U575" s="124" t="b">
        <v>0</v>
      </c>
      <c r="V575" s="124"/>
      <c r="W575" s="124" t="b">
        <v>0</v>
      </c>
      <c r="X575" s="124" t="b">
        <v>0</v>
      </c>
      <c r="Y575" s="124"/>
      <c r="Z575" s="124"/>
      <c r="AA575" s="124"/>
      <c r="AB575" s="124"/>
      <c r="AC575" s="125"/>
      <c r="AD575" s="124"/>
      <c r="AE575" s="124"/>
      <c r="AF575" s="124"/>
      <c r="AG575" s="124"/>
      <c r="AH575" s="124"/>
      <c r="AI575" s="124"/>
      <c r="AJ575" s="37"/>
      <c r="AK575" s="34" t="s">
        <v>636</v>
      </c>
      <c r="AL575" s="37"/>
      <c r="AM575" s="37"/>
      <c r="AN575" s="126" t="s">
        <v>2910</v>
      </c>
      <c r="AO575" s="24">
        <v>2.0833333333333335E-4</v>
      </c>
      <c r="AP575" s="131" t="s">
        <v>633</v>
      </c>
      <c r="AQ575" s="4" t="s">
        <v>633</v>
      </c>
      <c r="AR575" s="4" t="s">
        <v>633</v>
      </c>
      <c r="AS575" s="7" t="b">
        <f>NOT(ISERROR(MATCH(A575,'Villages according to موسوعة ال'!C:C,0)))</f>
        <v>0</v>
      </c>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row>
    <row r="576">
      <c r="A576" s="7" t="s">
        <v>633</v>
      </c>
      <c r="B576" s="127" t="s">
        <v>2907</v>
      </c>
      <c r="E576" s="4" t="s">
        <v>900</v>
      </c>
      <c r="G576" s="132"/>
      <c r="K576" s="123"/>
      <c r="L576" s="123"/>
      <c r="M576" s="124" t="b">
        <v>0</v>
      </c>
      <c r="N576" s="124" t="b">
        <v>0</v>
      </c>
      <c r="O576" s="124"/>
      <c r="P576" s="124" t="b">
        <v>0</v>
      </c>
      <c r="Q576" s="124" t="b">
        <v>0</v>
      </c>
      <c r="R576" s="124" t="b">
        <v>0</v>
      </c>
      <c r="S576" s="124"/>
      <c r="T576" s="32"/>
      <c r="U576" s="124" t="b">
        <v>0</v>
      </c>
      <c r="V576" s="124"/>
      <c r="W576" s="124" t="b">
        <v>0</v>
      </c>
      <c r="X576" s="124" t="b">
        <v>0</v>
      </c>
      <c r="Y576" s="124"/>
      <c r="Z576" s="124"/>
      <c r="AA576" s="124"/>
      <c r="AB576" s="124"/>
      <c r="AC576" s="125"/>
      <c r="AD576" s="124"/>
      <c r="AE576" s="124"/>
      <c r="AF576" s="124"/>
      <c r="AG576" s="124"/>
      <c r="AH576" s="124"/>
      <c r="AI576" s="124"/>
      <c r="AJ576" s="37"/>
      <c r="AK576" s="34" t="s">
        <v>636</v>
      </c>
      <c r="AL576" s="37"/>
      <c r="AM576" s="37"/>
      <c r="AN576" s="126" t="s">
        <v>2911</v>
      </c>
      <c r="AO576" s="24">
        <v>3.472222222222222E-5</v>
      </c>
      <c r="AP576" s="131" t="s">
        <v>633</v>
      </c>
      <c r="AQ576" s="4" t="s">
        <v>633</v>
      </c>
      <c r="AR576" s="4" t="s">
        <v>633</v>
      </c>
      <c r="AS576" s="7" t="b">
        <f>NOT(ISERROR(MATCH(A576,'Villages according to موسوعة ال'!C:C,0)))</f>
        <v>0</v>
      </c>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row>
    <row r="577">
      <c r="A577" s="7" t="s">
        <v>633</v>
      </c>
      <c r="B577" s="127" t="s">
        <v>2907</v>
      </c>
      <c r="E577" s="37"/>
      <c r="F577" s="37"/>
      <c r="G577" s="122"/>
      <c r="H577" s="37"/>
      <c r="I577" s="4" t="s">
        <v>638</v>
      </c>
      <c r="J577" s="4" t="s">
        <v>2912</v>
      </c>
      <c r="K577" s="123"/>
      <c r="L577" s="123"/>
      <c r="M577" s="124" t="b">
        <v>0</v>
      </c>
      <c r="N577" s="124" t="b">
        <v>0</v>
      </c>
      <c r="O577" s="124"/>
      <c r="P577" s="124" t="b">
        <v>0</v>
      </c>
      <c r="Q577" s="124" t="b">
        <v>0</v>
      </c>
      <c r="R577" s="124" t="b">
        <v>0</v>
      </c>
      <c r="S577" s="124"/>
      <c r="T577" s="32"/>
      <c r="U577" s="124" t="b">
        <v>0</v>
      </c>
      <c r="V577" s="124"/>
      <c r="W577" s="124" t="b">
        <v>0</v>
      </c>
      <c r="X577" s="124" t="b">
        <v>0</v>
      </c>
      <c r="Y577" s="124"/>
      <c r="Z577" s="124"/>
      <c r="AA577" s="124"/>
      <c r="AB577" s="124"/>
      <c r="AC577" s="125"/>
      <c r="AD577" s="124"/>
      <c r="AE577" s="124"/>
      <c r="AF577" s="124"/>
      <c r="AG577" s="124"/>
      <c r="AH577" s="124"/>
      <c r="AI577" s="124"/>
      <c r="AJ577" s="37"/>
      <c r="AK577" s="50"/>
      <c r="AL577" s="37"/>
      <c r="AM577" s="37"/>
      <c r="AN577" s="126" t="s">
        <v>2913</v>
      </c>
      <c r="AO577" s="24">
        <v>4.6296296296296294E-5</v>
      </c>
      <c r="AP577" s="131" t="s">
        <v>633</v>
      </c>
      <c r="AQ577" s="4" t="s">
        <v>633</v>
      </c>
      <c r="AR577" s="4" t="s">
        <v>633</v>
      </c>
      <c r="AS577" s="7" t="b">
        <f>NOT(ISERROR(MATCH(A577,'Villages according to موسوعة ال'!C:C,0)))</f>
        <v>0</v>
      </c>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row>
    <row r="578">
      <c r="A578" s="7" t="s">
        <v>315</v>
      </c>
      <c r="B578" s="43" t="s">
        <v>316</v>
      </c>
      <c r="C578" s="7" t="s">
        <v>316</v>
      </c>
      <c r="D578" s="7" t="s">
        <v>317</v>
      </c>
      <c r="E578" s="25"/>
      <c r="F578" s="7" t="s">
        <v>633</v>
      </c>
      <c r="G578" s="28"/>
      <c r="H578" s="7" t="s">
        <v>2914</v>
      </c>
      <c r="I578" s="7" t="s">
        <v>616</v>
      </c>
      <c r="J578" s="7" t="s">
        <v>2915</v>
      </c>
      <c r="K578" s="47"/>
      <c r="L578" s="47"/>
      <c r="M578" s="48" t="b">
        <v>0</v>
      </c>
      <c r="N578" s="48" t="b">
        <v>0</v>
      </c>
      <c r="O578" s="48"/>
      <c r="P578" s="48" t="b">
        <v>0</v>
      </c>
      <c r="Q578" s="48" t="b">
        <v>0</v>
      </c>
      <c r="R578" s="48" t="b">
        <v>0</v>
      </c>
      <c r="S578" s="48"/>
      <c r="T578" s="60"/>
      <c r="U578" s="48" t="b">
        <v>0</v>
      </c>
      <c r="V578" s="48"/>
      <c r="W578" s="48" t="b">
        <v>0</v>
      </c>
      <c r="X578" s="48" t="b">
        <v>0</v>
      </c>
      <c r="Y578" s="48"/>
      <c r="Z578" s="48"/>
      <c r="AA578" s="48"/>
      <c r="AB578" s="48"/>
      <c r="AC578" s="49"/>
      <c r="AD578" s="48"/>
      <c r="AE578" s="48"/>
      <c r="AF578" s="48"/>
      <c r="AG578" s="48"/>
      <c r="AH578" s="48"/>
      <c r="AI578" s="48"/>
      <c r="AJ578" s="81" t="s">
        <v>2916</v>
      </c>
      <c r="AK578" s="34" t="s">
        <v>698</v>
      </c>
      <c r="AL578" s="25"/>
      <c r="AM578" s="25"/>
      <c r="AN578" s="35" t="s">
        <v>2917</v>
      </c>
      <c r="AO578" s="24">
        <v>0.002766203703703704</v>
      </c>
      <c r="AP578" s="74" t="s">
        <v>633</v>
      </c>
      <c r="AQ578" s="73">
        <v>37438.0</v>
      </c>
      <c r="AR578" s="35" t="s">
        <v>2918</v>
      </c>
      <c r="AS578" s="7" t="b">
        <f>NOT(ISERROR(MATCH(A578,'Villages according to موسوعة ال'!C:C,0)))</f>
        <v>1</v>
      </c>
      <c r="AT578" s="25"/>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row>
    <row r="579">
      <c r="A579" s="7" t="s">
        <v>315</v>
      </c>
      <c r="B579" s="26" t="s">
        <v>316</v>
      </c>
      <c r="E579" s="37"/>
      <c r="F579" s="37"/>
      <c r="G579" s="122"/>
      <c r="K579" s="128"/>
      <c r="L579" s="134"/>
      <c r="M579" s="135" t="b">
        <v>0</v>
      </c>
      <c r="N579" s="135" t="b">
        <v>0</v>
      </c>
      <c r="O579" s="135"/>
      <c r="P579" s="135" t="b">
        <v>0</v>
      </c>
      <c r="Q579" s="135" t="b">
        <v>0</v>
      </c>
      <c r="R579" s="135" t="b">
        <v>0</v>
      </c>
      <c r="S579" s="135"/>
      <c r="T579" s="32"/>
      <c r="U579" s="135" t="b">
        <v>0</v>
      </c>
      <c r="V579" s="135"/>
      <c r="W579" s="135" t="b">
        <v>0</v>
      </c>
      <c r="X579" s="135" t="b">
        <v>0</v>
      </c>
      <c r="Y579" s="135"/>
      <c r="Z579" s="135"/>
      <c r="AA579" s="135"/>
      <c r="AB579" s="135"/>
      <c r="AC579" s="136"/>
      <c r="AD579" s="135"/>
      <c r="AE579" s="135"/>
      <c r="AF579" s="135"/>
      <c r="AG579" s="135"/>
      <c r="AH579" s="135"/>
      <c r="AI579" s="135"/>
      <c r="AJ579" s="1"/>
      <c r="AK579" s="34"/>
      <c r="AL579" s="37"/>
      <c r="AM579" s="37"/>
      <c r="AN579" s="126" t="s">
        <v>2919</v>
      </c>
      <c r="AO579" s="24">
        <v>0.006666666666666667</v>
      </c>
      <c r="AP579" s="131" t="s">
        <v>633</v>
      </c>
      <c r="AQ579" s="137">
        <v>37439.0</v>
      </c>
      <c r="AR579" s="7" t="s">
        <v>633</v>
      </c>
      <c r="AS579" s="7" t="b">
        <f>NOT(ISERROR(MATCH(A579,'Villages according to موسوعة ال'!C:C,0)))</f>
        <v>1</v>
      </c>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row>
    <row r="580">
      <c r="A580" s="7" t="s">
        <v>315</v>
      </c>
      <c r="B580" s="26" t="s">
        <v>316</v>
      </c>
      <c r="E580" s="37"/>
      <c r="F580" s="37"/>
      <c r="G580" s="122"/>
      <c r="K580" s="128"/>
      <c r="L580" s="134"/>
      <c r="M580" s="135" t="b">
        <v>0</v>
      </c>
      <c r="N580" s="135" t="b">
        <v>0</v>
      </c>
      <c r="O580" s="135"/>
      <c r="P580" s="135" t="b">
        <v>0</v>
      </c>
      <c r="Q580" s="135" t="b">
        <v>0</v>
      </c>
      <c r="R580" s="135" t="b">
        <v>0</v>
      </c>
      <c r="S580" s="135"/>
      <c r="T580" s="32"/>
      <c r="U580" s="135" t="b">
        <v>0</v>
      </c>
      <c r="V580" s="135"/>
      <c r="W580" s="135" t="b">
        <v>0</v>
      </c>
      <c r="X580" s="135" t="b">
        <v>0</v>
      </c>
      <c r="Y580" s="135"/>
      <c r="Z580" s="135"/>
      <c r="AA580" s="135"/>
      <c r="AB580" s="135"/>
      <c r="AC580" s="136"/>
      <c r="AD580" s="135"/>
      <c r="AE580" s="135"/>
      <c r="AF580" s="135"/>
      <c r="AG580" s="135"/>
      <c r="AH580" s="135"/>
      <c r="AI580" s="135"/>
      <c r="AJ580" s="1"/>
      <c r="AK580" s="34"/>
      <c r="AL580" s="37"/>
      <c r="AM580" s="37"/>
      <c r="AN580" s="126" t="s">
        <v>2920</v>
      </c>
      <c r="AO580" s="24">
        <v>0.009652777777777777</v>
      </c>
      <c r="AP580" s="131" t="s">
        <v>633</v>
      </c>
      <c r="AQ580" s="137">
        <v>37440.0</v>
      </c>
      <c r="AR580" s="7" t="s">
        <v>633</v>
      </c>
      <c r="AS580" s="7" t="b">
        <f>NOT(ISERROR(MATCH(A580,'Villages according to موسوعة ال'!C:C,0)))</f>
        <v>1</v>
      </c>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row>
    <row r="581">
      <c r="A581" s="7" t="s">
        <v>315</v>
      </c>
      <c r="B581" s="26" t="s">
        <v>316</v>
      </c>
      <c r="E581" s="37"/>
      <c r="F581" s="37"/>
      <c r="G581" s="122"/>
      <c r="K581" s="128"/>
      <c r="L581" s="134"/>
      <c r="M581" s="135" t="b">
        <v>0</v>
      </c>
      <c r="N581" s="135" t="b">
        <v>0</v>
      </c>
      <c r="O581" s="135"/>
      <c r="P581" s="135" t="b">
        <v>0</v>
      </c>
      <c r="Q581" s="135" t="b">
        <v>0</v>
      </c>
      <c r="R581" s="135" t="b">
        <v>0</v>
      </c>
      <c r="S581" s="135"/>
      <c r="T581" s="32"/>
      <c r="U581" s="135" t="b">
        <v>0</v>
      </c>
      <c r="V581" s="135"/>
      <c r="W581" s="135" t="b">
        <v>0</v>
      </c>
      <c r="X581" s="135" t="b">
        <v>0</v>
      </c>
      <c r="Y581" s="135"/>
      <c r="Z581" s="135"/>
      <c r="AA581" s="135"/>
      <c r="AB581" s="135"/>
      <c r="AC581" s="136"/>
      <c r="AD581" s="135"/>
      <c r="AE581" s="135"/>
      <c r="AF581" s="135"/>
      <c r="AG581" s="135"/>
      <c r="AH581" s="135"/>
      <c r="AI581" s="135"/>
      <c r="AJ581" s="1" t="s">
        <v>2921</v>
      </c>
      <c r="AK581" s="34"/>
      <c r="AL581" s="37"/>
      <c r="AM581" s="37"/>
      <c r="AN581" s="126" t="s">
        <v>2922</v>
      </c>
      <c r="AO581" s="24">
        <v>0.005300925925925926</v>
      </c>
      <c r="AP581" s="131" t="s">
        <v>633</v>
      </c>
      <c r="AQ581" s="137">
        <v>37441.0</v>
      </c>
      <c r="AR581" s="7" t="s">
        <v>633</v>
      </c>
      <c r="AS581" s="7" t="b">
        <f>NOT(ISERROR(MATCH(A581,'Villages according to موسوعة ال'!C:C,0)))</f>
        <v>1</v>
      </c>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row>
    <row r="582">
      <c r="A582" s="7" t="s">
        <v>315</v>
      </c>
      <c r="B582" s="43" t="s">
        <v>316</v>
      </c>
      <c r="E582" s="25"/>
      <c r="F582" s="25"/>
      <c r="G582" s="84"/>
      <c r="H582" s="7" t="s">
        <v>2923</v>
      </c>
      <c r="I582" s="7" t="s">
        <v>638</v>
      </c>
      <c r="J582" s="7" t="s">
        <v>2924</v>
      </c>
      <c r="K582" s="54" t="s">
        <v>2925</v>
      </c>
      <c r="L582" s="30" t="s">
        <v>2926</v>
      </c>
      <c r="M582" s="60" t="b">
        <v>0</v>
      </c>
      <c r="N582" s="60" t="b">
        <v>0</v>
      </c>
      <c r="O582" s="60"/>
      <c r="P582" s="60" t="b">
        <v>0</v>
      </c>
      <c r="Q582" s="60" t="b">
        <v>0</v>
      </c>
      <c r="R582" s="60" t="b">
        <v>0</v>
      </c>
      <c r="S582" s="60"/>
      <c r="T582" s="60"/>
      <c r="U582" s="60" t="b">
        <v>0</v>
      </c>
      <c r="V582" s="60"/>
      <c r="W582" s="60" t="b">
        <v>0</v>
      </c>
      <c r="X582" s="60" t="b">
        <v>0</v>
      </c>
      <c r="Y582" s="60"/>
      <c r="Z582" s="60"/>
      <c r="AA582" s="60"/>
      <c r="AB582" s="60"/>
      <c r="AC582" s="61"/>
      <c r="AD582" s="60"/>
      <c r="AE582" s="60"/>
      <c r="AF582" s="60"/>
      <c r="AG582" s="60"/>
      <c r="AH582" s="60"/>
      <c r="AI582" s="60"/>
      <c r="AJ582" s="3" t="s">
        <v>2927</v>
      </c>
      <c r="AK582" s="34" t="s">
        <v>698</v>
      </c>
      <c r="AL582" s="25"/>
      <c r="AM582" s="25"/>
      <c r="AN582" s="35" t="s">
        <v>2928</v>
      </c>
      <c r="AO582" s="24">
        <v>0.005162037037037037</v>
      </c>
      <c r="AP582" s="74" t="s">
        <v>2628</v>
      </c>
      <c r="AQ582" s="73">
        <v>37377.0</v>
      </c>
      <c r="AR582" s="35" t="s">
        <v>2929</v>
      </c>
      <c r="AS582" s="7" t="b">
        <f>NOT(ISERROR(MATCH(A582,'Villages according to موسوعة ال'!C:C,0)))</f>
        <v>1</v>
      </c>
      <c r="AT582" s="25"/>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row>
    <row r="583">
      <c r="A583" s="7" t="s">
        <v>315</v>
      </c>
      <c r="B583" s="43" t="s">
        <v>316</v>
      </c>
      <c r="E583" s="25"/>
      <c r="F583" s="25"/>
      <c r="G583" s="84"/>
      <c r="K583" s="54" t="s">
        <v>2930</v>
      </c>
      <c r="L583" s="30" t="s">
        <v>2931</v>
      </c>
      <c r="M583" s="60" t="b">
        <v>0</v>
      </c>
      <c r="N583" s="60" t="b">
        <v>0</v>
      </c>
      <c r="O583" s="60"/>
      <c r="P583" s="60" t="b">
        <v>0</v>
      </c>
      <c r="Q583" s="60" t="b">
        <v>0</v>
      </c>
      <c r="R583" s="60" t="b">
        <v>0</v>
      </c>
      <c r="S583" s="60"/>
      <c r="T583" s="60"/>
      <c r="U583" s="60" t="b">
        <v>0</v>
      </c>
      <c r="V583" s="60"/>
      <c r="W583" s="60" t="b">
        <v>0</v>
      </c>
      <c r="X583" s="60" t="b">
        <v>0</v>
      </c>
      <c r="Y583" s="60"/>
      <c r="Z583" s="60"/>
      <c r="AA583" s="60"/>
      <c r="AB583" s="60"/>
      <c r="AC583" s="61"/>
      <c r="AD583" s="60"/>
      <c r="AE583" s="60"/>
      <c r="AF583" s="60"/>
      <c r="AG583" s="60"/>
      <c r="AH583" s="60"/>
      <c r="AI583" s="60"/>
      <c r="AJ583" s="3" t="s">
        <v>2932</v>
      </c>
      <c r="AK583" s="34" t="s">
        <v>698</v>
      </c>
      <c r="AL583" s="25"/>
      <c r="AM583" s="25"/>
      <c r="AN583" s="35" t="s">
        <v>2933</v>
      </c>
      <c r="AO583" s="24">
        <v>0.010497685185185185</v>
      </c>
      <c r="AP583" s="74" t="s">
        <v>2628</v>
      </c>
      <c r="AQ583" s="73">
        <v>37377.0</v>
      </c>
      <c r="AR583" s="35" t="s">
        <v>2934</v>
      </c>
      <c r="AS583" s="7" t="b">
        <f>NOT(ISERROR(MATCH(A583,'Villages according to موسوعة ال'!C:C,0)))</f>
        <v>1</v>
      </c>
      <c r="AT583" s="25"/>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row>
    <row r="584">
      <c r="A584" s="7" t="s">
        <v>315</v>
      </c>
      <c r="B584" s="26" t="s">
        <v>316</v>
      </c>
      <c r="E584" s="37"/>
      <c r="F584" s="37"/>
      <c r="G584" s="122"/>
      <c r="K584" s="128"/>
      <c r="L584" s="134"/>
      <c r="M584" s="135" t="b">
        <v>0</v>
      </c>
      <c r="N584" s="135" t="b">
        <v>0</v>
      </c>
      <c r="O584" s="135"/>
      <c r="P584" s="135" t="b">
        <v>0</v>
      </c>
      <c r="Q584" s="135" t="b">
        <v>0</v>
      </c>
      <c r="R584" s="135" t="b">
        <v>0</v>
      </c>
      <c r="S584" s="135"/>
      <c r="T584" s="32"/>
      <c r="U584" s="135" t="b">
        <v>0</v>
      </c>
      <c r="V584" s="135"/>
      <c r="W584" s="135" t="b">
        <v>0</v>
      </c>
      <c r="X584" s="135" t="b">
        <v>0</v>
      </c>
      <c r="Y584" s="135"/>
      <c r="Z584" s="135"/>
      <c r="AA584" s="135"/>
      <c r="AB584" s="135"/>
      <c r="AC584" s="136"/>
      <c r="AD584" s="135"/>
      <c r="AE584" s="135"/>
      <c r="AF584" s="135"/>
      <c r="AG584" s="135"/>
      <c r="AH584" s="135"/>
      <c r="AI584" s="135"/>
      <c r="AJ584" s="1"/>
      <c r="AK584" s="34"/>
      <c r="AL584" s="37"/>
      <c r="AM584" s="37"/>
      <c r="AN584" s="126" t="s">
        <v>2935</v>
      </c>
      <c r="AO584" s="24">
        <v>0.0023032407407407407</v>
      </c>
      <c r="AP584" s="131" t="s">
        <v>2628</v>
      </c>
      <c r="AQ584" s="137">
        <v>37378.0</v>
      </c>
      <c r="AR584" s="7" t="s">
        <v>633</v>
      </c>
      <c r="AS584" s="7" t="b">
        <f>NOT(ISERROR(MATCH(A584,'Villages according to موسوعة ال'!C:C,0)))</f>
        <v>1</v>
      </c>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row>
    <row r="585">
      <c r="A585" s="7" t="s">
        <v>315</v>
      </c>
      <c r="B585" s="26" t="s">
        <v>316</v>
      </c>
      <c r="E585" s="37"/>
      <c r="F585" s="37"/>
      <c r="G585" s="122"/>
      <c r="K585" s="128"/>
      <c r="L585" s="134"/>
      <c r="M585" s="135" t="b">
        <v>0</v>
      </c>
      <c r="N585" s="135" t="b">
        <v>0</v>
      </c>
      <c r="O585" s="135"/>
      <c r="P585" s="135" t="b">
        <v>0</v>
      </c>
      <c r="Q585" s="135" t="b">
        <v>0</v>
      </c>
      <c r="R585" s="135" t="b">
        <v>0</v>
      </c>
      <c r="S585" s="135"/>
      <c r="T585" s="32"/>
      <c r="U585" s="135" t="b">
        <v>0</v>
      </c>
      <c r="V585" s="135"/>
      <c r="W585" s="135" t="b">
        <v>0</v>
      </c>
      <c r="X585" s="135" t="b">
        <v>0</v>
      </c>
      <c r="Y585" s="135"/>
      <c r="Z585" s="135"/>
      <c r="AA585" s="135"/>
      <c r="AB585" s="135"/>
      <c r="AC585" s="136"/>
      <c r="AD585" s="135"/>
      <c r="AE585" s="135"/>
      <c r="AF585" s="135"/>
      <c r="AG585" s="135"/>
      <c r="AH585" s="135"/>
      <c r="AI585" s="135"/>
      <c r="AJ585" s="1"/>
      <c r="AK585" s="34"/>
      <c r="AL585" s="37"/>
      <c r="AM585" s="37"/>
      <c r="AN585" s="126" t="s">
        <v>2936</v>
      </c>
      <c r="AO585" s="24">
        <v>0.001863425925925926</v>
      </c>
      <c r="AP585" s="131" t="s">
        <v>2628</v>
      </c>
      <c r="AQ585" s="137">
        <v>37379.0</v>
      </c>
      <c r="AR585" s="7" t="s">
        <v>633</v>
      </c>
      <c r="AS585" s="7" t="b">
        <f>NOT(ISERROR(MATCH(A585,'Villages according to موسوعة ال'!C:C,0)))</f>
        <v>1</v>
      </c>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row>
    <row r="586">
      <c r="A586" s="7" t="s">
        <v>315</v>
      </c>
      <c r="B586" s="26" t="s">
        <v>316</v>
      </c>
      <c r="E586" s="37"/>
      <c r="F586" s="37"/>
      <c r="G586" s="122"/>
      <c r="H586" s="4" t="s">
        <v>2937</v>
      </c>
      <c r="I586" s="4" t="s">
        <v>638</v>
      </c>
      <c r="J586" s="4" t="s">
        <v>2938</v>
      </c>
      <c r="K586" s="128"/>
      <c r="L586" s="134"/>
      <c r="M586" s="135" t="b">
        <v>0</v>
      </c>
      <c r="N586" s="135" t="b">
        <v>0</v>
      </c>
      <c r="O586" s="135"/>
      <c r="P586" s="135" t="b">
        <v>0</v>
      </c>
      <c r="Q586" s="135" t="b">
        <v>0</v>
      </c>
      <c r="R586" s="135" t="b">
        <v>0</v>
      </c>
      <c r="S586" s="135"/>
      <c r="T586" s="32"/>
      <c r="U586" s="135" t="b">
        <v>0</v>
      </c>
      <c r="V586" s="135"/>
      <c r="W586" s="135" t="b">
        <v>0</v>
      </c>
      <c r="X586" s="135" t="b">
        <v>0</v>
      </c>
      <c r="Y586" s="135"/>
      <c r="Z586" s="135"/>
      <c r="AA586" s="135"/>
      <c r="AB586" s="135"/>
      <c r="AC586" s="136"/>
      <c r="AD586" s="135"/>
      <c r="AE586" s="135"/>
      <c r="AF586" s="135"/>
      <c r="AG586" s="135"/>
      <c r="AH586" s="135"/>
      <c r="AI586" s="135"/>
      <c r="AJ586" s="1"/>
      <c r="AK586" s="34"/>
      <c r="AL586" s="37"/>
      <c r="AM586" s="37"/>
      <c r="AN586" s="126" t="s">
        <v>2939</v>
      </c>
      <c r="AO586" s="24">
        <v>0.009085648148148148</v>
      </c>
      <c r="AP586" s="131" t="s">
        <v>2940</v>
      </c>
      <c r="AQ586" s="4"/>
      <c r="AR586" s="7" t="s">
        <v>633</v>
      </c>
      <c r="AS586" s="7" t="b">
        <f>NOT(ISERROR(MATCH(A586,'Villages according to موسوعة ال'!C:C,0)))</f>
        <v>1</v>
      </c>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row>
    <row r="587">
      <c r="A587" s="7" t="s">
        <v>2941</v>
      </c>
      <c r="B587" s="43" t="s">
        <v>2942</v>
      </c>
      <c r="C587" s="7" t="s">
        <v>2942</v>
      </c>
      <c r="D587" s="7" t="s">
        <v>2943</v>
      </c>
      <c r="E587" s="25"/>
      <c r="F587" s="25"/>
      <c r="G587" s="84"/>
      <c r="H587" s="7" t="s">
        <v>2944</v>
      </c>
      <c r="I587" s="7" t="s">
        <v>638</v>
      </c>
      <c r="J587" s="7" t="s">
        <v>2945</v>
      </c>
      <c r="K587" s="54" t="s">
        <v>2946</v>
      </c>
      <c r="L587" s="30" t="s">
        <v>2947</v>
      </c>
      <c r="M587" s="60" t="b">
        <v>0</v>
      </c>
      <c r="N587" s="60" t="b">
        <v>0</v>
      </c>
      <c r="O587" s="60"/>
      <c r="P587" s="60" t="b">
        <v>0</v>
      </c>
      <c r="Q587" s="60" t="b">
        <v>0</v>
      </c>
      <c r="R587" s="60" t="b">
        <v>0</v>
      </c>
      <c r="S587" s="60"/>
      <c r="T587" s="60"/>
      <c r="U587" s="60" t="b">
        <v>0</v>
      </c>
      <c r="V587" s="60"/>
      <c r="W587" s="60" t="b">
        <v>0</v>
      </c>
      <c r="X587" s="60" t="b">
        <v>0</v>
      </c>
      <c r="Y587" s="60"/>
      <c r="Z587" s="60"/>
      <c r="AA587" s="60"/>
      <c r="AB587" s="60"/>
      <c r="AC587" s="61"/>
      <c r="AD587" s="60"/>
      <c r="AE587" s="60"/>
      <c r="AF587" s="60"/>
      <c r="AG587" s="60"/>
      <c r="AH587" s="60"/>
      <c r="AI587" s="60"/>
      <c r="AJ587" s="3" t="s">
        <v>2948</v>
      </c>
      <c r="AK587" s="34" t="s">
        <v>698</v>
      </c>
      <c r="AL587" s="25"/>
      <c r="AM587" s="25"/>
      <c r="AN587" s="35" t="s">
        <v>2949</v>
      </c>
      <c r="AO587" s="24">
        <v>0.006944444444444444</v>
      </c>
      <c r="AP587" s="74" t="s">
        <v>2950</v>
      </c>
      <c r="AQ587" s="7">
        <v>2002.0</v>
      </c>
      <c r="AR587" s="35" t="s">
        <v>2951</v>
      </c>
      <c r="AS587" s="7" t="b">
        <f>NOT(ISERROR(MATCH(A587,'Villages according to موسوعة ال'!C:C,0)))</f>
        <v>1</v>
      </c>
      <c r="AT587" s="25"/>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row>
    <row r="588">
      <c r="A588" s="7" t="s">
        <v>2941</v>
      </c>
      <c r="B588" s="43" t="s">
        <v>2942</v>
      </c>
      <c r="E588" s="25"/>
      <c r="F588" s="25"/>
      <c r="G588" s="84"/>
      <c r="H588" s="7" t="s">
        <v>2952</v>
      </c>
      <c r="I588" s="7" t="s">
        <v>638</v>
      </c>
      <c r="J588" s="7" t="s">
        <v>2953</v>
      </c>
      <c r="K588" s="54" t="s">
        <v>2954</v>
      </c>
      <c r="L588" s="30" t="s">
        <v>2955</v>
      </c>
      <c r="M588" s="60" t="b">
        <v>0</v>
      </c>
      <c r="N588" s="60" t="b">
        <v>0</v>
      </c>
      <c r="O588" s="60"/>
      <c r="P588" s="60" t="b">
        <v>0</v>
      </c>
      <c r="Q588" s="60" t="b">
        <v>0</v>
      </c>
      <c r="R588" s="60" t="b">
        <v>0</v>
      </c>
      <c r="S588" s="60"/>
      <c r="T588" s="60"/>
      <c r="U588" s="60" t="b">
        <v>0</v>
      </c>
      <c r="V588" s="60"/>
      <c r="W588" s="60" t="b">
        <v>0</v>
      </c>
      <c r="X588" s="60" t="b">
        <v>0</v>
      </c>
      <c r="Y588" s="60"/>
      <c r="Z588" s="60"/>
      <c r="AA588" s="60"/>
      <c r="AB588" s="60"/>
      <c r="AC588" s="61"/>
      <c r="AD588" s="60"/>
      <c r="AE588" s="60"/>
      <c r="AF588" s="60"/>
      <c r="AG588" s="60"/>
      <c r="AH588" s="60"/>
      <c r="AI588" s="60"/>
      <c r="AJ588" s="25"/>
      <c r="AK588" s="34" t="s">
        <v>698</v>
      </c>
      <c r="AL588" s="25"/>
      <c r="AM588" s="25"/>
      <c r="AN588" s="35" t="s">
        <v>2956</v>
      </c>
      <c r="AO588" s="24">
        <v>7.291666666666667E-4</v>
      </c>
      <c r="AP588" s="74" t="s">
        <v>633</v>
      </c>
      <c r="AQ588" s="7" t="s">
        <v>633</v>
      </c>
      <c r="AR588" s="35" t="s">
        <v>2957</v>
      </c>
      <c r="AS588" s="7" t="b">
        <f>NOT(ISERROR(MATCH(A588,'Villages according to موسوعة ال'!C:C,0)))</f>
        <v>1</v>
      </c>
      <c r="AT588" s="25"/>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row>
    <row r="589">
      <c r="A589" s="7" t="s">
        <v>2941</v>
      </c>
      <c r="B589" s="127" t="s">
        <v>2942</v>
      </c>
      <c r="E589" s="37"/>
      <c r="F589" s="37"/>
      <c r="G589" s="122"/>
      <c r="K589" s="128"/>
      <c r="L589" s="134"/>
      <c r="M589" s="135" t="b">
        <v>0</v>
      </c>
      <c r="N589" s="135" t="b">
        <v>0</v>
      </c>
      <c r="O589" s="135"/>
      <c r="P589" s="135" t="b">
        <v>0</v>
      </c>
      <c r="Q589" s="135" t="b">
        <v>0</v>
      </c>
      <c r="R589" s="135" t="b">
        <v>0</v>
      </c>
      <c r="S589" s="135"/>
      <c r="T589" s="32"/>
      <c r="U589" s="135" t="b">
        <v>0</v>
      </c>
      <c r="V589" s="135"/>
      <c r="W589" s="135" t="b">
        <v>0</v>
      </c>
      <c r="X589" s="135" t="b">
        <v>0</v>
      </c>
      <c r="Y589" s="135"/>
      <c r="Z589" s="135"/>
      <c r="AA589" s="135"/>
      <c r="AB589" s="135"/>
      <c r="AC589" s="136"/>
      <c r="AD589" s="135"/>
      <c r="AE589" s="135"/>
      <c r="AF589" s="135"/>
      <c r="AG589" s="135"/>
      <c r="AH589" s="135"/>
      <c r="AI589" s="135"/>
      <c r="AJ589" s="37"/>
      <c r="AK589" s="34"/>
      <c r="AL589" s="37"/>
      <c r="AM589" s="37"/>
      <c r="AN589" s="126" t="s">
        <v>2958</v>
      </c>
      <c r="AO589" s="24">
        <v>0.0019560185185185184</v>
      </c>
      <c r="AP589" s="131" t="s">
        <v>633</v>
      </c>
      <c r="AQ589" s="4" t="s">
        <v>633</v>
      </c>
      <c r="AR589" s="7" t="s">
        <v>633</v>
      </c>
      <c r="AS589" s="7" t="b">
        <f>NOT(ISERROR(MATCH(A589,'Villages according to موسوعة ال'!C:C,0)))</f>
        <v>1</v>
      </c>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row>
    <row r="590">
      <c r="A590" s="7" t="s">
        <v>2941</v>
      </c>
      <c r="B590" s="127" t="s">
        <v>2942</v>
      </c>
      <c r="E590" s="37"/>
      <c r="F590" s="37"/>
      <c r="G590" s="122"/>
      <c r="K590" s="128"/>
      <c r="L590" s="134"/>
      <c r="M590" s="135" t="b">
        <v>0</v>
      </c>
      <c r="N590" s="135" t="b">
        <v>0</v>
      </c>
      <c r="O590" s="135"/>
      <c r="P590" s="135" t="b">
        <v>0</v>
      </c>
      <c r="Q590" s="135" t="b">
        <v>0</v>
      </c>
      <c r="R590" s="135" t="b">
        <v>0</v>
      </c>
      <c r="S590" s="135"/>
      <c r="T590" s="32"/>
      <c r="U590" s="135" t="b">
        <v>0</v>
      </c>
      <c r="V590" s="135"/>
      <c r="W590" s="135" t="b">
        <v>0</v>
      </c>
      <c r="X590" s="135" t="b">
        <v>0</v>
      </c>
      <c r="Y590" s="135"/>
      <c r="Z590" s="135"/>
      <c r="AA590" s="135"/>
      <c r="AB590" s="135"/>
      <c r="AC590" s="136"/>
      <c r="AD590" s="135"/>
      <c r="AE590" s="135"/>
      <c r="AF590" s="135"/>
      <c r="AG590" s="135"/>
      <c r="AH590" s="135"/>
      <c r="AI590" s="135"/>
      <c r="AJ590" s="37"/>
      <c r="AK590" s="34"/>
      <c r="AL590" s="37"/>
      <c r="AM590" s="37"/>
      <c r="AN590" s="126" t="s">
        <v>2959</v>
      </c>
      <c r="AO590" s="24">
        <v>0.002939814814814815</v>
      </c>
      <c r="AP590" s="131" t="s">
        <v>633</v>
      </c>
      <c r="AQ590" s="4" t="s">
        <v>633</v>
      </c>
      <c r="AR590" s="7" t="s">
        <v>633</v>
      </c>
      <c r="AS590" s="7" t="b">
        <f>NOT(ISERROR(MATCH(A590,'Villages according to موسوعة ال'!C:C,0)))</f>
        <v>1</v>
      </c>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row>
    <row r="591">
      <c r="A591" s="7" t="s">
        <v>2941</v>
      </c>
      <c r="B591" s="127" t="s">
        <v>2942</v>
      </c>
      <c r="E591" s="37"/>
      <c r="F591" s="37"/>
      <c r="G591" s="122"/>
      <c r="K591" s="128"/>
      <c r="L591" s="134"/>
      <c r="M591" s="135" t="b">
        <v>0</v>
      </c>
      <c r="N591" s="135" t="b">
        <v>0</v>
      </c>
      <c r="O591" s="135"/>
      <c r="P591" s="135" t="b">
        <v>0</v>
      </c>
      <c r="Q591" s="135" t="b">
        <v>0</v>
      </c>
      <c r="R591" s="135" t="b">
        <v>0</v>
      </c>
      <c r="S591" s="135"/>
      <c r="T591" s="32"/>
      <c r="U591" s="135" t="b">
        <v>0</v>
      </c>
      <c r="V591" s="135"/>
      <c r="W591" s="135" t="b">
        <v>0</v>
      </c>
      <c r="X591" s="135" t="b">
        <v>0</v>
      </c>
      <c r="Y591" s="135"/>
      <c r="Z591" s="135"/>
      <c r="AA591" s="135"/>
      <c r="AB591" s="135"/>
      <c r="AC591" s="136"/>
      <c r="AD591" s="135"/>
      <c r="AE591" s="135"/>
      <c r="AF591" s="135"/>
      <c r="AG591" s="135"/>
      <c r="AH591" s="135"/>
      <c r="AI591" s="135"/>
      <c r="AJ591" s="37"/>
      <c r="AK591" s="34"/>
      <c r="AL591" s="37"/>
      <c r="AM591" s="37"/>
      <c r="AN591" s="126" t="s">
        <v>2960</v>
      </c>
      <c r="AO591" s="24">
        <v>0.003148148148148148</v>
      </c>
      <c r="AP591" s="131" t="s">
        <v>633</v>
      </c>
      <c r="AQ591" s="4" t="s">
        <v>633</v>
      </c>
      <c r="AR591" s="7" t="s">
        <v>633</v>
      </c>
      <c r="AS591" s="7" t="b">
        <f>NOT(ISERROR(MATCH(A591,'Villages according to موسوعة ال'!C:C,0)))</f>
        <v>1</v>
      </c>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row>
    <row r="592">
      <c r="A592" s="7" t="s">
        <v>2941</v>
      </c>
      <c r="B592" s="127" t="s">
        <v>2942</v>
      </c>
      <c r="E592" s="37"/>
      <c r="F592" s="37"/>
      <c r="G592" s="122"/>
      <c r="K592" s="128"/>
      <c r="L592" s="134"/>
      <c r="M592" s="135" t="b">
        <v>0</v>
      </c>
      <c r="N592" s="135" t="b">
        <v>0</v>
      </c>
      <c r="O592" s="135"/>
      <c r="P592" s="135" t="b">
        <v>0</v>
      </c>
      <c r="Q592" s="135" t="b">
        <v>0</v>
      </c>
      <c r="R592" s="135" t="b">
        <v>0</v>
      </c>
      <c r="S592" s="135"/>
      <c r="T592" s="32"/>
      <c r="U592" s="135" t="b">
        <v>0</v>
      </c>
      <c r="V592" s="135"/>
      <c r="W592" s="135" t="b">
        <v>0</v>
      </c>
      <c r="X592" s="135" t="b">
        <v>0</v>
      </c>
      <c r="Y592" s="135"/>
      <c r="Z592" s="135"/>
      <c r="AA592" s="135"/>
      <c r="AB592" s="135"/>
      <c r="AC592" s="136"/>
      <c r="AD592" s="135"/>
      <c r="AE592" s="135"/>
      <c r="AF592" s="135"/>
      <c r="AG592" s="135"/>
      <c r="AH592" s="135"/>
      <c r="AI592" s="135"/>
      <c r="AJ592" s="37"/>
      <c r="AK592" s="34"/>
      <c r="AL592" s="37"/>
      <c r="AM592" s="37"/>
      <c r="AN592" s="126" t="s">
        <v>2961</v>
      </c>
      <c r="AO592" s="24">
        <v>0.0021643518518518518</v>
      </c>
      <c r="AP592" s="131" t="s">
        <v>633</v>
      </c>
      <c r="AQ592" s="4" t="s">
        <v>633</v>
      </c>
      <c r="AR592" s="7" t="s">
        <v>633</v>
      </c>
      <c r="AS592" s="7" t="b">
        <f>NOT(ISERROR(MATCH(A592,'Villages according to موسوعة ال'!C:C,0)))</f>
        <v>1</v>
      </c>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row>
    <row r="593">
      <c r="A593" s="7" t="s">
        <v>2941</v>
      </c>
      <c r="B593" s="127" t="s">
        <v>2942</v>
      </c>
      <c r="E593" s="37"/>
      <c r="F593" s="37"/>
      <c r="G593" s="122"/>
      <c r="K593" s="128"/>
      <c r="L593" s="134"/>
      <c r="M593" s="135" t="b">
        <v>0</v>
      </c>
      <c r="N593" s="135" t="b">
        <v>0</v>
      </c>
      <c r="O593" s="135"/>
      <c r="P593" s="135" t="b">
        <v>0</v>
      </c>
      <c r="Q593" s="135" t="b">
        <v>0</v>
      </c>
      <c r="R593" s="135" t="b">
        <v>0</v>
      </c>
      <c r="S593" s="135"/>
      <c r="T593" s="32"/>
      <c r="U593" s="135" t="b">
        <v>0</v>
      </c>
      <c r="V593" s="135"/>
      <c r="W593" s="135" t="b">
        <v>0</v>
      </c>
      <c r="X593" s="135" t="b">
        <v>0</v>
      </c>
      <c r="Y593" s="135"/>
      <c r="Z593" s="135"/>
      <c r="AA593" s="135"/>
      <c r="AB593" s="135"/>
      <c r="AC593" s="136"/>
      <c r="AD593" s="135"/>
      <c r="AE593" s="135"/>
      <c r="AF593" s="135"/>
      <c r="AG593" s="135"/>
      <c r="AH593" s="135"/>
      <c r="AI593" s="135"/>
      <c r="AJ593" s="37"/>
      <c r="AK593" s="34"/>
      <c r="AL593" s="37"/>
      <c r="AM593" s="37"/>
      <c r="AN593" s="126" t="s">
        <v>2962</v>
      </c>
      <c r="AO593" s="24">
        <v>0.002638888888888889</v>
      </c>
      <c r="AP593" s="131" t="s">
        <v>633</v>
      </c>
      <c r="AQ593" s="4" t="s">
        <v>633</v>
      </c>
      <c r="AR593" s="7" t="s">
        <v>633</v>
      </c>
      <c r="AS593" s="7" t="b">
        <f>NOT(ISERROR(MATCH(A593,'Villages according to موسوعة ال'!C:C,0)))</f>
        <v>1</v>
      </c>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row>
    <row r="594">
      <c r="A594" s="7" t="s">
        <v>2941</v>
      </c>
      <c r="B594" s="43" t="s">
        <v>2942</v>
      </c>
      <c r="E594" s="25"/>
      <c r="F594" s="25"/>
      <c r="G594" s="84"/>
      <c r="H594" s="7" t="s">
        <v>2963</v>
      </c>
      <c r="I594" s="7" t="s">
        <v>638</v>
      </c>
      <c r="J594" s="7" t="s">
        <v>2964</v>
      </c>
      <c r="K594" s="54" t="s">
        <v>2965</v>
      </c>
      <c r="L594" s="30" t="s">
        <v>2966</v>
      </c>
      <c r="M594" s="60" t="b">
        <v>0</v>
      </c>
      <c r="N594" s="60" t="b">
        <v>0</v>
      </c>
      <c r="O594" s="60"/>
      <c r="P594" s="60" t="b">
        <v>0</v>
      </c>
      <c r="Q594" s="60" t="b">
        <v>0</v>
      </c>
      <c r="R594" s="60" t="b">
        <v>0</v>
      </c>
      <c r="S594" s="60"/>
      <c r="T594" s="60"/>
      <c r="U594" s="60" t="b">
        <v>0</v>
      </c>
      <c r="V594" s="60"/>
      <c r="W594" s="60" t="b">
        <v>0</v>
      </c>
      <c r="X594" s="60" t="b">
        <v>0</v>
      </c>
      <c r="Y594" s="60"/>
      <c r="Z594" s="60"/>
      <c r="AA594" s="60"/>
      <c r="AB594" s="60"/>
      <c r="AC594" s="61"/>
      <c r="AD594" s="60"/>
      <c r="AE594" s="60"/>
      <c r="AF594" s="60"/>
      <c r="AG594" s="60"/>
      <c r="AH594" s="60"/>
      <c r="AI594" s="60"/>
      <c r="AJ594" s="3" t="s">
        <v>2967</v>
      </c>
      <c r="AK594" s="34" t="s">
        <v>698</v>
      </c>
      <c r="AL594" s="3" t="s">
        <v>699</v>
      </c>
      <c r="AM594" s="3" t="s">
        <v>831</v>
      </c>
      <c r="AN594" s="35" t="s">
        <v>2968</v>
      </c>
      <c r="AO594" s="24">
        <v>9.722222222222222E-4</v>
      </c>
      <c r="AP594" s="74" t="s">
        <v>633</v>
      </c>
      <c r="AQ594" s="7" t="s">
        <v>633</v>
      </c>
      <c r="AR594" s="35" t="s">
        <v>2969</v>
      </c>
      <c r="AS594" s="7" t="b">
        <f>NOT(ISERROR(MATCH(A594,'Villages according to موسوعة ال'!C:C,0)))</f>
        <v>1</v>
      </c>
      <c r="AT594" s="25"/>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row>
    <row r="595">
      <c r="A595" s="7" t="s">
        <v>2941</v>
      </c>
      <c r="B595" s="127" t="s">
        <v>2942</v>
      </c>
      <c r="E595" s="83"/>
      <c r="F595" s="37"/>
      <c r="G595" s="122"/>
      <c r="K595" s="128"/>
      <c r="L595" s="134"/>
      <c r="M595" s="135" t="b">
        <v>0</v>
      </c>
      <c r="N595" s="135" t="b">
        <v>0</v>
      </c>
      <c r="O595" s="135"/>
      <c r="P595" s="135" t="b">
        <v>0</v>
      </c>
      <c r="Q595" s="135" t="b">
        <v>0</v>
      </c>
      <c r="R595" s="135" t="b">
        <v>0</v>
      </c>
      <c r="S595" s="135"/>
      <c r="T595" s="32"/>
      <c r="U595" s="135" t="b">
        <v>0</v>
      </c>
      <c r="V595" s="135"/>
      <c r="W595" s="135" t="b">
        <v>0</v>
      </c>
      <c r="X595" s="135" t="b">
        <v>0</v>
      </c>
      <c r="Y595" s="135"/>
      <c r="Z595" s="135"/>
      <c r="AA595" s="135"/>
      <c r="AB595" s="135"/>
      <c r="AC595" s="136"/>
      <c r="AD595" s="135"/>
      <c r="AE595" s="135"/>
      <c r="AF595" s="135"/>
      <c r="AG595" s="135"/>
      <c r="AH595" s="135"/>
      <c r="AI595" s="135"/>
      <c r="AJ595" s="37"/>
      <c r="AK595" s="34"/>
      <c r="AL595" s="37"/>
      <c r="AM595" s="37"/>
      <c r="AN595" s="126" t="s">
        <v>2970</v>
      </c>
      <c r="AO595" s="24">
        <v>0.0013773148148148147</v>
      </c>
      <c r="AP595" s="131" t="s">
        <v>633</v>
      </c>
      <c r="AQ595" s="4" t="s">
        <v>633</v>
      </c>
      <c r="AR595" s="7" t="s">
        <v>633</v>
      </c>
      <c r="AS595" s="7" t="b">
        <f>NOT(ISERROR(MATCH(A595,'Villages according to موسوعة ال'!C:C,0)))</f>
        <v>1</v>
      </c>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row>
    <row r="596">
      <c r="A596" s="7" t="s">
        <v>2941</v>
      </c>
      <c r="B596" s="127" t="s">
        <v>2942</v>
      </c>
      <c r="E596" s="83"/>
      <c r="F596" s="37"/>
      <c r="G596" s="122"/>
      <c r="H596" s="4" t="s">
        <v>2971</v>
      </c>
      <c r="I596" s="4" t="s">
        <v>638</v>
      </c>
      <c r="J596" s="4" t="s">
        <v>2972</v>
      </c>
      <c r="K596" s="128"/>
      <c r="L596" s="134"/>
      <c r="M596" s="135" t="b">
        <v>0</v>
      </c>
      <c r="N596" s="135" t="b">
        <v>0</v>
      </c>
      <c r="O596" s="135"/>
      <c r="P596" s="135" t="b">
        <v>0</v>
      </c>
      <c r="Q596" s="135" t="b">
        <v>0</v>
      </c>
      <c r="R596" s="135" t="b">
        <v>0</v>
      </c>
      <c r="S596" s="135"/>
      <c r="T596" s="32"/>
      <c r="U596" s="135" t="b">
        <v>0</v>
      </c>
      <c r="V596" s="135"/>
      <c r="W596" s="135" t="b">
        <v>0</v>
      </c>
      <c r="X596" s="135" t="b">
        <v>0</v>
      </c>
      <c r="Y596" s="135"/>
      <c r="Z596" s="135"/>
      <c r="AA596" s="135"/>
      <c r="AB596" s="135"/>
      <c r="AC596" s="136"/>
      <c r="AD596" s="135"/>
      <c r="AE596" s="135"/>
      <c r="AF596" s="135"/>
      <c r="AG596" s="135"/>
      <c r="AH596" s="135"/>
      <c r="AI596" s="135"/>
      <c r="AJ596" s="37"/>
      <c r="AK596" s="34"/>
      <c r="AL596" s="37"/>
      <c r="AM596" s="37"/>
      <c r="AN596" s="126" t="s">
        <v>2973</v>
      </c>
      <c r="AO596" s="24">
        <v>0.0024189814814814816</v>
      </c>
      <c r="AP596" s="131" t="s">
        <v>633</v>
      </c>
      <c r="AQ596" s="4" t="s">
        <v>633</v>
      </c>
      <c r="AR596" s="7" t="s">
        <v>633</v>
      </c>
      <c r="AS596" s="7" t="b">
        <f>NOT(ISERROR(MATCH(A596,'Villages according to موسوعة ال'!C:C,0)))</f>
        <v>1</v>
      </c>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row>
    <row r="597">
      <c r="A597" s="7" t="s">
        <v>2941</v>
      </c>
      <c r="B597" s="127" t="s">
        <v>2942</v>
      </c>
      <c r="E597" s="83"/>
      <c r="F597" s="37"/>
      <c r="G597" s="122"/>
      <c r="H597" s="4" t="s">
        <v>2974</v>
      </c>
      <c r="I597" s="4" t="s">
        <v>638</v>
      </c>
      <c r="J597" s="4" t="s">
        <v>2975</v>
      </c>
      <c r="K597" s="128"/>
      <c r="L597" s="134"/>
      <c r="M597" s="135" t="b">
        <v>0</v>
      </c>
      <c r="N597" s="135" t="b">
        <v>0</v>
      </c>
      <c r="O597" s="135"/>
      <c r="P597" s="135" t="b">
        <v>0</v>
      </c>
      <c r="Q597" s="135" t="b">
        <v>0</v>
      </c>
      <c r="R597" s="135" t="b">
        <v>0</v>
      </c>
      <c r="S597" s="135"/>
      <c r="T597" s="32"/>
      <c r="U597" s="135" t="b">
        <v>0</v>
      </c>
      <c r="V597" s="135"/>
      <c r="W597" s="135" t="b">
        <v>0</v>
      </c>
      <c r="X597" s="135" t="b">
        <v>0</v>
      </c>
      <c r="Y597" s="135"/>
      <c r="Z597" s="135"/>
      <c r="AA597" s="135"/>
      <c r="AB597" s="135"/>
      <c r="AC597" s="136"/>
      <c r="AD597" s="135"/>
      <c r="AE597" s="135"/>
      <c r="AF597" s="135"/>
      <c r="AG597" s="135"/>
      <c r="AH597" s="135"/>
      <c r="AI597" s="135"/>
      <c r="AJ597" s="37"/>
      <c r="AK597" s="34"/>
      <c r="AL597" s="37"/>
      <c r="AM597" s="37"/>
      <c r="AN597" s="126" t="s">
        <v>2976</v>
      </c>
      <c r="AO597" s="24">
        <v>0.0013194444444444445</v>
      </c>
      <c r="AP597" s="131" t="s">
        <v>633</v>
      </c>
      <c r="AQ597" s="4" t="s">
        <v>633</v>
      </c>
      <c r="AR597" s="7" t="s">
        <v>633</v>
      </c>
      <c r="AS597" s="7" t="b">
        <f>NOT(ISERROR(MATCH(A597,'Villages according to موسوعة ال'!C:C,0)))</f>
        <v>1</v>
      </c>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row>
    <row r="598">
      <c r="A598" s="7" t="s">
        <v>2941</v>
      </c>
      <c r="B598" s="127" t="s">
        <v>2942</v>
      </c>
      <c r="E598" s="83"/>
      <c r="F598" s="37"/>
      <c r="G598" s="122"/>
      <c r="H598" s="4" t="s">
        <v>2977</v>
      </c>
      <c r="I598" s="4" t="s">
        <v>638</v>
      </c>
      <c r="J598" s="4" t="s">
        <v>2978</v>
      </c>
      <c r="K598" s="128"/>
      <c r="L598" s="134"/>
      <c r="M598" s="135" t="b">
        <v>0</v>
      </c>
      <c r="N598" s="135" t="b">
        <v>0</v>
      </c>
      <c r="O598" s="135"/>
      <c r="P598" s="135" t="b">
        <v>0</v>
      </c>
      <c r="Q598" s="135" t="b">
        <v>0</v>
      </c>
      <c r="R598" s="135" t="b">
        <v>0</v>
      </c>
      <c r="S598" s="135"/>
      <c r="T598" s="32"/>
      <c r="U598" s="135" t="b">
        <v>0</v>
      </c>
      <c r="V598" s="135"/>
      <c r="W598" s="135" t="b">
        <v>0</v>
      </c>
      <c r="X598" s="135" t="b">
        <v>0</v>
      </c>
      <c r="Y598" s="135"/>
      <c r="Z598" s="135"/>
      <c r="AA598" s="135"/>
      <c r="AB598" s="135"/>
      <c r="AC598" s="136"/>
      <c r="AD598" s="135"/>
      <c r="AE598" s="135"/>
      <c r="AF598" s="135"/>
      <c r="AG598" s="135"/>
      <c r="AH598" s="135"/>
      <c r="AI598" s="135"/>
      <c r="AJ598" s="37"/>
      <c r="AK598" s="34"/>
      <c r="AL598" s="37"/>
      <c r="AM598" s="37"/>
      <c r="AN598" s="126" t="s">
        <v>2979</v>
      </c>
      <c r="AO598" s="24">
        <v>0.0013078703703703703</v>
      </c>
      <c r="AP598" s="131" t="s">
        <v>633</v>
      </c>
      <c r="AQ598" s="4" t="s">
        <v>633</v>
      </c>
      <c r="AR598" s="7" t="s">
        <v>633</v>
      </c>
      <c r="AS598" s="7" t="b">
        <f>NOT(ISERROR(MATCH(A598,'Villages according to موسوعة ال'!C:C,0)))</f>
        <v>1</v>
      </c>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row>
    <row r="599">
      <c r="A599" s="7" t="s">
        <v>2941</v>
      </c>
      <c r="B599" s="127" t="s">
        <v>2942</v>
      </c>
      <c r="E599" s="83"/>
      <c r="F599" s="37"/>
      <c r="G599" s="122"/>
      <c r="H599" s="4" t="s">
        <v>2980</v>
      </c>
      <c r="I599" s="4" t="s">
        <v>616</v>
      </c>
      <c r="J599" s="4" t="s">
        <v>2981</v>
      </c>
      <c r="K599" s="128"/>
      <c r="L599" s="134"/>
      <c r="M599" s="135" t="b">
        <v>0</v>
      </c>
      <c r="N599" s="135" t="b">
        <v>0</v>
      </c>
      <c r="O599" s="135"/>
      <c r="P599" s="135" t="b">
        <v>0</v>
      </c>
      <c r="Q599" s="135" t="b">
        <v>0</v>
      </c>
      <c r="R599" s="135" t="b">
        <v>0</v>
      </c>
      <c r="S599" s="135"/>
      <c r="T599" s="32"/>
      <c r="U599" s="135" t="b">
        <v>0</v>
      </c>
      <c r="V599" s="135"/>
      <c r="W599" s="135" t="b">
        <v>0</v>
      </c>
      <c r="X599" s="135" t="b">
        <v>0</v>
      </c>
      <c r="Y599" s="135"/>
      <c r="Z599" s="135"/>
      <c r="AA599" s="135"/>
      <c r="AB599" s="135"/>
      <c r="AC599" s="136"/>
      <c r="AD599" s="135"/>
      <c r="AE599" s="135"/>
      <c r="AF599" s="135"/>
      <c r="AG599" s="135"/>
      <c r="AH599" s="135"/>
      <c r="AI599" s="135"/>
      <c r="AJ599" s="1" t="s">
        <v>2982</v>
      </c>
      <c r="AK599" s="34"/>
      <c r="AL599" s="37"/>
      <c r="AM599" s="37"/>
      <c r="AN599" s="126" t="s">
        <v>2983</v>
      </c>
      <c r="AO599" s="24">
        <v>6.481481481481481E-4</v>
      </c>
      <c r="AP599" s="131" t="s">
        <v>633</v>
      </c>
      <c r="AQ599" s="4" t="s">
        <v>633</v>
      </c>
      <c r="AR599" s="7" t="s">
        <v>633</v>
      </c>
      <c r="AS599" s="7" t="b">
        <f>NOT(ISERROR(MATCH(A599,'Villages according to موسوعة ال'!C:C,0)))</f>
        <v>1</v>
      </c>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row>
    <row r="600">
      <c r="A600" s="7" t="s">
        <v>2941</v>
      </c>
      <c r="B600" s="127" t="s">
        <v>2942</v>
      </c>
      <c r="E600" s="83"/>
      <c r="F600" s="37"/>
      <c r="G600" s="122"/>
      <c r="K600" s="128"/>
      <c r="L600" s="134"/>
      <c r="M600" s="135" t="b">
        <v>0</v>
      </c>
      <c r="N600" s="135" t="b">
        <v>0</v>
      </c>
      <c r="O600" s="135"/>
      <c r="P600" s="135" t="b">
        <v>0</v>
      </c>
      <c r="Q600" s="135" t="b">
        <v>0</v>
      </c>
      <c r="R600" s="135" t="b">
        <v>0</v>
      </c>
      <c r="S600" s="135"/>
      <c r="T600" s="32"/>
      <c r="U600" s="135" t="b">
        <v>0</v>
      </c>
      <c r="V600" s="135"/>
      <c r="W600" s="135" t="b">
        <v>0</v>
      </c>
      <c r="X600" s="135" t="b">
        <v>0</v>
      </c>
      <c r="Y600" s="135"/>
      <c r="Z600" s="135"/>
      <c r="AA600" s="135"/>
      <c r="AB600" s="135"/>
      <c r="AC600" s="136"/>
      <c r="AD600" s="135"/>
      <c r="AE600" s="135"/>
      <c r="AF600" s="135"/>
      <c r="AG600" s="135"/>
      <c r="AH600" s="135"/>
      <c r="AI600" s="135"/>
      <c r="AJ600" s="37"/>
      <c r="AK600" s="34"/>
      <c r="AL600" s="37"/>
      <c r="AM600" s="37"/>
      <c r="AN600" s="126" t="s">
        <v>2984</v>
      </c>
      <c r="AO600" s="24">
        <v>0.0011226851851851851</v>
      </c>
      <c r="AP600" s="131" t="s">
        <v>633</v>
      </c>
      <c r="AQ600" s="4" t="s">
        <v>633</v>
      </c>
      <c r="AR600" s="7" t="s">
        <v>633</v>
      </c>
      <c r="AS600" s="7" t="b">
        <f>NOT(ISERROR(MATCH(A600,'Villages according to موسوعة ال'!C:C,0)))</f>
        <v>1</v>
      </c>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row>
    <row r="601">
      <c r="A601" s="7" t="s">
        <v>2941</v>
      </c>
      <c r="B601" s="127" t="s">
        <v>2942</v>
      </c>
      <c r="E601" s="83"/>
      <c r="F601" s="37"/>
      <c r="G601" s="122"/>
      <c r="K601" s="128"/>
      <c r="L601" s="134"/>
      <c r="M601" s="135" t="b">
        <v>0</v>
      </c>
      <c r="N601" s="135" t="b">
        <v>0</v>
      </c>
      <c r="O601" s="135"/>
      <c r="P601" s="135" t="b">
        <v>0</v>
      </c>
      <c r="Q601" s="135" t="b">
        <v>0</v>
      </c>
      <c r="R601" s="135" t="b">
        <v>0</v>
      </c>
      <c r="S601" s="135"/>
      <c r="T601" s="32"/>
      <c r="U601" s="135" t="b">
        <v>0</v>
      </c>
      <c r="V601" s="135"/>
      <c r="W601" s="135" t="b">
        <v>0</v>
      </c>
      <c r="X601" s="135" t="b">
        <v>0</v>
      </c>
      <c r="Y601" s="135"/>
      <c r="Z601" s="135"/>
      <c r="AA601" s="135"/>
      <c r="AB601" s="135"/>
      <c r="AC601" s="136"/>
      <c r="AD601" s="135"/>
      <c r="AE601" s="135"/>
      <c r="AF601" s="135"/>
      <c r="AG601" s="135"/>
      <c r="AH601" s="135"/>
      <c r="AI601" s="135"/>
      <c r="AJ601" s="37"/>
      <c r="AK601" s="34"/>
      <c r="AL601" s="37"/>
      <c r="AM601" s="37"/>
      <c r="AN601" s="126" t="s">
        <v>2985</v>
      </c>
      <c r="AO601" s="24">
        <v>0.0012731481481481483</v>
      </c>
      <c r="AP601" s="131" t="s">
        <v>633</v>
      </c>
      <c r="AQ601" s="4" t="s">
        <v>633</v>
      </c>
      <c r="AR601" s="7" t="s">
        <v>633</v>
      </c>
      <c r="AS601" s="7" t="b">
        <f>NOT(ISERROR(MATCH(A601,'Villages according to موسوعة ال'!C:C,0)))</f>
        <v>1</v>
      </c>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row>
    <row r="602">
      <c r="A602" s="7" t="s">
        <v>2941</v>
      </c>
      <c r="B602" s="127" t="s">
        <v>2942</v>
      </c>
      <c r="E602" s="83"/>
      <c r="F602" s="37"/>
      <c r="G602" s="122"/>
      <c r="K602" s="128"/>
      <c r="L602" s="134"/>
      <c r="M602" s="135" t="b">
        <v>0</v>
      </c>
      <c r="N602" s="135" t="b">
        <v>0</v>
      </c>
      <c r="O602" s="135"/>
      <c r="P602" s="135" t="b">
        <v>0</v>
      </c>
      <c r="Q602" s="135" t="b">
        <v>0</v>
      </c>
      <c r="R602" s="135" t="b">
        <v>0</v>
      </c>
      <c r="S602" s="135"/>
      <c r="T602" s="32"/>
      <c r="U602" s="135" t="b">
        <v>0</v>
      </c>
      <c r="V602" s="135"/>
      <c r="W602" s="135" t="b">
        <v>0</v>
      </c>
      <c r="X602" s="135" t="b">
        <v>0</v>
      </c>
      <c r="Y602" s="135"/>
      <c r="Z602" s="135"/>
      <c r="AA602" s="135"/>
      <c r="AB602" s="135"/>
      <c r="AC602" s="136"/>
      <c r="AD602" s="135"/>
      <c r="AE602" s="135"/>
      <c r="AF602" s="135"/>
      <c r="AG602" s="135"/>
      <c r="AH602" s="135"/>
      <c r="AI602" s="135"/>
      <c r="AJ602" s="37"/>
      <c r="AK602" s="34"/>
      <c r="AL602" s="37"/>
      <c r="AM602" s="37"/>
      <c r="AN602" s="126" t="s">
        <v>2986</v>
      </c>
      <c r="AO602" s="24">
        <v>0.001574074074074074</v>
      </c>
      <c r="AP602" s="131" t="s">
        <v>633</v>
      </c>
      <c r="AQ602" s="4" t="s">
        <v>633</v>
      </c>
      <c r="AR602" s="7" t="s">
        <v>633</v>
      </c>
      <c r="AS602" s="7" t="b">
        <f>NOT(ISERROR(MATCH(A602,'Villages according to موسوعة ال'!C:C,0)))</f>
        <v>1</v>
      </c>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row>
    <row r="603">
      <c r="A603" s="7" t="s">
        <v>2941</v>
      </c>
      <c r="B603" s="127" t="s">
        <v>2942</v>
      </c>
      <c r="E603" s="83"/>
      <c r="F603" s="37"/>
      <c r="G603" s="122"/>
      <c r="K603" s="128"/>
      <c r="L603" s="134"/>
      <c r="M603" s="135" t="b">
        <v>0</v>
      </c>
      <c r="N603" s="135" t="b">
        <v>0</v>
      </c>
      <c r="O603" s="135"/>
      <c r="P603" s="135" t="b">
        <v>0</v>
      </c>
      <c r="Q603" s="135" t="b">
        <v>0</v>
      </c>
      <c r="R603" s="135" t="b">
        <v>0</v>
      </c>
      <c r="S603" s="135"/>
      <c r="T603" s="32"/>
      <c r="U603" s="135" t="b">
        <v>0</v>
      </c>
      <c r="V603" s="135"/>
      <c r="W603" s="135" t="b">
        <v>0</v>
      </c>
      <c r="X603" s="135" t="b">
        <v>0</v>
      </c>
      <c r="Y603" s="135"/>
      <c r="Z603" s="135"/>
      <c r="AA603" s="135"/>
      <c r="AB603" s="135"/>
      <c r="AC603" s="136"/>
      <c r="AD603" s="135"/>
      <c r="AE603" s="135"/>
      <c r="AF603" s="135"/>
      <c r="AG603" s="135"/>
      <c r="AH603" s="135"/>
      <c r="AI603" s="135"/>
      <c r="AJ603" s="37"/>
      <c r="AK603" s="34"/>
      <c r="AL603" s="37"/>
      <c r="AM603" s="37"/>
      <c r="AN603" s="126" t="s">
        <v>2987</v>
      </c>
      <c r="AO603" s="24">
        <v>0.0038657407407407408</v>
      </c>
      <c r="AP603" s="131" t="s">
        <v>633</v>
      </c>
      <c r="AQ603" s="4" t="s">
        <v>633</v>
      </c>
      <c r="AR603" s="7" t="s">
        <v>633</v>
      </c>
      <c r="AS603" s="7" t="b">
        <f>NOT(ISERROR(MATCH(A603,'Villages according to موسوعة ال'!C:C,0)))</f>
        <v>1</v>
      </c>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row>
    <row r="604">
      <c r="A604" s="7" t="s">
        <v>2941</v>
      </c>
      <c r="B604" s="127" t="s">
        <v>2942</v>
      </c>
      <c r="E604" s="83"/>
      <c r="F604" s="37"/>
      <c r="G604" s="122"/>
      <c r="K604" s="128"/>
      <c r="L604" s="134"/>
      <c r="M604" s="135" t="b">
        <v>0</v>
      </c>
      <c r="N604" s="135" t="b">
        <v>0</v>
      </c>
      <c r="O604" s="135"/>
      <c r="P604" s="135" t="b">
        <v>0</v>
      </c>
      <c r="Q604" s="135" t="b">
        <v>0</v>
      </c>
      <c r="R604" s="135" t="b">
        <v>0</v>
      </c>
      <c r="S604" s="135"/>
      <c r="T604" s="32"/>
      <c r="U604" s="135" t="b">
        <v>0</v>
      </c>
      <c r="V604" s="135"/>
      <c r="W604" s="135" t="b">
        <v>0</v>
      </c>
      <c r="X604" s="135" t="b">
        <v>0</v>
      </c>
      <c r="Y604" s="135"/>
      <c r="Z604" s="135"/>
      <c r="AA604" s="135"/>
      <c r="AB604" s="135"/>
      <c r="AC604" s="136"/>
      <c r="AD604" s="135"/>
      <c r="AE604" s="135"/>
      <c r="AF604" s="135"/>
      <c r="AG604" s="135"/>
      <c r="AH604" s="135"/>
      <c r="AI604" s="135"/>
      <c r="AJ604" s="37"/>
      <c r="AK604" s="34"/>
      <c r="AL604" s="37"/>
      <c r="AM604" s="37"/>
      <c r="AN604" s="126" t="s">
        <v>2988</v>
      </c>
      <c r="AO604" s="24">
        <v>0.0034953703703703705</v>
      </c>
      <c r="AP604" s="131" t="s">
        <v>633</v>
      </c>
      <c r="AQ604" s="4" t="s">
        <v>633</v>
      </c>
      <c r="AR604" s="7" t="s">
        <v>633</v>
      </c>
      <c r="AS604" s="7" t="b">
        <f>NOT(ISERROR(MATCH(A604,'Villages according to موسوعة ال'!C:C,0)))</f>
        <v>1</v>
      </c>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row>
    <row r="605">
      <c r="A605" s="7" t="s">
        <v>2941</v>
      </c>
      <c r="B605" s="127" t="s">
        <v>2942</v>
      </c>
      <c r="E605" s="83"/>
      <c r="F605" s="37"/>
      <c r="G605" s="122"/>
      <c r="K605" s="128"/>
      <c r="L605" s="134"/>
      <c r="M605" s="135" t="b">
        <v>0</v>
      </c>
      <c r="N605" s="135" t="b">
        <v>0</v>
      </c>
      <c r="O605" s="135"/>
      <c r="P605" s="135" t="b">
        <v>0</v>
      </c>
      <c r="Q605" s="135" t="b">
        <v>0</v>
      </c>
      <c r="R605" s="135" t="b">
        <v>0</v>
      </c>
      <c r="S605" s="135"/>
      <c r="T605" s="32"/>
      <c r="U605" s="135" t="b">
        <v>0</v>
      </c>
      <c r="V605" s="135"/>
      <c r="W605" s="135" t="b">
        <v>0</v>
      </c>
      <c r="X605" s="135" t="b">
        <v>0</v>
      </c>
      <c r="Y605" s="135"/>
      <c r="Z605" s="135"/>
      <c r="AA605" s="135"/>
      <c r="AB605" s="135"/>
      <c r="AC605" s="136"/>
      <c r="AD605" s="135"/>
      <c r="AE605" s="135"/>
      <c r="AF605" s="135"/>
      <c r="AG605" s="135"/>
      <c r="AH605" s="135"/>
      <c r="AI605" s="135"/>
      <c r="AJ605" s="37"/>
      <c r="AK605" s="34"/>
      <c r="AL605" s="37"/>
      <c r="AM605" s="37"/>
      <c r="AN605" s="126" t="s">
        <v>2989</v>
      </c>
      <c r="AO605" s="24">
        <v>0.003703703703703704</v>
      </c>
      <c r="AP605" s="131" t="s">
        <v>633</v>
      </c>
      <c r="AQ605" s="4" t="s">
        <v>633</v>
      </c>
      <c r="AR605" s="7" t="s">
        <v>633</v>
      </c>
      <c r="AS605" s="7" t="b">
        <f>NOT(ISERROR(MATCH(A605,'Villages according to موسوعة ال'!C:C,0)))</f>
        <v>1</v>
      </c>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row>
    <row r="606">
      <c r="A606" s="7" t="s">
        <v>197</v>
      </c>
      <c r="B606" s="43" t="s">
        <v>198</v>
      </c>
      <c r="C606" s="7" t="s">
        <v>198</v>
      </c>
      <c r="D606" s="7" t="s">
        <v>199</v>
      </c>
      <c r="E606" s="25"/>
      <c r="F606" s="25"/>
      <c r="G606" s="84"/>
      <c r="H606" s="7" t="s">
        <v>2645</v>
      </c>
      <c r="I606" s="7" t="s">
        <v>616</v>
      </c>
      <c r="J606" s="7" t="s">
        <v>2990</v>
      </c>
      <c r="K606" s="54" t="s">
        <v>2991</v>
      </c>
      <c r="L606" s="30" t="s">
        <v>2992</v>
      </c>
      <c r="M606" s="60" t="b">
        <v>0</v>
      </c>
      <c r="N606" s="60" t="b">
        <v>0</v>
      </c>
      <c r="O606" s="60"/>
      <c r="P606" s="60" t="b">
        <v>0</v>
      </c>
      <c r="Q606" s="60" t="b">
        <v>0</v>
      </c>
      <c r="R606" s="60" t="b">
        <v>0</v>
      </c>
      <c r="S606" s="60"/>
      <c r="T606" s="60"/>
      <c r="U606" s="60" t="b">
        <v>0</v>
      </c>
      <c r="V606" s="60"/>
      <c r="W606" s="60" t="b">
        <v>0</v>
      </c>
      <c r="X606" s="60" t="b">
        <v>0</v>
      </c>
      <c r="Y606" s="60"/>
      <c r="Z606" s="60"/>
      <c r="AA606" s="60"/>
      <c r="AB606" s="60"/>
      <c r="AC606" s="61"/>
      <c r="AD606" s="60"/>
      <c r="AE606" s="60"/>
      <c r="AF606" s="60"/>
      <c r="AG606" s="60"/>
      <c r="AH606" s="60"/>
      <c r="AI606" s="60"/>
      <c r="AJ606" s="25"/>
      <c r="AK606" s="34" t="s">
        <v>698</v>
      </c>
      <c r="AL606" s="25"/>
      <c r="AM606" s="25"/>
      <c r="AN606" s="35" t="s">
        <v>2993</v>
      </c>
      <c r="AO606" s="24">
        <v>0.0033564814814814816</v>
      </c>
      <c r="AP606" s="74" t="s">
        <v>633</v>
      </c>
      <c r="AQ606" s="73">
        <v>37438.0</v>
      </c>
      <c r="AR606" s="35" t="s">
        <v>2994</v>
      </c>
      <c r="AS606" s="7" t="b">
        <f>NOT(ISERROR(MATCH(A606,'Villages according to موسوعة ال'!C:C,0)))</f>
        <v>1</v>
      </c>
      <c r="AT606" s="25"/>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row>
    <row r="607">
      <c r="A607" s="7" t="s">
        <v>197</v>
      </c>
      <c r="B607" s="43" t="s">
        <v>198</v>
      </c>
      <c r="E607" s="25"/>
      <c r="F607" s="25"/>
      <c r="G607" s="84"/>
      <c r="H607" s="7" t="s">
        <v>2995</v>
      </c>
      <c r="I607" s="7" t="s">
        <v>638</v>
      </c>
      <c r="J607" s="7" t="s">
        <v>2996</v>
      </c>
      <c r="K607" s="54" t="s">
        <v>2997</v>
      </c>
      <c r="L607" s="30" t="s">
        <v>2998</v>
      </c>
      <c r="M607" s="60" t="b">
        <v>0</v>
      </c>
      <c r="N607" s="60" t="b">
        <v>0</v>
      </c>
      <c r="O607" s="60"/>
      <c r="P607" s="60" t="b">
        <v>0</v>
      </c>
      <c r="Q607" s="60" t="b">
        <v>0</v>
      </c>
      <c r="R607" s="60" t="b">
        <v>0</v>
      </c>
      <c r="S607" s="60"/>
      <c r="T607" s="60"/>
      <c r="U607" s="60" t="b">
        <v>0</v>
      </c>
      <c r="V607" s="60"/>
      <c r="W607" s="60" t="b">
        <v>0</v>
      </c>
      <c r="X607" s="60" t="b">
        <v>0</v>
      </c>
      <c r="Y607" s="60"/>
      <c r="Z607" s="60"/>
      <c r="AA607" s="60"/>
      <c r="AB607" s="60"/>
      <c r="AC607" s="61"/>
      <c r="AD607" s="60"/>
      <c r="AE607" s="60"/>
      <c r="AF607" s="60"/>
      <c r="AG607" s="60"/>
      <c r="AH607" s="60"/>
      <c r="AI607" s="60"/>
      <c r="AJ607" s="25"/>
      <c r="AK607" s="34" t="s">
        <v>698</v>
      </c>
      <c r="AL607" s="3" t="s">
        <v>699</v>
      </c>
      <c r="AM607" s="3" t="s">
        <v>831</v>
      </c>
      <c r="AN607" s="35" t="s">
        <v>2999</v>
      </c>
      <c r="AO607" s="24">
        <v>0.0033680555555555556</v>
      </c>
      <c r="AP607" s="74" t="s">
        <v>633</v>
      </c>
      <c r="AQ607" s="73">
        <v>37438.0</v>
      </c>
      <c r="AR607" s="35" t="s">
        <v>3000</v>
      </c>
      <c r="AS607" s="7" t="b">
        <f>NOT(ISERROR(MATCH(A607,'Villages according to موسوعة ال'!C:C,0)))</f>
        <v>1</v>
      </c>
      <c r="AT607" s="25"/>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row>
    <row r="608">
      <c r="A608" s="7" t="s">
        <v>197</v>
      </c>
      <c r="B608" s="43" t="s">
        <v>198</v>
      </c>
      <c r="E608" s="25"/>
      <c r="F608" s="25"/>
      <c r="G608" s="84"/>
      <c r="H608" s="7" t="s">
        <v>3001</v>
      </c>
      <c r="I608" s="7" t="s">
        <v>638</v>
      </c>
      <c r="J608" s="7" t="s">
        <v>3002</v>
      </c>
      <c r="K608" s="54" t="s">
        <v>3003</v>
      </c>
      <c r="L608" s="30" t="s">
        <v>2998</v>
      </c>
      <c r="M608" s="60" t="b">
        <v>0</v>
      </c>
      <c r="N608" s="60" t="b">
        <v>0</v>
      </c>
      <c r="O608" s="60"/>
      <c r="P608" s="60" t="b">
        <v>0</v>
      </c>
      <c r="Q608" s="60" t="b">
        <v>0</v>
      </c>
      <c r="R608" s="60" t="b">
        <v>0</v>
      </c>
      <c r="S608" s="60"/>
      <c r="T608" s="60"/>
      <c r="U608" s="60" t="b">
        <v>0</v>
      </c>
      <c r="V608" s="60"/>
      <c r="W608" s="60" t="b">
        <v>0</v>
      </c>
      <c r="X608" s="60" t="b">
        <v>0</v>
      </c>
      <c r="Y608" s="60"/>
      <c r="Z608" s="60"/>
      <c r="AA608" s="60"/>
      <c r="AB608" s="60"/>
      <c r="AC608" s="61"/>
      <c r="AD608" s="60"/>
      <c r="AE608" s="60"/>
      <c r="AF608" s="60"/>
      <c r="AG608" s="60"/>
      <c r="AH608" s="60"/>
      <c r="AI608" s="60"/>
      <c r="AJ608" s="25"/>
      <c r="AK608" s="34" t="s">
        <v>698</v>
      </c>
      <c r="AL608" s="3" t="s">
        <v>699</v>
      </c>
      <c r="AM608" s="3" t="s">
        <v>831</v>
      </c>
      <c r="AN608" s="35" t="s">
        <v>3004</v>
      </c>
      <c r="AO608" s="24">
        <v>0.0011574074074074073</v>
      </c>
      <c r="AP608" s="74" t="s">
        <v>633</v>
      </c>
      <c r="AQ608" s="73">
        <v>37438.0</v>
      </c>
      <c r="AR608" s="35" t="s">
        <v>3005</v>
      </c>
      <c r="AS608" s="7" t="b">
        <f>NOT(ISERROR(MATCH(A608,'Villages according to موسوعة ال'!C:C,0)))</f>
        <v>1</v>
      </c>
      <c r="AT608" s="25"/>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row>
    <row r="609">
      <c r="A609" s="7" t="s">
        <v>197</v>
      </c>
      <c r="B609" s="26" t="s">
        <v>198</v>
      </c>
      <c r="E609" s="83"/>
      <c r="F609" s="37"/>
      <c r="G609" s="122"/>
      <c r="K609" s="128"/>
      <c r="L609" s="134"/>
      <c r="M609" s="135" t="b">
        <v>0</v>
      </c>
      <c r="N609" s="135" t="b">
        <v>0</v>
      </c>
      <c r="O609" s="135"/>
      <c r="P609" s="135" t="b">
        <v>0</v>
      </c>
      <c r="Q609" s="135" t="b">
        <v>0</v>
      </c>
      <c r="R609" s="135" t="b">
        <v>0</v>
      </c>
      <c r="S609" s="135"/>
      <c r="T609" s="32"/>
      <c r="U609" s="135" t="b">
        <v>0</v>
      </c>
      <c r="V609" s="135"/>
      <c r="W609" s="135" t="b">
        <v>0</v>
      </c>
      <c r="X609" s="135" t="b">
        <v>0</v>
      </c>
      <c r="Y609" s="135"/>
      <c r="Z609" s="135"/>
      <c r="AA609" s="135"/>
      <c r="AB609" s="135"/>
      <c r="AC609" s="136"/>
      <c r="AD609" s="135"/>
      <c r="AE609" s="135"/>
      <c r="AF609" s="135"/>
      <c r="AG609" s="135"/>
      <c r="AH609" s="135"/>
      <c r="AI609" s="135"/>
      <c r="AJ609" s="1"/>
      <c r="AK609" s="34"/>
      <c r="AL609" s="37"/>
      <c r="AM609" s="37"/>
      <c r="AN609" s="126" t="s">
        <v>3006</v>
      </c>
      <c r="AO609" s="24">
        <v>9.953703703703704E-4</v>
      </c>
      <c r="AP609" s="131" t="s">
        <v>1536</v>
      </c>
      <c r="AQ609" s="137">
        <v>37441.0</v>
      </c>
      <c r="AR609" s="7" t="s">
        <v>633</v>
      </c>
      <c r="AS609" s="7" t="b">
        <f>NOT(ISERROR(MATCH(A609,'Villages according to موسوعة ال'!C:C,0)))</f>
        <v>1</v>
      </c>
      <c r="AT609" s="25"/>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row>
    <row r="610">
      <c r="A610" s="7" t="s">
        <v>197</v>
      </c>
      <c r="B610" s="43" t="s">
        <v>198</v>
      </c>
      <c r="E610" s="25"/>
      <c r="F610" s="25"/>
      <c r="G610" s="84"/>
      <c r="H610" s="7" t="s">
        <v>3007</v>
      </c>
      <c r="I610" s="7" t="s">
        <v>638</v>
      </c>
      <c r="J610" s="7" t="s">
        <v>3008</v>
      </c>
      <c r="K610" s="54" t="s">
        <v>3009</v>
      </c>
      <c r="L610" s="30" t="s">
        <v>3010</v>
      </c>
      <c r="M610" s="60" t="b">
        <v>0</v>
      </c>
      <c r="N610" s="60" t="b">
        <v>0</v>
      </c>
      <c r="O610" s="60"/>
      <c r="P610" s="60" t="b">
        <v>0</v>
      </c>
      <c r="Q610" s="60" t="b">
        <v>0</v>
      </c>
      <c r="R610" s="60" t="b">
        <v>0</v>
      </c>
      <c r="S610" s="60"/>
      <c r="T610" s="60"/>
      <c r="U610" s="60" t="b">
        <v>0</v>
      </c>
      <c r="V610" s="60"/>
      <c r="W610" s="60" t="b">
        <v>0</v>
      </c>
      <c r="X610" s="60" t="b">
        <v>0</v>
      </c>
      <c r="Y610" s="60"/>
      <c r="Z610" s="60"/>
      <c r="AA610" s="60"/>
      <c r="AB610" s="60"/>
      <c r="AC610" s="61"/>
      <c r="AD610" s="60"/>
      <c r="AE610" s="60"/>
      <c r="AF610" s="60"/>
      <c r="AG610" s="60"/>
      <c r="AH610" s="60"/>
      <c r="AI610" s="60"/>
      <c r="AJ610" s="81" t="s">
        <v>3011</v>
      </c>
      <c r="AK610" s="34" t="s">
        <v>698</v>
      </c>
      <c r="AL610" s="25"/>
      <c r="AM610" s="25"/>
      <c r="AN610" s="35" t="s">
        <v>3012</v>
      </c>
      <c r="AO610" s="24">
        <v>0.0021527777777777778</v>
      </c>
      <c r="AP610" s="74" t="s">
        <v>3013</v>
      </c>
      <c r="AQ610" s="73">
        <v>37438.0</v>
      </c>
      <c r="AR610" s="35" t="s">
        <v>3014</v>
      </c>
      <c r="AS610" s="7" t="b">
        <f>NOT(ISERROR(MATCH(A610,'Villages according to موسوعة ال'!C:C,0)))</f>
        <v>1</v>
      </c>
      <c r="AT610" s="25"/>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row>
    <row r="611">
      <c r="A611" s="7" t="s">
        <v>197</v>
      </c>
      <c r="B611" s="26" t="s">
        <v>198</v>
      </c>
      <c r="E611" s="37"/>
      <c r="F611" s="37"/>
      <c r="G611" s="122"/>
      <c r="K611" s="128"/>
      <c r="L611" s="134"/>
      <c r="M611" s="135" t="b">
        <v>0</v>
      </c>
      <c r="N611" s="135" t="b">
        <v>0</v>
      </c>
      <c r="O611" s="135"/>
      <c r="P611" s="135" t="b">
        <v>0</v>
      </c>
      <c r="Q611" s="135" t="b">
        <v>0</v>
      </c>
      <c r="R611" s="135" t="b">
        <v>0</v>
      </c>
      <c r="S611" s="135"/>
      <c r="T611" s="32"/>
      <c r="U611" s="135" t="b">
        <v>0</v>
      </c>
      <c r="V611" s="135"/>
      <c r="W611" s="135" t="b">
        <v>0</v>
      </c>
      <c r="X611" s="135" t="b">
        <v>0</v>
      </c>
      <c r="Y611" s="135"/>
      <c r="Z611" s="135"/>
      <c r="AA611" s="135"/>
      <c r="AB611" s="135"/>
      <c r="AC611" s="136"/>
      <c r="AD611" s="135"/>
      <c r="AE611" s="135"/>
      <c r="AF611" s="135"/>
      <c r="AG611" s="135"/>
      <c r="AH611" s="135"/>
      <c r="AI611" s="135"/>
      <c r="AJ611" s="37"/>
      <c r="AK611" s="34"/>
      <c r="AL611" s="37"/>
      <c r="AM611" s="37"/>
      <c r="AN611" s="126" t="s">
        <v>3015</v>
      </c>
      <c r="AO611" s="24">
        <v>0.0020949074074074073</v>
      </c>
      <c r="AP611" s="131" t="s">
        <v>3013</v>
      </c>
      <c r="AQ611" s="137">
        <v>37439.0</v>
      </c>
      <c r="AR611" s="7" t="s">
        <v>633</v>
      </c>
      <c r="AS611" s="7" t="b">
        <f>NOT(ISERROR(MATCH(A611,'Villages according to موسوعة ال'!C:C,0)))</f>
        <v>1</v>
      </c>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row>
    <row r="612">
      <c r="A612" s="7" t="s">
        <v>197</v>
      </c>
      <c r="B612" s="43" t="s">
        <v>198</v>
      </c>
      <c r="E612" s="25"/>
      <c r="F612" s="25"/>
      <c r="G612" s="84"/>
      <c r="H612" s="7" t="s">
        <v>3016</v>
      </c>
      <c r="I612" s="7" t="s">
        <v>638</v>
      </c>
      <c r="J612" s="7" t="s">
        <v>3017</v>
      </c>
      <c r="K612" s="54" t="s">
        <v>3018</v>
      </c>
      <c r="L612" s="30" t="s">
        <v>3019</v>
      </c>
      <c r="M612" s="60" t="b">
        <v>0</v>
      </c>
      <c r="N612" s="60" t="b">
        <v>0</v>
      </c>
      <c r="O612" s="60"/>
      <c r="P612" s="60" t="b">
        <v>0</v>
      </c>
      <c r="Q612" s="60" t="b">
        <v>0</v>
      </c>
      <c r="R612" s="60" t="b">
        <v>0</v>
      </c>
      <c r="S612" s="60"/>
      <c r="T612" s="60"/>
      <c r="U612" s="60" t="b">
        <v>0</v>
      </c>
      <c r="V612" s="60"/>
      <c r="W612" s="60" t="b">
        <v>0</v>
      </c>
      <c r="X612" s="60" t="b">
        <v>0</v>
      </c>
      <c r="Y612" s="60"/>
      <c r="Z612" s="60"/>
      <c r="AA612" s="60"/>
      <c r="AB612" s="60"/>
      <c r="AC612" s="61"/>
      <c r="AD612" s="60"/>
      <c r="AE612" s="60"/>
      <c r="AF612" s="60"/>
      <c r="AG612" s="60"/>
      <c r="AH612" s="60"/>
      <c r="AI612" s="60"/>
      <c r="AJ612" s="25"/>
      <c r="AK612" s="34" t="s">
        <v>698</v>
      </c>
      <c r="AL612" s="25"/>
      <c r="AM612" s="25"/>
      <c r="AN612" s="35" t="s">
        <v>3020</v>
      </c>
      <c r="AO612" s="24">
        <v>4.7453703703703704E-4</v>
      </c>
      <c r="AP612" s="74" t="s">
        <v>1536</v>
      </c>
      <c r="AQ612" s="73">
        <v>37438.0</v>
      </c>
      <c r="AR612" s="35" t="s">
        <v>3021</v>
      </c>
      <c r="AS612" s="7" t="b">
        <f>NOT(ISERROR(MATCH(A612,'Villages according to موسوعة ال'!C:C,0)))</f>
        <v>1</v>
      </c>
      <c r="AT612" s="25"/>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row>
    <row r="613">
      <c r="A613" s="7" t="s">
        <v>197</v>
      </c>
      <c r="B613" s="26" t="s">
        <v>198</v>
      </c>
      <c r="E613" s="83"/>
      <c r="F613" s="37"/>
      <c r="G613" s="122"/>
      <c r="H613" s="4" t="s">
        <v>3022</v>
      </c>
      <c r="I613" s="4" t="s">
        <v>638</v>
      </c>
      <c r="J613" s="4" t="s">
        <v>3023</v>
      </c>
      <c r="K613" s="128"/>
      <c r="L613" s="134"/>
      <c r="M613" s="135" t="b">
        <v>0</v>
      </c>
      <c r="N613" s="135" t="b">
        <v>0</v>
      </c>
      <c r="O613" s="135"/>
      <c r="P613" s="135" t="b">
        <v>0</v>
      </c>
      <c r="Q613" s="135" t="b">
        <v>0</v>
      </c>
      <c r="R613" s="135" t="b">
        <v>0</v>
      </c>
      <c r="S613" s="135"/>
      <c r="T613" s="32"/>
      <c r="U613" s="135" t="b">
        <v>0</v>
      </c>
      <c r="V613" s="135"/>
      <c r="W613" s="135" t="b">
        <v>0</v>
      </c>
      <c r="X613" s="135" t="b">
        <v>0</v>
      </c>
      <c r="Y613" s="135"/>
      <c r="Z613" s="135"/>
      <c r="AA613" s="135"/>
      <c r="AB613" s="135"/>
      <c r="AC613" s="136"/>
      <c r="AD613" s="135"/>
      <c r="AE613" s="135"/>
      <c r="AF613" s="135"/>
      <c r="AG613" s="135"/>
      <c r="AH613" s="135"/>
      <c r="AI613" s="135"/>
      <c r="AJ613" s="1"/>
      <c r="AK613" s="34"/>
      <c r="AL613" s="37"/>
      <c r="AM613" s="37"/>
      <c r="AN613" s="126" t="s">
        <v>3024</v>
      </c>
      <c r="AO613" s="24">
        <v>0.0019097222222222222</v>
      </c>
      <c r="AP613" s="131" t="s">
        <v>1536</v>
      </c>
      <c r="AQ613" s="137">
        <v>37439.0</v>
      </c>
      <c r="AR613" s="7" t="s">
        <v>633</v>
      </c>
      <c r="AS613" s="7" t="b">
        <f>NOT(ISERROR(MATCH(A613,'Villages according to موسوعة ال'!C:C,0)))</f>
        <v>1</v>
      </c>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row>
    <row r="614">
      <c r="A614" s="7" t="s">
        <v>197</v>
      </c>
      <c r="B614" s="26" t="s">
        <v>198</v>
      </c>
      <c r="E614" s="83"/>
      <c r="F614" s="37"/>
      <c r="G614" s="122"/>
      <c r="H614" s="4" t="s">
        <v>3025</v>
      </c>
      <c r="I614" s="4" t="s">
        <v>638</v>
      </c>
      <c r="J614" s="4" t="s">
        <v>3026</v>
      </c>
      <c r="K614" s="128"/>
      <c r="L614" s="134"/>
      <c r="M614" s="135" t="b">
        <v>0</v>
      </c>
      <c r="N614" s="135" t="b">
        <v>0</v>
      </c>
      <c r="O614" s="135"/>
      <c r="P614" s="135" t="b">
        <v>0</v>
      </c>
      <c r="Q614" s="135" t="b">
        <v>0</v>
      </c>
      <c r="R614" s="135" t="b">
        <v>0</v>
      </c>
      <c r="S614" s="135"/>
      <c r="T614" s="32"/>
      <c r="U614" s="135" t="b">
        <v>0</v>
      </c>
      <c r="V614" s="135"/>
      <c r="W614" s="135" t="b">
        <v>0</v>
      </c>
      <c r="X614" s="135" t="b">
        <v>0</v>
      </c>
      <c r="Y614" s="135"/>
      <c r="Z614" s="135"/>
      <c r="AA614" s="135"/>
      <c r="AB614" s="135"/>
      <c r="AC614" s="136"/>
      <c r="AD614" s="135"/>
      <c r="AE614" s="135"/>
      <c r="AF614" s="135"/>
      <c r="AG614" s="135"/>
      <c r="AH614" s="135"/>
      <c r="AI614" s="135"/>
      <c r="AJ614" s="1"/>
      <c r="AK614" s="34"/>
      <c r="AL614" s="37"/>
      <c r="AM614" s="37"/>
      <c r="AN614" s="126" t="s">
        <v>3027</v>
      </c>
      <c r="AO614" s="24">
        <v>0.001412037037037037</v>
      </c>
      <c r="AP614" s="131" t="s">
        <v>1536</v>
      </c>
      <c r="AQ614" s="137">
        <v>37440.0</v>
      </c>
      <c r="AR614" s="7" t="s">
        <v>633</v>
      </c>
      <c r="AS614" s="7" t="b">
        <f>NOT(ISERROR(MATCH(A614,'Villages according to موسوعة ال'!C:C,0)))</f>
        <v>1</v>
      </c>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row>
    <row r="615">
      <c r="A615" s="7" t="s">
        <v>197</v>
      </c>
      <c r="B615" s="26" t="s">
        <v>198</v>
      </c>
      <c r="E615" s="83"/>
      <c r="F615" s="37"/>
      <c r="G615" s="122"/>
      <c r="H615" s="4" t="s">
        <v>3028</v>
      </c>
      <c r="I615" s="4" t="s">
        <v>638</v>
      </c>
      <c r="J615" s="4" t="s">
        <v>3029</v>
      </c>
      <c r="K615" s="128"/>
      <c r="L615" s="134"/>
      <c r="M615" s="135" t="b">
        <v>0</v>
      </c>
      <c r="N615" s="135" t="b">
        <v>0</v>
      </c>
      <c r="O615" s="135"/>
      <c r="P615" s="135" t="b">
        <v>0</v>
      </c>
      <c r="Q615" s="135" t="b">
        <v>0</v>
      </c>
      <c r="R615" s="135" t="b">
        <v>0</v>
      </c>
      <c r="S615" s="135"/>
      <c r="T615" s="32"/>
      <c r="U615" s="135" t="b">
        <v>0</v>
      </c>
      <c r="V615" s="135"/>
      <c r="W615" s="135" t="b">
        <v>0</v>
      </c>
      <c r="X615" s="135" t="b">
        <v>0</v>
      </c>
      <c r="Y615" s="135"/>
      <c r="Z615" s="135"/>
      <c r="AA615" s="135"/>
      <c r="AB615" s="135"/>
      <c r="AC615" s="136"/>
      <c r="AD615" s="135"/>
      <c r="AE615" s="135"/>
      <c r="AF615" s="135"/>
      <c r="AG615" s="135"/>
      <c r="AH615" s="135"/>
      <c r="AI615" s="135"/>
      <c r="AJ615" s="1"/>
      <c r="AK615" s="34"/>
      <c r="AL615" s="37"/>
      <c r="AM615" s="37"/>
      <c r="AN615" s="126" t="s">
        <v>3030</v>
      </c>
      <c r="AO615" s="24">
        <v>8.912037037037037E-4</v>
      </c>
      <c r="AP615" s="131" t="s">
        <v>1536</v>
      </c>
      <c r="AQ615" s="137"/>
      <c r="AR615" s="7" t="s">
        <v>633</v>
      </c>
      <c r="AS615" s="7" t="b">
        <f>NOT(ISERROR(MATCH(A615,'Villages according to موسوعة ال'!C:C,0)))</f>
        <v>1</v>
      </c>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row>
    <row r="616">
      <c r="A616" s="7" t="s">
        <v>87</v>
      </c>
      <c r="B616" s="43" t="s">
        <v>88</v>
      </c>
      <c r="C616" s="7" t="s">
        <v>88</v>
      </c>
      <c r="D616" s="7" t="s">
        <v>89</v>
      </c>
      <c r="E616" s="25"/>
      <c r="F616" s="25"/>
      <c r="G616" s="84"/>
      <c r="H616" s="7" t="s">
        <v>3031</v>
      </c>
      <c r="I616" s="7" t="s">
        <v>616</v>
      </c>
      <c r="J616" s="7" t="s">
        <v>3032</v>
      </c>
      <c r="K616" s="54" t="s">
        <v>3033</v>
      </c>
      <c r="L616" s="30" t="s">
        <v>3034</v>
      </c>
      <c r="M616" s="60" t="b">
        <v>0</v>
      </c>
      <c r="N616" s="60" t="b">
        <v>0</v>
      </c>
      <c r="O616" s="60"/>
      <c r="P616" s="60" t="b">
        <v>0</v>
      </c>
      <c r="Q616" s="60" t="b">
        <v>0</v>
      </c>
      <c r="R616" s="60" t="b">
        <v>0</v>
      </c>
      <c r="S616" s="60"/>
      <c r="T616" s="60"/>
      <c r="U616" s="60" t="b">
        <v>0</v>
      </c>
      <c r="V616" s="60"/>
      <c r="W616" s="60" t="b">
        <v>0</v>
      </c>
      <c r="X616" s="60" t="b">
        <v>0</v>
      </c>
      <c r="Y616" s="60"/>
      <c r="Z616" s="60"/>
      <c r="AA616" s="60"/>
      <c r="AB616" s="60"/>
      <c r="AC616" s="61"/>
      <c r="AD616" s="60"/>
      <c r="AE616" s="60"/>
      <c r="AF616" s="60"/>
      <c r="AG616" s="60"/>
      <c r="AH616" s="60"/>
      <c r="AI616" s="60"/>
      <c r="AJ616" s="3" t="s">
        <v>3035</v>
      </c>
      <c r="AK616" s="34" t="s">
        <v>698</v>
      </c>
      <c r="AL616" s="25"/>
      <c r="AM616" s="25"/>
      <c r="AN616" s="35" t="s">
        <v>3036</v>
      </c>
      <c r="AO616" s="24">
        <v>0.003287037037037037</v>
      </c>
      <c r="AP616" s="74" t="s">
        <v>1536</v>
      </c>
      <c r="AQ616" s="73">
        <v>37377.0</v>
      </c>
      <c r="AR616" s="35" t="s">
        <v>3037</v>
      </c>
      <c r="AS616" s="7" t="b">
        <f>NOT(ISERROR(MATCH(A616,'Villages according to موسوعة ال'!C:C,0)))</f>
        <v>1</v>
      </c>
      <c r="AT616" s="25"/>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row>
    <row r="617">
      <c r="A617" s="7" t="s">
        <v>87</v>
      </c>
      <c r="B617" s="43" t="s">
        <v>88</v>
      </c>
      <c r="E617" s="25"/>
      <c r="F617" s="25"/>
      <c r="G617" s="84"/>
      <c r="K617" s="54" t="s">
        <v>3038</v>
      </c>
      <c r="L617" s="30" t="s">
        <v>3039</v>
      </c>
      <c r="M617" s="60" t="b">
        <v>0</v>
      </c>
      <c r="N617" s="60" t="b">
        <v>0</v>
      </c>
      <c r="O617" s="60"/>
      <c r="P617" s="60" t="b">
        <v>0</v>
      </c>
      <c r="Q617" s="60" t="b">
        <v>0</v>
      </c>
      <c r="R617" s="60" t="b">
        <v>0</v>
      </c>
      <c r="S617" s="60"/>
      <c r="T617" s="60"/>
      <c r="U617" s="60" t="b">
        <v>0</v>
      </c>
      <c r="V617" s="60"/>
      <c r="W617" s="60" t="b">
        <v>0</v>
      </c>
      <c r="X617" s="60" t="b">
        <v>0</v>
      </c>
      <c r="Y617" s="60"/>
      <c r="Z617" s="60"/>
      <c r="AA617" s="60"/>
      <c r="AB617" s="60"/>
      <c r="AC617" s="61"/>
      <c r="AD617" s="60"/>
      <c r="AE617" s="60"/>
      <c r="AF617" s="60"/>
      <c r="AG617" s="60"/>
      <c r="AH617" s="60"/>
      <c r="AI617" s="60"/>
      <c r="AJ617" s="3" t="s">
        <v>3040</v>
      </c>
      <c r="AK617" s="34" t="s">
        <v>698</v>
      </c>
      <c r="AL617" s="25"/>
      <c r="AM617" s="25"/>
      <c r="AN617" s="35" t="s">
        <v>3041</v>
      </c>
      <c r="AO617" s="24">
        <v>0.0025694444444444445</v>
      </c>
      <c r="AP617" s="74" t="s">
        <v>633</v>
      </c>
      <c r="AQ617" s="73">
        <v>44835.0</v>
      </c>
      <c r="AR617" s="35" t="s">
        <v>3042</v>
      </c>
      <c r="AS617" s="7" t="b">
        <f>NOT(ISERROR(MATCH(A617,'Villages according to موسوعة ال'!C:C,0)))</f>
        <v>1</v>
      </c>
      <c r="AT617" s="25"/>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row>
    <row r="618">
      <c r="A618" s="7" t="s">
        <v>87</v>
      </c>
      <c r="B618" s="26" t="s">
        <v>88</v>
      </c>
      <c r="E618" s="37"/>
      <c r="F618" s="37"/>
      <c r="G618" s="122"/>
      <c r="K618" s="128"/>
      <c r="L618" s="134"/>
      <c r="M618" s="135" t="b">
        <v>0</v>
      </c>
      <c r="N618" s="135" t="b">
        <v>0</v>
      </c>
      <c r="O618" s="135"/>
      <c r="P618" s="135" t="b">
        <v>0</v>
      </c>
      <c r="Q618" s="135" t="b">
        <v>0</v>
      </c>
      <c r="R618" s="135" t="b">
        <v>0</v>
      </c>
      <c r="S618" s="135"/>
      <c r="T618" s="32"/>
      <c r="U618" s="135" t="b">
        <v>0</v>
      </c>
      <c r="V618" s="135"/>
      <c r="W618" s="135" t="b">
        <v>0</v>
      </c>
      <c r="X618" s="135" t="b">
        <v>0</v>
      </c>
      <c r="Y618" s="135"/>
      <c r="Z618" s="135"/>
      <c r="AA618" s="135"/>
      <c r="AB618" s="135"/>
      <c r="AC618" s="136"/>
      <c r="AD618" s="135"/>
      <c r="AE618" s="135"/>
      <c r="AF618" s="135"/>
      <c r="AG618" s="135"/>
      <c r="AH618" s="135"/>
      <c r="AI618" s="135"/>
      <c r="AJ618" s="1"/>
      <c r="AK618" s="34"/>
      <c r="AL618" s="37"/>
      <c r="AM618" s="37"/>
      <c r="AN618" s="126" t="s">
        <v>3043</v>
      </c>
      <c r="AO618" s="24">
        <v>0.002210648148148148</v>
      </c>
      <c r="AP618" s="131"/>
      <c r="AQ618" s="4"/>
      <c r="AR618" s="7" t="s">
        <v>633</v>
      </c>
      <c r="AS618" s="7" t="b">
        <f>NOT(ISERROR(MATCH(A618,'Villages according to موسوعة ال'!C:C,0)))</f>
        <v>1</v>
      </c>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row>
    <row r="619">
      <c r="A619" s="7" t="s">
        <v>87</v>
      </c>
      <c r="B619" s="43" t="s">
        <v>88</v>
      </c>
      <c r="E619" s="25"/>
      <c r="F619" s="25"/>
      <c r="G619" s="84"/>
      <c r="H619" s="7" t="s">
        <v>3044</v>
      </c>
      <c r="I619" s="7" t="s">
        <v>638</v>
      </c>
      <c r="J619" s="7" t="s">
        <v>3045</v>
      </c>
      <c r="K619" s="54" t="s">
        <v>3046</v>
      </c>
      <c r="L619" s="30" t="s">
        <v>3047</v>
      </c>
      <c r="M619" s="60" t="b">
        <v>0</v>
      </c>
      <c r="N619" s="60" t="b">
        <v>0</v>
      </c>
      <c r="O619" s="60"/>
      <c r="P619" s="60" t="b">
        <v>0</v>
      </c>
      <c r="Q619" s="60" t="b">
        <v>0</v>
      </c>
      <c r="R619" s="60" t="b">
        <v>0</v>
      </c>
      <c r="S619" s="60"/>
      <c r="T619" s="60"/>
      <c r="U619" s="60" t="b">
        <v>0</v>
      </c>
      <c r="V619" s="60"/>
      <c r="W619" s="60" t="b">
        <v>0</v>
      </c>
      <c r="X619" s="60" t="b">
        <v>0</v>
      </c>
      <c r="Y619" s="60"/>
      <c r="Z619" s="60"/>
      <c r="AA619" s="60"/>
      <c r="AB619" s="60"/>
      <c r="AC619" s="61"/>
      <c r="AD619" s="60"/>
      <c r="AE619" s="60"/>
      <c r="AF619" s="60"/>
      <c r="AG619" s="60"/>
      <c r="AH619" s="60"/>
      <c r="AI619" s="60"/>
      <c r="AJ619" s="3" t="s">
        <v>3048</v>
      </c>
      <c r="AK619" s="34" t="s">
        <v>698</v>
      </c>
      <c r="AL619" s="25"/>
      <c r="AM619" s="25"/>
      <c r="AN619" s="35" t="s">
        <v>3049</v>
      </c>
      <c r="AO619" s="24">
        <v>0.005127314814814815</v>
      </c>
      <c r="AP619" s="74" t="s">
        <v>633</v>
      </c>
      <c r="AQ619" s="7" t="s">
        <v>633</v>
      </c>
      <c r="AR619" s="35" t="s">
        <v>3050</v>
      </c>
      <c r="AS619" s="7" t="b">
        <f>NOT(ISERROR(MATCH(A619,'Villages according to موسوعة ال'!C:C,0)))</f>
        <v>1</v>
      </c>
      <c r="AT619" s="25"/>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row>
    <row r="620">
      <c r="A620" s="7" t="s">
        <v>87</v>
      </c>
      <c r="B620" s="26" t="s">
        <v>88</v>
      </c>
      <c r="E620" s="83"/>
      <c r="F620" s="37"/>
      <c r="G620" s="122"/>
      <c r="H620" s="4" t="s">
        <v>3051</v>
      </c>
      <c r="I620" s="4" t="s">
        <v>616</v>
      </c>
      <c r="J620" s="4" t="s">
        <v>3052</v>
      </c>
      <c r="K620" s="128"/>
      <c r="L620" s="134"/>
      <c r="M620" s="135" t="b">
        <v>0</v>
      </c>
      <c r="N620" s="135" t="b">
        <v>0</v>
      </c>
      <c r="O620" s="135"/>
      <c r="P620" s="135" t="b">
        <v>0</v>
      </c>
      <c r="Q620" s="135" t="b">
        <v>0</v>
      </c>
      <c r="R620" s="135" t="b">
        <v>0</v>
      </c>
      <c r="S620" s="135"/>
      <c r="T620" s="32"/>
      <c r="U620" s="135" t="b">
        <v>0</v>
      </c>
      <c r="V620" s="135"/>
      <c r="W620" s="135" t="b">
        <v>0</v>
      </c>
      <c r="X620" s="135" t="b">
        <v>0</v>
      </c>
      <c r="Y620" s="135"/>
      <c r="Z620" s="135"/>
      <c r="AA620" s="135"/>
      <c r="AB620" s="135"/>
      <c r="AC620" s="136"/>
      <c r="AD620" s="135"/>
      <c r="AE620" s="135"/>
      <c r="AF620" s="135"/>
      <c r="AG620" s="135"/>
      <c r="AH620" s="135"/>
      <c r="AI620" s="135"/>
      <c r="AJ620" s="1"/>
      <c r="AK620" s="34"/>
      <c r="AL620" s="37"/>
      <c r="AM620" s="37"/>
      <c r="AN620" s="126" t="s">
        <v>3053</v>
      </c>
      <c r="AO620" s="24">
        <v>9.375E-4</v>
      </c>
      <c r="AP620" s="131"/>
      <c r="AQ620" s="137"/>
      <c r="AR620" s="7" t="s">
        <v>633</v>
      </c>
      <c r="AS620" s="7" t="b">
        <f>NOT(ISERROR(MATCH(A620,'Villages according to موسوعة ال'!C:C,0)))</f>
        <v>1</v>
      </c>
      <c r="AT620" s="4"/>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row>
    <row r="621">
      <c r="A621" s="7" t="s">
        <v>87</v>
      </c>
      <c r="B621" s="26" t="s">
        <v>88</v>
      </c>
      <c r="E621" s="83"/>
      <c r="F621" s="37"/>
      <c r="G621" s="122"/>
      <c r="K621" s="128"/>
      <c r="L621" s="134"/>
      <c r="M621" s="135" t="b">
        <v>0</v>
      </c>
      <c r="N621" s="135" t="b">
        <v>0</v>
      </c>
      <c r="O621" s="135"/>
      <c r="P621" s="135" t="b">
        <v>0</v>
      </c>
      <c r="Q621" s="135" t="b">
        <v>0</v>
      </c>
      <c r="R621" s="135" t="b">
        <v>0</v>
      </c>
      <c r="S621" s="135"/>
      <c r="T621" s="32"/>
      <c r="U621" s="135" t="b">
        <v>0</v>
      </c>
      <c r="V621" s="135"/>
      <c r="W621" s="135" t="b">
        <v>0</v>
      </c>
      <c r="X621" s="135" t="b">
        <v>0</v>
      </c>
      <c r="Y621" s="135"/>
      <c r="Z621" s="135"/>
      <c r="AA621" s="135"/>
      <c r="AB621" s="135"/>
      <c r="AC621" s="136"/>
      <c r="AD621" s="135"/>
      <c r="AE621" s="135"/>
      <c r="AF621" s="135"/>
      <c r="AG621" s="135"/>
      <c r="AH621" s="135"/>
      <c r="AI621" s="135"/>
      <c r="AJ621" s="1"/>
      <c r="AK621" s="34"/>
      <c r="AL621" s="37"/>
      <c r="AM621" s="37"/>
      <c r="AN621" s="126" t="s">
        <v>3054</v>
      </c>
      <c r="AO621" s="24">
        <v>8.680555555555555E-4</v>
      </c>
      <c r="AP621" s="131"/>
      <c r="AQ621" s="137"/>
      <c r="AR621" s="7" t="s">
        <v>633</v>
      </c>
      <c r="AS621" s="7" t="b">
        <f>NOT(ISERROR(MATCH(A621,'Villages according to موسوعة ال'!C:C,0)))</f>
        <v>1</v>
      </c>
      <c r="AT621" s="4"/>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row>
    <row r="622">
      <c r="A622" s="7" t="s">
        <v>87</v>
      </c>
      <c r="B622" s="26" t="s">
        <v>88</v>
      </c>
      <c r="E622" s="83"/>
      <c r="F622" s="37"/>
      <c r="G622" s="122"/>
      <c r="H622" s="4" t="s">
        <v>3055</v>
      </c>
      <c r="I622" s="4" t="s">
        <v>616</v>
      </c>
      <c r="J622" s="4" t="s">
        <v>3056</v>
      </c>
      <c r="K622" s="128"/>
      <c r="L622" s="134"/>
      <c r="M622" s="135" t="b">
        <v>0</v>
      </c>
      <c r="N622" s="135" t="b">
        <v>0</v>
      </c>
      <c r="O622" s="135"/>
      <c r="P622" s="135" t="b">
        <v>0</v>
      </c>
      <c r="Q622" s="135" t="b">
        <v>0</v>
      </c>
      <c r="R622" s="135" t="b">
        <v>0</v>
      </c>
      <c r="S622" s="135"/>
      <c r="T622" s="32"/>
      <c r="U622" s="135" t="b">
        <v>0</v>
      </c>
      <c r="V622" s="135"/>
      <c r="W622" s="135" t="b">
        <v>0</v>
      </c>
      <c r="X622" s="135" t="b">
        <v>0</v>
      </c>
      <c r="Y622" s="135"/>
      <c r="Z622" s="135"/>
      <c r="AA622" s="135"/>
      <c r="AB622" s="135"/>
      <c r="AC622" s="136"/>
      <c r="AD622" s="135"/>
      <c r="AE622" s="135"/>
      <c r="AF622" s="135"/>
      <c r="AG622" s="135"/>
      <c r="AH622" s="135"/>
      <c r="AI622" s="135"/>
      <c r="AJ622" s="1"/>
      <c r="AK622" s="34"/>
      <c r="AL622" s="37"/>
      <c r="AM622" s="37"/>
      <c r="AN622" s="126" t="s">
        <v>3057</v>
      </c>
      <c r="AO622" s="24">
        <v>0.002962962962962963</v>
      </c>
      <c r="AP622" s="131"/>
      <c r="AQ622" s="137"/>
      <c r="AR622" s="7" t="s">
        <v>633</v>
      </c>
      <c r="AS622" s="7" t="b">
        <f>NOT(ISERROR(MATCH(A622,'Villages according to موسوعة ال'!C:C,0)))</f>
        <v>1</v>
      </c>
      <c r="AT622" s="4"/>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row>
    <row r="623">
      <c r="A623" s="7" t="s">
        <v>87</v>
      </c>
      <c r="B623" s="26" t="s">
        <v>88</v>
      </c>
      <c r="E623" s="83"/>
      <c r="F623" s="37"/>
      <c r="G623" s="122"/>
      <c r="H623" s="4" t="s">
        <v>3058</v>
      </c>
      <c r="I623" s="4" t="s">
        <v>616</v>
      </c>
      <c r="J623" s="4" t="s">
        <v>3059</v>
      </c>
      <c r="K623" s="128"/>
      <c r="L623" s="134"/>
      <c r="M623" s="135" t="b">
        <v>0</v>
      </c>
      <c r="N623" s="135" t="b">
        <v>0</v>
      </c>
      <c r="O623" s="135"/>
      <c r="P623" s="135" t="b">
        <v>0</v>
      </c>
      <c r="Q623" s="135" t="b">
        <v>0</v>
      </c>
      <c r="R623" s="135" t="b">
        <v>0</v>
      </c>
      <c r="S623" s="135"/>
      <c r="T623" s="32"/>
      <c r="U623" s="135" t="b">
        <v>0</v>
      </c>
      <c r="V623" s="135"/>
      <c r="W623" s="135" t="b">
        <v>0</v>
      </c>
      <c r="X623" s="135" t="b">
        <v>0</v>
      </c>
      <c r="Y623" s="135"/>
      <c r="Z623" s="135"/>
      <c r="AA623" s="135"/>
      <c r="AB623" s="135"/>
      <c r="AC623" s="136"/>
      <c r="AD623" s="135"/>
      <c r="AE623" s="135"/>
      <c r="AF623" s="135"/>
      <c r="AG623" s="135"/>
      <c r="AH623" s="135"/>
      <c r="AI623" s="135"/>
      <c r="AJ623" s="1"/>
      <c r="AK623" s="34"/>
      <c r="AL623" s="37"/>
      <c r="AM623" s="37"/>
      <c r="AN623" s="126" t="s">
        <v>3060</v>
      </c>
      <c r="AO623" s="24">
        <v>0.0010185185185185184</v>
      </c>
      <c r="AP623" s="131"/>
      <c r="AQ623" s="137"/>
      <c r="AR623" s="7" t="s">
        <v>633</v>
      </c>
      <c r="AS623" s="7" t="b">
        <f>NOT(ISERROR(MATCH(A623,'Villages according to موسوعة ال'!C:C,0)))</f>
        <v>1</v>
      </c>
      <c r="AT623" s="4"/>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row>
    <row r="624">
      <c r="A624" s="7" t="s">
        <v>87</v>
      </c>
      <c r="B624" s="26" t="s">
        <v>88</v>
      </c>
      <c r="E624" s="83"/>
      <c r="F624" s="37"/>
      <c r="G624" s="122"/>
      <c r="H624" s="4" t="s">
        <v>2341</v>
      </c>
      <c r="I624" s="4" t="s">
        <v>638</v>
      </c>
      <c r="J624" s="4" t="s">
        <v>3061</v>
      </c>
      <c r="K624" s="128"/>
      <c r="L624" s="134"/>
      <c r="M624" s="135" t="b">
        <v>0</v>
      </c>
      <c r="N624" s="135" t="b">
        <v>0</v>
      </c>
      <c r="O624" s="135"/>
      <c r="P624" s="135" t="b">
        <v>0</v>
      </c>
      <c r="Q624" s="135" t="b">
        <v>0</v>
      </c>
      <c r="R624" s="135" t="b">
        <v>0</v>
      </c>
      <c r="S624" s="135"/>
      <c r="T624" s="32"/>
      <c r="U624" s="135" t="b">
        <v>0</v>
      </c>
      <c r="V624" s="135"/>
      <c r="W624" s="135" t="b">
        <v>0</v>
      </c>
      <c r="X624" s="135" t="b">
        <v>0</v>
      </c>
      <c r="Y624" s="135"/>
      <c r="Z624" s="135"/>
      <c r="AA624" s="135"/>
      <c r="AB624" s="135"/>
      <c r="AC624" s="136"/>
      <c r="AD624" s="135"/>
      <c r="AE624" s="135"/>
      <c r="AF624" s="135"/>
      <c r="AG624" s="135"/>
      <c r="AH624" s="135"/>
      <c r="AI624" s="135"/>
      <c r="AJ624" s="1"/>
      <c r="AK624" s="34"/>
      <c r="AL624" s="37"/>
      <c r="AM624" s="37"/>
      <c r="AN624" s="126" t="s">
        <v>3062</v>
      </c>
      <c r="AO624" s="24">
        <v>0.0014351851851851852</v>
      </c>
      <c r="AP624" s="131"/>
      <c r="AQ624" s="137"/>
      <c r="AR624" s="7" t="s">
        <v>633</v>
      </c>
      <c r="AS624" s="7" t="b">
        <f>NOT(ISERROR(MATCH(A624,'Villages according to موسوعة ال'!C:C,0)))</f>
        <v>1</v>
      </c>
      <c r="AT624" s="4"/>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row>
    <row r="625">
      <c r="A625" s="7" t="s">
        <v>120</v>
      </c>
      <c r="B625" s="43" t="s">
        <v>121</v>
      </c>
      <c r="C625" s="7" t="s">
        <v>121</v>
      </c>
      <c r="D625" s="7" t="s">
        <v>122</v>
      </c>
      <c r="E625" s="25"/>
      <c r="F625" s="25"/>
      <c r="G625" s="84"/>
      <c r="H625" s="7" t="s">
        <v>3063</v>
      </c>
      <c r="I625" s="7" t="s">
        <v>616</v>
      </c>
      <c r="J625" s="7" t="s">
        <v>3064</v>
      </c>
      <c r="K625" s="54" t="s">
        <v>3065</v>
      </c>
      <c r="L625" s="30" t="s">
        <v>3066</v>
      </c>
      <c r="M625" s="60" t="b">
        <v>0</v>
      </c>
      <c r="N625" s="60" t="b">
        <v>0</v>
      </c>
      <c r="O625" s="60"/>
      <c r="P625" s="60" t="b">
        <v>0</v>
      </c>
      <c r="Q625" s="60" t="b">
        <v>0</v>
      </c>
      <c r="R625" s="60" t="b">
        <v>0</v>
      </c>
      <c r="S625" s="60"/>
      <c r="T625" s="60"/>
      <c r="U625" s="60" t="b">
        <v>0</v>
      </c>
      <c r="V625" s="60"/>
      <c r="W625" s="60" t="b">
        <v>0</v>
      </c>
      <c r="X625" s="60" t="b">
        <v>0</v>
      </c>
      <c r="Y625" s="60"/>
      <c r="Z625" s="60"/>
      <c r="AA625" s="60"/>
      <c r="AB625" s="60"/>
      <c r="AC625" s="61"/>
      <c r="AD625" s="60"/>
      <c r="AE625" s="60"/>
      <c r="AF625" s="60"/>
      <c r="AG625" s="60"/>
      <c r="AH625" s="60"/>
      <c r="AI625" s="60"/>
      <c r="AJ625" s="3" t="s">
        <v>3067</v>
      </c>
      <c r="AK625" s="34" t="s">
        <v>698</v>
      </c>
      <c r="AL625" s="25"/>
      <c r="AM625" s="25"/>
      <c r="AN625" s="35" t="s">
        <v>3068</v>
      </c>
      <c r="AO625" s="24">
        <v>0.008738425925925926</v>
      </c>
      <c r="AP625" s="74" t="s">
        <v>3069</v>
      </c>
      <c r="AQ625" s="73">
        <v>38018.0</v>
      </c>
      <c r="AR625" s="35" t="s">
        <v>3070</v>
      </c>
      <c r="AS625" s="7" t="b">
        <f>NOT(ISERROR(MATCH(A625,'Villages according to موسوعة ال'!C:C,0)))</f>
        <v>1</v>
      </c>
      <c r="AT625" s="7"/>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row>
    <row r="626">
      <c r="A626" s="7" t="s">
        <v>120</v>
      </c>
      <c r="B626" s="26" t="s">
        <v>121</v>
      </c>
      <c r="E626" s="7"/>
      <c r="F626" s="37"/>
      <c r="G626" s="122"/>
      <c r="H626" s="4" t="s">
        <v>3071</v>
      </c>
      <c r="I626" s="4" t="s">
        <v>638</v>
      </c>
      <c r="J626" s="4" t="s">
        <v>3072</v>
      </c>
      <c r="K626" s="128"/>
      <c r="L626" s="134"/>
      <c r="M626" s="135" t="b">
        <v>0</v>
      </c>
      <c r="N626" s="135" t="b">
        <v>0</v>
      </c>
      <c r="O626" s="135"/>
      <c r="P626" s="135" t="b">
        <v>0</v>
      </c>
      <c r="Q626" s="135" t="b">
        <v>0</v>
      </c>
      <c r="R626" s="135" t="b">
        <v>0</v>
      </c>
      <c r="S626" s="135"/>
      <c r="T626" s="32"/>
      <c r="U626" s="135" t="b">
        <v>0</v>
      </c>
      <c r="V626" s="135"/>
      <c r="W626" s="135" t="b">
        <v>0</v>
      </c>
      <c r="X626" s="135" t="b">
        <v>0</v>
      </c>
      <c r="Y626" s="135"/>
      <c r="Z626" s="135"/>
      <c r="AA626" s="135"/>
      <c r="AB626" s="135"/>
      <c r="AC626" s="136"/>
      <c r="AD626" s="135"/>
      <c r="AE626" s="135"/>
      <c r="AF626" s="135"/>
      <c r="AG626" s="135"/>
      <c r="AH626" s="135"/>
      <c r="AI626" s="135"/>
      <c r="AJ626" s="37"/>
      <c r="AK626" s="34"/>
      <c r="AL626" s="37"/>
      <c r="AM626" s="37"/>
      <c r="AN626" s="126" t="s">
        <v>3073</v>
      </c>
      <c r="AO626" s="24">
        <v>0.004548611111111111</v>
      </c>
      <c r="AP626" s="131"/>
      <c r="AQ626" s="137"/>
      <c r="AR626" s="7" t="s">
        <v>633</v>
      </c>
      <c r="AS626" s="7" t="b">
        <f>NOT(ISERROR(MATCH(A626,'Villages according to موسوعة ال'!C:C,0)))</f>
        <v>1</v>
      </c>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row>
    <row r="627">
      <c r="A627" s="7" t="s">
        <v>120</v>
      </c>
      <c r="B627" s="26" t="s">
        <v>121</v>
      </c>
      <c r="E627" s="7"/>
      <c r="F627" s="37"/>
      <c r="G627" s="122"/>
      <c r="H627" s="4" t="s">
        <v>3071</v>
      </c>
      <c r="I627" s="4" t="s">
        <v>638</v>
      </c>
      <c r="J627" s="4" t="s">
        <v>3072</v>
      </c>
      <c r="K627" s="128"/>
      <c r="L627" s="134"/>
      <c r="M627" s="135" t="b">
        <v>0</v>
      </c>
      <c r="N627" s="135" t="b">
        <v>0</v>
      </c>
      <c r="O627" s="135"/>
      <c r="P627" s="135" t="b">
        <v>0</v>
      </c>
      <c r="Q627" s="135" t="b">
        <v>0</v>
      </c>
      <c r="R627" s="135" t="b">
        <v>0</v>
      </c>
      <c r="S627" s="135"/>
      <c r="T627" s="32"/>
      <c r="U627" s="135" t="b">
        <v>0</v>
      </c>
      <c r="V627" s="135"/>
      <c r="W627" s="135" t="b">
        <v>0</v>
      </c>
      <c r="X627" s="135" t="b">
        <v>0</v>
      </c>
      <c r="Y627" s="135"/>
      <c r="Z627" s="135"/>
      <c r="AA627" s="135"/>
      <c r="AB627" s="135"/>
      <c r="AC627" s="136"/>
      <c r="AD627" s="135"/>
      <c r="AE627" s="135"/>
      <c r="AF627" s="135"/>
      <c r="AG627" s="135"/>
      <c r="AH627" s="135"/>
      <c r="AI627" s="135"/>
      <c r="AJ627" s="37"/>
      <c r="AK627" s="34"/>
      <c r="AL627" s="37"/>
      <c r="AM627" s="37"/>
      <c r="AN627" s="126" t="s">
        <v>3074</v>
      </c>
      <c r="AO627" s="24">
        <v>0.0034953703703703705</v>
      </c>
      <c r="AP627" s="131"/>
      <c r="AQ627" s="137"/>
      <c r="AR627" s="7" t="s">
        <v>633</v>
      </c>
      <c r="AS627" s="7" t="b">
        <f>NOT(ISERROR(MATCH(A627,'Villages according to موسوعة ال'!C:C,0)))</f>
        <v>1</v>
      </c>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row>
    <row r="628">
      <c r="A628" s="7" t="s">
        <v>120</v>
      </c>
      <c r="B628" s="26" t="s">
        <v>121</v>
      </c>
      <c r="E628" s="7"/>
      <c r="F628" s="37"/>
      <c r="G628" s="122"/>
      <c r="H628" s="4" t="s">
        <v>3075</v>
      </c>
      <c r="I628" s="4" t="s">
        <v>638</v>
      </c>
      <c r="J628" s="4" t="s">
        <v>3076</v>
      </c>
      <c r="K628" s="128"/>
      <c r="L628" s="134"/>
      <c r="M628" s="135" t="b">
        <v>0</v>
      </c>
      <c r="N628" s="135" t="b">
        <v>0</v>
      </c>
      <c r="O628" s="135"/>
      <c r="P628" s="135" t="b">
        <v>0</v>
      </c>
      <c r="Q628" s="135" t="b">
        <v>0</v>
      </c>
      <c r="R628" s="135" t="b">
        <v>0</v>
      </c>
      <c r="S628" s="135"/>
      <c r="T628" s="32"/>
      <c r="U628" s="135" t="b">
        <v>0</v>
      </c>
      <c r="V628" s="135"/>
      <c r="W628" s="135" t="b">
        <v>0</v>
      </c>
      <c r="X628" s="135" t="b">
        <v>0</v>
      </c>
      <c r="Y628" s="135"/>
      <c r="Z628" s="135"/>
      <c r="AA628" s="135"/>
      <c r="AB628" s="135"/>
      <c r="AC628" s="136"/>
      <c r="AD628" s="135"/>
      <c r="AE628" s="135"/>
      <c r="AF628" s="135"/>
      <c r="AG628" s="135"/>
      <c r="AH628" s="135"/>
      <c r="AI628" s="135"/>
      <c r="AJ628" s="1" t="s">
        <v>3077</v>
      </c>
      <c r="AK628" s="34"/>
      <c r="AL628" s="37"/>
      <c r="AM628" s="37"/>
      <c r="AN628" s="126" t="s">
        <v>3078</v>
      </c>
      <c r="AO628" s="24">
        <v>9.375E-4</v>
      </c>
      <c r="AP628" s="131" t="s">
        <v>3079</v>
      </c>
      <c r="AQ628" s="137"/>
      <c r="AR628" s="7" t="s">
        <v>633</v>
      </c>
      <c r="AS628" s="7" t="b">
        <f>NOT(ISERROR(MATCH(A628,'Villages according to موسوعة ال'!C:C,0)))</f>
        <v>1</v>
      </c>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row>
    <row r="629">
      <c r="A629" s="7" t="s">
        <v>120</v>
      </c>
      <c r="B629" s="26" t="s">
        <v>121</v>
      </c>
      <c r="E629" s="7"/>
      <c r="F629" s="37"/>
      <c r="G629" s="122"/>
      <c r="K629" s="128"/>
      <c r="L629" s="134"/>
      <c r="M629" s="135" t="b">
        <v>0</v>
      </c>
      <c r="N629" s="135" t="b">
        <v>0</v>
      </c>
      <c r="O629" s="135"/>
      <c r="P629" s="135" t="b">
        <v>0</v>
      </c>
      <c r="Q629" s="135" t="b">
        <v>0</v>
      </c>
      <c r="R629" s="135" t="b">
        <v>0</v>
      </c>
      <c r="S629" s="135"/>
      <c r="T629" s="32"/>
      <c r="U629" s="135" t="b">
        <v>0</v>
      </c>
      <c r="V629" s="135"/>
      <c r="W629" s="135" t="b">
        <v>0</v>
      </c>
      <c r="X629" s="135" t="b">
        <v>0</v>
      </c>
      <c r="Y629" s="135"/>
      <c r="Z629" s="135"/>
      <c r="AA629" s="135"/>
      <c r="AB629" s="135"/>
      <c r="AC629" s="136"/>
      <c r="AD629" s="135"/>
      <c r="AE629" s="135"/>
      <c r="AF629" s="135"/>
      <c r="AG629" s="135"/>
      <c r="AH629" s="135"/>
      <c r="AI629" s="135"/>
      <c r="AJ629" s="37"/>
      <c r="AK629" s="34"/>
      <c r="AL629" s="37"/>
      <c r="AM629" s="37"/>
      <c r="AN629" s="126" t="s">
        <v>3080</v>
      </c>
      <c r="AO629" s="24">
        <v>0.0010532407407407407</v>
      </c>
      <c r="AP629" s="131" t="s">
        <v>3079</v>
      </c>
      <c r="AQ629" s="137"/>
      <c r="AR629" s="7" t="s">
        <v>633</v>
      </c>
      <c r="AS629" s="7" t="b">
        <f>NOT(ISERROR(MATCH(A629,'Villages according to موسوعة ال'!C:C,0)))</f>
        <v>1</v>
      </c>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row>
    <row r="630">
      <c r="A630" s="7" t="s">
        <v>120</v>
      </c>
      <c r="B630" s="26" t="s">
        <v>121</v>
      </c>
      <c r="E630" s="7"/>
      <c r="F630" s="37"/>
      <c r="G630" s="122"/>
      <c r="K630" s="128"/>
      <c r="L630" s="134"/>
      <c r="M630" s="135" t="b">
        <v>0</v>
      </c>
      <c r="N630" s="135" t="b">
        <v>0</v>
      </c>
      <c r="O630" s="135"/>
      <c r="P630" s="135" t="b">
        <v>0</v>
      </c>
      <c r="Q630" s="135" t="b">
        <v>0</v>
      </c>
      <c r="R630" s="135" t="b">
        <v>0</v>
      </c>
      <c r="S630" s="135"/>
      <c r="T630" s="32"/>
      <c r="U630" s="135" t="b">
        <v>0</v>
      </c>
      <c r="V630" s="135"/>
      <c r="W630" s="135" t="b">
        <v>0</v>
      </c>
      <c r="X630" s="135" t="b">
        <v>0</v>
      </c>
      <c r="Y630" s="135"/>
      <c r="Z630" s="135"/>
      <c r="AA630" s="135"/>
      <c r="AB630" s="135"/>
      <c r="AC630" s="136"/>
      <c r="AD630" s="135"/>
      <c r="AE630" s="135"/>
      <c r="AF630" s="135"/>
      <c r="AG630" s="135"/>
      <c r="AH630" s="135"/>
      <c r="AI630" s="135"/>
      <c r="AJ630" s="37"/>
      <c r="AK630" s="34"/>
      <c r="AL630" s="37"/>
      <c r="AM630" s="37"/>
      <c r="AN630" s="126" t="s">
        <v>3081</v>
      </c>
      <c r="AO630" s="24">
        <v>7.407407407407407E-4</v>
      </c>
      <c r="AP630" s="131" t="s">
        <v>3079</v>
      </c>
      <c r="AQ630" s="137"/>
      <c r="AR630" s="7" t="s">
        <v>633</v>
      </c>
      <c r="AS630" s="7" t="b">
        <f>NOT(ISERROR(MATCH(A630,'Villages according to موسوعة ال'!C:C,0)))</f>
        <v>1</v>
      </c>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row>
    <row r="631">
      <c r="A631" s="7" t="s">
        <v>291</v>
      </c>
      <c r="B631" s="43" t="s">
        <v>292</v>
      </c>
      <c r="C631" s="7" t="s">
        <v>292</v>
      </c>
      <c r="D631" s="7" t="s">
        <v>293</v>
      </c>
      <c r="E631" s="7"/>
      <c r="F631" s="25"/>
      <c r="G631" s="84"/>
      <c r="H631" s="7" t="s">
        <v>3082</v>
      </c>
      <c r="I631" s="7" t="s">
        <v>638</v>
      </c>
      <c r="J631" s="7" t="s">
        <v>3083</v>
      </c>
      <c r="K631" s="54" t="s">
        <v>3084</v>
      </c>
      <c r="L631" s="30" t="s">
        <v>3085</v>
      </c>
      <c r="M631" s="60" t="b">
        <v>0</v>
      </c>
      <c r="N631" s="60" t="b">
        <v>0</v>
      </c>
      <c r="O631" s="60"/>
      <c r="P631" s="60" t="b">
        <v>0</v>
      </c>
      <c r="Q631" s="60" t="b">
        <v>0</v>
      </c>
      <c r="R631" s="60" t="b">
        <v>0</v>
      </c>
      <c r="S631" s="60"/>
      <c r="T631" s="60"/>
      <c r="U631" s="60" t="b">
        <v>0</v>
      </c>
      <c r="V631" s="60"/>
      <c r="W631" s="60" t="b">
        <v>0</v>
      </c>
      <c r="X631" s="60" t="b">
        <v>0</v>
      </c>
      <c r="Y631" s="60"/>
      <c r="Z631" s="60"/>
      <c r="AA631" s="60"/>
      <c r="AB631" s="60"/>
      <c r="AC631" s="61"/>
      <c r="AD631" s="60"/>
      <c r="AE631" s="60"/>
      <c r="AF631" s="60"/>
      <c r="AG631" s="60"/>
      <c r="AH631" s="60"/>
      <c r="AI631" s="60"/>
      <c r="AJ631" s="25"/>
      <c r="AK631" s="34" t="s">
        <v>698</v>
      </c>
      <c r="AL631" s="3" t="s">
        <v>699</v>
      </c>
      <c r="AM631" s="3" t="s">
        <v>831</v>
      </c>
      <c r="AN631" s="35" t="s">
        <v>3086</v>
      </c>
      <c r="AO631" s="24">
        <v>0.002013888888888889</v>
      </c>
      <c r="AP631" s="74" t="s">
        <v>1536</v>
      </c>
      <c r="AQ631" s="73">
        <v>38261.0</v>
      </c>
      <c r="AR631" s="35" t="s">
        <v>3087</v>
      </c>
      <c r="AS631" s="7" t="b">
        <f>NOT(ISERROR(MATCH(A631,'Villages according to موسوعة ال'!C:C,0)))</f>
        <v>1</v>
      </c>
      <c r="AT631" s="25"/>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row>
    <row r="632">
      <c r="A632" s="7" t="s">
        <v>291</v>
      </c>
      <c r="B632" s="26" t="s">
        <v>292</v>
      </c>
      <c r="E632" s="83"/>
      <c r="F632" s="37"/>
      <c r="G632" s="122"/>
      <c r="H632" s="4" t="s">
        <v>2341</v>
      </c>
      <c r="I632" s="4" t="s">
        <v>638</v>
      </c>
      <c r="J632" s="4" t="s">
        <v>3088</v>
      </c>
      <c r="K632" s="128"/>
      <c r="L632" s="134"/>
      <c r="M632" s="135" t="b">
        <v>0</v>
      </c>
      <c r="N632" s="135" t="b">
        <v>0</v>
      </c>
      <c r="O632" s="135"/>
      <c r="P632" s="135" t="b">
        <v>0</v>
      </c>
      <c r="Q632" s="135" t="b">
        <v>0</v>
      </c>
      <c r="R632" s="135" t="b">
        <v>0</v>
      </c>
      <c r="S632" s="135"/>
      <c r="T632" s="32"/>
      <c r="U632" s="135" t="b">
        <v>0</v>
      </c>
      <c r="V632" s="135"/>
      <c r="W632" s="135" t="b">
        <v>0</v>
      </c>
      <c r="X632" s="135" t="b">
        <v>0</v>
      </c>
      <c r="Y632" s="135"/>
      <c r="Z632" s="135"/>
      <c r="AA632" s="135"/>
      <c r="AB632" s="135"/>
      <c r="AC632" s="136"/>
      <c r="AD632" s="135"/>
      <c r="AE632" s="135"/>
      <c r="AF632" s="135"/>
      <c r="AG632" s="135"/>
      <c r="AH632" s="135"/>
      <c r="AI632" s="135"/>
      <c r="AJ632" s="1"/>
      <c r="AK632" s="34"/>
      <c r="AL632" s="37"/>
      <c r="AM632" s="37"/>
      <c r="AN632" s="126" t="s">
        <v>3089</v>
      </c>
      <c r="AO632" s="24">
        <v>0.0013773148148148147</v>
      </c>
      <c r="AP632" s="131" t="s">
        <v>1536</v>
      </c>
      <c r="AQ632" s="137">
        <v>38262.0</v>
      </c>
      <c r="AR632" s="7" t="s">
        <v>633</v>
      </c>
      <c r="AS632" s="7" t="b">
        <f>NOT(ISERROR(MATCH(A632,'Villages according to موسوعة ال'!C:C,0)))</f>
        <v>1</v>
      </c>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row>
    <row r="633">
      <c r="A633" s="7" t="s">
        <v>291</v>
      </c>
      <c r="B633" s="26" t="s">
        <v>292</v>
      </c>
      <c r="E633" s="83"/>
      <c r="F633" s="37"/>
      <c r="G633" s="122"/>
      <c r="H633" s="4" t="s">
        <v>3090</v>
      </c>
      <c r="I633" s="4" t="s">
        <v>638</v>
      </c>
      <c r="J633" s="4" t="s">
        <v>3091</v>
      </c>
      <c r="K633" s="128"/>
      <c r="L633" s="134"/>
      <c r="M633" s="135" t="b">
        <v>0</v>
      </c>
      <c r="N633" s="135" t="b">
        <v>0</v>
      </c>
      <c r="O633" s="135"/>
      <c r="P633" s="135" t="b">
        <v>0</v>
      </c>
      <c r="Q633" s="135" t="b">
        <v>0</v>
      </c>
      <c r="R633" s="135" t="b">
        <v>0</v>
      </c>
      <c r="S633" s="135"/>
      <c r="T633" s="32"/>
      <c r="U633" s="135" t="b">
        <v>0</v>
      </c>
      <c r="V633" s="135"/>
      <c r="W633" s="135" t="b">
        <v>0</v>
      </c>
      <c r="X633" s="135" t="b">
        <v>0</v>
      </c>
      <c r="Y633" s="135"/>
      <c r="Z633" s="135"/>
      <c r="AA633" s="135"/>
      <c r="AB633" s="135"/>
      <c r="AC633" s="136"/>
      <c r="AD633" s="135"/>
      <c r="AE633" s="135"/>
      <c r="AF633" s="135"/>
      <c r="AG633" s="135"/>
      <c r="AH633" s="135"/>
      <c r="AI633" s="135"/>
      <c r="AJ633" s="1"/>
      <c r="AK633" s="34"/>
      <c r="AL633" s="37"/>
      <c r="AM633" s="37"/>
      <c r="AN633" s="126" t="s">
        <v>3092</v>
      </c>
      <c r="AO633" s="24">
        <v>0.0015625</v>
      </c>
      <c r="AP633" s="131" t="s">
        <v>1536</v>
      </c>
      <c r="AQ633" s="137">
        <v>38263.0</v>
      </c>
      <c r="AR633" s="7" t="s">
        <v>633</v>
      </c>
      <c r="AS633" s="7" t="b">
        <f>NOT(ISERROR(MATCH(A633,'Villages according to موسوعة ال'!C:C,0)))</f>
        <v>1</v>
      </c>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row>
    <row r="634">
      <c r="A634" s="7" t="s">
        <v>291</v>
      </c>
      <c r="B634" s="26" t="s">
        <v>292</v>
      </c>
      <c r="E634" s="83"/>
      <c r="F634" s="37"/>
      <c r="G634" s="122"/>
      <c r="H634" s="4" t="s">
        <v>2341</v>
      </c>
      <c r="I634" s="4" t="s">
        <v>616</v>
      </c>
      <c r="J634" s="4" t="s">
        <v>3093</v>
      </c>
      <c r="K634" s="128"/>
      <c r="L634" s="134"/>
      <c r="M634" s="135" t="b">
        <v>0</v>
      </c>
      <c r="N634" s="135" t="b">
        <v>0</v>
      </c>
      <c r="O634" s="135"/>
      <c r="P634" s="135" t="b">
        <v>0</v>
      </c>
      <c r="Q634" s="135" t="b">
        <v>0</v>
      </c>
      <c r="R634" s="135" t="b">
        <v>0</v>
      </c>
      <c r="S634" s="135"/>
      <c r="T634" s="32"/>
      <c r="U634" s="135" t="b">
        <v>0</v>
      </c>
      <c r="V634" s="135"/>
      <c r="W634" s="135" t="b">
        <v>0</v>
      </c>
      <c r="X634" s="135" t="b">
        <v>0</v>
      </c>
      <c r="Y634" s="135"/>
      <c r="Z634" s="135"/>
      <c r="AA634" s="135"/>
      <c r="AB634" s="135"/>
      <c r="AC634" s="136"/>
      <c r="AD634" s="135"/>
      <c r="AE634" s="135"/>
      <c r="AF634" s="135"/>
      <c r="AG634" s="135"/>
      <c r="AH634" s="135"/>
      <c r="AI634" s="135"/>
      <c r="AJ634" s="1"/>
      <c r="AK634" s="34"/>
      <c r="AL634" s="37"/>
      <c r="AM634" s="37"/>
      <c r="AN634" s="126" t="s">
        <v>3094</v>
      </c>
      <c r="AO634" s="24">
        <v>0.0017013888888888888</v>
      </c>
      <c r="AP634" s="131"/>
      <c r="AQ634" s="137"/>
      <c r="AR634" s="7" t="s">
        <v>633</v>
      </c>
      <c r="AS634" s="7" t="b">
        <f>NOT(ISERROR(MATCH(A634,'Villages according to موسوعة ال'!C:C,0)))</f>
        <v>1</v>
      </c>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row>
    <row r="635">
      <c r="A635" s="7" t="s">
        <v>291</v>
      </c>
      <c r="B635" s="26" t="s">
        <v>292</v>
      </c>
      <c r="E635" s="83"/>
      <c r="F635" s="37"/>
      <c r="G635" s="122"/>
      <c r="K635" s="128"/>
      <c r="L635" s="134"/>
      <c r="M635" s="135" t="b">
        <v>0</v>
      </c>
      <c r="N635" s="135" t="b">
        <v>0</v>
      </c>
      <c r="O635" s="135"/>
      <c r="P635" s="135" t="b">
        <v>0</v>
      </c>
      <c r="Q635" s="135" t="b">
        <v>0</v>
      </c>
      <c r="R635" s="135" t="b">
        <v>0</v>
      </c>
      <c r="S635" s="135"/>
      <c r="T635" s="32"/>
      <c r="U635" s="135" t="b">
        <v>0</v>
      </c>
      <c r="V635" s="135"/>
      <c r="W635" s="135" t="b">
        <v>0</v>
      </c>
      <c r="X635" s="135" t="b">
        <v>0</v>
      </c>
      <c r="Y635" s="135"/>
      <c r="Z635" s="135"/>
      <c r="AA635" s="135"/>
      <c r="AB635" s="135"/>
      <c r="AC635" s="136"/>
      <c r="AD635" s="135"/>
      <c r="AE635" s="135"/>
      <c r="AF635" s="135"/>
      <c r="AG635" s="135"/>
      <c r="AH635" s="135"/>
      <c r="AI635" s="135"/>
      <c r="AJ635" s="1"/>
      <c r="AK635" s="34"/>
      <c r="AL635" s="37"/>
      <c r="AM635" s="37"/>
      <c r="AN635" s="126" t="s">
        <v>3095</v>
      </c>
      <c r="AO635" s="24">
        <v>9.027777777777777E-4</v>
      </c>
      <c r="AP635" s="131"/>
      <c r="AQ635" s="137"/>
      <c r="AR635" s="7" t="s">
        <v>633</v>
      </c>
      <c r="AS635" s="7" t="b">
        <f>NOT(ISERROR(MATCH(A635,'Villages according to موسوعة ال'!C:C,0)))</f>
        <v>1</v>
      </c>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row>
    <row r="636">
      <c r="A636" s="7" t="s">
        <v>291</v>
      </c>
      <c r="B636" s="26" t="s">
        <v>292</v>
      </c>
      <c r="E636" s="83"/>
      <c r="F636" s="37"/>
      <c r="G636" s="122"/>
      <c r="H636" s="4" t="s">
        <v>3096</v>
      </c>
      <c r="I636" s="4" t="s">
        <v>638</v>
      </c>
      <c r="J636" s="4" t="s">
        <v>3097</v>
      </c>
      <c r="K636" s="128"/>
      <c r="L636" s="134"/>
      <c r="M636" s="135" t="b">
        <v>0</v>
      </c>
      <c r="N636" s="135" t="b">
        <v>0</v>
      </c>
      <c r="O636" s="135"/>
      <c r="P636" s="135" t="b">
        <v>0</v>
      </c>
      <c r="Q636" s="135" t="b">
        <v>0</v>
      </c>
      <c r="R636" s="135" t="b">
        <v>0</v>
      </c>
      <c r="S636" s="135"/>
      <c r="T636" s="32"/>
      <c r="U636" s="135" t="b">
        <v>0</v>
      </c>
      <c r="V636" s="135"/>
      <c r="W636" s="135" t="b">
        <v>0</v>
      </c>
      <c r="X636" s="135" t="b">
        <v>0</v>
      </c>
      <c r="Y636" s="135"/>
      <c r="Z636" s="135"/>
      <c r="AA636" s="135"/>
      <c r="AB636" s="135"/>
      <c r="AC636" s="136"/>
      <c r="AD636" s="135"/>
      <c r="AE636" s="135"/>
      <c r="AF636" s="135"/>
      <c r="AG636" s="135"/>
      <c r="AH636" s="135"/>
      <c r="AI636" s="135"/>
      <c r="AJ636" s="1" t="s">
        <v>3098</v>
      </c>
      <c r="AK636" s="34"/>
      <c r="AL636" s="37"/>
      <c r="AM636" s="37"/>
      <c r="AN636" s="126" t="s">
        <v>3099</v>
      </c>
      <c r="AO636" s="24">
        <v>0.002928240740740741</v>
      </c>
      <c r="AP636" s="131"/>
      <c r="AQ636" s="137"/>
      <c r="AR636" s="7" t="s">
        <v>633</v>
      </c>
      <c r="AS636" s="7" t="b">
        <f>NOT(ISERROR(MATCH(A636,'Villages according to موسوعة ال'!C:C,0)))</f>
        <v>1</v>
      </c>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row>
    <row r="637">
      <c r="A637" s="7" t="s">
        <v>291</v>
      </c>
      <c r="B637" s="26" t="s">
        <v>292</v>
      </c>
      <c r="E637" s="83"/>
      <c r="F637" s="37"/>
      <c r="G637" s="122"/>
      <c r="H637" s="4" t="s">
        <v>2341</v>
      </c>
      <c r="I637" s="4" t="s">
        <v>638</v>
      </c>
      <c r="J637" s="4" t="s">
        <v>3100</v>
      </c>
      <c r="K637" s="128"/>
      <c r="L637" s="134"/>
      <c r="M637" s="135" t="b">
        <v>0</v>
      </c>
      <c r="N637" s="135" t="b">
        <v>0</v>
      </c>
      <c r="O637" s="135"/>
      <c r="P637" s="135" t="b">
        <v>0</v>
      </c>
      <c r="Q637" s="135" t="b">
        <v>0</v>
      </c>
      <c r="R637" s="135" t="b">
        <v>0</v>
      </c>
      <c r="S637" s="135"/>
      <c r="T637" s="32"/>
      <c r="U637" s="135" t="b">
        <v>0</v>
      </c>
      <c r="V637" s="135"/>
      <c r="W637" s="135" t="b">
        <v>0</v>
      </c>
      <c r="X637" s="135" t="b">
        <v>0</v>
      </c>
      <c r="Y637" s="135"/>
      <c r="Z637" s="135"/>
      <c r="AA637" s="135"/>
      <c r="AB637" s="135"/>
      <c r="AC637" s="136"/>
      <c r="AD637" s="135"/>
      <c r="AE637" s="135"/>
      <c r="AF637" s="135"/>
      <c r="AG637" s="135"/>
      <c r="AH637" s="135"/>
      <c r="AI637" s="135"/>
      <c r="AJ637" s="1"/>
      <c r="AK637" s="34"/>
      <c r="AL637" s="37"/>
      <c r="AM637" s="37"/>
      <c r="AN637" s="126" t="s">
        <v>3101</v>
      </c>
      <c r="AO637" s="24">
        <v>4.166666666666667E-4</v>
      </c>
      <c r="AP637" s="131"/>
      <c r="AQ637" s="137"/>
      <c r="AR637" s="7" t="s">
        <v>633</v>
      </c>
      <c r="AS637" s="7" t="b">
        <f>NOT(ISERROR(MATCH(A637,'Villages according to موسوعة ال'!C:C,0)))</f>
        <v>1</v>
      </c>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row>
    <row r="638">
      <c r="A638" s="7" t="s">
        <v>291</v>
      </c>
      <c r="B638" s="26" t="s">
        <v>292</v>
      </c>
      <c r="E638" s="83"/>
      <c r="F638" s="37"/>
      <c r="G638" s="122"/>
      <c r="K638" s="128"/>
      <c r="L638" s="134"/>
      <c r="M638" s="135" t="b">
        <v>0</v>
      </c>
      <c r="N638" s="135" t="b">
        <v>0</v>
      </c>
      <c r="O638" s="135"/>
      <c r="P638" s="135" t="b">
        <v>0</v>
      </c>
      <c r="Q638" s="135" t="b">
        <v>0</v>
      </c>
      <c r="R638" s="135" t="b">
        <v>0</v>
      </c>
      <c r="S638" s="135"/>
      <c r="T638" s="32"/>
      <c r="U638" s="135" t="b">
        <v>0</v>
      </c>
      <c r="V638" s="135"/>
      <c r="W638" s="135" t="b">
        <v>0</v>
      </c>
      <c r="X638" s="135" t="b">
        <v>0</v>
      </c>
      <c r="Y638" s="135"/>
      <c r="Z638" s="135"/>
      <c r="AA638" s="135"/>
      <c r="AB638" s="135"/>
      <c r="AC638" s="136"/>
      <c r="AD638" s="135"/>
      <c r="AE638" s="135"/>
      <c r="AF638" s="135"/>
      <c r="AG638" s="135"/>
      <c r="AH638" s="135"/>
      <c r="AI638" s="135"/>
      <c r="AJ638" s="1"/>
      <c r="AK638" s="34"/>
      <c r="AL638" s="37"/>
      <c r="AM638" s="37"/>
      <c r="AN638" s="126" t="s">
        <v>3102</v>
      </c>
      <c r="AO638" s="24">
        <v>0.0024537037037037036</v>
      </c>
      <c r="AP638" s="131"/>
      <c r="AQ638" s="137"/>
      <c r="AR638" s="7" t="s">
        <v>633</v>
      </c>
      <c r="AS638" s="7" t="b">
        <f>NOT(ISERROR(MATCH(A638,'Villages according to موسوعة ال'!C:C,0)))</f>
        <v>1</v>
      </c>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row>
    <row r="639">
      <c r="A639" s="7" t="s">
        <v>291</v>
      </c>
      <c r="B639" s="26" t="s">
        <v>292</v>
      </c>
      <c r="E639" s="83"/>
      <c r="F639" s="37"/>
      <c r="G639" s="122"/>
      <c r="H639" s="4" t="s">
        <v>2341</v>
      </c>
      <c r="I639" s="4" t="s">
        <v>616</v>
      </c>
      <c r="J639" s="4" t="s">
        <v>3103</v>
      </c>
      <c r="K639" s="128"/>
      <c r="L639" s="134"/>
      <c r="M639" s="135" t="b">
        <v>0</v>
      </c>
      <c r="N639" s="135" t="b">
        <v>0</v>
      </c>
      <c r="O639" s="135"/>
      <c r="P639" s="135" t="b">
        <v>0</v>
      </c>
      <c r="Q639" s="135" t="b">
        <v>0</v>
      </c>
      <c r="R639" s="135" t="b">
        <v>0</v>
      </c>
      <c r="S639" s="135"/>
      <c r="T639" s="32"/>
      <c r="U639" s="135" t="b">
        <v>0</v>
      </c>
      <c r="V639" s="135"/>
      <c r="W639" s="135" t="b">
        <v>0</v>
      </c>
      <c r="X639" s="135" t="b">
        <v>0</v>
      </c>
      <c r="Y639" s="135"/>
      <c r="Z639" s="135"/>
      <c r="AA639" s="135"/>
      <c r="AB639" s="135"/>
      <c r="AC639" s="136"/>
      <c r="AD639" s="135"/>
      <c r="AE639" s="135"/>
      <c r="AF639" s="135"/>
      <c r="AG639" s="135"/>
      <c r="AH639" s="135"/>
      <c r="AI639" s="135"/>
      <c r="AJ639" s="1"/>
      <c r="AK639" s="34"/>
      <c r="AL639" s="37"/>
      <c r="AM639" s="37"/>
      <c r="AN639" s="126" t="s">
        <v>3104</v>
      </c>
      <c r="AO639" s="24">
        <v>0.006597222222222222</v>
      </c>
      <c r="AP639" s="131"/>
      <c r="AQ639" s="137"/>
      <c r="AR639" s="7" t="s">
        <v>633</v>
      </c>
      <c r="AS639" s="7" t="b">
        <f>NOT(ISERROR(MATCH(A639,'Villages according to موسوعة ال'!C:C,0)))</f>
        <v>1</v>
      </c>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row>
    <row r="640">
      <c r="A640" s="7" t="s">
        <v>515</v>
      </c>
      <c r="B640" s="43" t="s">
        <v>516</v>
      </c>
      <c r="C640" s="7" t="s">
        <v>516</v>
      </c>
      <c r="D640" s="7" t="s">
        <v>517</v>
      </c>
      <c r="E640" s="25"/>
      <c r="F640" s="25"/>
      <c r="G640" s="84"/>
      <c r="H640" s="7" t="s">
        <v>3105</v>
      </c>
      <c r="I640" s="7" t="s">
        <v>638</v>
      </c>
      <c r="J640" s="7" t="s">
        <v>3106</v>
      </c>
      <c r="K640" s="54" t="s">
        <v>3107</v>
      </c>
      <c r="L640" s="30" t="s">
        <v>3108</v>
      </c>
      <c r="M640" s="60" t="b">
        <v>0</v>
      </c>
      <c r="N640" s="60" t="b">
        <v>0</v>
      </c>
      <c r="O640" s="60"/>
      <c r="P640" s="60" t="b">
        <v>0</v>
      </c>
      <c r="Q640" s="60" t="b">
        <v>0</v>
      </c>
      <c r="R640" s="60" t="b">
        <v>0</v>
      </c>
      <c r="S640" s="60"/>
      <c r="T640" s="60"/>
      <c r="U640" s="60" t="b">
        <v>0</v>
      </c>
      <c r="V640" s="60"/>
      <c r="W640" s="60" t="b">
        <v>0</v>
      </c>
      <c r="X640" s="60" t="b">
        <v>0</v>
      </c>
      <c r="Y640" s="60"/>
      <c r="Z640" s="60"/>
      <c r="AA640" s="60"/>
      <c r="AB640" s="60"/>
      <c r="AC640" s="61"/>
      <c r="AD640" s="60"/>
      <c r="AE640" s="60"/>
      <c r="AF640" s="60"/>
      <c r="AG640" s="60"/>
      <c r="AH640" s="60"/>
      <c r="AI640" s="60"/>
      <c r="AJ640" s="3" t="s">
        <v>3109</v>
      </c>
      <c r="AK640" s="34" t="s">
        <v>698</v>
      </c>
      <c r="AL640" s="3" t="s">
        <v>699</v>
      </c>
      <c r="AM640" s="3" t="s">
        <v>676</v>
      </c>
      <c r="AN640" s="35" t="s">
        <v>3110</v>
      </c>
      <c r="AO640" s="24">
        <v>0.004409722222222222</v>
      </c>
      <c r="AP640" s="74" t="s">
        <v>633</v>
      </c>
      <c r="AQ640" s="73">
        <v>37469.0</v>
      </c>
      <c r="AR640" s="35" t="s">
        <v>3111</v>
      </c>
      <c r="AS640" s="7" t="b">
        <f>NOT(ISERROR(MATCH(A640,'Villages according to موسوعة ال'!C:C,0)))</f>
        <v>1</v>
      </c>
      <c r="AT640" s="25"/>
      <c r="AU640" s="25"/>
      <c r="AV640" s="25"/>
      <c r="AW640" s="25"/>
      <c r="AX640" s="25"/>
      <c r="AY640" s="25"/>
      <c r="AZ640" s="25"/>
      <c r="BA640" s="25"/>
      <c r="BB640" s="25"/>
      <c r="BC640" s="25"/>
      <c r="BD640" s="25"/>
      <c r="BE640" s="25"/>
      <c r="BF640" s="25"/>
      <c r="BG640" s="25"/>
      <c r="BH640" s="25"/>
      <c r="BI640" s="25"/>
      <c r="BJ640" s="25"/>
      <c r="BK640" s="25"/>
      <c r="BL640" s="25"/>
      <c r="BM640" s="25"/>
      <c r="BN640" s="25"/>
      <c r="BO640" s="25"/>
      <c r="BP640" s="25"/>
    </row>
    <row r="641">
      <c r="A641" s="7" t="s">
        <v>515</v>
      </c>
      <c r="B641" s="43" t="s">
        <v>516</v>
      </c>
      <c r="E641" s="25"/>
      <c r="F641" s="25"/>
      <c r="G641" s="84"/>
      <c r="K641" s="54" t="s">
        <v>3107</v>
      </c>
      <c r="L641" s="30" t="s">
        <v>3108</v>
      </c>
      <c r="M641" s="60" t="b">
        <v>0</v>
      </c>
      <c r="N641" s="60" t="b">
        <v>0</v>
      </c>
      <c r="O641" s="60"/>
      <c r="P641" s="60" t="b">
        <v>0</v>
      </c>
      <c r="Q641" s="60" t="b">
        <v>0</v>
      </c>
      <c r="R641" s="60" t="b">
        <v>0</v>
      </c>
      <c r="S641" s="60"/>
      <c r="T641" s="60"/>
      <c r="U641" s="60" t="b">
        <v>0</v>
      </c>
      <c r="V641" s="60"/>
      <c r="W641" s="60" t="b">
        <v>0</v>
      </c>
      <c r="X641" s="60" t="b">
        <v>0</v>
      </c>
      <c r="Y641" s="60"/>
      <c r="Z641" s="60"/>
      <c r="AA641" s="60"/>
      <c r="AB641" s="60"/>
      <c r="AC641" s="61"/>
      <c r="AD641" s="60"/>
      <c r="AE641" s="60"/>
      <c r="AF641" s="60"/>
      <c r="AG641" s="60"/>
      <c r="AH641" s="60"/>
      <c r="AI641" s="60"/>
      <c r="AJ641" s="3" t="s">
        <v>3112</v>
      </c>
      <c r="AK641" s="34" t="s">
        <v>698</v>
      </c>
      <c r="AL641" s="3" t="s">
        <v>699</v>
      </c>
      <c r="AM641" s="3" t="s">
        <v>676</v>
      </c>
      <c r="AN641" s="35" t="s">
        <v>3113</v>
      </c>
      <c r="AO641" s="24">
        <v>0.008217592592592592</v>
      </c>
      <c r="AP641" s="74" t="s">
        <v>633</v>
      </c>
      <c r="AQ641" s="73">
        <v>37469.0</v>
      </c>
      <c r="AR641" s="35" t="s">
        <v>3111</v>
      </c>
      <c r="AS641" s="7" t="b">
        <f>NOT(ISERROR(MATCH(A641,'Villages according to موسوعة ال'!C:C,0)))</f>
        <v>1</v>
      </c>
      <c r="AT641" s="25"/>
      <c r="AU641" s="25"/>
      <c r="AV641" s="25"/>
      <c r="AW641" s="25"/>
      <c r="AX641" s="25"/>
      <c r="AY641" s="25"/>
      <c r="AZ641" s="25"/>
      <c r="BA641" s="25"/>
      <c r="BB641" s="25"/>
      <c r="BC641" s="25"/>
      <c r="BD641" s="25"/>
      <c r="BE641" s="25"/>
      <c r="BF641" s="25"/>
      <c r="BG641" s="25"/>
      <c r="BH641" s="25"/>
      <c r="BI641" s="25"/>
      <c r="BJ641" s="25"/>
      <c r="BK641" s="25"/>
      <c r="BL641" s="25"/>
      <c r="BM641" s="25"/>
      <c r="BN641" s="25"/>
      <c r="BO641" s="25"/>
      <c r="BP641" s="25"/>
    </row>
    <row r="642">
      <c r="A642" s="7" t="s">
        <v>515</v>
      </c>
      <c r="B642" s="43" t="s">
        <v>516</v>
      </c>
      <c r="E642" s="25"/>
      <c r="F642" s="25"/>
      <c r="G642" s="84"/>
      <c r="H642" s="7" t="s">
        <v>3114</v>
      </c>
      <c r="I642" s="7" t="s">
        <v>616</v>
      </c>
      <c r="J642" s="7" t="s">
        <v>3115</v>
      </c>
      <c r="K642" s="54" t="s">
        <v>3116</v>
      </c>
      <c r="L642" s="30" t="s">
        <v>3117</v>
      </c>
      <c r="M642" s="60" t="b">
        <v>0</v>
      </c>
      <c r="N642" s="60" t="b">
        <v>0</v>
      </c>
      <c r="O642" s="60"/>
      <c r="P642" s="60" t="b">
        <v>0</v>
      </c>
      <c r="Q642" s="60" t="b">
        <v>0</v>
      </c>
      <c r="R642" s="60" t="b">
        <v>0</v>
      </c>
      <c r="S642" s="60"/>
      <c r="T642" s="60"/>
      <c r="U642" s="60" t="b">
        <v>0</v>
      </c>
      <c r="V642" s="60"/>
      <c r="W642" s="60" t="b">
        <v>0</v>
      </c>
      <c r="X642" s="60" t="b">
        <v>0</v>
      </c>
      <c r="Y642" s="60"/>
      <c r="Z642" s="60"/>
      <c r="AA642" s="60"/>
      <c r="AB642" s="60"/>
      <c r="AC642" s="61"/>
      <c r="AD642" s="60"/>
      <c r="AE642" s="60"/>
      <c r="AF642" s="60"/>
      <c r="AG642" s="60"/>
      <c r="AH642" s="60"/>
      <c r="AI642" s="60"/>
      <c r="AJ642" s="3" t="s">
        <v>3118</v>
      </c>
      <c r="AK642" s="34" t="s">
        <v>698</v>
      </c>
      <c r="AL642" s="3" t="s">
        <v>699</v>
      </c>
      <c r="AM642" s="3" t="s">
        <v>831</v>
      </c>
      <c r="AN642" s="35" t="s">
        <v>3119</v>
      </c>
      <c r="AO642" s="24">
        <v>0.001736111111111111</v>
      </c>
      <c r="AP642" s="74" t="s">
        <v>633</v>
      </c>
      <c r="AQ642" s="73">
        <v>37377.0</v>
      </c>
      <c r="AR642" s="35" t="s">
        <v>3120</v>
      </c>
      <c r="AS642" s="7" t="b">
        <f>NOT(ISERROR(MATCH(A642,'Villages according to موسوعة ال'!C:C,0)))</f>
        <v>1</v>
      </c>
      <c r="AT642" s="25"/>
      <c r="AU642" s="25"/>
      <c r="AV642" s="25"/>
      <c r="AW642" s="25"/>
      <c r="AX642" s="25"/>
      <c r="AY642" s="25"/>
      <c r="AZ642" s="25"/>
      <c r="BA642" s="25"/>
      <c r="BB642" s="25"/>
      <c r="BC642" s="25"/>
      <c r="BD642" s="25"/>
      <c r="BE642" s="25"/>
      <c r="BF642" s="25"/>
      <c r="BG642" s="25"/>
      <c r="BH642" s="25"/>
      <c r="BI642" s="25"/>
      <c r="BJ642" s="25"/>
      <c r="BK642" s="25"/>
      <c r="BL642" s="25"/>
      <c r="BM642" s="25"/>
      <c r="BN642" s="25"/>
      <c r="BO642" s="25"/>
      <c r="BP642" s="25"/>
    </row>
    <row r="643">
      <c r="A643" s="7" t="s">
        <v>515</v>
      </c>
      <c r="B643" s="26" t="s">
        <v>516</v>
      </c>
      <c r="E643" s="83"/>
      <c r="F643" s="37"/>
      <c r="G643" s="122"/>
      <c r="K643" s="128"/>
      <c r="L643" s="134"/>
      <c r="M643" s="135" t="b">
        <v>0</v>
      </c>
      <c r="N643" s="135" t="b">
        <v>0</v>
      </c>
      <c r="O643" s="135"/>
      <c r="P643" s="135" t="b">
        <v>0</v>
      </c>
      <c r="Q643" s="135" t="b">
        <v>0</v>
      </c>
      <c r="R643" s="135" t="b">
        <v>0</v>
      </c>
      <c r="S643" s="135"/>
      <c r="T643" s="32"/>
      <c r="U643" s="135" t="b">
        <v>0</v>
      </c>
      <c r="V643" s="135"/>
      <c r="W643" s="135" t="b">
        <v>0</v>
      </c>
      <c r="X643" s="135" t="b">
        <v>0</v>
      </c>
      <c r="Y643" s="135"/>
      <c r="Z643" s="135"/>
      <c r="AA643" s="135"/>
      <c r="AB643" s="135"/>
      <c r="AC643" s="136"/>
      <c r="AD643" s="135"/>
      <c r="AE643" s="135"/>
      <c r="AF643" s="135"/>
      <c r="AG643" s="135"/>
      <c r="AH643" s="135"/>
      <c r="AI643" s="135"/>
      <c r="AJ643" s="1"/>
      <c r="AK643" s="34"/>
      <c r="AL643" s="37"/>
      <c r="AM643" s="37"/>
      <c r="AN643" s="126" t="s">
        <v>3121</v>
      </c>
      <c r="AO643" s="24">
        <v>0.005798611111111111</v>
      </c>
      <c r="AP643" s="131" t="s">
        <v>633</v>
      </c>
      <c r="AQ643" s="137">
        <v>37378.0</v>
      </c>
      <c r="AR643" s="7" t="s">
        <v>633</v>
      </c>
      <c r="AS643" s="7" t="b">
        <f>NOT(ISERROR(MATCH(A643,'Villages according to موسوعة ال'!C:C,0)))</f>
        <v>1</v>
      </c>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row>
    <row r="644">
      <c r="A644" s="7" t="s">
        <v>515</v>
      </c>
      <c r="B644" s="26" t="s">
        <v>516</v>
      </c>
      <c r="E644" s="83"/>
      <c r="F644" s="37"/>
      <c r="G644" s="122"/>
      <c r="H644" s="4" t="s">
        <v>2341</v>
      </c>
      <c r="I644" s="4" t="s">
        <v>638</v>
      </c>
      <c r="J644" s="4" t="s">
        <v>3122</v>
      </c>
      <c r="K644" s="128"/>
      <c r="L644" s="134"/>
      <c r="M644" s="135" t="b">
        <v>0</v>
      </c>
      <c r="N644" s="135" t="b">
        <v>0</v>
      </c>
      <c r="O644" s="135"/>
      <c r="P644" s="135" t="b">
        <v>0</v>
      </c>
      <c r="Q644" s="135" t="b">
        <v>0</v>
      </c>
      <c r="R644" s="135" t="b">
        <v>0</v>
      </c>
      <c r="S644" s="135"/>
      <c r="T644" s="32"/>
      <c r="U644" s="135" t="b">
        <v>0</v>
      </c>
      <c r="V644" s="135"/>
      <c r="W644" s="135" t="b">
        <v>0</v>
      </c>
      <c r="X644" s="135" t="b">
        <v>0</v>
      </c>
      <c r="Y644" s="135"/>
      <c r="Z644" s="135"/>
      <c r="AA644" s="135"/>
      <c r="AB644" s="135"/>
      <c r="AC644" s="136"/>
      <c r="AD644" s="135"/>
      <c r="AE644" s="135"/>
      <c r="AF644" s="135"/>
      <c r="AG644" s="135"/>
      <c r="AH644" s="135"/>
      <c r="AI644" s="135"/>
      <c r="AJ644" s="1"/>
      <c r="AK644" s="34"/>
      <c r="AL644" s="37"/>
      <c r="AM644" s="37"/>
      <c r="AN644" s="126" t="s">
        <v>3123</v>
      </c>
      <c r="AO644" s="24">
        <v>0.009236111111111112</v>
      </c>
      <c r="AP644" s="131"/>
      <c r="AQ644" s="137"/>
      <c r="AR644" s="7" t="s">
        <v>633</v>
      </c>
      <c r="AS644" s="7" t="b">
        <f>NOT(ISERROR(MATCH(A644,'Villages according to موسوعة ال'!C:C,0)))</f>
        <v>1</v>
      </c>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row>
    <row r="645">
      <c r="A645" s="7" t="s">
        <v>515</v>
      </c>
      <c r="B645" s="26" t="s">
        <v>516</v>
      </c>
      <c r="E645" s="83"/>
      <c r="F645" s="37"/>
      <c r="G645" s="122"/>
      <c r="H645" s="4" t="s">
        <v>3124</v>
      </c>
      <c r="I645" s="4" t="s">
        <v>616</v>
      </c>
      <c r="J645" s="4" t="s">
        <v>3125</v>
      </c>
      <c r="K645" s="128"/>
      <c r="L645" s="134"/>
      <c r="M645" s="135" t="b">
        <v>0</v>
      </c>
      <c r="N645" s="135" t="b">
        <v>0</v>
      </c>
      <c r="O645" s="135"/>
      <c r="P645" s="135" t="b">
        <v>0</v>
      </c>
      <c r="Q645" s="135" t="b">
        <v>0</v>
      </c>
      <c r="R645" s="135" t="b">
        <v>0</v>
      </c>
      <c r="S645" s="135"/>
      <c r="T645" s="32"/>
      <c r="U645" s="135" t="b">
        <v>0</v>
      </c>
      <c r="V645" s="135"/>
      <c r="W645" s="135" t="b">
        <v>0</v>
      </c>
      <c r="X645" s="135" t="b">
        <v>0</v>
      </c>
      <c r="Y645" s="135"/>
      <c r="Z645" s="135"/>
      <c r="AA645" s="135"/>
      <c r="AB645" s="135"/>
      <c r="AC645" s="136"/>
      <c r="AD645" s="135"/>
      <c r="AE645" s="135"/>
      <c r="AF645" s="135"/>
      <c r="AG645" s="135"/>
      <c r="AH645" s="135"/>
      <c r="AI645" s="135"/>
      <c r="AJ645" s="1"/>
      <c r="AK645" s="34"/>
      <c r="AL645" s="37"/>
      <c r="AM645" s="37"/>
      <c r="AN645" s="126" t="s">
        <v>3126</v>
      </c>
      <c r="AO645" s="24">
        <v>0.0028125</v>
      </c>
      <c r="AP645" s="131"/>
      <c r="AQ645" s="137"/>
      <c r="AR645" s="7" t="s">
        <v>633</v>
      </c>
      <c r="AS645" s="7" t="b">
        <f>NOT(ISERROR(MATCH(A645,'Villages according to موسوعة ال'!C:C,0)))</f>
        <v>1</v>
      </c>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row>
    <row r="646">
      <c r="A646" s="7" t="s">
        <v>515</v>
      </c>
      <c r="B646" s="26" t="s">
        <v>516</v>
      </c>
      <c r="E646" s="83"/>
      <c r="F646" s="37"/>
      <c r="G646" s="122"/>
      <c r="K646" s="128"/>
      <c r="L646" s="134"/>
      <c r="M646" s="135" t="b">
        <v>0</v>
      </c>
      <c r="N646" s="135" t="b">
        <v>0</v>
      </c>
      <c r="O646" s="135"/>
      <c r="P646" s="135" t="b">
        <v>0</v>
      </c>
      <c r="Q646" s="135" t="b">
        <v>0</v>
      </c>
      <c r="R646" s="135" t="b">
        <v>0</v>
      </c>
      <c r="S646" s="135"/>
      <c r="T646" s="32"/>
      <c r="U646" s="135" t="b">
        <v>0</v>
      </c>
      <c r="V646" s="135"/>
      <c r="W646" s="135" t="b">
        <v>0</v>
      </c>
      <c r="X646" s="135" t="b">
        <v>0</v>
      </c>
      <c r="Y646" s="135"/>
      <c r="Z646" s="135"/>
      <c r="AA646" s="135"/>
      <c r="AB646" s="135"/>
      <c r="AC646" s="136"/>
      <c r="AD646" s="135"/>
      <c r="AE646" s="135"/>
      <c r="AF646" s="135"/>
      <c r="AG646" s="135"/>
      <c r="AH646" s="135"/>
      <c r="AI646" s="135"/>
      <c r="AJ646" s="1"/>
      <c r="AK646" s="34"/>
      <c r="AL646" s="37"/>
      <c r="AM646" s="37"/>
      <c r="AN646" s="126" t="s">
        <v>3127</v>
      </c>
      <c r="AO646" s="24">
        <v>0.0018865740740740742</v>
      </c>
      <c r="AP646" s="131"/>
      <c r="AQ646" s="137"/>
      <c r="AR646" s="7" t="s">
        <v>633</v>
      </c>
      <c r="AS646" s="7" t="b">
        <f>NOT(ISERROR(MATCH(A646,'Villages according to موسوعة ال'!C:C,0)))</f>
        <v>1</v>
      </c>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row>
    <row r="647">
      <c r="A647" s="7" t="s">
        <v>515</v>
      </c>
      <c r="B647" s="26" t="s">
        <v>516</v>
      </c>
      <c r="E647" s="83"/>
      <c r="F647" s="37"/>
      <c r="G647" s="122"/>
      <c r="K647" s="128"/>
      <c r="L647" s="134"/>
      <c r="M647" s="135" t="b">
        <v>0</v>
      </c>
      <c r="N647" s="135" t="b">
        <v>0</v>
      </c>
      <c r="O647" s="135"/>
      <c r="P647" s="135" t="b">
        <v>0</v>
      </c>
      <c r="Q647" s="135" t="b">
        <v>0</v>
      </c>
      <c r="R647" s="135" t="b">
        <v>0</v>
      </c>
      <c r="S647" s="135"/>
      <c r="T647" s="32"/>
      <c r="U647" s="135" t="b">
        <v>0</v>
      </c>
      <c r="V647" s="135"/>
      <c r="W647" s="135" t="b">
        <v>0</v>
      </c>
      <c r="X647" s="135" t="b">
        <v>0</v>
      </c>
      <c r="Y647" s="135"/>
      <c r="Z647" s="135"/>
      <c r="AA647" s="135"/>
      <c r="AB647" s="135"/>
      <c r="AC647" s="136"/>
      <c r="AD647" s="135"/>
      <c r="AE647" s="135"/>
      <c r="AF647" s="135"/>
      <c r="AG647" s="135"/>
      <c r="AH647" s="135"/>
      <c r="AI647" s="135"/>
      <c r="AJ647" s="1"/>
      <c r="AK647" s="34"/>
      <c r="AL647" s="37"/>
      <c r="AM647" s="37"/>
      <c r="AN647" s="126" t="s">
        <v>3128</v>
      </c>
      <c r="AO647" s="24">
        <v>0.0016087962962962963</v>
      </c>
      <c r="AP647" s="131"/>
      <c r="AQ647" s="137"/>
      <c r="AR647" s="7" t="s">
        <v>633</v>
      </c>
      <c r="AS647" s="7" t="b">
        <f>NOT(ISERROR(MATCH(A647,'Villages according to موسوعة ال'!C:C,0)))</f>
        <v>1</v>
      </c>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row>
    <row r="648">
      <c r="A648" s="7" t="s">
        <v>515</v>
      </c>
      <c r="B648" s="26" t="s">
        <v>516</v>
      </c>
      <c r="E648" s="83"/>
      <c r="F648" s="37"/>
      <c r="G648" s="122"/>
      <c r="H648" s="4" t="s">
        <v>3129</v>
      </c>
      <c r="I648" s="4" t="s">
        <v>616</v>
      </c>
      <c r="J648" s="4" t="s">
        <v>3130</v>
      </c>
      <c r="K648" s="128"/>
      <c r="L648" s="134"/>
      <c r="M648" s="135" t="b">
        <v>0</v>
      </c>
      <c r="N648" s="135" t="b">
        <v>0</v>
      </c>
      <c r="O648" s="135"/>
      <c r="P648" s="135" t="b">
        <v>0</v>
      </c>
      <c r="Q648" s="135" t="b">
        <v>0</v>
      </c>
      <c r="R648" s="135" t="b">
        <v>0</v>
      </c>
      <c r="S648" s="135"/>
      <c r="T648" s="32"/>
      <c r="U648" s="135" t="b">
        <v>0</v>
      </c>
      <c r="V648" s="135"/>
      <c r="W648" s="135" t="b">
        <v>0</v>
      </c>
      <c r="X648" s="135" t="b">
        <v>0</v>
      </c>
      <c r="Y648" s="135"/>
      <c r="Z648" s="135"/>
      <c r="AA648" s="135"/>
      <c r="AB648" s="135"/>
      <c r="AC648" s="136"/>
      <c r="AD648" s="135"/>
      <c r="AE648" s="135"/>
      <c r="AF648" s="135"/>
      <c r="AG648" s="135"/>
      <c r="AH648" s="135"/>
      <c r="AI648" s="135"/>
      <c r="AJ648" s="1"/>
      <c r="AK648" s="34"/>
      <c r="AL648" s="37"/>
      <c r="AM648" s="37"/>
      <c r="AN648" s="126" t="s">
        <v>3131</v>
      </c>
      <c r="AO648" s="24">
        <v>0.0521875</v>
      </c>
      <c r="AP648" s="131"/>
      <c r="AQ648" s="137"/>
      <c r="AR648" s="7" t="s">
        <v>633</v>
      </c>
      <c r="AS648" s="7" t="b">
        <f>NOT(ISERROR(MATCH(A648,'Villages according to موسوعة ال'!C:C,0)))</f>
        <v>1</v>
      </c>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row>
    <row r="649">
      <c r="A649" s="7" t="s">
        <v>173</v>
      </c>
      <c r="B649" s="43" t="s">
        <v>174</v>
      </c>
      <c r="C649" s="7" t="s">
        <v>174</v>
      </c>
      <c r="D649" s="7" t="s">
        <v>175</v>
      </c>
      <c r="E649" s="25"/>
      <c r="F649" s="25"/>
      <c r="G649" s="84"/>
      <c r="H649" s="7" t="s">
        <v>3132</v>
      </c>
      <c r="I649" s="7" t="s">
        <v>616</v>
      </c>
      <c r="J649" s="7" t="s">
        <v>3133</v>
      </c>
      <c r="K649" s="54" t="s">
        <v>3134</v>
      </c>
      <c r="L649" s="30" t="s">
        <v>3135</v>
      </c>
      <c r="M649" s="60" t="b">
        <v>0</v>
      </c>
      <c r="N649" s="60" t="b">
        <v>0</v>
      </c>
      <c r="O649" s="60"/>
      <c r="P649" s="60" t="b">
        <v>0</v>
      </c>
      <c r="Q649" s="60" t="b">
        <v>0</v>
      </c>
      <c r="R649" s="60" t="b">
        <v>0</v>
      </c>
      <c r="S649" s="60"/>
      <c r="T649" s="60"/>
      <c r="U649" s="60" t="b">
        <v>0</v>
      </c>
      <c r="V649" s="60"/>
      <c r="W649" s="60" t="b">
        <v>0</v>
      </c>
      <c r="X649" s="60" t="b">
        <v>0</v>
      </c>
      <c r="Y649" s="60"/>
      <c r="Z649" s="60"/>
      <c r="AA649" s="60"/>
      <c r="AB649" s="60"/>
      <c r="AC649" s="61"/>
      <c r="AD649" s="60"/>
      <c r="AE649" s="60"/>
      <c r="AF649" s="60"/>
      <c r="AG649" s="60"/>
      <c r="AH649" s="60"/>
      <c r="AI649" s="60"/>
      <c r="AJ649" s="3" t="s">
        <v>3136</v>
      </c>
      <c r="AK649" s="34" t="s">
        <v>698</v>
      </c>
      <c r="AL649" s="3" t="s">
        <v>699</v>
      </c>
      <c r="AM649" s="3" t="s">
        <v>831</v>
      </c>
      <c r="AN649" s="35" t="s">
        <v>3137</v>
      </c>
      <c r="AO649" s="24">
        <v>0.002384259259259259</v>
      </c>
      <c r="AP649" s="74" t="s">
        <v>633</v>
      </c>
      <c r="AQ649" s="73">
        <v>37500.0</v>
      </c>
      <c r="AR649" s="35" t="s">
        <v>3138</v>
      </c>
      <c r="AS649" s="7" t="b">
        <f>NOT(ISERROR(MATCH(A649,'Villages according to موسوعة ال'!C:C,0)))</f>
        <v>1</v>
      </c>
      <c r="AT649" s="25"/>
      <c r="AU649" s="25"/>
      <c r="AV649" s="25"/>
      <c r="AW649" s="25"/>
      <c r="AX649" s="25"/>
      <c r="AY649" s="25"/>
      <c r="AZ649" s="25"/>
      <c r="BA649" s="25"/>
      <c r="BB649" s="25"/>
      <c r="BC649" s="25"/>
      <c r="BD649" s="25"/>
      <c r="BE649" s="25"/>
      <c r="BF649" s="25"/>
      <c r="BG649" s="25"/>
      <c r="BH649" s="25"/>
      <c r="BI649" s="25"/>
      <c r="BJ649" s="25"/>
      <c r="BK649" s="25"/>
      <c r="BL649" s="25"/>
      <c r="BM649" s="25"/>
      <c r="BN649" s="25"/>
      <c r="BO649" s="25"/>
      <c r="BP649" s="25"/>
    </row>
    <row r="650">
      <c r="A650" s="7" t="s">
        <v>173</v>
      </c>
      <c r="B650" s="43" t="s">
        <v>174</v>
      </c>
      <c r="E650" s="25"/>
      <c r="F650" s="25"/>
      <c r="G650" s="84"/>
      <c r="H650" s="7" t="s">
        <v>3139</v>
      </c>
      <c r="I650" s="7" t="s">
        <v>616</v>
      </c>
      <c r="J650" s="7" t="s">
        <v>3140</v>
      </c>
      <c r="K650" s="54" t="s">
        <v>3141</v>
      </c>
      <c r="L650" s="30" t="s">
        <v>3142</v>
      </c>
      <c r="M650" s="60" t="b">
        <v>0</v>
      </c>
      <c r="N650" s="60" t="b">
        <v>0</v>
      </c>
      <c r="O650" s="60"/>
      <c r="P650" s="60" t="b">
        <v>0</v>
      </c>
      <c r="Q650" s="60" t="b">
        <v>0</v>
      </c>
      <c r="R650" s="60" t="b">
        <v>0</v>
      </c>
      <c r="S650" s="60"/>
      <c r="T650" s="60"/>
      <c r="U650" s="60" t="b">
        <v>0</v>
      </c>
      <c r="V650" s="60"/>
      <c r="W650" s="60" t="b">
        <v>0</v>
      </c>
      <c r="X650" s="60" t="b">
        <v>0</v>
      </c>
      <c r="Y650" s="60"/>
      <c r="Z650" s="60"/>
      <c r="AA650" s="60"/>
      <c r="AB650" s="60"/>
      <c r="AC650" s="61"/>
      <c r="AD650" s="60"/>
      <c r="AE650" s="60"/>
      <c r="AF650" s="60"/>
      <c r="AG650" s="60"/>
      <c r="AH650" s="60"/>
      <c r="AI650" s="60"/>
      <c r="AJ650" s="3" t="s">
        <v>3143</v>
      </c>
      <c r="AK650" s="34" t="s">
        <v>698</v>
      </c>
      <c r="AL650" s="25"/>
      <c r="AM650" s="25"/>
      <c r="AN650" s="35" t="s">
        <v>3144</v>
      </c>
      <c r="AO650" s="24">
        <v>0.005277777777777778</v>
      </c>
      <c r="AP650" s="74" t="s">
        <v>633</v>
      </c>
      <c r="AQ650" s="7" t="s">
        <v>633</v>
      </c>
      <c r="AR650" s="35" t="s">
        <v>3145</v>
      </c>
      <c r="AS650" s="7" t="b">
        <f>NOT(ISERROR(MATCH(A650,'Villages according to موسوعة ال'!C:C,0)))</f>
        <v>1</v>
      </c>
      <c r="AT650" s="25"/>
      <c r="AU650" s="25"/>
      <c r="AV650" s="25"/>
      <c r="AW650" s="25"/>
      <c r="AX650" s="25"/>
      <c r="AY650" s="25"/>
      <c r="AZ650" s="25"/>
      <c r="BA650" s="25"/>
      <c r="BB650" s="25"/>
      <c r="BC650" s="25"/>
      <c r="BD650" s="25"/>
      <c r="BE650" s="25"/>
      <c r="BF650" s="25"/>
      <c r="BG650" s="25"/>
      <c r="BH650" s="25"/>
      <c r="BI650" s="25"/>
      <c r="BJ650" s="25"/>
      <c r="BK650" s="25"/>
      <c r="BL650" s="25"/>
      <c r="BM650" s="25"/>
      <c r="BN650" s="25"/>
      <c r="BO650" s="25"/>
      <c r="BP650" s="25"/>
    </row>
    <row r="651">
      <c r="A651" s="7" t="s">
        <v>173</v>
      </c>
      <c r="B651" s="26" t="s">
        <v>174</v>
      </c>
      <c r="E651" s="37"/>
      <c r="F651" s="37"/>
      <c r="G651" s="122"/>
      <c r="K651" s="128"/>
      <c r="L651" s="134"/>
      <c r="M651" s="135" t="b">
        <v>0</v>
      </c>
      <c r="N651" s="135" t="b">
        <v>0</v>
      </c>
      <c r="O651" s="135"/>
      <c r="P651" s="135" t="b">
        <v>0</v>
      </c>
      <c r="Q651" s="135" t="b">
        <v>0</v>
      </c>
      <c r="R651" s="135" t="b">
        <v>0</v>
      </c>
      <c r="S651" s="135"/>
      <c r="T651" s="32"/>
      <c r="U651" s="135" t="b">
        <v>0</v>
      </c>
      <c r="V651" s="135"/>
      <c r="W651" s="135" t="b">
        <v>0</v>
      </c>
      <c r="X651" s="135" t="b">
        <v>0</v>
      </c>
      <c r="Y651" s="135"/>
      <c r="Z651" s="135"/>
      <c r="AA651" s="135"/>
      <c r="AB651" s="135"/>
      <c r="AC651" s="136"/>
      <c r="AD651" s="135"/>
      <c r="AE651" s="135"/>
      <c r="AF651" s="135"/>
      <c r="AG651" s="135"/>
      <c r="AH651" s="135"/>
      <c r="AI651" s="135"/>
      <c r="AJ651" s="37"/>
      <c r="AK651" s="34"/>
      <c r="AL651" s="37"/>
      <c r="AM651" s="37"/>
      <c r="AN651" s="126" t="s">
        <v>3146</v>
      </c>
      <c r="AO651" s="24">
        <v>0.003912037037037037</v>
      </c>
      <c r="AP651" s="131"/>
      <c r="AQ651" s="137"/>
      <c r="AR651" s="7" t="s">
        <v>633</v>
      </c>
      <c r="AS651" s="7" t="b">
        <f>NOT(ISERROR(MATCH(A651,'Villages according to موسوعة ال'!C:C,0)))</f>
        <v>1</v>
      </c>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row>
    <row r="652">
      <c r="A652" s="7" t="s">
        <v>173</v>
      </c>
      <c r="B652" s="26" t="s">
        <v>174</v>
      </c>
      <c r="E652" s="37"/>
      <c r="F652" s="37"/>
      <c r="G652" s="122"/>
      <c r="K652" s="128"/>
      <c r="L652" s="134"/>
      <c r="M652" s="135" t="b">
        <v>0</v>
      </c>
      <c r="N652" s="135" t="b">
        <v>0</v>
      </c>
      <c r="O652" s="135"/>
      <c r="P652" s="135" t="b">
        <v>0</v>
      </c>
      <c r="Q652" s="135" t="b">
        <v>0</v>
      </c>
      <c r="R652" s="135" t="b">
        <v>0</v>
      </c>
      <c r="S652" s="135"/>
      <c r="T652" s="32"/>
      <c r="U652" s="135" t="b">
        <v>0</v>
      </c>
      <c r="V652" s="135"/>
      <c r="W652" s="135" t="b">
        <v>0</v>
      </c>
      <c r="X652" s="135" t="b">
        <v>0</v>
      </c>
      <c r="Y652" s="135"/>
      <c r="Z652" s="135"/>
      <c r="AA652" s="135"/>
      <c r="AB652" s="135"/>
      <c r="AC652" s="136"/>
      <c r="AD652" s="135"/>
      <c r="AE652" s="135"/>
      <c r="AF652" s="135"/>
      <c r="AG652" s="135"/>
      <c r="AH652" s="135"/>
      <c r="AI652" s="135"/>
      <c r="AJ652" s="37"/>
      <c r="AK652" s="34"/>
      <c r="AL652" s="37"/>
      <c r="AM652" s="37"/>
      <c r="AN652" s="126" t="s">
        <v>3147</v>
      </c>
      <c r="AO652" s="24">
        <v>0.006990740740740741</v>
      </c>
      <c r="AP652" s="131"/>
      <c r="AQ652" s="137"/>
      <c r="AR652" s="7" t="s">
        <v>633</v>
      </c>
      <c r="AS652" s="7" t="b">
        <f>NOT(ISERROR(MATCH(A652,'Villages according to موسوعة ال'!C:C,0)))</f>
        <v>1</v>
      </c>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row>
    <row r="653">
      <c r="A653" s="7" t="s">
        <v>173</v>
      </c>
      <c r="B653" s="43" t="s">
        <v>174</v>
      </c>
      <c r="E653" s="25"/>
      <c r="F653" s="25"/>
      <c r="G653" s="84"/>
      <c r="H653" s="7" t="s">
        <v>3148</v>
      </c>
      <c r="I653" s="7" t="s">
        <v>638</v>
      </c>
      <c r="J653" s="7" t="s">
        <v>3149</v>
      </c>
      <c r="K653" s="54" t="s">
        <v>3150</v>
      </c>
      <c r="L653" s="30" t="s">
        <v>3151</v>
      </c>
      <c r="M653" s="60" t="b">
        <v>0</v>
      </c>
      <c r="N653" s="60" t="b">
        <v>0</v>
      </c>
      <c r="O653" s="60"/>
      <c r="P653" s="60" t="b">
        <v>0</v>
      </c>
      <c r="Q653" s="60" t="b">
        <v>0</v>
      </c>
      <c r="R653" s="60" t="b">
        <v>0</v>
      </c>
      <c r="S653" s="60"/>
      <c r="T653" s="60"/>
      <c r="U653" s="60" t="b">
        <v>0</v>
      </c>
      <c r="V653" s="60"/>
      <c r="W653" s="60" t="b">
        <v>0</v>
      </c>
      <c r="X653" s="60" t="b">
        <v>0</v>
      </c>
      <c r="Y653" s="60"/>
      <c r="Z653" s="60"/>
      <c r="AA653" s="60"/>
      <c r="AB653" s="60"/>
      <c r="AC653" s="61"/>
      <c r="AD653" s="60"/>
      <c r="AE653" s="60"/>
      <c r="AF653" s="60"/>
      <c r="AG653" s="60"/>
      <c r="AH653" s="60"/>
      <c r="AI653" s="60"/>
      <c r="AJ653" s="25"/>
      <c r="AK653" s="34" t="s">
        <v>698</v>
      </c>
      <c r="AL653" s="25"/>
      <c r="AM653" s="25"/>
      <c r="AN653" s="35" t="s">
        <v>3152</v>
      </c>
      <c r="AO653" s="24">
        <v>0.002685185185185185</v>
      </c>
      <c r="AP653" s="74" t="s">
        <v>3153</v>
      </c>
      <c r="AQ653" s="73">
        <v>37530.0</v>
      </c>
      <c r="AR653" s="35" t="s">
        <v>3154</v>
      </c>
      <c r="AS653" s="7" t="b">
        <f>NOT(ISERROR(MATCH(A653,'Villages according to موسوعة ال'!C:C,0)))</f>
        <v>1</v>
      </c>
      <c r="AT653" s="25"/>
      <c r="AU653" s="25"/>
      <c r="AV653" s="25"/>
      <c r="AW653" s="25"/>
      <c r="AX653" s="25"/>
      <c r="AY653" s="25"/>
      <c r="AZ653" s="25"/>
      <c r="BA653" s="25"/>
      <c r="BB653" s="25"/>
      <c r="BC653" s="25"/>
      <c r="BD653" s="25"/>
      <c r="BE653" s="25"/>
      <c r="BF653" s="25"/>
      <c r="BG653" s="25"/>
      <c r="BH653" s="25"/>
      <c r="BI653" s="25"/>
      <c r="BJ653" s="25"/>
      <c r="BK653" s="25"/>
      <c r="BL653" s="25"/>
      <c r="BM653" s="25"/>
      <c r="BN653" s="25"/>
      <c r="BO653" s="25"/>
      <c r="BP653" s="25"/>
    </row>
    <row r="654">
      <c r="A654" s="7" t="s">
        <v>173</v>
      </c>
      <c r="B654" s="26" t="s">
        <v>174</v>
      </c>
      <c r="E654" s="83"/>
      <c r="F654" s="37"/>
      <c r="G654" s="122"/>
      <c r="H654" s="4" t="s">
        <v>3155</v>
      </c>
      <c r="I654" s="4" t="s">
        <v>638</v>
      </c>
      <c r="J654" s="4" t="s">
        <v>3156</v>
      </c>
      <c r="K654" s="128"/>
      <c r="L654" s="134"/>
      <c r="M654" s="135" t="b">
        <v>0</v>
      </c>
      <c r="N654" s="135" t="b">
        <v>0</v>
      </c>
      <c r="O654" s="135"/>
      <c r="P654" s="135" t="b">
        <v>0</v>
      </c>
      <c r="Q654" s="135" t="b">
        <v>0</v>
      </c>
      <c r="R654" s="135" t="b">
        <v>0</v>
      </c>
      <c r="S654" s="135"/>
      <c r="T654" s="32"/>
      <c r="U654" s="135" t="b">
        <v>0</v>
      </c>
      <c r="V654" s="135"/>
      <c r="W654" s="135" t="b">
        <v>0</v>
      </c>
      <c r="X654" s="135" t="b">
        <v>0</v>
      </c>
      <c r="Y654" s="135"/>
      <c r="Z654" s="135"/>
      <c r="AA654" s="135"/>
      <c r="AB654" s="135"/>
      <c r="AC654" s="136"/>
      <c r="AD654" s="135"/>
      <c r="AE654" s="135"/>
      <c r="AF654" s="135"/>
      <c r="AG654" s="135"/>
      <c r="AH654" s="135"/>
      <c r="AI654" s="135"/>
      <c r="AJ654" s="37"/>
      <c r="AK654" s="34"/>
      <c r="AL654" s="37"/>
      <c r="AM654" s="37"/>
      <c r="AN654" s="126" t="s">
        <v>3157</v>
      </c>
      <c r="AO654" s="24">
        <v>0.0033912037037037036</v>
      </c>
      <c r="AP654" s="131"/>
      <c r="AQ654" s="137"/>
      <c r="AR654" s="7" t="s">
        <v>633</v>
      </c>
      <c r="AS654" s="7" t="b">
        <f>NOT(ISERROR(MATCH(A654,'Villages according to موسوعة ال'!C:C,0)))</f>
        <v>1</v>
      </c>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row>
    <row r="655">
      <c r="A655" s="7" t="s">
        <v>173</v>
      </c>
      <c r="B655" s="26" t="s">
        <v>174</v>
      </c>
      <c r="E655" s="83"/>
      <c r="F655" s="37"/>
      <c r="G655" s="122"/>
      <c r="K655" s="128"/>
      <c r="L655" s="134"/>
      <c r="M655" s="135" t="b">
        <v>0</v>
      </c>
      <c r="N655" s="135" t="b">
        <v>0</v>
      </c>
      <c r="O655" s="135"/>
      <c r="P655" s="135" t="b">
        <v>0</v>
      </c>
      <c r="Q655" s="135" t="b">
        <v>0</v>
      </c>
      <c r="R655" s="135" t="b">
        <v>0</v>
      </c>
      <c r="S655" s="135"/>
      <c r="T655" s="32"/>
      <c r="U655" s="135" t="b">
        <v>0</v>
      </c>
      <c r="V655" s="135"/>
      <c r="W655" s="135" t="b">
        <v>0</v>
      </c>
      <c r="X655" s="135" t="b">
        <v>0</v>
      </c>
      <c r="Y655" s="135"/>
      <c r="Z655" s="135"/>
      <c r="AA655" s="135"/>
      <c r="AB655" s="135"/>
      <c r="AC655" s="136"/>
      <c r="AD655" s="135"/>
      <c r="AE655" s="135"/>
      <c r="AF655" s="135"/>
      <c r="AG655" s="135"/>
      <c r="AH655" s="135"/>
      <c r="AI655" s="135"/>
      <c r="AJ655" s="37"/>
      <c r="AK655" s="34"/>
      <c r="AL655" s="37"/>
      <c r="AM655" s="37"/>
      <c r="AN655" s="126" t="s">
        <v>3158</v>
      </c>
      <c r="AO655" s="24">
        <v>0.0022453703703703702</v>
      </c>
      <c r="AP655" s="131"/>
      <c r="AQ655" s="137"/>
      <c r="AR655" s="7" t="s">
        <v>633</v>
      </c>
      <c r="AS655" s="7" t="b">
        <f>NOT(ISERROR(MATCH(A655,'Villages according to موسوعة ال'!C:C,0)))</f>
        <v>1</v>
      </c>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row>
    <row r="656">
      <c r="A656" s="7" t="s">
        <v>173</v>
      </c>
      <c r="B656" s="26" t="s">
        <v>174</v>
      </c>
      <c r="E656" s="83"/>
      <c r="F656" s="37"/>
      <c r="G656" s="122"/>
      <c r="H656" s="4" t="s">
        <v>3159</v>
      </c>
      <c r="I656" s="4" t="s">
        <v>616</v>
      </c>
      <c r="J656" s="7" t="s">
        <v>3160</v>
      </c>
      <c r="K656" s="128"/>
      <c r="L656" s="134"/>
      <c r="M656" s="135" t="b">
        <v>0</v>
      </c>
      <c r="N656" s="135" t="b">
        <v>0</v>
      </c>
      <c r="O656" s="135"/>
      <c r="P656" s="135" t="b">
        <v>0</v>
      </c>
      <c r="Q656" s="135" t="b">
        <v>0</v>
      </c>
      <c r="R656" s="135" t="b">
        <v>0</v>
      </c>
      <c r="S656" s="135"/>
      <c r="T656" s="32"/>
      <c r="U656" s="135" t="b">
        <v>0</v>
      </c>
      <c r="V656" s="135"/>
      <c r="W656" s="135" t="b">
        <v>0</v>
      </c>
      <c r="X656" s="135" t="b">
        <v>0</v>
      </c>
      <c r="Y656" s="135"/>
      <c r="Z656" s="135"/>
      <c r="AA656" s="135"/>
      <c r="AB656" s="135"/>
      <c r="AC656" s="136"/>
      <c r="AD656" s="135"/>
      <c r="AE656" s="135"/>
      <c r="AF656" s="135"/>
      <c r="AG656" s="135"/>
      <c r="AH656" s="135"/>
      <c r="AI656" s="135"/>
      <c r="AJ656" s="37"/>
      <c r="AK656" s="34"/>
      <c r="AL656" s="37"/>
      <c r="AM656" s="37"/>
      <c r="AN656" s="126" t="s">
        <v>3161</v>
      </c>
      <c r="AO656" s="24">
        <v>0.0034027777777777776</v>
      </c>
      <c r="AP656" s="131"/>
      <c r="AQ656" s="137"/>
      <c r="AR656" s="7" t="s">
        <v>633</v>
      </c>
      <c r="AS656" s="7" t="b">
        <f>NOT(ISERROR(MATCH(A656,'Villages according to موسوعة ال'!C:C,0)))</f>
        <v>1</v>
      </c>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row>
    <row r="657">
      <c r="A657" s="7" t="s">
        <v>173</v>
      </c>
      <c r="B657" s="26" t="s">
        <v>174</v>
      </c>
      <c r="E657" s="83"/>
      <c r="F657" s="37"/>
      <c r="G657" s="122"/>
      <c r="H657" s="4" t="s">
        <v>2341</v>
      </c>
      <c r="I657" s="4" t="s">
        <v>616</v>
      </c>
      <c r="J657" s="7" t="s">
        <v>3162</v>
      </c>
      <c r="K657" s="128"/>
      <c r="L657" s="134"/>
      <c r="M657" s="135" t="b">
        <v>0</v>
      </c>
      <c r="N657" s="135" t="b">
        <v>0</v>
      </c>
      <c r="O657" s="135"/>
      <c r="P657" s="135" t="b">
        <v>0</v>
      </c>
      <c r="Q657" s="135" t="b">
        <v>0</v>
      </c>
      <c r="R657" s="135" t="b">
        <v>0</v>
      </c>
      <c r="S657" s="135"/>
      <c r="T657" s="32"/>
      <c r="U657" s="135" t="b">
        <v>0</v>
      </c>
      <c r="V657" s="135"/>
      <c r="W657" s="135" t="b">
        <v>0</v>
      </c>
      <c r="X657" s="135" t="b">
        <v>0</v>
      </c>
      <c r="Y657" s="135"/>
      <c r="Z657" s="135"/>
      <c r="AA657" s="135"/>
      <c r="AB657" s="135"/>
      <c r="AC657" s="136"/>
      <c r="AD657" s="135"/>
      <c r="AE657" s="135"/>
      <c r="AF657" s="135"/>
      <c r="AG657" s="135"/>
      <c r="AH657" s="135"/>
      <c r="AI657" s="135"/>
      <c r="AJ657" s="1" t="s">
        <v>3163</v>
      </c>
      <c r="AK657" s="34"/>
      <c r="AL657" s="37"/>
      <c r="AM657" s="37"/>
      <c r="AN657" s="126" t="s">
        <v>3164</v>
      </c>
      <c r="AO657" s="24">
        <v>0.004571759259259259</v>
      </c>
      <c r="AP657" s="131"/>
      <c r="AQ657" s="137"/>
      <c r="AR657" s="7" t="s">
        <v>633</v>
      </c>
      <c r="AS657" s="7" t="b">
        <f>NOT(ISERROR(MATCH(A657,'Villages according to موسوعة ال'!C:C,0)))</f>
        <v>1</v>
      </c>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row>
    <row r="658">
      <c r="A658" s="7" t="s">
        <v>42</v>
      </c>
      <c r="B658" s="43" t="s">
        <v>43</v>
      </c>
      <c r="C658" s="7" t="s">
        <v>43</v>
      </c>
      <c r="D658" s="7" t="s">
        <v>44</v>
      </c>
      <c r="E658" s="25"/>
      <c r="F658" s="25"/>
      <c r="G658" s="84"/>
      <c r="H658" s="7" t="s">
        <v>3165</v>
      </c>
      <c r="I658" s="7" t="s">
        <v>616</v>
      </c>
      <c r="J658" s="7" t="s">
        <v>3166</v>
      </c>
      <c r="K658" s="54" t="s">
        <v>3167</v>
      </c>
      <c r="L658" s="30" t="s">
        <v>3168</v>
      </c>
      <c r="M658" s="60" t="b">
        <v>0</v>
      </c>
      <c r="N658" s="60" t="b">
        <v>0</v>
      </c>
      <c r="O658" s="60"/>
      <c r="P658" s="60" t="b">
        <v>0</v>
      </c>
      <c r="Q658" s="60" t="b">
        <v>0</v>
      </c>
      <c r="R658" s="60" t="b">
        <v>0</v>
      </c>
      <c r="S658" s="60"/>
      <c r="T658" s="60"/>
      <c r="U658" s="60" t="b">
        <v>0</v>
      </c>
      <c r="V658" s="60"/>
      <c r="W658" s="60" t="b">
        <v>0</v>
      </c>
      <c r="X658" s="60" t="b">
        <v>0</v>
      </c>
      <c r="Y658" s="60"/>
      <c r="Z658" s="60"/>
      <c r="AA658" s="60"/>
      <c r="AB658" s="60"/>
      <c r="AC658" s="61"/>
      <c r="AD658" s="60"/>
      <c r="AE658" s="60"/>
      <c r="AF658" s="60"/>
      <c r="AG658" s="60"/>
      <c r="AH658" s="60"/>
      <c r="AI658" s="60"/>
      <c r="AJ658" s="25"/>
      <c r="AK658" s="34" t="s">
        <v>698</v>
      </c>
      <c r="AL658" s="25"/>
      <c r="AM658" s="25"/>
      <c r="AN658" s="35" t="s">
        <v>3169</v>
      </c>
      <c r="AO658" s="24">
        <v>0.0030092592592592593</v>
      </c>
      <c r="AP658" s="74" t="s">
        <v>3170</v>
      </c>
      <c r="AQ658" s="73">
        <v>37591.0</v>
      </c>
      <c r="AR658" s="35" t="s">
        <v>3171</v>
      </c>
      <c r="AS658" s="7" t="b">
        <f>NOT(ISERROR(MATCH(A658,'Villages according to موسوعة ال'!C:C,0)))</f>
        <v>1</v>
      </c>
      <c r="AT658" s="25"/>
      <c r="AU658" s="25"/>
      <c r="AV658" s="25"/>
      <c r="AW658" s="25"/>
      <c r="AX658" s="25"/>
      <c r="AY658" s="25"/>
      <c r="AZ658" s="25"/>
      <c r="BA658" s="25"/>
      <c r="BB658" s="25"/>
      <c r="BC658" s="25"/>
      <c r="BD658" s="25"/>
      <c r="BE658" s="25"/>
      <c r="BF658" s="25"/>
      <c r="BG658" s="25"/>
      <c r="BH658" s="25"/>
      <c r="BI658" s="25"/>
      <c r="BJ658" s="25"/>
      <c r="BK658" s="25"/>
      <c r="BL658" s="25"/>
      <c r="BM658" s="25"/>
      <c r="BN658" s="25"/>
      <c r="BO658" s="25"/>
      <c r="BP658" s="25"/>
    </row>
    <row r="659">
      <c r="A659" s="7" t="s">
        <v>42</v>
      </c>
      <c r="B659" s="43" t="s">
        <v>43</v>
      </c>
      <c r="E659" s="25"/>
      <c r="F659" s="25"/>
      <c r="G659" s="84"/>
      <c r="H659" s="7" t="s">
        <v>3172</v>
      </c>
      <c r="I659" s="7" t="s">
        <v>616</v>
      </c>
      <c r="J659" s="7" t="s">
        <v>3173</v>
      </c>
      <c r="K659" s="54" t="s">
        <v>3174</v>
      </c>
      <c r="L659" s="30" t="s">
        <v>3175</v>
      </c>
      <c r="M659" s="60" t="b">
        <v>0</v>
      </c>
      <c r="N659" s="60" t="b">
        <v>0</v>
      </c>
      <c r="O659" s="60"/>
      <c r="P659" s="60" t="b">
        <v>0</v>
      </c>
      <c r="Q659" s="60" t="b">
        <v>0</v>
      </c>
      <c r="R659" s="60" t="b">
        <v>0</v>
      </c>
      <c r="S659" s="60"/>
      <c r="T659" s="60"/>
      <c r="U659" s="60" t="b">
        <v>0</v>
      </c>
      <c r="V659" s="60"/>
      <c r="W659" s="60" t="b">
        <v>0</v>
      </c>
      <c r="X659" s="60" t="b">
        <v>0</v>
      </c>
      <c r="Y659" s="60"/>
      <c r="Z659" s="60"/>
      <c r="AA659" s="60"/>
      <c r="AB659" s="60"/>
      <c r="AC659" s="61"/>
      <c r="AD659" s="60"/>
      <c r="AE659" s="60"/>
      <c r="AF659" s="60"/>
      <c r="AG659" s="60"/>
      <c r="AH659" s="60"/>
      <c r="AI659" s="60"/>
      <c r="AJ659" s="3" t="s">
        <v>3176</v>
      </c>
      <c r="AK659" s="34" t="s">
        <v>698</v>
      </c>
      <c r="AL659" s="25"/>
      <c r="AM659" s="25"/>
      <c r="AN659" s="35" t="s">
        <v>3177</v>
      </c>
      <c r="AO659" s="24">
        <v>0.002638888888888889</v>
      </c>
      <c r="AP659" s="74" t="s">
        <v>3178</v>
      </c>
      <c r="AQ659" s="73">
        <v>37803.0</v>
      </c>
      <c r="AR659" s="35" t="s">
        <v>3179</v>
      </c>
      <c r="AS659" s="7" t="b">
        <f>NOT(ISERROR(MATCH(A659,'Villages according to موسوعة ال'!C:C,0)))</f>
        <v>1</v>
      </c>
      <c r="AT659" s="25"/>
      <c r="AU659" s="25"/>
      <c r="AV659" s="25"/>
      <c r="AW659" s="25"/>
      <c r="AX659" s="25"/>
      <c r="AY659" s="25"/>
      <c r="AZ659" s="25"/>
      <c r="BA659" s="25"/>
      <c r="BB659" s="25"/>
      <c r="BC659" s="25"/>
      <c r="BD659" s="25"/>
      <c r="BE659" s="25"/>
      <c r="BF659" s="25"/>
      <c r="BG659" s="25"/>
      <c r="BH659" s="25"/>
      <c r="BI659" s="25"/>
      <c r="BJ659" s="25"/>
      <c r="BK659" s="25"/>
      <c r="BL659" s="25"/>
      <c r="BM659" s="25"/>
      <c r="BN659" s="25"/>
      <c r="BO659" s="25"/>
      <c r="BP659" s="25"/>
    </row>
    <row r="660">
      <c r="A660" s="7" t="s">
        <v>42</v>
      </c>
      <c r="B660" s="26" t="s">
        <v>43</v>
      </c>
      <c r="E660" s="37"/>
      <c r="F660" s="37"/>
      <c r="G660" s="122"/>
      <c r="H660" s="4" t="s">
        <v>3180</v>
      </c>
      <c r="I660" s="4" t="s">
        <v>616</v>
      </c>
      <c r="J660" s="4" t="s">
        <v>3181</v>
      </c>
      <c r="K660" s="128"/>
      <c r="L660" s="134"/>
      <c r="M660" s="135" t="b">
        <v>0</v>
      </c>
      <c r="N660" s="135" t="b">
        <v>0</v>
      </c>
      <c r="O660" s="135"/>
      <c r="P660" s="135" t="b">
        <v>0</v>
      </c>
      <c r="Q660" s="135" t="b">
        <v>0</v>
      </c>
      <c r="R660" s="135" t="b">
        <v>0</v>
      </c>
      <c r="S660" s="135"/>
      <c r="T660" s="32"/>
      <c r="U660" s="135" t="b">
        <v>0</v>
      </c>
      <c r="V660" s="135"/>
      <c r="W660" s="135" t="b">
        <v>0</v>
      </c>
      <c r="X660" s="135" t="b">
        <v>0</v>
      </c>
      <c r="Y660" s="135"/>
      <c r="Z660" s="135"/>
      <c r="AA660" s="135"/>
      <c r="AB660" s="135"/>
      <c r="AC660" s="136"/>
      <c r="AD660" s="135"/>
      <c r="AE660" s="135"/>
      <c r="AF660" s="135"/>
      <c r="AG660" s="135"/>
      <c r="AH660" s="135"/>
      <c r="AI660" s="135"/>
      <c r="AJ660" s="138"/>
      <c r="AK660" s="34"/>
      <c r="AL660" s="37"/>
      <c r="AM660" s="37"/>
      <c r="AN660" s="126" t="s">
        <v>3182</v>
      </c>
      <c r="AO660" s="24">
        <v>0.003298611111111111</v>
      </c>
      <c r="AP660" s="131"/>
      <c r="AQ660" s="137"/>
      <c r="AR660" s="7" t="s">
        <v>633</v>
      </c>
      <c r="AS660" s="7" t="b">
        <f>NOT(ISERROR(MATCH(A660,'Villages according to موسوعة ال'!C:C,0)))</f>
        <v>1</v>
      </c>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row>
    <row r="661">
      <c r="A661" s="7" t="s">
        <v>42</v>
      </c>
      <c r="B661" s="26" t="s">
        <v>43</v>
      </c>
      <c r="E661" s="37"/>
      <c r="F661" s="37"/>
      <c r="G661" s="122"/>
      <c r="H661" s="4" t="s">
        <v>3183</v>
      </c>
      <c r="I661" s="4" t="s">
        <v>616</v>
      </c>
      <c r="J661" s="4" t="s">
        <v>3184</v>
      </c>
      <c r="K661" s="128"/>
      <c r="L661" s="134"/>
      <c r="M661" s="135" t="b">
        <v>0</v>
      </c>
      <c r="N661" s="135" t="b">
        <v>0</v>
      </c>
      <c r="O661" s="135"/>
      <c r="P661" s="135" t="b">
        <v>0</v>
      </c>
      <c r="Q661" s="135" t="b">
        <v>0</v>
      </c>
      <c r="R661" s="135" t="b">
        <v>0</v>
      </c>
      <c r="S661" s="135"/>
      <c r="T661" s="32"/>
      <c r="U661" s="135" t="b">
        <v>0</v>
      </c>
      <c r="V661" s="135"/>
      <c r="W661" s="135" t="b">
        <v>0</v>
      </c>
      <c r="X661" s="135" t="b">
        <v>0</v>
      </c>
      <c r="Y661" s="135"/>
      <c r="Z661" s="135"/>
      <c r="AA661" s="135"/>
      <c r="AB661" s="135"/>
      <c r="AC661" s="136"/>
      <c r="AD661" s="135"/>
      <c r="AE661" s="135"/>
      <c r="AF661" s="135"/>
      <c r="AG661" s="135"/>
      <c r="AH661" s="135"/>
      <c r="AI661" s="135"/>
      <c r="AJ661" s="138"/>
      <c r="AK661" s="34"/>
      <c r="AL661" s="37"/>
      <c r="AM661" s="37"/>
      <c r="AN661" s="126" t="s">
        <v>3185</v>
      </c>
      <c r="AO661" s="24">
        <v>4.976851851851852E-4</v>
      </c>
      <c r="AP661" s="131"/>
      <c r="AQ661" s="137"/>
      <c r="AR661" s="7" t="s">
        <v>633</v>
      </c>
      <c r="AS661" s="7" t="b">
        <f>NOT(ISERROR(MATCH(A661,'Villages according to موسوعة ال'!C:C,0)))</f>
        <v>1</v>
      </c>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row>
    <row r="662">
      <c r="A662" s="7" t="s">
        <v>42</v>
      </c>
      <c r="B662" s="26" t="s">
        <v>43</v>
      </c>
      <c r="E662" s="37"/>
      <c r="F662" s="37"/>
      <c r="G662" s="122"/>
      <c r="H662" s="4" t="s">
        <v>3186</v>
      </c>
      <c r="I662" s="4" t="s">
        <v>616</v>
      </c>
      <c r="J662" s="4" t="s">
        <v>3187</v>
      </c>
      <c r="K662" s="128"/>
      <c r="L662" s="134"/>
      <c r="M662" s="135" t="b">
        <v>0</v>
      </c>
      <c r="N662" s="135" t="b">
        <v>0</v>
      </c>
      <c r="O662" s="135"/>
      <c r="P662" s="135" t="b">
        <v>0</v>
      </c>
      <c r="Q662" s="135" t="b">
        <v>0</v>
      </c>
      <c r="R662" s="135" t="b">
        <v>0</v>
      </c>
      <c r="S662" s="135"/>
      <c r="T662" s="32"/>
      <c r="U662" s="135" t="b">
        <v>0</v>
      </c>
      <c r="V662" s="135"/>
      <c r="W662" s="135" t="b">
        <v>0</v>
      </c>
      <c r="X662" s="135" t="b">
        <v>0</v>
      </c>
      <c r="Y662" s="135"/>
      <c r="Z662" s="135"/>
      <c r="AA662" s="135"/>
      <c r="AB662" s="135"/>
      <c r="AC662" s="136"/>
      <c r="AD662" s="135"/>
      <c r="AE662" s="135"/>
      <c r="AF662" s="135"/>
      <c r="AG662" s="135"/>
      <c r="AH662" s="135"/>
      <c r="AI662" s="135"/>
      <c r="AJ662" s="138"/>
      <c r="AK662" s="34"/>
      <c r="AL662" s="37"/>
      <c r="AM662" s="37"/>
      <c r="AN662" s="126" t="s">
        <v>3188</v>
      </c>
      <c r="AO662" s="24">
        <v>9.722222222222222E-4</v>
      </c>
      <c r="AP662" s="131"/>
      <c r="AQ662" s="137"/>
      <c r="AR662" s="7" t="s">
        <v>633</v>
      </c>
      <c r="AS662" s="7" t="b">
        <f>NOT(ISERROR(MATCH(A662,'Villages according to موسوعة ال'!C:C,0)))</f>
        <v>1</v>
      </c>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row>
    <row r="663">
      <c r="A663" s="7" t="s">
        <v>42</v>
      </c>
      <c r="B663" s="26" t="s">
        <v>43</v>
      </c>
      <c r="E663" s="37"/>
      <c r="F663" s="37"/>
      <c r="G663" s="122"/>
      <c r="H663" s="4" t="s">
        <v>2294</v>
      </c>
      <c r="I663" s="4" t="s">
        <v>638</v>
      </c>
      <c r="J663" s="4" t="s">
        <v>3189</v>
      </c>
      <c r="K663" s="128"/>
      <c r="L663" s="134"/>
      <c r="M663" s="135" t="b">
        <v>0</v>
      </c>
      <c r="N663" s="135" t="b">
        <v>0</v>
      </c>
      <c r="O663" s="135"/>
      <c r="P663" s="135" t="b">
        <v>0</v>
      </c>
      <c r="Q663" s="135" t="b">
        <v>0</v>
      </c>
      <c r="R663" s="135" t="b">
        <v>0</v>
      </c>
      <c r="S663" s="135"/>
      <c r="T663" s="32"/>
      <c r="U663" s="135" t="b">
        <v>0</v>
      </c>
      <c r="V663" s="135"/>
      <c r="W663" s="135" t="b">
        <v>0</v>
      </c>
      <c r="X663" s="135" t="b">
        <v>0</v>
      </c>
      <c r="Y663" s="135"/>
      <c r="Z663" s="135"/>
      <c r="AA663" s="135"/>
      <c r="AB663" s="135"/>
      <c r="AC663" s="136"/>
      <c r="AD663" s="135"/>
      <c r="AE663" s="135"/>
      <c r="AF663" s="135"/>
      <c r="AG663" s="135"/>
      <c r="AH663" s="135"/>
      <c r="AI663" s="135"/>
      <c r="AJ663" s="138"/>
      <c r="AK663" s="34"/>
      <c r="AL663" s="37"/>
      <c r="AM663" s="37"/>
      <c r="AN663" s="126" t="s">
        <v>3190</v>
      </c>
      <c r="AO663" s="24">
        <v>0.0010532407407407407</v>
      </c>
      <c r="AP663" s="131"/>
      <c r="AQ663" s="137"/>
      <c r="AR663" s="7" t="s">
        <v>633</v>
      </c>
      <c r="AS663" s="7" t="b">
        <f>NOT(ISERROR(MATCH(A663,'Villages according to موسوعة ال'!C:C,0)))</f>
        <v>1</v>
      </c>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row>
    <row r="664">
      <c r="A664" s="7" t="s">
        <v>96</v>
      </c>
      <c r="B664" s="43" t="s">
        <v>97</v>
      </c>
      <c r="C664" s="7" t="s">
        <v>97</v>
      </c>
      <c r="D664" s="7" t="s">
        <v>98</v>
      </c>
      <c r="E664" s="25"/>
      <c r="F664" s="25"/>
      <c r="G664" s="84"/>
      <c r="H664" s="7" t="s">
        <v>3191</v>
      </c>
      <c r="I664" s="7" t="s">
        <v>616</v>
      </c>
      <c r="J664" s="7" t="s">
        <v>3192</v>
      </c>
      <c r="K664" s="54" t="s">
        <v>3193</v>
      </c>
      <c r="L664" s="30" t="s">
        <v>3194</v>
      </c>
      <c r="M664" s="60" t="b">
        <v>0</v>
      </c>
      <c r="N664" s="60" t="b">
        <v>0</v>
      </c>
      <c r="O664" s="60"/>
      <c r="P664" s="60" t="b">
        <v>0</v>
      </c>
      <c r="Q664" s="60" t="b">
        <v>0</v>
      </c>
      <c r="R664" s="60" t="b">
        <v>0</v>
      </c>
      <c r="S664" s="60"/>
      <c r="T664" s="60"/>
      <c r="U664" s="60" t="b">
        <v>0</v>
      </c>
      <c r="V664" s="60"/>
      <c r="W664" s="60" t="b">
        <v>0</v>
      </c>
      <c r="X664" s="60" t="b">
        <v>0</v>
      </c>
      <c r="Y664" s="60"/>
      <c r="Z664" s="60"/>
      <c r="AA664" s="60"/>
      <c r="AB664" s="60"/>
      <c r="AC664" s="61"/>
      <c r="AD664" s="60"/>
      <c r="AE664" s="60"/>
      <c r="AF664" s="60"/>
      <c r="AG664" s="60"/>
      <c r="AH664" s="60"/>
      <c r="AI664" s="60"/>
      <c r="AJ664" s="81" t="s">
        <v>3195</v>
      </c>
      <c r="AK664" s="34" t="s">
        <v>698</v>
      </c>
      <c r="AL664" s="25"/>
      <c r="AM664" s="25"/>
      <c r="AN664" s="35" t="s">
        <v>3196</v>
      </c>
      <c r="AO664" s="24">
        <v>0.0016666666666666668</v>
      </c>
      <c r="AP664" s="74" t="s">
        <v>1536</v>
      </c>
      <c r="AQ664" s="73">
        <v>38018.0</v>
      </c>
      <c r="AR664" s="35" t="s">
        <v>3197</v>
      </c>
      <c r="AS664" s="7" t="b">
        <f>NOT(ISERROR(MATCH(A664,'Villages according to موسوعة ال'!C:C,0)))</f>
        <v>1</v>
      </c>
      <c r="AT664" s="25"/>
      <c r="AU664" s="25"/>
      <c r="AV664" s="25"/>
      <c r="AW664" s="25"/>
      <c r="AX664" s="25"/>
      <c r="AY664" s="25"/>
      <c r="AZ664" s="25"/>
      <c r="BA664" s="25"/>
      <c r="BB664" s="25"/>
      <c r="BC664" s="25"/>
      <c r="BD664" s="25"/>
      <c r="BE664" s="25"/>
      <c r="BF664" s="25"/>
      <c r="BG664" s="25"/>
      <c r="BH664" s="25"/>
      <c r="BI664" s="25"/>
      <c r="BJ664" s="25"/>
      <c r="BK664" s="25"/>
      <c r="BL664" s="25"/>
      <c r="BM664" s="25"/>
      <c r="BN664" s="25"/>
      <c r="BO664" s="25"/>
      <c r="BP664" s="25"/>
    </row>
    <row r="665">
      <c r="A665" s="7" t="s">
        <v>96</v>
      </c>
      <c r="B665" s="26" t="s">
        <v>97</v>
      </c>
      <c r="E665" s="37"/>
      <c r="F665" s="37"/>
      <c r="G665" s="122"/>
      <c r="K665" s="128"/>
      <c r="L665" s="134"/>
      <c r="M665" s="135" t="b">
        <v>0</v>
      </c>
      <c r="N665" s="135" t="b">
        <v>0</v>
      </c>
      <c r="O665" s="135"/>
      <c r="P665" s="135" t="b">
        <v>0</v>
      </c>
      <c r="Q665" s="135" t="b">
        <v>0</v>
      </c>
      <c r="R665" s="135" t="b">
        <v>0</v>
      </c>
      <c r="S665" s="135"/>
      <c r="T665" s="32"/>
      <c r="U665" s="135" t="b">
        <v>0</v>
      </c>
      <c r="V665" s="135"/>
      <c r="W665" s="135" t="b">
        <v>0</v>
      </c>
      <c r="X665" s="135" t="b">
        <v>0</v>
      </c>
      <c r="Y665" s="135"/>
      <c r="Z665" s="135"/>
      <c r="AA665" s="135"/>
      <c r="AB665" s="135"/>
      <c r="AC665" s="136"/>
      <c r="AD665" s="135"/>
      <c r="AE665" s="135"/>
      <c r="AF665" s="135"/>
      <c r="AG665" s="135"/>
      <c r="AH665" s="135"/>
      <c r="AI665" s="135"/>
      <c r="AJ665" s="37"/>
      <c r="AK665" s="34"/>
      <c r="AL665" s="37"/>
      <c r="AM665" s="37"/>
      <c r="AN665" s="126" t="s">
        <v>3198</v>
      </c>
      <c r="AO665" s="24">
        <v>0.0016666666666666668</v>
      </c>
      <c r="AP665" s="131" t="s">
        <v>1536</v>
      </c>
      <c r="AQ665" s="137">
        <v>38019.0</v>
      </c>
      <c r="AR665" s="139" t="s">
        <v>633</v>
      </c>
      <c r="AS665" s="7" t="b">
        <f>NOT(ISERROR(MATCH(A665,'Villages according to موسوعة ال'!C:C,0)))</f>
        <v>1</v>
      </c>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row>
    <row r="666">
      <c r="A666" s="7" t="s">
        <v>96</v>
      </c>
      <c r="B666" s="26" t="s">
        <v>97</v>
      </c>
      <c r="E666" s="37"/>
      <c r="F666" s="37"/>
      <c r="G666" s="122"/>
      <c r="K666" s="128"/>
      <c r="L666" s="134"/>
      <c r="M666" s="135" t="b">
        <v>0</v>
      </c>
      <c r="N666" s="135" t="b">
        <v>0</v>
      </c>
      <c r="O666" s="135"/>
      <c r="P666" s="135" t="b">
        <v>0</v>
      </c>
      <c r="Q666" s="135" t="b">
        <v>0</v>
      </c>
      <c r="R666" s="135" t="b">
        <v>0</v>
      </c>
      <c r="S666" s="135"/>
      <c r="T666" s="32"/>
      <c r="U666" s="135" t="b">
        <v>0</v>
      </c>
      <c r="V666" s="135"/>
      <c r="W666" s="135" t="b">
        <v>0</v>
      </c>
      <c r="X666" s="135" t="b">
        <v>0</v>
      </c>
      <c r="Y666" s="135"/>
      <c r="Z666" s="135"/>
      <c r="AA666" s="135"/>
      <c r="AB666" s="135"/>
      <c r="AC666" s="136"/>
      <c r="AD666" s="135"/>
      <c r="AE666" s="135"/>
      <c r="AF666" s="135"/>
      <c r="AG666" s="135"/>
      <c r="AH666" s="135"/>
      <c r="AI666" s="135"/>
      <c r="AJ666" s="37"/>
      <c r="AK666" s="34"/>
      <c r="AL666" s="37"/>
      <c r="AM666" s="37"/>
      <c r="AN666" s="126" t="s">
        <v>3199</v>
      </c>
      <c r="AO666" s="24">
        <v>0.0030555555555555557</v>
      </c>
      <c r="AP666" s="131" t="s">
        <v>1536</v>
      </c>
      <c r="AQ666" s="137">
        <v>38020.0</v>
      </c>
      <c r="AR666" s="7" t="s">
        <v>633</v>
      </c>
      <c r="AS666" s="7" t="b">
        <f>NOT(ISERROR(MATCH(A666,'Villages according to موسوعة ال'!C:C,0)))</f>
        <v>1</v>
      </c>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row>
    <row r="667">
      <c r="A667" s="7" t="s">
        <v>96</v>
      </c>
      <c r="B667" s="43" t="s">
        <v>97</v>
      </c>
      <c r="E667" s="25"/>
      <c r="F667" s="25"/>
      <c r="G667" s="84"/>
      <c r="H667" s="7" t="s">
        <v>3200</v>
      </c>
      <c r="I667" s="7" t="s">
        <v>638</v>
      </c>
      <c r="J667" s="7" t="s">
        <v>3201</v>
      </c>
      <c r="K667" s="54" t="s">
        <v>3202</v>
      </c>
      <c r="L667" s="30" t="s">
        <v>3203</v>
      </c>
      <c r="M667" s="60" t="b">
        <v>0</v>
      </c>
      <c r="N667" s="60" t="b">
        <v>0</v>
      </c>
      <c r="O667" s="60"/>
      <c r="P667" s="60" t="b">
        <v>0</v>
      </c>
      <c r="Q667" s="60" t="b">
        <v>0</v>
      </c>
      <c r="R667" s="60" t="b">
        <v>0</v>
      </c>
      <c r="S667" s="60"/>
      <c r="T667" s="60"/>
      <c r="U667" s="60" t="b">
        <v>0</v>
      </c>
      <c r="V667" s="60"/>
      <c r="W667" s="60" t="b">
        <v>0</v>
      </c>
      <c r="X667" s="60" t="b">
        <v>0</v>
      </c>
      <c r="Y667" s="60"/>
      <c r="Z667" s="60"/>
      <c r="AA667" s="60"/>
      <c r="AB667" s="60"/>
      <c r="AC667" s="61"/>
      <c r="AD667" s="60"/>
      <c r="AE667" s="60"/>
      <c r="AF667" s="60"/>
      <c r="AG667" s="60"/>
      <c r="AH667" s="60"/>
      <c r="AI667" s="60"/>
      <c r="AJ667" s="25"/>
      <c r="AK667" s="34" t="s">
        <v>698</v>
      </c>
      <c r="AL667" s="25"/>
      <c r="AM667" s="25"/>
      <c r="AN667" s="35" t="s">
        <v>3204</v>
      </c>
      <c r="AO667" s="24">
        <v>0.0030671296296296297</v>
      </c>
      <c r="AP667" s="74" t="s">
        <v>633</v>
      </c>
      <c r="AQ667" s="7" t="s">
        <v>633</v>
      </c>
      <c r="AR667" s="35" t="s">
        <v>3205</v>
      </c>
      <c r="AS667" s="7" t="b">
        <f>NOT(ISERROR(MATCH(A667,'Villages according to موسوعة ال'!C:C,0)))</f>
        <v>1</v>
      </c>
      <c r="AT667" s="25"/>
      <c r="AU667" s="25"/>
      <c r="AV667" s="25"/>
      <c r="AW667" s="25"/>
      <c r="AX667" s="25"/>
      <c r="AY667" s="25"/>
      <c r="AZ667" s="25"/>
      <c r="BA667" s="25"/>
      <c r="BB667" s="25"/>
      <c r="BC667" s="25"/>
      <c r="BD667" s="25"/>
      <c r="BE667" s="25"/>
      <c r="BF667" s="25"/>
      <c r="BG667" s="25"/>
      <c r="BH667" s="25"/>
      <c r="BI667" s="25"/>
      <c r="BJ667" s="25"/>
      <c r="BK667" s="25"/>
      <c r="BL667" s="25"/>
      <c r="BM667" s="25"/>
      <c r="BN667" s="25"/>
      <c r="BO667" s="25"/>
      <c r="BP667" s="25"/>
    </row>
    <row r="668">
      <c r="A668" s="7" t="s">
        <v>96</v>
      </c>
      <c r="B668" s="43" t="s">
        <v>97</v>
      </c>
      <c r="E668" s="25"/>
      <c r="F668" s="7"/>
      <c r="G668" s="28"/>
      <c r="K668" s="54" t="s">
        <v>3206</v>
      </c>
      <c r="L668" s="30" t="s">
        <v>3207</v>
      </c>
      <c r="M668" s="60" t="b">
        <v>0</v>
      </c>
      <c r="N668" s="60" t="b">
        <v>0</v>
      </c>
      <c r="O668" s="60"/>
      <c r="P668" s="60" t="b">
        <v>0</v>
      </c>
      <c r="Q668" s="60" t="b">
        <v>0</v>
      </c>
      <c r="R668" s="60" t="b">
        <v>0</v>
      </c>
      <c r="S668" s="60"/>
      <c r="T668" s="60"/>
      <c r="U668" s="60" t="b">
        <v>0</v>
      </c>
      <c r="V668" s="60"/>
      <c r="W668" s="60" t="b">
        <v>0</v>
      </c>
      <c r="X668" s="60" t="b">
        <v>0</v>
      </c>
      <c r="Y668" s="60"/>
      <c r="Z668" s="60"/>
      <c r="AA668" s="60"/>
      <c r="AB668" s="60"/>
      <c r="AC668" s="61"/>
      <c r="AD668" s="60"/>
      <c r="AE668" s="60"/>
      <c r="AF668" s="60"/>
      <c r="AG668" s="60"/>
      <c r="AH668" s="60"/>
      <c r="AI668" s="60"/>
      <c r="AJ668" s="104"/>
      <c r="AK668" s="34" t="s">
        <v>698</v>
      </c>
      <c r="AL668" s="25"/>
      <c r="AM668" s="25"/>
      <c r="AN668" s="35" t="s">
        <v>3208</v>
      </c>
      <c r="AO668" s="24">
        <v>0.002349537037037037</v>
      </c>
      <c r="AP668" s="74" t="s">
        <v>633</v>
      </c>
      <c r="AQ668" s="73">
        <v>37561.0</v>
      </c>
      <c r="AR668" s="35" t="s">
        <v>3209</v>
      </c>
      <c r="AS668" s="7" t="b">
        <f>NOT(ISERROR(MATCH(A668,'Villages according to موسوعة ال'!C:C,0)))</f>
        <v>1</v>
      </c>
      <c r="AT668" s="25"/>
      <c r="AU668" s="25"/>
      <c r="AV668" s="25"/>
      <c r="AW668" s="25"/>
      <c r="AX668" s="25"/>
      <c r="AY668" s="25"/>
      <c r="AZ668" s="25"/>
      <c r="BA668" s="25"/>
      <c r="BB668" s="25"/>
      <c r="BC668" s="25"/>
      <c r="BD668" s="25"/>
      <c r="BE668" s="25"/>
      <c r="BF668" s="25"/>
      <c r="BG668" s="25"/>
      <c r="BH668" s="25"/>
      <c r="BI668" s="25"/>
      <c r="BJ668" s="25"/>
      <c r="BK668" s="25"/>
      <c r="BL668" s="25"/>
      <c r="BM668" s="25"/>
      <c r="BN668" s="25"/>
      <c r="BO668" s="25"/>
      <c r="BP668" s="25"/>
    </row>
    <row r="669">
      <c r="A669" s="7" t="s">
        <v>96</v>
      </c>
      <c r="B669" s="43" t="s">
        <v>97</v>
      </c>
      <c r="E669" s="25"/>
      <c r="F669" s="7"/>
      <c r="G669" s="28"/>
      <c r="H669" s="7" t="s">
        <v>3210</v>
      </c>
      <c r="I669" s="7" t="s">
        <v>638</v>
      </c>
      <c r="J669" s="7" t="s">
        <v>3211</v>
      </c>
      <c r="K669" s="54" t="s">
        <v>3212</v>
      </c>
      <c r="L669" s="30" t="s">
        <v>3213</v>
      </c>
      <c r="M669" s="60" t="b">
        <v>0</v>
      </c>
      <c r="N669" s="60" t="b">
        <v>0</v>
      </c>
      <c r="O669" s="60"/>
      <c r="P669" s="60" t="b">
        <v>0</v>
      </c>
      <c r="Q669" s="60" t="b">
        <v>0</v>
      </c>
      <c r="R669" s="60" t="b">
        <v>0</v>
      </c>
      <c r="S669" s="60"/>
      <c r="T669" s="60"/>
      <c r="U669" s="60" t="b">
        <v>0</v>
      </c>
      <c r="V669" s="60"/>
      <c r="W669" s="60" t="b">
        <v>0</v>
      </c>
      <c r="X669" s="60" t="b">
        <v>0</v>
      </c>
      <c r="Y669" s="60"/>
      <c r="Z669" s="60"/>
      <c r="AA669" s="60"/>
      <c r="AB669" s="60"/>
      <c r="AC669" s="61"/>
      <c r="AD669" s="60"/>
      <c r="AE669" s="60"/>
      <c r="AF669" s="60"/>
      <c r="AG669" s="60"/>
      <c r="AH669" s="60"/>
      <c r="AI669" s="60"/>
      <c r="AJ669" s="104" t="s">
        <v>3214</v>
      </c>
      <c r="AK669" s="34" t="s">
        <v>698</v>
      </c>
      <c r="AL669" s="25"/>
      <c r="AM669" s="25"/>
      <c r="AN669" s="35" t="s">
        <v>3215</v>
      </c>
      <c r="AO669" s="24">
        <v>0.0020949074074074073</v>
      </c>
      <c r="AP669" s="74" t="s">
        <v>1536</v>
      </c>
      <c r="AQ669" s="7">
        <v>2002.0</v>
      </c>
      <c r="AR669" s="35" t="s">
        <v>3216</v>
      </c>
      <c r="AS669" s="7" t="b">
        <f>NOT(ISERROR(MATCH(A669,'Villages according to موسوعة ال'!C:C,0)))</f>
        <v>1</v>
      </c>
      <c r="AT669" s="25"/>
      <c r="AU669" s="25"/>
      <c r="AV669" s="25"/>
      <c r="AW669" s="25"/>
      <c r="AX669" s="25"/>
      <c r="AY669" s="25"/>
      <c r="AZ669" s="25"/>
      <c r="BA669" s="25"/>
      <c r="BB669" s="25"/>
      <c r="BC669" s="25"/>
      <c r="BD669" s="25"/>
      <c r="BE669" s="25"/>
      <c r="BF669" s="25"/>
      <c r="BG669" s="25"/>
      <c r="BH669" s="25"/>
      <c r="BI669" s="25"/>
      <c r="BJ669" s="25"/>
      <c r="BK669" s="25"/>
      <c r="BL669" s="25"/>
      <c r="BM669" s="25"/>
      <c r="BN669" s="25"/>
      <c r="BO669" s="25"/>
      <c r="BP669" s="25"/>
    </row>
    <row r="670">
      <c r="A670" s="7" t="s">
        <v>96</v>
      </c>
      <c r="B670" s="26" t="s">
        <v>97</v>
      </c>
      <c r="E670" s="83"/>
      <c r="F670" s="4"/>
      <c r="G670" s="132"/>
      <c r="K670" s="128"/>
      <c r="L670" s="134"/>
      <c r="M670" s="135" t="b">
        <v>0</v>
      </c>
      <c r="N670" s="135" t="b">
        <v>0</v>
      </c>
      <c r="O670" s="135"/>
      <c r="P670" s="135" t="b">
        <v>0</v>
      </c>
      <c r="Q670" s="135" t="b">
        <v>0</v>
      </c>
      <c r="R670" s="135" t="b">
        <v>0</v>
      </c>
      <c r="S670" s="135"/>
      <c r="T670" s="32"/>
      <c r="U670" s="135" t="b">
        <v>0</v>
      </c>
      <c r="V670" s="135"/>
      <c r="W670" s="135" t="b">
        <v>0</v>
      </c>
      <c r="X670" s="135" t="b">
        <v>0</v>
      </c>
      <c r="Y670" s="135"/>
      <c r="Z670" s="135"/>
      <c r="AA670" s="135"/>
      <c r="AB670" s="135"/>
      <c r="AC670" s="136"/>
      <c r="AD670" s="135"/>
      <c r="AE670" s="135"/>
      <c r="AF670" s="135"/>
      <c r="AG670" s="135"/>
      <c r="AH670" s="135"/>
      <c r="AI670" s="135"/>
      <c r="AJ670" s="138"/>
      <c r="AK670" s="34"/>
      <c r="AL670" s="37"/>
      <c r="AM670" s="37"/>
      <c r="AN670" s="126" t="s">
        <v>3217</v>
      </c>
      <c r="AO670" s="24">
        <v>0.004189814814814815</v>
      </c>
      <c r="AP670" s="131" t="s">
        <v>1536</v>
      </c>
      <c r="AQ670" s="4">
        <v>2002.0</v>
      </c>
      <c r="AR670" s="7" t="s">
        <v>633</v>
      </c>
      <c r="AS670" s="7" t="b">
        <f>NOT(ISERROR(MATCH(A670,'Villages according to موسوعة ال'!C:C,0)))</f>
        <v>1</v>
      </c>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row>
    <row r="671">
      <c r="A671" s="7" t="s">
        <v>93</v>
      </c>
      <c r="B671" s="43" t="s">
        <v>94</v>
      </c>
      <c r="C671" s="7" t="s">
        <v>94</v>
      </c>
      <c r="D671" s="7" t="s">
        <v>3218</v>
      </c>
      <c r="E671" s="25"/>
      <c r="F671" s="7"/>
      <c r="G671" s="28"/>
      <c r="H671" s="7" t="s">
        <v>3219</v>
      </c>
      <c r="I671" s="7" t="s">
        <v>638</v>
      </c>
      <c r="J671" s="7" t="s">
        <v>3220</v>
      </c>
      <c r="K671" s="54" t="s">
        <v>3221</v>
      </c>
      <c r="L671" s="30" t="s">
        <v>3222</v>
      </c>
      <c r="M671" s="60" t="b">
        <v>0</v>
      </c>
      <c r="N671" s="60" t="b">
        <v>0</v>
      </c>
      <c r="O671" s="60"/>
      <c r="P671" s="60" t="b">
        <v>0</v>
      </c>
      <c r="Q671" s="60" t="b">
        <v>0</v>
      </c>
      <c r="R671" s="60" t="b">
        <v>0</v>
      </c>
      <c r="S671" s="60"/>
      <c r="T671" s="60"/>
      <c r="U671" s="60" t="b">
        <v>0</v>
      </c>
      <c r="V671" s="60"/>
      <c r="W671" s="60" t="b">
        <v>0</v>
      </c>
      <c r="X671" s="60" t="b">
        <v>0</v>
      </c>
      <c r="Y671" s="60"/>
      <c r="Z671" s="60"/>
      <c r="AA671" s="60"/>
      <c r="AB671" s="60"/>
      <c r="AC671" s="61"/>
      <c r="AD671" s="60"/>
      <c r="AE671" s="60"/>
      <c r="AF671" s="60"/>
      <c r="AG671" s="60"/>
      <c r="AH671" s="60"/>
      <c r="AI671" s="60"/>
      <c r="AJ671" s="81" t="s">
        <v>3223</v>
      </c>
      <c r="AK671" s="34" t="s">
        <v>698</v>
      </c>
      <c r="AL671" s="3" t="s">
        <v>699</v>
      </c>
      <c r="AM671" s="3" t="s">
        <v>831</v>
      </c>
      <c r="AN671" s="35" t="s">
        <v>3224</v>
      </c>
      <c r="AO671" s="24">
        <v>0.0016898148148148148</v>
      </c>
      <c r="AP671" s="74" t="s">
        <v>1536</v>
      </c>
      <c r="AQ671" s="73">
        <v>37895.0</v>
      </c>
      <c r="AR671" s="35" t="s">
        <v>3225</v>
      </c>
      <c r="AS671" s="7" t="b">
        <f>NOT(ISERROR(MATCH(A671,'Villages according to موسوعة ال'!C:C,0)))</f>
        <v>1</v>
      </c>
      <c r="AT671" s="25"/>
      <c r="AU671" s="25"/>
      <c r="AV671" s="25"/>
      <c r="AW671" s="25"/>
      <c r="AX671" s="25"/>
      <c r="AY671" s="25"/>
      <c r="AZ671" s="25"/>
      <c r="BA671" s="25"/>
      <c r="BB671" s="25"/>
      <c r="BC671" s="25"/>
      <c r="BD671" s="25"/>
      <c r="BE671" s="25"/>
      <c r="BF671" s="25"/>
      <c r="BG671" s="25"/>
      <c r="BH671" s="25"/>
      <c r="BI671" s="25"/>
      <c r="BJ671" s="25"/>
      <c r="BK671" s="25"/>
      <c r="BL671" s="25"/>
      <c r="BM671" s="25"/>
      <c r="BN671" s="25"/>
      <c r="BO671" s="25"/>
      <c r="BP671" s="25"/>
    </row>
    <row r="672">
      <c r="A672" s="7" t="s">
        <v>93</v>
      </c>
      <c r="B672" s="43" t="s">
        <v>94</v>
      </c>
      <c r="E672" s="25"/>
      <c r="F672" s="7"/>
      <c r="G672" s="28"/>
      <c r="H672" s="7" t="s">
        <v>3226</v>
      </c>
      <c r="I672" s="7" t="s">
        <v>638</v>
      </c>
      <c r="J672" s="7" t="s">
        <v>3227</v>
      </c>
      <c r="K672" s="54" t="s">
        <v>3228</v>
      </c>
      <c r="L672" s="30" t="s">
        <v>3229</v>
      </c>
      <c r="M672" s="60" t="b">
        <v>0</v>
      </c>
      <c r="N672" s="60" t="b">
        <v>0</v>
      </c>
      <c r="O672" s="60"/>
      <c r="P672" s="60" t="b">
        <v>0</v>
      </c>
      <c r="Q672" s="60" t="b">
        <v>0</v>
      </c>
      <c r="R672" s="60" t="b">
        <v>0</v>
      </c>
      <c r="S672" s="60"/>
      <c r="T672" s="60"/>
      <c r="U672" s="60" t="b">
        <v>0</v>
      </c>
      <c r="V672" s="60"/>
      <c r="W672" s="60" t="b">
        <v>0</v>
      </c>
      <c r="X672" s="60" t="b">
        <v>0</v>
      </c>
      <c r="Y672" s="60"/>
      <c r="Z672" s="60"/>
      <c r="AA672" s="60"/>
      <c r="AB672" s="60"/>
      <c r="AC672" s="61"/>
      <c r="AD672" s="60"/>
      <c r="AE672" s="60"/>
      <c r="AF672" s="60"/>
      <c r="AG672" s="60"/>
      <c r="AH672" s="60"/>
      <c r="AI672" s="60"/>
      <c r="AJ672" s="104"/>
      <c r="AK672" s="34" t="s">
        <v>698</v>
      </c>
      <c r="AL672" s="3" t="s">
        <v>699</v>
      </c>
      <c r="AM672" s="3" t="s">
        <v>831</v>
      </c>
      <c r="AN672" s="35" t="s">
        <v>3230</v>
      </c>
      <c r="AO672" s="24">
        <v>0.0014236111111111112</v>
      </c>
      <c r="AP672" s="74" t="s">
        <v>633</v>
      </c>
      <c r="AQ672" s="7" t="s">
        <v>633</v>
      </c>
      <c r="AR672" s="35" t="s">
        <v>3231</v>
      </c>
      <c r="AS672" s="7" t="b">
        <f>NOT(ISERROR(MATCH(A672,'Villages according to موسوعة ال'!C:C,0)))</f>
        <v>1</v>
      </c>
      <c r="AT672" s="25"/>
      <c r="AU672" s="25"/>
      <c r="AV672" s="25"/>
      <c r="AW672" s="25"/>
      <c r="AX672" s="25"/>
      <c r="AY672" s="25"/>
      <c r="AZ672" s="25"/>
      <c r="BA672" s="25"/>
      <c r="BB672" s="25"/>
      <c r="BC672" s="25"/>
      <c r="BD672" s="25"/>
      <c r="BE672" s="25"/>
      <c r="BF672" s="25"/>
      <c r="BG672" s="25"/>
      <c r="BH672" s="25"/>
      <c r="BI672" s="25"/>
      <c r="BJ672" s="25"/>
      <c r="BK672" s="25"/>
      <c r="BL672" s="25"/>
      <c r="BM672" s="25"/>
      <c r="BN672" s="25"/>
      <c r="BO672" s="25"/>
      <c r="BP672" s="25"/>
    </row>
    <row r="673">
      <c r="A673" s="7" t="s">
        <v>93</v>
      </c>
      <c r="B673" s="26" t="s">
        <v>94</v>
      </c>
      <c r="E673" s="83"/>
      <c r="F673" s="4"/>
      <c r="G673" s="132"/>
      <c r="H673" s="4" t="s">
        <v>3232</v>
      </c>
      <c r="I673" s="4" t="s">
        <v>638</v>
      </c>
      <c r="J673" s="4" t="s">
        <v>3233</v>
      </c>
      <c r="K673" s="128"/>
      <c r="L673" s="134"/>
      <c r="M673" s="135" t="b">
        <v>0</v>
      </c>
      <c r="N673" s="135" t="b">
        <v>0</v>
      </c>
      <c r="O673" s="135"/>
      <c r="P673" s="135" t="b">
        <v>0</v>
      </c>
      <c r="Q673" s="135" t="b">
        <v>0</v>
      </c>
      <c r="R673" s="135" t="b">
        <v>0</v>
      </c>
      <c r="S673" s="135"/>
      <c r="T673" s="32"/>
      <c r="U673" s="135" t="b">
        <v>0</v>
      </c>
      <c r="V673" s="135"/>
      <c r="W673" s="135" t="b">
        <v>0</v>
      </c>
      <c r="X673" s="135" t="b">
        <v>0</v>
      </c>
      <c r="Y673" s="135"/>
      <c r="Z673" s="135"/>
      <c r="AA673" s="135"/>
      <c r="AB673" s="135"/>
      <c r="AC673" s="136"/>
      <c r="AD673" s="135"/>
      <c r="AE673" s="135"/>
      <c r="AF673" s="135"/>
      <c r="AG673" s="135"/>
      <c r="AH673" s="135"/>
      <c r="AI673" s="135"/>
      <c r="AJ673" s="138"/>
      <c r="AK673" s="34"/>
      <c r="AL673" s="37"/>
      <c r="AM673" s="37"/>
      <c r="AN673" s="126" t="s">
        <v>3234</v>
      </c>
      <c r="AO673" s="24">
        <v>0.0010069444444444444</v>
      </c>
      <c r="AP673" s="131"/>
      <c r="AQ673" s="137"/>
      <c r="AR673" s="7" t="s">
        <v>633</v>
      </c>
      <c r="AS673" s="7" t="b">
        <f>NOT(ISERROR(MATCH(A673,'Villages according to موسوعة ال'!C:C,0)))</f>
        <v>1</v>
      </c>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row>
    <row r="674">
      <c r="A674" s="7" t="s">
        <v>93</v>
      </c>
      <c r="B674" s="26" t="s">
        <v>94</v>
      </c>
      <c r="E674" s="83"/>
      <c r="F674" s="4"/>
      <c r="G674" s="132"/>
      <c r="H674" s="4" t="s">
        <v>3235</v>
      </c>
      <c r="I674" s="4" t="s">
        <v>638</v>
      </c>
      <c r="J674" s="4" t="s">
        <v>3236</v>
      </c>
      <c r="K674" s="128"/>
      <c r="L674" s="134"/>
      <c r="M674" s="135" t="b">
        <v>0</v>
      </c>
      <c r="N674" s="135" t="b">
        <v>0</v>
      </c>
      <c r="O674" s="135"/>
      <c r="P674" s="135" t="b">
        <v>0</v>
      </c>
      <c r="Q674" s="135" t="b">
        <v>0</v>
      </c>
      <c r="R674" s="135" t="b">
        <v>0</v>
      </c>
      <c r="S674" s="135"/>
      <c r="T674" s="32"/>
      <c r="U674" s="135" t="b">
        <v>0</v>
      </c>
      <c r="V674" s="135"/>
      <c r="W674" s="135" t="b">
        <v>0</v>
      </c>
      <c r="X674" s="135" t="b">
        <v>0</v>
      </c>
      <c r="Y674" s="135"/>
      <c r="Z674" s="135"/>
      <c r="AA674" s="135"/>
      <c r="AB674" s="135"/>
      <c r="AC674" s="136"/>
      <c r="AD674" s="135"/>
      <c r="AE674" s="135"/>
      <c r="AF674" s="135"/>
      <c r="AG674" s="135"/>
      <c r="AH674" s="135"/>
      <c r="AI674" s="135"/>
      <c r="AJ674" s="138"/>
      <c r="AK674" s="34"/>
      <c r="AL674" s="37"/>
      <c r="AM674" s="37"/>
      <c r="AN674" s="126" t="s">
        <v>3237</v>
      </c>
      <c r="AO674" s="24">
        <v>0.005486111111111111</v>
      </c>
      <c r="AP674" s="131"/>
      <c r="AQ674" s="137"/>
      <c r="AR674" s="7" t="s">
        <v>633</v>
      </c>
      <c r="AS674" s="7" t="b">
        <f>NOT(ISERROR(MATCH(A674,'Villages according to موسوعة ال'!C:C,0)))</f>
        <v>1</v>
      </c>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row>
    <row r="675">
      <c r="A675" s="7" t="s">
        <v>485</v>
      </c>
      <c r="B675" s="43" t="s">
        <v>3238</v>
      </c>
      <c r="C675" s="7" t="s">
        <v>3238</v>
      </c>
      <c r="D675" s="7" t="s">
        <v>487</v>
      </c>
      <c r="E675" s="25"/>
      <c r="F675" s="7"/>
      <c r="G675" s="28"/>
      <c r="H675" s="7" t="s">
        <v>3239</v>
      </c>
      <c r="I675" s="7" t="s">
        <v>616</v>
      </c>
      <c r="J675" s="7" t="s">
        <v>3240</v>
      </c>
      <c r="K675" s="54" t="s">
        <v>3241</v>
      </c>
      <c r="L675" s="30" t="s">
        <v>3242</v>
      </c>
      <c r="M675" s="60" t="b">
        <v>0</v>
      </c>
      <c r="N675" s="60" t="b">
        <v>0</v>
      </c>
      <c r="O675" s="60"/>
      <c r="P675" s="60" t="b">
        <v>0</v>
      </c>
      <c r="Q675" s="60" t="b">
        <v>0</v>
      </c>
      <c r="R675" s="60" t="b">
        <v>0</v>
      </c>
      <c r="S675" s="60"/>
      <c r="T675" s="60"/>
      <c r="U675" s="60" t="b">
        <v>0</v>
      </c>
      <c r="V675" s="60"/>
      <c r="W675" s="60" t="b">
        <v>0</v>
      </c>
      <c r="X675" s="60" t="b">
        <v>0</v>
      </c>
      <c r="Y675" s="60"/>
      <c r="Z675" s="60"/>
      <c r="AA675" s="60"/>
      <c r="AB675" s="60"/>
      <c r="AC675" s="61"/>
      <c r="AD675" s="60"/>
      <c r="AE675" s="60"/>
      <c r="AF675" s="60"/>
      <c r="AG675" s="60"/>
      <c r="AH675" s="60"/>
      <c r="AI675" s="60"/>
      <c r="AJ675" s="81" t="s">
        <v>3243</v>
      </c>
      <c r="AK675" s="34" t="s">
        <v>698</v>
      </c>
      <c r="AL675" s="3" t="s">
        <v>675</v>
      </c>
      <c r="AM675" s="3" t="s">
        <v>676</v>
      </c>
      <c r="AN675" s="35" t="s">
        <v>3244</v>
      </c>
      <c r="AO675" s="24">
        <v>0.006006944444444444</v>
      </c>
      <c r="AP675" s="74" t="s">
        <v>3153</v>
      </c>
      <c r="AQ675" s="73">
        <v>37987.0</v>
      </c>
      <c r="AR675" s="35" t="s">
        <v>3245</v>
      </c>
      <c r="AS675" s="7" t="b">
        <f>NOT(ISERROR(MATCH(A675,'Villages according to موسوعة ال'!C:C,0)))</f>
        <v>1</v>
      </c>
      <c r="AT675" s="25"/>
      <c r="AU675" s="25"/>
      <c r="AV675" s="25"/>
      <c r="AW675" s="25"/>
      <c r="AX675" s="25"/>
      <c r="AY675" s="25"/>
      <c r="AZ675" s="25"/>
      <c r="BA675" s="25"/>
      <c r="BB675" s="25"/>
      <c r="BC675" s="25"/>
      <c r="BD675" s="25"/>
      <c r="BE675" s="25"/>
      <c r="BF675" s="25"/>
      <c r="BG675" s="25"/>
      <c r="BH675" s="25"/>
      <c r="BI675" s="25"/>
      <c r="BJ675" s="25"/>
      <c r="BK675" s="25"/>
      <c r="BL675" s="25"/>
      <c r="BM675" s="25"/>
      <c r="BN675" s="25"/>
      <c r="BO675" s="25"/>
      <c r="BP675" s="25"/>
    </row>
    <row r="676">
      <c r="A676" s="7" t="s">
        <v>485</v>
      </c>
      <c r="B676" s="43" t="s">
        <v>3238</v>
      </c>
      <c r="E676" s="25"/>
      <c r="F676" s="7"/>
      <c r="G676" s="28"/>
      <c r="H676" s="7" t="s">
        <v>3246</v>
      </c>
      <c r="I676" s="7" t="s">
        <v>638</v>
      </c>
      <c r="J676" s="7" t="s">
        <v>3247</v>
      </c>
      <c r="K676" s="54" t="s">
        <v>3248</v>
      </c>
      <c r="L676" s="47"/>
      <c r="M676" s="48" t="b">
        <v>0</v>
      </c>
      <c r="N676" s="48" t="b">
        <v>0</v>
      </c>
      <c r="O676" s="48"/>
      <c r="P676" s="48" t="b">
        <v>0</v>
      </c>
      <c r="Q676" s="48" t="b">
        <v>0</v>
      </c>
      <c r="R676" s="48" t="b">
        <v>0</v>
      </c>
      <c r="S676" s="48"/>
      <c r="T676" s="60"/>
      <c r="U676" s="48" t="b">
        <v>0</v>
      </c>
      <c r="V676" s="48"/>
      <c r="W676" s="48" t="b">
        <v>0</v>
      </c>
      <c r="X676" s="48" t="b">
        <v>0</v>
      </c>
      <c r="Y676" s="48"/>
      <c r="Z676" s="48"/>
      <c r="AA676" s="48"/>
      <c r="AB676" s="48"/>
      <c r="AC676" s="49"/>
      <c r="AD676" s="48"/>
      <c r="AE676" s="48"/>
      <c r="AF676" s="48"/>
      <c r="AG676" s="48"/>
      <c r="AH676" s="48"/>
      <c r="AI676" s="48"/>
      <c r="AJ676" s="104"/>
      <c r="AK676" s="34" t="s">
        <v>698</v>
      </c>
      <c r="AL676" s="25"/>
      <c r="AM676" s="25"/>
      <c r="AN676" s="7" t="s">
        <v>3249</v>
      </c>
      <c r="AO676" s="24">
        <v>0.0</v>
      </c>
      <c r="AP676" s="74" t="s">
        <v>3069</v>
      </c>
      <c r="AQ676" s="73">
        <v>38231.0</v>
      </c>
      <c r="AR676" s="35" t="s">
        <v>3250</v>
      </c>
      <c r="AS676" s="7" t="b">
        <f>NOT(ISERROR(MATCH(A676,'Villages according to موسوعة ال'!C:C,0)))</f>
        <v>1</v>
      </c>
      <c r="AT676" s="25"/>
      <c r="AU676" s="25"/>
      <c r="AV676" s="25"/>
      <c r="AW676" s="25"/>
      <c r="AX676" s="25"/>
      <c r="AY676" s="25"/>
      <c r="AZ676" s="25"/>
      <c r="BA676" s="25"/>
      <c r="BB676" s="25"/>
      <c r="BC676" s="25"/>
      <c r="BD676" s="25"/>
      <c r="BE676" s="25"/>
      <c r="BF676" s="25"/>
      <c r="BG676" s="25"/>
      <c r="BH676" s="25"/>
      <c r="BI676" s="25"/>
      <c r="BJ676" s="25"/>
      <c r="BK676" s="25"/>
      <c r="BL676" s="25"/>
      <c r="BM676" s="25"/>
      <c r="BN676" s="25"/>
      <c r="BO676" s="25"/>
      <c r="BP676" s="25"/>
    </row>
    <row r="677">
      <c r="A677" s="7" t="s">
        <v>485</v>
      </c>
      <c r="B677" s="43" t="s">
        <v>3238</v>
      </c>
      <c r="E677" s="25"/>
      <c r="F677" s="7"/>
      <c r="G677" s="28"/>
      <c r="K677" s="54" t="s">
        <v>3251</v>
      </c>
      <c r="L677" s="30" t="s">
        <v>3252</v>
      </c>
      <c r="M677" s="32" t="b">
        <v>0</v>
      </c>
      <c r="N677" s="32" t="b">
        <v>0</v>
      </c>
      <c r="O677" s="32"/>
      <c r="P677" s="32" t="b">
        <v>0</v>
      </c>
      <c r="Q677" s="32" t="b">
        <v>0</v>
      </c>
      <c r="R677" s="32" t="b">
        <v>0</v>
      </c>
      <c r="S677" s="32"/>
      <c r="T677" s="32"/>
      <c r="U677" s="32" t="b">
        <v>0</v>
      </c>
      <c r="V677" s="32"/>
      <c r="W677" s="32" t="b">
        <v>0</v>
      </c>
      <c r="X677" s="32" t="b">
        <v>0</v>
      </c>
      <c r="Y677" s="32"/>
      <c r="Z677" s="32"/>
      <c r="AA677" s="32"/>
      <c r="AB677" s="32"/>
      <c r="AC677" s="33"/>
      <c r="AD677" s="32"/>
      <c r="AE677" s="32"/>
      <c r="AF677" s="32"/>
      <c r="AG677" s="32"/>
      <c r="AH677" s="32"/>
      <c r="AI677" s="32"/>
      <c r="AJ677" s="104" t="s">
        <v>3253</v>
      </c>
      <c r="AK677" s="34" t="s">
        <v>631</v>
      </c>
      <c r="AL677" s="25"/>
      <c r="AM677" s="25"/>
      <c r="AN677" s="35" t="s">
        <v>3254</v>
      </c>
      <c r="AO677" s="24">
        <v>7.175925925925926E-4</v>
      </c>
      <c r="AP677" s="74" t="s">
        <v>633</v>
      </c>
      <c r="AQ677" s="7" t="s">
        <v>633</v>
      </c>
      <c r="AR677" s="36" t="s">
        <v>633</v>
      </c>
      <c r="AS677" s="7" t="b">
        <f>NOT(ISERROR(MATCH(A677,'Villages according to موسوعة ال'!C:C,0)))</f>
        <v>1</v>
      </c>
      <c r="AT677" s="25"/>
      <c r="AU677" s="25"/>
      <c r="AV677" s="25"/>
      <c r="AW677" s="25"/>
      <c r="AX677" s="25"/>
      <c r="AY677" s="25"/>
      <c r="AZ677" s="25"/>
      <c r="BA677" s="25"/>
      <c r="BB677" s="25"/>
      <c r="BC677" s="25"/>
      <c r="BD677" s="25"/>
      <c r="BE677" s="25"/>
      <c r="BF677" s="25"/>
      <c r="BG677" s="25"/>
      <c r="BH677" s="25"/>
      <c r="BI677" s="25"/>
      <c r="BJ677" s="25"/>
      <c r="BK677" s="25"/>
      <c r="BL677" s="25"/>
      <c r="BM677" s="25"/>
      <c r="BN677" s="25"/>
      <c r="BO677" s="25"/>
      <c r="BP677" s="25"/>
    </row>
    <row r="678">
      <c r="A678" s="7" t="s">
        <v>485</v>
      </c>
      <c r="B678" s="26" t="s">
        <v>3238</v>
      </c>
      <c r="E678" s="83"/>
      <c r="F678" s="4"/>
      <c r="G678" s="132"/>
      <c r="H678" s="4" t="s">
        <v>3255</v>
      </c>
      <c r="I678" s="4" t="s">
        <v>616</v>
      </c>
      <c r="J678" s="4" t="s">
        <v>3256</v>
      </c>
      <c r="K678" s="128"/>
      <c r="L678" s="134"/>
      <c r="M678" s="135" t="b">
        <v>0</v>
      </c>
      <c r="N678" s="135" t="b">
        <v>0</v>
      </c>
      <c r="O678" s="135"/>
      <c r="P678" s="135" t="b">
        <v>0</v>
      </c>
      <c r="Q678" s="135" t="b">
        <v>0</v>
      </c>
      <c r="R678" s="135" t="b">
        <v>0</v>
      </c>
      <c r="S678" s="135"/>
      <c r="T678" s="32"/>
      <c r="U678" s="135" t="b">
        <v>0</v>
      </c>
      <c r="V678" s="135"/>
      <c r="W678" s="135" t="b">
        <v>0</v>
      </c>
      <c r="X678" s="135" t="b">
        <v>0</v>
      </c>
      <c r="Y678" s="135"/>
      <c r="Z678" s="135"/>
      <c r="AA678" s="135"/>
      <c r="AB678" s="135"/>
      <c r="AC678" s="136"/>
      <c r="AD678" s="135"/>
      <c r="AE678" s="135"/>
      <c r="AF678" s="135"/>
      <c r="AG678" s="135"/>
      <c r="AH678" s="135"/>
      <c r="AI678" s="135"/>
      <c r="AJ678" s="138"/>
      <c r="AK678" s="34"/>
      <c r="AL678" s="37"/>
      <c r="AM678" s="37"/>
      <c r="AN678" s="126" t="s">
        <v>3257</v>
      </c>
      <c r="AO678" s="24">
        <v>0.0016550925925925926</v>
      </c>
      <c r="AP678" s="131"/>
      <c r="AQ678" s="4"/>
      <c r="AR678" s="7" t="s">
        <v>633</v>
      </c>
      <c r="AS678" s="7" t="b">
        <f>NOT(ISERROR(MATCH(A678,'Villages according to موسوعة ال'!C:C,0)))</f>
        <v>1</v>
      </c>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row>
    <row r="679">
      <c r="A679" s="7" t="s">
        <v>485</v>
      </c>
      <c r="B679" s="26" t="s">
        <v>3238</v>
      </c>
      <c r="E679" s="83"/>
      <c r="F679" s="4"/>
      <c r="G679" s="132"/>
      <c r="H679" s="4" t="s">
        <v>3258</v>
      </c>
      <c r="I679" s="4" t="s">
        <v>638</v>
      </c>
      <c r="J679" s="4" t="s">
        <v>3259</v>
      </c>
      <c r="K679" s="128"/>
      <c r="L679" s="134"/>
      <c r="M679" s="135" t="b">
        <v>0</v>
      </c>
      <c r="N679" s="135" t="b">
        <v>0</v>
      </c>
      <c r="O679" s="135"/>
      <c r="P679" s="135" t="b">
        <v>0</v>
      </c>
      <c r="Q679" s="135" t="b">
        <v>0</v>
      </c>
      <c r="R679" s="135" t="b">
        <v>0</v>
      </c>
      <c r="S679" s="135"/>
      <c r="T679" s="32"/>
      <c r="U679" s="135" t="b">
        <v>0</v>
      </c>
      <c r="V679" s="135"/>
      <c r="W679" s="135" t="b">
        <v>0</v>
      </c>
      <c r="X679" s="135" t="b">
        <v>0</v>
      </c>
      <c r="Y679" s="135"/>
      <c r="Z679" s="135"/>
      <c r="AA679" s="135"/>
      <c r="AB679" s="135"/>
      <c r="AC679" s="136"/>
      <c r="AD679" s="135"/>
      <c r="AE679" s="135"/>
      <c r="AF679" s="135"/>
      <c r="AG679" s="135"/>
      <c r="AH679" s="135"/>
      <c r="AI679" s="135"/>
      <c r="AJ679" s="138"/>
      <c r="AK679" s="34"/>
      <c r="AL679" s="37"/>
      <c r="AM679" s="37"/>
      <c r="AN679" s="126" t="s">
        <v>3260</v>
      </c>
      <c r="AO679" s="24">
        <v>0.0020486111111111113</v>
      </c>
      <c r="AP679" s="131"/>
      <c r="AQ679" s="4"/>
      <c r="AR679" s="7" t="s">
        <v>633</v>
      </c>
      <c r="AS679" s="7" t="b">
        <f>NOT(ISERROR(MATCH(A679,'Villages according to موسوعة ال'!C:C,0)))</f>
        <v>1</v>
      </c>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row>
    <row r="680">
      <c r="A680" s="7" t="s">
        <v>485</v>
      </c>
      <c r="B680" s="26" t="s">
        <v>3238</v>
      </c>
      <c r="E680" s="83"/>
      <c r="F680" s="4"/>
      <c r="G680" s="132"/>
      <c r="H680" s="4" t="s">
        <v>3261</v>
      </c>
      <c r="I680" s="4" t="s">
        <v>638</v>
      </c>
      <c r="J680" s="4" t="s">
        <v>3262</v>
      </c>
      <c r="K680" s="128"/>
      <c r="L680" s="134"/>
      <c r="M680" s="135" t="b">
        <v>0</v>
      </c>
      <c r="N680" s="135" t="b">
        <v>0</v>
      </c>
      <c r="O680" s="135"/>
      <c r="P680" s="135" t="b">
        <v>0</v>
      </c>
      <c r="Q680" s="135" t="b">
        <v>0</v>
      </c>
      <c r="R680" s="135" t="b">
        <v>0</v>
      </c>
      <c r="S680" s="135"/>
      <c r="T680" s="32"/>
      <c r="U680" s="135" t="b">
        <v>0</v>
      </c>
      <c r="V680" s="135"/>
      <c r="W680" s="135" t="b">
        <v>0</v>
      </c>
      <c r="X680" s="135" t="b">
        <v>0</v>
      </c>
      <c r="Y680" s="135"/>
      <c r="Z680" s="135"/>
      <c r="AA680" s="135"/>
      <c r="AB680" s="135"/>
      <c r="AC680" s="136"/>
      <c r="AD680" s="135"/>
      <c r="AE680" s="135"/>
      <c r="AF680" s="135"/>
      <c r="AG680" s="135"/>
      <c r="AH680" s="135"/>
      <c r="AI680" s="135"/>
      <c r="AJ680" s="138"/>
      <c r="AK680" s="34"/>
      <c r="AL680" s="37"/>
      <c r="AM680" s="37"/>
      <c r="AN680" s="126" t="s">
        <v>3263</v>
      </c>
      <c r="AO680" s="24">
        <v>0.003599537037037037</v>
      </c>
      <c r="AP680" s="131"/>
      <c r="AQ680" s="4"/>
      <c r="AR680" s="7" t="s">
        <v>633</v>
      </c>
      <c r="AS680" s="7" t="b">
        <f>NOT(ISERROR(MATCH(A680,'Villages according to موسوعة ال'!C:C,0)))</f>
        <v>1</v>
      </c>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row>
    <row r="681">
      <c r="A681" s="7" t="s">
        <v>218</v>
      </c>
      <c r="B681" s="43" t="s">
        <v>219</v>
      </c>
      <c r="C681" s="7" t="s">
        <v>219</v>
      </c>
      <c r="D681" s="7" t="s">
        <v>220</v>
      </c>
      <c r="E681" s="25"/>
      <c r="F681" s="7"/>
      <c r="G681" s="28"/>
      <c r="H681" s="7" t="s">
        <v>3264</v>
      </c>
      <c r="I681" s="7" t="s">
        <v>616</v>
      </c>
      <c r="J681" s="7" t="s">
        <v>3265</v>
      </c>
      <c r="K681" s="54" t="s">
        <v>3266</v>
      </c>
      <c r="L681" s="30" t="s">
        <v>3267</v>
      </c>
      <c r="M681" s="60" t="b">
        <v>0</v>
      </c>
      <c r="N681" s="60" t="b">
        <v>0</v>
      </c>
      <c r="O681" s="60"/>
      <c r="P681" s="60" t="b">
        <v>0</v>
      </c>
      <c r="Q681" s="60" t="b">
        <v>0</v>
      </c>
      <c r="R681" s="60" t="b">
        <v>0</v>
      </c>
      <c r="S681" s="60"/>
      <c r="T681" s="60"/>
      <c r="U681" s="60" t="b">
        <v>0</v>
      </c>
      <c r="V681" s="60"/>
      <c r="W681" s="60" t="b">
        <v>0</v>
      </c>
      <c r="X681" s="60" t="b">
        <v>0</v>
      </c>
      <c r="Y681" s="60"/>
      <c r="Z681" s="60"/>
      <c r="AA681" s="60"/>
      <c r="AB681" s="60"/>
      <c r="AC681" s="61"/>
      <c r="AD681" s="60"/>
      <c r="AE681" s="60"/>
      <c r="AF681" s="60"/>
      <c r="AG681" s="60"/>
      <c r="AH681" s="60"/>
      <c r="AI681" s="60"/>
      <c r="AJ681" s="104"/>
      <c r="AK681" s="34" t="s">
        <v>698</v>
      </c>
      <c r="AL681" s="3" t="s">
        <v>699</v>
      </c>
      <c r="AM681" s="3" t="s">
        <v>831</v>
      </c>
      <c r="AN681" s="35" t="s">
        <v>3268</v>
      </c>
      <c r="AO681" s="24">
        <v>0.0027199074074074074</v>
      </c>
      <c r="AP681" s="74" t="s">
        <v>3269</v>
      </c>
      <c r="AQ681" s="7" t="s">
        <v>633</v>
      </c>
      <c r="AR681" s="35" t="s">
        <v>3270</v>
      </c>
      <c r="AS681" s="7" t="b">
        <f>NOT(ISERROR(MATCH(A681,'Villages according to موسوعة ال'!C:C,0)))</f>
        <v>1</v>
      </c>
      <c r="AT681" s="25"/>
      <c r="AU681" s="25"/>
      <c r="AV681" s="25"/>
      <c r="AW681" s="25"/>
      <c r="AX681" s="25"/>
      <c r="AY681" s="25"/>
      <c r="AZ681" s="25"/>
      <c r="BA681" s="25"/>
      <c r="BB681" s="25"/>
      <c r="BC681" s="25"/>
      <c r="BD681" s="25"/>
      <c r="BE681" s="25"/>
      <c r="BF681" s="25"/>
      <c r="BG681" s="25"/>
      <c r="BH681" s="25"/>
      <c r="BI681" s="25"/>
      <c r="BJ681" s="25"/>
      <c r="BK681" s="25"/>
      <c r="BL681" s="25"/>
      <c r="BM681" s="25"/>
      <c r="BN681" s="25"/>
      <c r="BO681" s="25"/>
      <c r="BP681" s="25"/>
    </row>
    <row r="682">
      <c r="A682" s="7" t="s">
        <v>218</v>
      </c>
      <c r="B682" s="26" t="s">
        <v>219</v>
      </c>
      <c r="E682" s="83"/>
      <c r="F682" s="4"/>
      <c r="G682" s="132"/>
      <c r="K682" s="128"/>
      <c r="L682" s="134"/>
      <c r="M682" s="135" t="b">
        <v>0</v>
      </c>
      <c r="N682" s="135" t="b">
        <v>0</v>
      </c>
      <c r="O682" s="135"/>
      <c r="P682" s="135" t="b">
        <v>0</v>
      </c>
      <c r="Q682" s="135" t="b">
        <v>0</v>
      </c>
      <c r="R682" s="135" t="b">
        <v>0</v>
      </c>
      <c r="S682" s="135"/>
      <c r="T682" s="32"/>
      <c r="U682" s="135" t="b">
        <v>0</v>
      </c>
      <c r="V682" s="135"/>
      <c r="W682" s="135" t="b">
        <v>0</v>
      </c>
      <c r="X682" s="135" t="b">
        <v>0</v>
      </c>
      <c r="Y682" s="135"/>
      <c r="Z682" s="135"/>
      <c r="AA682" s="135"/>
      <c r="AB682" s="135"/>
      <c r="AC682" s="136"/>
      <c r="AD682" s="135"/>
      <c r="AE682" s="135"/>
      <c r="AF682" s="135"/>
      <c r="AG682" s="135"/>
      <c r="AH682" s="135"/>
      <c r="AI682" s="135"/>
      <c r="AJ682" s="138"/>
      <c r="AK682" s="34"/>
      <c r="AL682" s="1"/>
      <c r="AM682" s="37"/>
      <c r="AN682" s="126" t="s">
        <v>3271</v>
      </c>
      <c r="AO682" s="24">
        <v>0.0020486111111111113</v>
      </c>
      <c r="AP682" s="131"/>
      <c r="AQ682" s="4"/>
      <c r="AR682" s="7" t="s">
        <v>633</v>
      </c>
      <c r="AS682" s="7" t="b">
        <f>NOT(ISERROR(MATCH(A682,'Villages according to موسوعة ال'!C:C,0)))</f>
        <v>1</v>
      </c>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row>
    <row r="683">
      <c r="A683" s="7" t="s">
        <v>218</v>
      </c>
      <c r="B683" s="26" t="s">
        <v>219</v>
      </c>
      <c r="E683" s="83"/>
      <c r="F683" s="4"/>
      <c r="G683" s="132"/>
      <c r="K683" s="128"/>
      <c r="L683" s="134"/>
      <c r="M683" s="135" t="b">
        <v>0</v>
      </c>
      <c r="N683" s="135" t="b">
        <v>0</v>
      </c>
      <c r="O683" s="135"/>
      <c r="P683" s="135" t="b">
        <v>0</v>
      </c>
      <c r="Q683" s="135" t="b">
        <v>0</v>
      </c>
      <c r="R683" s="135" t="b">
        <v>0</v>
      </c>
      <c r="S683" s="135"/>
      <c r="T683" s="32"/>
      <c r="U683" s="135" t="b">
        <v>0</v>
      </c>
      <c r="V683" s="135"/>
      <c r="W683" s="135" t="b">
        <v>0</v>
      </c>
      <c r="X683" s="135" t="b">
        <v>0</v>
      </c>
      <c r="Y683" s="135"/>
      <c r="Z683" s="135"/>
      <c r="AA683" s="135"/>
      <c r="AB683" s="135"/>
      <c r="AC683" s="136"/>
      <c r="AD683" s="135"/>
      <c r="AE683" s="135"/>
      <c r="AF683" s="135"/>
      <c r="AG683" s="135"/>
      <c r="AH683" s="135"/>
      <c r="AI683" s="135"/>
      <c r="AJ683" s="138"/>
      <c r="AK683" s="34"/>
      <c r="AL683" s="1"/>
      <c r="AM683" s="37"/>
      <c r="AN683" s="126" t="s">
        <v>3272</v>
      </c>
      <c r="AO683" s="24">
        <v>0.002384259259259259</v>
      </c>
      <c r="AP683" s="131"/>
      <c r="AQ683" s="4"/>
      <c r="AR683" s="7" t="s">
        <v>633</v>
      </c>
      <c r="AS683" s="7" t="b">
        <f>NOT(ISERROR(MATCH(A683,'Villages according to موسوعة ال'!C:C,0)))</f>
        <v>1</v>
      </c>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row>
    <row r="684">
      <c r="A684" s="7" t="s">
        <v>218</v>
      </c>
      <c r="B684" s="26" t="s">
        <v>219</v>
      </c>
      <c r="E684" s="83"/>
      <c r="F684" s="4"/>
      <c r="G684" s="132"/>
      <c r="K684" s="128"/>
      <c r="L684" s="134"/>
      <c r="M684" s="135" t="b">
        <v>0</v>
      </c>
      <c r="N684" s="135" t="b">
        <v>0</v>
      </c>
      <c r="O684" s="135"/>
      <c r="P684" s="135" t="b">
        <v>0</v>
      </c>
      <c r="Q684" s="135" t="b">
        <v>0</v>
      </c>
      <c r="R684" s="135" t="b">
        <v>0</v>
      </c>
      <c r="S684" s="135"/>
      <c r="T684" s="32"/>
      <c r="U684" s="135" t="b">
        <v>0</v>
      </c>
      <c r="V684" s="135"/>
      <c r="W684" s="135" t="b">
        <v>0</v>
      </c>
      <c r="X684" s="135" t="b">
        <v>0</v>
      </c>
      <c r="Y684" s="135"/>
      <c r="Z684" s="135"/>
      <c r="AA684" s="135"/>
      <c r="AB684" s="135"/>
      <c r="AC684" s="136"/>
      <c r="AD684" s="135"/>
      <c r="AE684" s="135"/>
      <c r="AF684" s="135"/>
      <c r="AG684" s="135"/>
      <c r="AH684" s="135"/>
      <c r="AI684" s="135"/>
      <c r="AJ684" s="138"/>
      <c r="AK684" s="34"/>
      <c r="AL684" s="1"/>
      <c r="AM684" s="37"/>
      <c r="AN684" s="126" t="s">
        <v>3273</v>
      </c>
      <c r="AO684" s="24">
        <v>0.005358796296296296</v>
      </c>
      <c r="AP684" s="131"/>
      <c r="AQ684" s="4"/>
      <c r="AR684" s="7" t="s">
        <v>633</v>
      </c>
      <c r="AS684" s="7" t="b">
        <f>NOT(ISERROR(MATCH(A684,'Villages according to موسوعة ال'!C:C,0)))</f>
        <v>1</v>
      </c>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row>
    <row r="685">
      <c r="A685" s="7" t="s">
        <v>218</v>
      </c>
      <c r="B685" s="26" t="s">
        <v>219</v>
      </c>
      <c r="E685" s="83"/>
      <c r="F685" s="4"/>
      <c r="G685" s="132"/>
      <c r="H685" s="4" t="s">
        <v>3274</v>
      </c>
      <c r="I685" s="4" t="s">
        <v>638</v>
      </c>
      <c r="J685" s="4" t="s">
        <v>3275</v>
      </c>
      <c r="K685" s="128"/>
      <c r="L685" s="134"/>
      <c r="M685" s="135" t="b">
        <v>0</v>
      </c>
      <c r="N685" s="135" t="b">
        <v>0</v>
      </c>
      <c r="O685" s="135"/>
      <c r="P685" s="135" t="b">
        <v>0</v>
      </c>
      <c r="Q685" s="135" t="b">
        <v>0</v>
      </c>
      <c r="R685" s="135" t="b">
        <v>0</v>
      </c>
      <c r="S685" s="135"/>
      <c r="T685" s="32"/>
      <c r="U685" s="135" t="b">
        <v>0</v>
      </c>
      <c r="V685" s="135"/>
      <c r="W685" s="135" t="b">
        <v>0</v>
      </c>
      <c r="X685" s="135" t="b">
        <v>0</v>
      </c>
      <c r="Y685" s="135"/>
      <c r="Z685" s="135"/>
      <c r="AA685" s="135"/>
      <c r="AB685" s="135"/>
      <c r="AC685" s="136"/>
      <c r="AD685" s="135"/>
      <c r="AE685" s="135"/>
      <c r="AF685" s="135"/>
      <c r="AG685" s="135"/>
      <c r="AH685" s="135"/>
      <c r="AI685" s="135"/>
      <c r="AJ685" s="138"/>
      <c r="AK685" s="34"/>
      <c r="AL685" s="1"/>
      <c r="AM685" s="37"/>
      <c r="AN685" s="126" t="s">
        <v>3276</v>
      </c>
      <c r="AO685" s="24">
        <v>0.002361111111111111</v>
      </c>
      <c r="AP685" s="131"/>
      <c r="AQ685" s="4"/>
      <c r="AR685" s="7" t="s">
        <v>633</v>
      </c>
      <c r="AS685" s="7" t="b">
        <f>NOT(ISERROR(MATCH(A685,'Villages according to موسوعة ال'!C:C,0)))</f>
        <v>1</v>
      </c>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row>
    <row r="686">
      <c r="A686" s="7" t="s">
        <v>218</v>
      </c>
      <c r="B686" s="26" t="s">
        <v>219</v>
      </c>
      <c r="E686" s="83"/>
      <c r="F686" s="4"/>
      <c r="G686" s="132"/>
      <c r="H686" s="4" t="s">
        <v>3277</v>
      </c>
      <c r="I686" s="4" t="s">
        <v>638</v>
      </c>
      <c r="J686" s="4" t="s">
        <v>3278</v>
      </c>
      <c r="K686" s="128"/>
      <c r="L686" s="134"/>
      <c r="M686" s="135" t="b">
        <v>0</v>
      </c>
      <c r="N686" s="135" t="b">
        <v>0</v>
      </c>
      <c r="O686" s="135"/>
      <c r="P686" s="135" t="b">
        <v>0</v>
      </c>
      <c r="Q686" s="135" t="b">
        <v>0</v>
      </c>
      <c r="R686" s="135" t="b">
        <v>0</v>
      </c>
      <c r="S686" s="135"/>
      <c r="T686" s="32"/>
      <c r="U686" s="135" t="b">
        <v>0</v>
      </c>
      <c r="V686" s="135"/>
      <c r="W686" s="135" t="b">
        <v>0</v>
      </c>
      <c r="X686" s="135" t="b">
        <v>0</v>
      </c>
      <c r="Y686" s="135"/>
      <c r="Z686" s="135"/>
      <c r="AA686" s="135"/>
      <c r="AB686" s="135"/>
      <c r="AC686" s="136"/>
      <c r="AD686" s="135"/>
      <c r="AE686" s="135"/>
      <c r="AF686" s="135"/>
      <c r="AG686" s="135"/>
      <c r="AH686" s="135"/>
      <c r="AI686" s="135"/>
      <c r="AJ686" s="138"/>
      <c r="AK686" s="34"/>
      <c r="AL686" s="1"/>
      <c r="AM686" s="37"/>
      <c r="AN686" s="126" t="s">
        <v>3279</v>
      </c>
      <c r="AO686" s="24">
        <v>0.019664351851851853</v>
      </c>
      <c r="AP686" s="131"/>
      <c r="AQ686" s="4"/>
      <c r="AR686" s="7" t="s">
        <v>633</v>
      </c>
      <c r="AS686" s="7" t="b">
        <f>NOT(ISERROR(MATCH(A686,'Villages according to موسوعة ال'!C:C,0)))</f>
        <v>1</v>
      </c>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row>
    <row r="687">
      <c r="A687" s="7" t="s">
        <v>218</v>
      </c>
      <c r="B687" s="26" t="s">
        <v>219</v>
      </c>
      <c r="E687" s="83"/>
      <c r="F687" s="4"/>
      <c r="G687" s="132"/>
      <c r="K687" s="128"/>
      <c r="L687" s="134"/>
      <c r="M687" s="135" t="b">
        <v>0</v>
      </c>
      <c r="N687" s="135" t="b">
        <v>0</v>
      </c>
      <c r="O687" s="135"/>
      <c r="P687" s="135" t="b">
        <v>0</v>
      </c>
      <c r="Q687" s="135" t="b">
        <v>0</v>
      </c>
      <c r="R687" s="135" t="b">
        <v>0</v>
      </c>
      <c r="S687" s="135"/>
      <c r="T687" s="32"/>
      <c r="U687" s="135" t="b">
        <v>0</v>
      </c>
      <c r="V687" s="135"/>
      <c r="W687" s="135" t="b">
        <v>0</v>
      </c>
      <c r="X687" s="135" t="b">
        <v>0</v>
      </c>
      <c r="Y687" s="135"/>
      <c r="Z687" s="135"/>
      <c r="AA687" s="135"/>
      <c r="AB687" s="135"/>
      <c r="AC687" s="136"/>
      <c r="AD687" s="135"/>
      <c r="AE687" s="135"/>
      <c r="AF687" s="135"/>
      <c r="AG687" s="135"/>
      <c r="AH687" s="135"/>
      <c r="AI687" s="135"/>
      <c r="AJ687" s="138"/>
      <c r="AK687" s="34"/>
      <c r="AL687" s="1"/>
      <c r="AM687" s="37"/>
      <c r="AN687" s="126" t="s">
        <v>3280</v>
      </c>
      <c r="AO687" s="24">
        <v>0.00625</v>
      </c>
      <c r="AP687" s="131"/>
      <c r="AQ687" s="4"/>
      <c r="AR687" s="7" t="s">
        <v>633</v>
      </c>
      <c r="AS687" s="7" t="b">
        <f>NOT(ISERROR(MATCH(A687,'Villages according to موسوعة ال'!C:C,0)))</f>
        <v>1</v>
      </c>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row>
    <row r="688">
      <c r="A688" s="7" t="s">
        <v>218</v>
      </c>
      <c r="B688" s="26" t="s">
        <v>219</v>
      </c>
      <c r="E688" s="83"/>
      <c r="F688" s="4"/>
      <c r="G688" s="132"/>
      <c r="H688" s="4" t="s">
        <v>3281</v>
      </c>
      <c r="I688" s="4" t="s">
        <v>638</v>
      </c>
      <c r="J688" s="4" t="s">
        <v>3282</v>
      </c>
      <c r="K688" s="128"/>
      <c r="L688" s="134"/>
      <c r="M688" s="135" t="b">
        <v>0</v>
      </c>
      <c r="N688" s="135" t="b">
        <v>0</v>
      </c>
      <c r="O688" s="135"/>
      <c r="P688" s="135" t="b">
        <v>0</v>
      </c>
      <c r="Q688" s="135" t="b">
        <v>0</v>
      </c>
      <c r="R688" s="135" t="b">
        <v>0</v>
      </c>
      <c r="S688" s="135"/>
      <c r="T688" s="32"/>
      <c r="U688" s="135" t="b">
        <v>0</v>
      </c>
      <c r="V688" s="135"/>
      <c r="W688" s="135" t="b">
        <v>0</v>
      </c>
      <c r="X688" s="135" t="b">
        <v>0</v>
      </c>
      <c r="Y688" s="135"/>
      <c r="Z688" s="135"/>
      <c r="AA688" s="135"/>
      <c r="AB688" s="135"/>
      <c r="AC688" s="136"/>
      <c r="AD688" s="135"/>
      <c r="AE688" s="135"/>
      <c r="AF688" s="135"/>
      <c r="AG688" s="135"/>
      <c r="AH688" s="135"/>
      <c r="AI688" s="135"/>
      <c r="AJ688" s="138"/>
      <c r="AK688" s="34"/>
      <c r="AL688" s="1"/>
      <c r="AM688" s="37"/>
      <c r="AN688" s="126" t="s">
        <v>3283</v>
      </c>
      <c r="AO688" s="24">
        <v>0.006412037037037037</v>
      </c>
      <c r="AP688" s="131"/>
      <c r="AQ688" s="4"/>
      <c r="AR688" s="7" t="s">
        <v>633</v>
      </c>
      <c r="AS688" s="7" t="b">
        <f>NOT(ISERROR(MATCH(A688,'Villages according to موسوعة ال'!C:C,0)))</f>
        <v>1</v>
      </c>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row>
    <row r="689">
      <c r="A689" s="7" t="s">
        <v>218</v>
      </c>
      <c r="B689" s="26" t="s">
        <v>219</v>
      </c>
      <c r="E689" s="83"/>
      <c r="F689" s="4"/>
      <c r="G689" s="132"/>
      <c r="K689" s="128"/>
      <c r="L689" s="134"/>
      <c r="M689" s="135" t="b">
        <v>0</v>
      </c>
      <c r="N689" s="135" t="b">
        <v>0</v>
      </c>
      <c r="O689" s="135"/>
      <c r="P689" s="135" t="b">
        <v>0</v>
      </c>
      <c r="Q689" s="135" t="b">
        <v>0</v>
      </c>
      <c r="R689" s="135" t="b">
        <v>0</v>
      </c>
      <c r="S689" s="135"/>
      <c r="T689" s="32"/>
      <c r="U689" s="135" t="b">
        <v>0</v>
      </c>
      <c r="V689" s="135"/>
      <c r="W689" s="135" t="b">
        <v>0</v>
      </c>
      <c r="X689" s="135" t="b">
        <v>0</v>
      </c>
      <c r="Y689" s="135"/>
      <c r="Z689" s="135"/>
      <c r="AA689" s="135"/>
      <c r="AB689" s="135"/>
      <c r="AC689" s="136"/>
      <c r="AD689" s="135"/>
      <c r="AE689" s="135"/>
      <c r="AF689" s="135"/>
      <c r="AG689" s="135"/>
      <c r="AH689" s="135"/>
      <c r="AI689" s="135"/>
      <c r="AJ689" s="138"/>
      <c r="AK689" s="34"/>
      <c r="AL689" s="1"/>
      <c r="AM689" s="37"/>
      <c r="AN689" s="126" t="s">
        <v>3284</v>
      </c>
      <c r="AO689" s="24">
        <v>0.0024305555555555556</v>
      </c>
      <c r="AP689" s="131"/>
      <c r="AQ689" s="4"/>
      <c r="AR689" s="7" t="s">
        <v>633</v>
      </c>
      <c r="AS689" s="7" t="b">
        <f>NOT(ISERROR(MATCH(A689,'Villages according to موسوعة ال'!C:C,0)))</f>
        <v>1</v>
      </c>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row>
    <row r="690">
      <c r="A690" s="7" t="s">
        <v>218</v>
      </c>
      <c r="B690" s="26" t="s">
        <v>219</v>
      </c>
      <c r="E690" s="83"/>
      <c r="F690" s="4"/>
      <c r="G690" s="132"/>
      <c r="H690" s="4" t="s">
        <v>3285</v>
      </c>
      <c r="I690" s="4" t="s">
        <v>616</v>
      </c>
      <c r="J690" s="4" t="s">
        <v>3286</v>
      </c>
      <c r="K690" s="128"/>
      <c r="L690" s="134"/>
      <c r="M690" s="135" t="b">
        <v>0</v>
      </c>
      <c r="N690" s="135" t="b">
        <v>0</v>
      </c>
      <c r="O690" s="135"/>
      <c r="P690" s="135" t="b">
        <v>0</v>
      </c>
      <c r="Q690" s="135" t="b">
        <v>0</v>
      </c>
      <c r="R690" s="135" t="b">
        <v>0</v>
      </c>
      <c r="S690" s="135"/>
      <c r="T690" s="32"/>
      <c r="U690" s="135" t="b">
        <v>0</v>
      </c>
      <c r="V690" s="135"/>
      <c r="W690" s="135" t="b">
        <v>0</v>
      </c>
      <c r="X690" s="135" t="b">
        <v>0</v>
      </c>
      <c r="Y690" s="135"/>
      <c r="Z690" s="135"/>
      <c r="AA690" s="135"/>
      <c r="AB690" s="135"/>
      <c r="AC690" s="136"/>
      <c r="AD690" s="135"/>
      <c r="AE690" s="135"/>
      <c r="AF690" s="135"/>
      <c r="AG690" s="135"/>
      <c r="AH690" s="135"/>
      <c r="AI690" s="135"/>
      <c r="AJ690" s="138"/>
      <c r="AK690" s="34"/>
      <c r="AL690" s="1"/>
      <c r="AM690" s="37"/>
      <c r="AN690" s="126" t="s">
        <v>3287</v>
      </c>
      <c r="AO690" s="24">
        <v>0.004872685185185185</v>
      </c>
      <c r="AP690" s="131"/>
      <c r="AQ690" s="4"/>
      <c r="AR690" s="7" t="s">
        <v>633</v>
      </c>
      <c r="AS690" s="7" t="b">
        <f>NOT(ISERROR(MATCH(A690,'Villages according to موسوعة ال'!C:C,0)))</f>
        <v>1</v>
      </c>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row>
    <row r="691">
      <c r="A691" s="7" t="s">
        <v>218</v>
      </c>
      <c r="B691" s="26" t="s">
        <v>219</v>
      </c>
      <c r="E691" s="83"/>
      <c r="F691" s="4"/>
      <c r="G691" s="132"/>
      <c r="K691" s="128"/>
      <c r="L691" s="134"/>
      <c r="M691" s="135" t="b">
        <v>0</v>
      </c>
      <c r="N691" s="135" t="b">
        <v>0</v>
      </c>
      <c r="O691" s="135"/>
      <c r="P691" s="135" t="b">
        <v>0</v>
      </c>
      <c r="Q691" s="135" t="b">
        <v>0</v>
      </c>
      <c r="R691" s="135" t="b">
        <v>0</v>
      </c>
      <c r="S691" s="135"/>
      <c r="T691" s="32"/>
      <c r="U691" s="135" t="b">
        <v>0</v>
      </c>
      <c r="V691" s="135"/>
      <c r="W691" s="135" t="b">
        <v>0</v>
      </c>
      <c r="X691" s="135" t="b">
        <v>0</v>
      </c>
      <c r="Y691" s="135"/>
      <c r="Z691" s="135"/>
      <c r="AA691" s="135"/>
      <c r="AB691" s="135"/>
      <c r="AC691" s="136"/>
      <c r="AD691" s="135"/>
      <c r="AE691" s="135"/>
      <c r="AF691" s="135"/>
      <c r="AG691" s="135"/>
      <c r="AH691" s="135"/>
      <c r="AI691" s="135"/>
      <c r="AJ691" s="138"/>
      <c r="AK691" s="34"/>
      <c r="AL691" s="1"/>
      <c r="AM691" s="37"/>
      <c r="AN691" s="126" t="s">
        <v>3288</v>
      </c>
      <c r="AO691" s="24">
        <v>0.0021296296296296298</v>
      </c>
      <c r="AP691" s="131"/>
      <c r="AQ691" s="4"/>
      <c r="AR691" s="7" t="s">
        <v>633</v>
      </c>
      <c r="AS691" s="7" t="b">
        <f>NOT(ISERROR(MATCH(A691,'Villages according to موسوعة ال'!C:C,0)))</f>
        <v>1</v>
      </c>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row>
    <row r="692">
      <c r="A692" s="7" t="s">
        <v>218</v>
      </c>
      <c r="B692" s="26" t="s">
        <v>219</v>
      </c>
      <c r="E692" s="83"/>
      <c r="F692" s="4"/>
      <c r="G692" s="132"/>
      <c r="H692" s="4" t="s">
        <v>3289</v>
      </c>
      <c r="I692" s="4" t="s">
        <v>616</v>
      </c>
      <c r="J692" s="4" t="s">
        <v>3290</v>
      </c>
      <c r="K692" s="128"/>
      <c r="L692" s="134"/>
      <c r="M692" s="135" t="b">
        <v>0</v>
      </c>
      <c r="N692" s="135" t="b">
        <v>0</v>
      </c>
      <c r="O692" s="135"/>
      <c r="P692" s="135" t="b">
        <v>0</v>
      </c>
      <c r="Q692" s="135" t="b">
        <v>0</v>
      </c>
      <c r="R692" s="135" t="b">
        <v>0</v>
      </c>
      <c r="S692" s="135"/>
      <c r="T692" s="32"/>
      <c r="U692" s="135" t="b">
        <v>0</v>
      </c>
      <c r="V692" s="135"/>
      <c r="W692" s="135" t="b">
        <v>0</v>
      </c>
      <c r="X692" s="135" t="b">
        <v>0</v>
      </c>
      <c r="Y692" s="135"/>
      <c r="Z692" s="135"/>
      <c r="AA692" s="135"/>
      <c r="AB692" s="135"/>
      <c r="AC692" s="136"/>
      <c r="AD692" s="135"/>
      <c r="AE692" s="135"/>
      <c r="AF692" s="135"/>
      <c r="AG692" s="135"/>
      <c r="AH692" s="135"/>
      <c r="AI692" s="135"/>
      <c r="AJ692" s="138"/>
      <c r="AK692" s="34"/>
      <c r="AL692" s="1"/>
      <c r="AM692" s="37"/>
      <c r="AN692" s="126" t="s">
        <v>3291</v>
      </c>
      <c r="AO692" s="24">
        <v>0.002476851851851852</v>
      </c>
      <c r="AP692" s="131"/>
      <c r="AQ692" s="4"/>
      <c r="AR692" s="7" t="s">
        <v>633</v>
      </c>
      <c r="AS692" s="7" t="b">
        <f>NOT(ISERROR(MATCH(A692,'Villages according to موسوعة ال'!C:C,0)))</f>
        <v>1</v>
      </c>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row>
    <row r="693">
      <c r="A693" s="7" t="s">
        <v>135</v>
      </c>
      <c r="B693" s="43" t="s">
        <v>136</v>
      </c>
      <c r="C693" s="7" t="s">
        <v>136</v>
      </c>
      <c r="D693" s="7" t="s">
        <v>137</v>
      </c>
      <c r="E693" s="25"/>
      <c r="F693" s="7"/>
      <c r="G693" s="28"/>
      <c r="H693" s="7" t="s">
        <v>1942</v>
      </c>
      <c r="I693" s="7" t="s">
        <v>638</v>
      </c>
      <c r="J693" s="7" t="s">
        <v>3292</v>
      </c>
      <c r="K693" s="54" t="s">
        <v>3293</v>
      </c>
      <c r="L693" s="30" t="s">
        <v>3294</v>
      </c>
      <c r="M693" s="32" t="b">
        <v>0</v>
      </c>
      <c r="N693" s="32" t="b">
        <v>0</v>
      </c>
      <c r="O693" s="32"/>
      <c r="P693" s="32" t="b">
        <v>0</v>
      </c>
      <c r="Q693" s="32" t="b">
        <v>0</v>
      </c>
      <c r="R693" s="32" t="b">
        <v>0</v>
      </c>
      <c r="S693" s="32"/>
      <c r="T693" s="32"/>
      <c r="U693" s="32" t="b">
        <v>0</v>
      </c>
      <c r="V693" s="32"/>
      <c r="W693" s="32" t="b">
        <v>0</v>
      </c>
      <c r="X693" s="32" t="b">
        <v>0</v>
      </c>
      <c r="Y693" s="32"/>
      <c r="Z693" s="32"/>
      <c r="AA693" s="32"/>
      <c r="AB693" s="32"/>
      <c r="AC693" s="33"/>
      <c r="AD693" s="32"/>
      <c r="AE693" s="32"/>
      <c r="AF693" s="32"/>
      <c r="AG693" s="32"/>
      <c r="AH693" s="32"/>
      <c r="AI693" s="32"/>
      <c r="AJ693" s="104" t="s">
        <v>3295</v>
      </c>
      <c r="AK693" s="34" t="s">
        <v>631</v>
      </c>
      <c r="AL693" s="3" t="s">
        <v>937</v>
      </c>
      <c r="AM693" s="25"/>
      <c r="AN693" s="35" t="s">
        <v>3296</v>
      </c>
      <c r="AO693" s="24">
        <v>0.001412037037037037</v>
      </c>
      <c r="AP693" s="74" t="s">
        <v>633</v>
      </c>
      <c r="AQ693" s="7" t="s">
        <v>633</v>
      </c>
      <c r="AR693" s="36" t="s">
        <v>633</v>
      </c>
      <c r="AS693" s="7" t="b">
        <f>NOT(ISERROR(MATCH(A693,'Villages according to موسوعة ال'!C:C,0)))</f>
        <v>1</v>
      </c>
      <c r="AT693" s="25"/>
      <c r="AU693" s="25"/>
      <c r="AV693" s="25"/>
      <c r="AW693" s="25"/>
      <c r="AX693" s="25"/>
      <c r="AY693" s="25"/>
      <c r="AZ693" s="25"/>
      <c r="BA693" s="25"/>
      <c r="BB693" s="25"/>
      <c r="BC693" s="25"/>
      <c r="BD693" s="25"/>
      <c r="BE693" s="25"/>
      <c r="BF693" s="25"/>
      <c r="BG693" s="25"/>
      <c r="BH693" s="25"/>
      <c r="BI693" s="25"/>
      <c r="BJ693" s="25"/>
      <c r="BK693" s="25"/>
      <c r="BL693" s="25"/>
      <c r="BM693" s="25"/>
      <c r="BN693" s="25"/>
      <c r="BO693" s="25"/>
      <c r="BP693" s="25"/>
    </row>
    <row r="694">
      <c r="A694" s="7" t="s">
        <v>135</v>
      </c>
      <c r="B694" s="43" t="s">
        <v>136</v>
      </c>
      <c r="E694" s="25"/>
      <c r="F694" s="7"/>
      <c r="G694" s="28"/>
      <c r="H694" s="7" t="s">
        <v>3297</v>
      </c>
      <c r="I694" s="7" t="s">
        <v>616</v>
      </c>
      <c r="J694" s="7" t="s">
        <v>3298</v>
      </c>
      <c r="K694" s="54" t="s">
        <v>3299</v>
      </c>
      <c r="L694" s="30" t="s">
        <v>3300</v>
      </c>
      <c r="M694" s="32" t="b">
        <v>0</v>
      </c>
      <c r="N694" s="32" t="b">
        <v>0</v>
      </c>
      <c r="O694" s="32"/>
      <c r="P694" s="32" t="b">
        <v>0</v>
      </c>
      <c r="Q694" s="32" t="b">
        <v>0</v>
      </c>
      <c r="R694" s="32" t="b">
        <v>0</v>
      </c>
      <c r="S694" s="32"/>
      <c r="T694" s="32"/>
      <c r="U694" s="32" t="b">
        <v>0</v>
      </c>
      <c r="V694" s="32"/>
      <c r="W694" s="32" t="b">
        <v>0</v>
      </c>
      <c r="X694" s="32" t="b">
        <v>0</v>
      </c>
      <c r="Y694" s="32"/>
      <c r="Z694" s="32"/>
      <c r="AA694" s="32"/>
      <c r="AB694" s="32"/>
      <c r="AC694" s="33"/>
      <c r="AD694" s="32"/>
      <c r="AE694" s="32"/>
      <c r="AF694" s="32"/>
      <c r="AG694" s="32"/>
      <c r="AH694" s="32"/>
      <c r="AI694" s="32"/>
      <c r="AJ694" s="104" t="s">
        <v>3301</v>
      </c>
      <c r="AK694" s="34" t="s">
        <v>631</v>
      </c>
      <c r="AL694" s="25"/>
      <c r="AM694" s="25"/>
      <c r="AN694" s="35" t="s">
        <v>3302</v>
      </c>
      <c r="AO694" s="24">
        <v>0.002800925925925926</v>
      </c>
      <c r="AP694" s="74" t="s">
        <v>633</v>
      </c>
      <c r="AQ694" s="7" t="s">
        <v>633</v>
      </c>
      <c r="AR694" s="36" t="s">
        <v>633</v>
      </c>
      <c r="AS694" s="7" t="b">
        <f>NOT(ISERROR(MATCH(A694,'Villages according to موسوعة ال'!C:C,0)))</f>
        <v>1</v>
      </c>
      <c r="AT694" s="25"/>
      <c r="AU694" s="25"/>
      <c r="AV694" s="25"/>
      <c r="AW694" s="25"/>
      <c r="AX694" s="25"/>
      <c r="AY694" s="25"/>
      <c r="AZ694" s="25"/>
      <c r="BA694" s="25"/>
      <c r="BB694" s="25"/>
      <c r="BC694" s="25"/>
      <c r="BD694" s="25"/>
      <c r="BE694" s="25"/>
      <c r="BF694" s="25"/>
      <c r="BG694" s="25"/>
      <c r="BH694" s="25"/>
      <c r="BI694" s="25"/>
      <c r="BJ694" s="25"/>
      <c r="BK694" s="25"/>
      <c r="BL694" s="25"/>
      <c r="BM694" s="25"/>
      <c r="BN694" s="25"/>
      <c r="BO694" s="25"/>
      <c r="BP694" s="25"/>
    </row>
    <row r="695">
      <c r="A695" s="7" t="s">
        <v>135</v>
      </c>
      <c r="B695" s="26" t="s">
        <v>136</v>
      </c>
      <c r="E695" s="83"/>
      <c r="F695" s="4"/>
      <c r="G695" s="132"/>
      <c r="H695" s="4" t="s">
        <v>3303</v>
      </c>
      <c r="I695" s="4" t="s">
        <v>616</v>
      </c>
      <c r="J695" s="4" t="s">
        <v>3304</v>
      </c>
      <c r="K695" s="128" t="s">
        <v>3305</v>
      </c>
      <c r="L695" s="134" t="s">
        <v>3306</v>
      </c>
      <c r="M695" s="135" t="b">
        <v>0</v>
      </c>
      <c r="N695" s="135" t="b">
        <v>0</v>
      </c>
      <c r="O695" s="135"/>
      <c r="P695" s="135" t="b">
        <v>0</v>
      </c>
      <c r="Q695" s="135" t="b">
        <v>0</v>
      </c>
      <c r="R695" s="135" t="b">
        <v>0</v>
      </c>
      <c r="S695" s="135"/>
      <c r="T695" s="32"/>
      <c r="U695" s="135" t="b">
        <v>0</v>
      </c>
      <c r="V695" s="135"/>
      <c r="W695" s="135" t="b">
        <v>0</v>
      </c>
      <c r="X695" s="135" t="b">
        <v>0</v>
      </c>
      <c r="Y695" s="135"/>
      <c r="Z695" s="135"/>
      <c r="AA695" s="135"/>
      <c r="AB695" s="135"/>
      <c r="AC695" s="136"/>
      <c r="AD695" s="135"/>
      <c r="AE695" s="135"/>
      <c r="AF695" s="135"/>
      <c r="AG695" s="135"/>
      <c r="AH695" s="135"/>
      <c r="AI695" s="135"/>
      <c r="AJ695" s="138"/>
      <c r="AK695" s="34" t="s">
        <v>636</v>
      </c>
      <c r="AL695" s="37"/>
      <c r="AM695" s="37"/>
      <c r="AN695" s="126" t="s">
        <v>3307</v>
      </c>
      <c r="AO695" s="24">
        <v>6.944444444444445E-4</v>
      </c>
      <c r="AP695" s="131" t="s">
        <v>633</v>
      </c>
      <c r="AQ695" s="4" t="s">
        <v>633</v>
      </c>
      <c r="AR695" s="139" t="s">
        <v>633</v>
      </c>
      <c r="AS695" s="7" t="b">
        <f>NOT(ISERROR(MATCH(A695,'Villages according to موسوعة ال'!C:C,0)))</f>
        <v>1</v>
      </c>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row>
    <row r="696">
      <c r="A696" s="7" t="s">
        <v>135</v>
      </c>
      <c r="B696" s="26" t="s">
        <v>136</v>
      </c>
      <c r="E696" s="83"/>
      <c r="F696" s="4"/>
      <c r="G696" s="132"/>
      <c r="H696" s="4" t="s">
        <v>3308</v>
      </c>
      <c r="I696" s="4" t="s">
        <v>616</v>
      </c>
      <c r="J696" s="4" t="s">
        <v>3309</v>
      </c>
      <c r="K696" s="128"/>
      <c r="L696" s="134"/>
      <c r="M696" s="135" t="b">
        <v>0</v>
      </c>
      <c r="N696" s="135" t="b">
        <v>0</v>
      </c>
      <c r="O696" s="135"/>
      <c r="P696" s="135" t="b">
        <v>0</v>
      </c>
      <c r="Q696" s="135" t="b">
        <v>0</v>
      </c>
      <c r="R696" s="135" t="b">
        <v>0</v>
      </c>
      <c r="S696" s="135"/>
      <c r="T696" s="32"/>
      <c r="U696" s="135" t="b">
        <v>0</v>
      </c>
      <c r="V696" s="135"/>
      <c r="W696" s="135" t="b">
        <v>0</v>
      </c>
      <c r="X696" s="135" t="b">
        <v>0</v>
      </c>
      <c r="Y696" s="135"/>
      <c r="Z696" s="135"/>
      <c r="AA696" s="135"/>
      <c r="AB696" s="135"/>
      <c r="AC696" s="136"/>
      <c r="AD696" s="135"/>
      <c r="AE696" s="135"/>
      <c r="AF696" s="135"/>
      <c r="AG696" s="135"/>
      <c r="AH696" s="135"/>
      <c r="AI696" s="135"/>
      <c r="AJ696" s="138"/>
      <c r="AK696" s="34"/>
      <c r="AL696" s="37"/>
      <c r="AM696" s="37"/>
      <c r="AN696" s="126" t="s">
        <v>3310</v>
      </c>
      <c r="AO696" s="24">
        <v>0.001585648148148148</v>
      </c>
      <c r="AP696" s="131" t="s">
        <v>633</v>
      </c>
      <c r="AQ696" s="4" t="s">
        <v>633</v>
      </c>
      <c r="AR696" s="7" t="s">
        <v>633</v>
      </c>
      <c r="AS696" s="7" t="b">
        <f>NOT(ISERROR(MATCH(A696,'Villages according to موسوعة ال'!C:C,0)))</f>
        <v>1</v>
      </c>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row>
    <row r="697">
      <c r="A697" s="7" t="s">
        <v>135</v>
      </c>
      <c r="B697" s="43" t="s">
        <v>136</v>
      </c>
      <c r="E697" s="25"/>
      <c r="F697" s="7"/>
      <c r="G697" s="28"/>
      <c r="H697" s="7" t="s">
        <v>3311</v>
      </c>
      <c r="I697" s="7" t="s">
        <v>616</v>
      </c>
      <c r="J697" s="7" t="s">
        <v>3312</v>
      </c>
      <c r="K697" s="54" t="s">
        <v>3313</v>
      </c>
      <c r="L697" s="30" t="s">
        <v>3314</v>
      </c>
      <c r="M697" s="60" t="b">
        <v>0</v>
      </c>
      <c r="N697" s="60" t="b">
        <v>0</v>
      </c>
      <c r="O697" s="60"/>
      <c r="P697" s="60" t="b">
        <v>0</v>
      </c>
      <c r="Q697" s="60" t="b">
        <v>0</v>
      </c>
      <c r="R697" s="60" t="b">
        <v>0</v>
      </c>
      <c r="S697" s="60"/>
      <c r="T697" s="60"/>
      <c r="U697" s="60" t="b">
        <v>0</v>
      </c>
      <c r="V697" s="60"/>
      <c r="W697" s="60" t="b">
        <v>0</v>
      </c>
      <c r="X697" s="60" t="b">
        <v>0</v>
      </c>
      <c r="Y697" s="60"/>
      <c r="Z697" s="60"/>
      <c r="AA697" s="60"/>
      <c r="AB697" s="60"/>
      <c r="AC697" s="61"/>
      <c r="AD697" s="60"/>
      <c r="AE697" s="60"/>
      <c r="AF697" s="60"/>
      <c r="AG697" s="60"/>
      <c r="AH697" s="60"/>
      <c r="AI697" s="60"/>
      <c r="AJ697" s="36"/>
      <c r="AK697" s="34" t="s">
        <v>698</v>
      </c>
      <c r="AL697" s="3" t="s">
        <v>699</v>
      </c>
      <c r="AM697" s="3" t="s">
        <v>831</v>
      </c>
      <c r="AN697" s="35" t="s">
        <v>3315</v>
      </c>
      <c r="AO697" s="24">
        <v>0.0011921296296296296</v>
      </c>
      <c r="AP697" s="74" t="s">
        <v>633</v>
      </c>
      <c r="AQ697" s="7" t="s">
        <v>633</v>
      </c>
      <c r="AR697" s="35" t="s">
        <v>3316</v>
      </c>
      <c r="AS697" s="7" t="b">
        <f>NOT(ISERROR(MATCH(A697,'Villages according to موسوعة ال'!C:C,0)))</f>
        <v>1</v>
      </c>
      <c r="AT697" s="25"/>
      <c r="AU697" s="25"/>
      <c r="AV697" s="25"/>
      <c r="AW697" s="25"/>
      <c r="AX697" s="25"/>
      <c r="AY697" s="25"/>
      <c r="AZ697" s="25"/>
      <c r="BA697" s="25"/>
      <c r="BB697" s="25"/>
      <c r="BC697" s="25"/>
      <c r="BD697" s="25"/>
      <c r="BE697" s="25"/>
      <c r="BF697" s="25"/>
      <c r="BG697" s="25"/>
      <c r="BH697" s="25"/>
      <c r="BI697" s="25"/>
      <c r="BJ697" s="25"/>
      <c r="BK697" s="25"/>
      <c r="BL697" s="25"/>
      <c r="BM697" s="25"/>
      <c r="BN697" s="25"/>
      <c r="BO697" s="25"/>
      <c r="BP697" s="25"/>
    </row>
    <row r="698">
      <c r="A698" s="7" t="s">
        <v>33</v>
      </c>
      <c r="B698" s="43" t="s">
        <v>34</v>
      </c>
      <c r="C698" s="7" t="s">
        <v>34</v>
      </c>
      <c r="D698" s="7" t="s">
        <v>35</v>
      </c>
      <c r="E698" s="25"/>
      <c r="F698" s="7"/>
      <c r="G698" s="28"/>
      <c r="H698" s="7" t="s">
        <v>3031</v>
      </c>
      <c r="I698" s="7" t="s">
        <v>616</v>
      </c>
      <c r="J698" s="7" t="s">
        <v>3317</v>
      </c>
      <c r="K698" s="54" t="s">
        <v>3318</v>
      </c>
      <c r="L698" s="30" t="s">
        <v>3319</v>
      </c>
      <c r="M698" s="60" t="b">
        <v>0</v>
      </c>
      <c r="N698" s="60" t="b">
        <v>0</v>
      </c>
      <c r="O698" s="60"/>
      <c r="P698" s="60" t="b">
        <v>0</v>
      </c>
      <c r="Q698" s="60" t="b">
        <v>0</v>
      </c>
      <c r="R698" s="60" t="b">
        <v>0</v>
      </c>
      <c r="S698" s="60"/>
      <c r="T698" s="60"/>
      <c r="U698" s="60" t="b">
        <v>0</v>
      </c>
      <c r="V698" s="60"/>
      <c r="W698" s="60" t="b">
        <v>0</v>
      </c>
      <c r="X698" s="60" t="b">
        <v>0</v>
      </c>
      <c r="Y698" s="60"/>
      <c r="Z698" s="60"/>
      <c r="AA698" s="60"/>
      <c r="AB698" s="60"/>
      <c r="AC698" s="61"/>
      <c r="AD698" s="60"/>
      <c r="AE698" s="60"/>
      <c r="AF698" s="60"/>
      <c r="AG698" s="60"/>
      <c r="AH698" s="60"/>
      <c r="AI698" s="60"/>
      <c r="AJ698" s="104"/>
      <c r="AK698" s="34" t="s">
        <v>698</v>
      </c>
      <c r="AL698" s="3" t="s">
        <v>699</v>
      </c>
      <c r="AM698" s="3" t="s">
        <v>831</v>
      </c>
      <c r="AN698" s="35" t="s">
        <v>3320</v>
      </c>
      <c r="AO698" s="24">
        <v>0.0016087962962962963</v>
      </c>
      <c r="AP698" s="74" t="s">
        <v>3178</v>
      </c>
      <c r="AQ698" s="7" t="s">
        <v>633</v>
      </c>
      <c r="AR698" s="35" t="s">
        <v>3321</v>
      </c>
      <c r="AS698" s="7" t="b">
        <f>NOT(ISERROR(MATCH(A698,'Villages according to موسوعة ال'!C:C,0)))</f>
        <v>1</v>
      </c>
      <c r="AT698" s="25"/>
      <c r="AU698" s="25"/>
      <c r="AV698" s="25"/>
      <c r="AW698" s="25"/>
      <c r="AX698" s="25"/>
      <c r="AY698" s="25"/>
      <c r="AZ698" s="25"/>
      <c r="BA698" s="25"/>
      <c r="BB698" s="25"/>
      <c r="BC698" s="25"/>
      <c r="BD698" s="25"/>
      <c r="BE698" s="25"/>
      <c r="BF698" s="25"/>
      <c r="BG698" s="25"/>
      <c r="BH698" s="25"/>
      <c r="BI698" s="25"/>
      <c r="BJ698" s="25"/>
      <c r="BK698" s="25"/>
      <c r="BL698" s="25"/>
      <c r="BM698" s="25"/>
      <c r="BN698" s="25"/>
      <c r="BO698" s="25"/>
      <c r="BP698" s="25"/>
    </row>
    <row r="699">
      <c r="A699" s="7" t="s">
        <v>33</v>
      </c>
      <c r="B699" s="26" t="s">
        <v>34</v>
      </c>
      <c r="E699" s="83"/>
      <c r="F699" s="4"/>
      <c r="G699" s="132"/>
      <c r="K699" s="128"/>
      <c r="L699" s="134"/>
      <c r="M699" s="135" t="b">
        <v>0</v>
      </c>
      <c r="N699" s="135" t="b">
        <v>0</v>
      </c>
      <c r="O699" s="135"/>
      <c r="P699" s="135" t="b">
        <v>0</v>
      </c>
      <c r="Q699" s="135" t="b">
        <v>0</v>
      </c>
      <c r="R699" s="135" t="b">
        <v>0</v>
      </c>
      <c r="S699" s="135"/>
      <c r="T699" s="32"/>
      <c r="U699" s="135" t="b">
        <v>0</v>
      </c>
      <c r="V699" s="135"/>
      <c r="W699" s="135" t="b">
        <v>0</v>
      </c>
      <c r="X699" s="135" t="b">
        <v>0</v>
      </c>
      <c r="Y699" s="135"/>
      <c r="Z699" s="135"/>
      <c r="AA699" s="135"/>
      <c r="AB699" s="135"/>
      <c r="AC699" s="136"/>
      <c r="AD699" s="135"/>
      <c r="AE699" s="135"/>
      <c r="AF699" s="135"/>
      <c r="AG699" s="135"/>
      <c r="AH699" s="135"/>
      <c r="AI699" s="135"/>
      <c r="AJ699" s="138"/>
      <c r="AK699" s="34"/>
      <c r="AL699" s="37"/>
      <c r="AM699" s="37"/>
      <c r="AN699" s="126" t="s">
        <v>3322</v>
      </c>
      <c r="AO699" s="24">
        <v>0.002037037037037037</v>
      </c>
      <c r="AP699" s="131"/>
      <c r="AQ699" s="137"/>
      <c r="AR699" s="7" t="s">
        <v>633</v>
      </c>
      <c r="AS699" s="7" t="b">
        <f>NOT(ISERROR(MATCH(A699,'Villages according to موسوعة ال'!C:C,0)))</f>
        <v>1</v>
      </c>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row>
    <row r="700">
      <c r="A700" s="7" t="s">
        <v>33</v>
      </c>
      <c r="B700" s="26" t="s">
        <v>34</v>
      </c>
      <c r="E700" s="83"/>
      <c r="F700" s="4"/>
      <c r="G700" s="132"/>
      <c r="H700" s="4" t="s">
        <v>3323</v>
      </c>
      <c r="I700" s="4" t="s">
        <v>638</v>
      </c>
      <c r="J700" s="4" t="s">
        <v>3324</v>
      </c>
      <c r="K700" s="128"/>
      <c r="L700" s="134"/>
      <c r="M700" s="135" t="b">
        <v>0</v>
      </c>
      <c r="N700" s="135" t="b">
        <v>0</v>
      </c>
      <c r="O700" s="135"/>
      <c r="P700" s="135" t="b">
        <v>0</v>
      </c>
      <c r="Q700" s="135" t="b">
        <v>0</v>
      </c>
      <c r="R700" s="135" t="b">
        <v>0</v>
      </c>
      <c r="S700" s="135"/>
      <c r="T700" s="32"/>
      <c r="U700" s="135" t="b">
        <v>0</v>
      </c>
      <c r="V700" s="135"/>
      <c r="W700" s="135" t="b">
        <v>0</v>
      </c>
      <c r="X700" s="135" t="b">
        <v>0</v>
      </c>
      <c r="Y700" s="135"/>
      <c r="Z700" s="135"/>
      <c r="AA700" s="135"/>
      <c r="AB700" s="135"/>
      <c r="AC700" s="136"/>
      <c r="AD700" s="135"/>
      <c r="AE700" s="135"/>
      <c r="AF700" s="135"/>
      <c r="AG700" s="135"/>
      <c r="AH700" s="135"/>
      <c r="AI700" s="135"/>
      <c r="AJ700" s="138"/>
      <c r="AK700" s="34"/>
      <c r="AL700" s="37"/>
      <c r="AM700" s="37"/>
      <c r="AN700" s="126" t="s">
        <v>3325</v>
      </c>
      <c r="AO700" s="24">
        <v>0.0014351851851851852</v>
      </c>
      <c r="AP700" s="131"/>
      <c r="AQ700" s="137"/>
      <c r="AR700" s="7" t="s">
        <v>633</v>
      </c>
      <c r="AS700" s="7" t="b">
        <f>NOT(ISERROR(MATCH(A700,'Villages according to موسوعة ال'!C:C,0)))</f>
        <v>1</v>
      </c>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row>
    <row r="701">
      <c r="A701" s="7" t="s">
        <v>33</v>
      </c>
      <c r="B701" s="26" t="s">
        <v>34</v>
      </c>
      <c r="E701" s="83"/>
      <c r="F701" s="4"/>
      <c r="G701" s="132"/>
      <c r="H701" s="4" t="s">
        <v>3326</v>
      </c>
      <c r="I701" s="4" t="s">
        <v>616</v>
      </c>
      <c r="J701" s="4" t="s">
        <v>3327</v>
      </c>
      <c r="K701" s="128"/>
      <c r="L701" s="134"/>
      <c r="M701" s="135" t="b">
        <v>0</v>
      </c>
      <c r="N701" s="135" t="b">
        <v>0</v>
      </c>
      <c r="O701" s="135"/>
      <c r="P701" s="135" t="b">
        <v>0</v>
      </c>
      <c r="Q701" s="135" t="b">
        <v>0</v>
      </c>
      <c r="R701" s="135" t="b">
        <v>0</v>
      </c>
      <c r="S701" s="135"/>
      <c r="T701" s="32"/>
      <c r="U701" s="135" t="b">
        <v>0</v>
      </c>
      <c r="V701" s="135"/>
      <c r="W701" s="135" t="b">
        <v>0</v>
      </c>
      <c r="X701" s="135" t="b">
        <v>0</v>
      </c>
      <c r="Y701" s="135"/>
      <c r="Z701" s="135"/>
      <c r="AA701" s="135"/>
      <c r="AB701" s="135"/>
      <c r="AC701" s="136"/>
      <c r="AD701" s="135"/>
      <c r="AE701" s="135"/>
      <c r="AF701" s="135"/>
      <c r="AG701" s="135"/>
      <c r="AH701" s="135"/>
      <c r="AI701" s="135"/>
      <c r="AJ701" s="138"/>
      <c r="AK701" s="34"/>
      <c r="AL701" s="37"/>
      <c r="AM701" s="37"/>
      <c r="AN701" s="126" t="s">
        <v>3328</v>
      </c>
      <c r="AO701" s="24">
        <v>0.002210648148148148</v>
      </c>
      <c r="AP701" s="131"/>
      <c r="AQ701" s="137"/>
      <c r="AR701" s="7" t="s">
        <v>633</v>
      </c>
      <c r="AS701" s="7" t="b">
        <f>NOT(ISERROR(MATCH(A701,'Villages according to موسوعة ال'!C:C,0)))</f>
        <v>1</v>
      </c>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row>
    <row r="702">
      <c r="A702" s="7" t="s">
        <v>33</v>
      </c>
      <c r="B702" s="26" t="s">
        <v>34</v>
      </c>
      <c r="E702" s="83"/>
      <c r="F702" s="4"/>
      <c r="G702" s="132"/>
      <c r="K702" s="128"/>
      <c r="L702" s="134"/>
      <c r="M702" s="135" t="b">
        <v>0</v>
      </c>
      <c r="N702" s="135" t="b">
        <v>0</v>
      </c>
      <c r="O702" s="135"/>
      <c r="P702" s="135" t="b">
        <v>0</v>
      </c>
      <c r="Q702" s="135" t="b">
        <v>0</v>
      </c>
      <c r="R702" s="135" t="b">
        <v>0</v>
      </c>
      <c r="S702" s="135"/>
      <c r="T702" s="32"/>
      <c r="U702" s="135" t="b">
        <v>0</v>
      </c>
      <c r="V702" s="135"/>
      <c r="W702" s="135" t="b">
        <v>0</v>
      </c>
      <c r="X702" s="135" t="b">
        <v>0</v>
      </c>
      <c r="Y702" s="135"/>
      <c r="Z702" s="135"/>
      <c r="AA702" s="135"/>
      <c r="AB702" s="135"/>
      <c r="AC702" s="136"/>
      <c r="AD702" s="135"/>
      <c r="AE702" s="135"/>
      <c r="AF702" s="135"/>
      <c r="AG702" s="135"/>
      <c r="AH702" s="135"/>
      <c r="AI702" s="135"/>
      <c r="AJ702" s="138" t="s">
        <v>3329</v>
      </c>
      <c r="AK702" s="34"/>
      <c r="AL702" s="37"/>
      <c r="AM702" s="37"/>
      <c r="AN702" s="126" t="s">
        <v>3330</v>
      </c>
      <c r="AO702" s="24">
        <v>0.0012962962962962963</v>
      </c>
      <c r="AP702" s="131"/>
      <c r="AQ702" s="137"/>
      <c r="AR702" s="7" t="s">
        <v>633</v>
      </c>
      <c r="AS702" s="7" t="b">
        <f>NOT(ISERROR(MATCH(A702,'Villages according to موسوعة ال'!C:C,0)))</f>
        <v>1</v>
      </c>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row>
    <row r="703">
      <c r="A703" s="7" t="s">
        <v>230</v>
      </c>
      <c r="B703" s="43" t="s">
        <v>3331</v>
      </c>
      <c r="C703" s="7" t="s">
        <v>3331</v>
      </c>
      <c r="D703" s="7" t="s">
        <v>232</v>
      </c>
      <c r="E703" s="25"/>
      <c r="F703" s="7"/>
      <c r="G703" s="28"/>
      <c r="H703" s="7" t="s">
        <v>3332</v>
      </c>
      <c r="I703" s="7" t="s">
        <v>616</v>
      </c>
      <c r="J703" s="7" t="s">
        <v>3333</v>
      </c>
      <c r="K703" s="54" t="s">
        <v>3334</v>
      </c>
      <c r="L703" s="30" t="s">
        <v>3335</v>
      </c>
      <c r="M703" s="60" t="b">
        <v>0</v>
      </c>
      <c r="N703" s="60" t="b">
        <v>0</v>
      </c>
      <c r="O703" s="60"/>
      <c r="P703" s="60" t="b">
        <v>0</v>
      </c>
      <c r="Q703" s="60" t="b">
        <v>0</v>
      </c>
      <c r="R703" s="60" t="b">
        <v>0</v>
      </c>
      <c r="S703" s="60"/>
      <c r="T703" s="60"/>
      <c r="U703" s="60" t="b">
        <v>0</v>
      </c>
      <c r="V703" s="60"/>
      <c r="W703" s="60" t="b">
        <v>0</v>
      </c>
      <c r="X703" s="60" t="b">
        <v>0</v>
      </c>
      <c r="Y703" s="60"/>
      <c r="Z703" s="60"/>
      <c r="AA703" s="60"/>
      <c r="AB703" s="60"/>
      <c r="AC703" s="61"/>
      <c r="AD703" s="60"/>
      <c r="AE703" s="60"/>
      <c r="AF703" s="60"/>
      <c r="AG703" s="60"/>
      <c r="AH703" s="60"/>
      <c r="AI703" s="60"/>
      <c r="AJ703" s="104" t="s">
        <v>3336</v>
      </c>
      <c r="AK703" s="34" t="s">
        <v>698</v>
      </c>
      <c r="AL703" s="3" t="s">
        <v>699</v>
      </c>
      <c r="AM703" s="3" t="s">
        <v>831</v>
      </c>
      <c r="AN703" s="35" t="s">
        <v>3337</v>
      </c>
      <c r="AO703" s="24">
        <v>0.004039351851851852</v>
      </c>
      <c r="AP703" s="74" t="s">
        <v>3338</v>
      </c>
      <c r="AQ703" s="73">
        <v>38139.0</v>
      </c>
      <c r="AR703" s="35" t="s">
        <v>3339</v>
      </c>
      <c r="AS703" s="7" t="b">
        <f>NOT(ISERROR(MATCH(A703,'Villages according to موسوعة ال'!C:C,0)))</f>
        <v>1</v>
      </c>
      <c r="AT703" s="25"/>
      <c r="AU703" s="25"/>
      <c r="AV703" s="25"/>
      <c r="AW703" s="25"/>
      <c r="AX703" s="25"/>
      <c r="AY703" s="25"/>
      <c r="AZ703" s="25"/>
      <c r="BA703" s="25"/>
      <c r="BB703" s="25"/>
      <c r="BC703" s="25"/>
      <c r="BD703" s="25"/>
      <c r="BE703" s="25"/>
      <c r="BF703" s="25"/>
      <c r="BG703" s="25"/>
      <c r="BH703" s="25"/>
      <c r="BI703" s="25"/>
      <c r="BJ703" s="25"/>
      <c r="BK703" s="25"/>
      <c r="BL703" s="25"/>
      <c r="BM703" s="25"/>
      <c r="BN703" s="25"/>
      <c r="BO703" s="25"/>
      <c r="BP703" s="25"/>
    </row>
    <row r="704">
      <c r="A704" s="7" t="s">
        <v>230</v>
      </c>
      <c r="B704" s="26" t="s">
        <v>3331</v>
      </c>
      <c r="E704" s="83"/>
      <c r="F704" s="4"/>
      <c r="G704" s="132"/>
      <c r="K704" s="123"/>
      <c r="L704" s="123"/>
      <c r="M704" s="124" t="b">
        <v>0</v>
      </c>
      <c r="N704" s="124" t="b">
        <v>0</v>
      </c>
      <c r="O704" s="124"/>
      <c r="P704" s="124" t="b">
        <v>0</v>
      </c>
      <c r="Q704" s="124" t="b">
        <v>0</v>
      </c>
      <c r="R704" s="124" t="b">
        <v>0</v>
      </c>
      <c r="S704" s="124"/>
      <c r="T704" s="32"/>
      <c r="U704" s="124" t="b">
        <v>0</v>
      </c>
      <c r="V704" s="124"/>
      <c r="W704" s="124" t="b">
        <v>0</v>
      </c>
      <c r="X704" s="124" t="b">
        <v>0</v>
      </c>
      <c r="Y704" s="124"/>
      <c r="Z704" s="124"/>
      <c r="AA704" s="124"/>
      <c r="AB704" s="124"/>
      <c r="AC704" s="125"/>
      <c r="AD704" s="124"/>
      <c r="AE704" s="124"/>
      <c r="AF704" s="124"/>
      <c r="AG704" s="124"/>
      <c r="AH704" s="124"/>
      <c r="AI704" s="124"/>
      <c r="AJ704" s="138"/>
      <c r="AK704" s="34"/>
      <c r="AL704" s="37"/>
      <c r="AM704" s="37"/>
      <c r="AN704" s="126" t="s">
        <v>3340</v>
      </c>
      <c r="AO704" s="24">
        <v>0.0028472222222222223</v>
      </c>
      <c r="AP704" s="131"/>
      <c r="AQ704" s="4"/>
      <c r="AR704" s="7" t="s">
        <v>633</v>
      </c>
      <c r="AS704" s="7" t="b">
        <f>NOT(ISERROR(MATCH(A704,'Villages according to موسوعة ال'!C:C,0)))</f>
        <v>1</v>
      </c>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row>
    <row r="705">
      <c r="A705" s="7" t="s">
        <v>230</v>
      </c>
      <c r="B705" s="26" t="s">
        <v>3331</v>
      </c>
      <c r="E705" s="83"/>
      <c r="F705" s="4"/>
      <c r="G705" s="132"/>
      <c r="K705" s="123"/>
      <c r="L705" s="123"/>
      <c r="M705" s="124" t="b">
        <v>0</v>
      </c>
      <c r="N705" s="124" t="b">
        <v>0</v>
      </c>
      <c r="O705" s="124"/>
      <c r="P705" s="124" t="b">
        <v>0</v>
      </c>
      <c r="Q705" s="124" t="b">
        <v>0</v>
      </c>
      <c r="R705" s="124" t="b">
        <v>0</v>
      </c>
      <c r="S705" s="124"/>
      <c r="T705" s="32"/>
      <c r="U705" s="124" t="b">
        <v>0</v>
      </c>
      <c r="V705" s="124"/>
      <c r="W705" s="124" t="b">
        <v>0</v>
      </c>
      <c r="X705" s="124" t="b">
        <v>0</v>
      </c>
      <c r="Y705" s="124"/>
      <c r="Z705" s="124"/>
      <c r="AA705" s="124"/>
      <c r="AB705" s="124"/>
      <c r="AC705" s="125"/>
      <c r="AD705" s="124"/>
      <c r="AE705" s="124"/>
      <c r="AF705" s="124"/>
      <c r="AG705" s="124"/>
      <c r="AH705" s="124"/>
      <c r="AI705" s="124"/>
      <c r="AJ705" s="138"/>
      <c r="AK705" s="34"/>
      <c r="AL705" s="37"/>
      <c r="AM705" s="37"/>
      <c r="AN705" s="126" t="s">
        <v>3341</v>
      </c>
      <c r="AO705" s="24">
        <v>0.003125</v>
      </c>
      <c r="AP705" s="131"/>
      <c r="AQ705" s="4"/>
      <c r="AR705" s="7" t="s">
        <v>633</v>
      </c>
      <c r="AS705" s="7" t="b">
        <f>NOT(ISERROR(MATCH(A705,'Villages according to موسوعة ال'!C:C,0)))</f>
        <v>1</v>
      </c>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row>
    <row r="706">
      <c r="A706" s="7" t="s">
        <v>318</v>
      </c>
      <c r="B706" s="26" t="s">
        <v>319</v>
      </c>
      <c r="C706" s="7" t="s">
        <v>319</v>
      </c>
      <c r="D706" s="5" t="s">
        <v>320</v>
      </c>
      <c r="E706" s="83"/>
      <c r="F706" s="4"/>
      <c r="G706" s="132"/>
      <c r="H706" s="4" t="s">
        <v>3342</v>
      </c>
      <c r="I706" s="4" t="s">
        <v>616</v>
      </c>
      <c r="J706" s="4" t="s">
        <v>3343</v>
      </c>
      <c r="K706" s="123"/>
      <c r="L706" s="123"/>
      <c r="M706" s="124" t="b">
        <v>0</v>
      </c>
      <c r="N706" s="124" t="b">
        <v>0</v>
      </c>
      <c r="O706" s="124"/>
      <c r="P706" s="124" t="b">
        <v>0</v>
      </c>
      <c r="Q706" s="124" t="b">
        <v>0</v>
      </c>
      <c r="R706" s="124" t="b">
        <v>0</v>
      </c>
      <c r="S706" s="124"/>
      <c r="T706" s="32"/>
      <c r="U706" s="124" t="b">
        <v>0</v>
      </c>
      <c r="V706" s="124"/>
      <c r="W706" s="124" t="b">
        <v>0</v>
      </c>
      <c r="X706" s="124" t="b">
        <v>0</v>
      </c>
      <c r="Y706" s="124"/>
      <c r="Z706" s="124"/>
      <c r="AA706" s="124"/>
      <c r="AB706" s="124"/>
      <c r="AC706" s="125"/>
      <c r="AD706" s="124"/>
      <c r="AE706" s="124"/>
      <c r="AF706" s="124"/>
      <c r="AG706" s="124"/>
      <c r="AH706" s="124"/>
      <c r="AI706" s="124"/>
      <c r="AJ706" s="138"/>
      <c r="AK706" s="34"/>
      <c r="AL706" s="37"/>
      <c r="AM706" s="37"/>
      <c r="AN706" s="126" t="s">
        <v>3344</v>
      </c>
      <c r="AO706" s="24">
        <v>0.008055555555555555</v>
      </c>
      <c r="AP706" s="131" t="s">
        <v>633</v>
      </c>
      <c r="AQ706" s="4" t="s">
        <v>633</v>
      </c>
      <c r="AR706" s="139" t="s">
        <v>633</v>
      </c>
      <c r="AS706" s="7" t="b">
        <f>NOT(ISERROR(MATCH(A706,'Villages according to موسوعة ال'!C:C,0)))</f>
        <v>1</v>
      </c>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row>
    <row r="707">
      <c r="A707" s="7" t="s">
        <v>318</v>
      </c>
      <c r="B707" s="26" t="s">
        <v>319</v>
      </c>
      <c r="E707" s="83"/>
      <c r="F707" s="4"/>
      <c r="G707" s="132"/>
      <c r="H707" s="4" t="s">
        <v>3345</v>
      </c>
      <c r="I707" s="4" t="s">
        <v>638</v>
      </c>
      <c r="J707" s="4" t="s">
        <v>3346</v>
      </c>
      <c r="K707" s="123"/>
      <c r="L707" s="123"/>
      <c r="M707" s="124" t="b">
        <v>0</v>
      </c>
      <c r="N707" s="124" t="b">
        <v>0</v>
      </c>
      <c r="O707" s="124"/>
      <c r="P707" s="124" t="b">
        <v>0</v>
      </c>
      <c r="Q707" s="124" t="b">
        <v>0</v>
      </c>
      <c r="R707" s="124" t="b">
        <v>0</v>
      </c>
      <c r="S707" s="124"/>
      <c r="T707" s="32"/>
      <c r="U707" s="124" t="b">
        <v>0</v>
      </c>
      <c r="V707" s="124"/>
      <c r="W707" s="124" t="b">
        <v>0</v>
      </c>
      <c r="X707" s="124" t="b">
        <v>0</v>
      </c>
      <c r="Y707" s="124"/>
      <c r="Z707" s="124"/>
      <c r="AA707" s="124"/>
      <c r="AB707" s="124"/>
      <c r="AC707" s="125"/>
      <c r="AD707" s="124"/>
      <c r="AE707" s="124"/>
      <c r="AF707" s="124"/>
      <c r="AG707" s="124"/>
      <c r="AH707" s="124"/>
      <c r="AI707" s="124"/>
      <c r="AJ707" s="138"/>
      <c r="AK707" s="34"/>
      <c r="AL707" s="37"/>
      <c r="AM707" s="37"/>
      <c r="AN707" s="126" t="s">
        <v>3347</v>
      </c>
      <c r="AO707" s="24">
        <v>0.012766203703703703</v>
      </c>
      <c r="AP707" s="131" t="s">
        <v>633</v>
      </c>
      <c r="AQ707" s="4" t="s">
        <v>633</v>
      </c>
      <c r="AR707" s="139" t="s">
        <v>633</v>
      </c>
      <c r="AS707" s="7" t="b">
        <f>NOT(ISERROR(MATCH(A707,'Villages according to موسوعة ال'!C:C,0)))</f>
        <v>1</v>
      </c>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row>
    <row r="708">
      <c r="A708" s="7" t="s">
        <v>318</v>
      </c>
      <c r="B708" s="26" t="s">
        <v>319</v>
      </c>
      <c r="E708" s="83"/>
      <c r="F708" s="4"/>
      <c r="G708" s="132"/>
      <c r="K708" s="123"/>
      <c r="L708" s="123"/>
      <c r="M708" s="124" t="b">
        <v>0</v>
      </c>
      <c r="N708" s="124" t="b">
        <v>0</v>
      </c>
      <c r="O708" s="124"/>
      <c r="P708" s="124" t="b">
        <v>0</v>
      </c>
      <c r="Q708" s="124" t="b">
        <v>0</v>
      </c>
      <c r="R708" s="124" t="b">
        <v>0</v>
      </c>
      <c r="S708" s="124"/>
      <c r="T708" s="32"/>
      <c r="U708" s="124" t="b">
        <v>0</v>
      </c>
      <c r="V708" s="124"/>
      <c r="W708" s="124" t="b">
        <v>0</v>
      </c>
      <c r="X708" s="124" t="b">
        <v>0</v>
      </c>
      <c r="Y708" s="124"/>
      <c r="Z708" s="124"/>
      <c r="AA708" s="124"/>
      <c r="AB708" s="124"/>
      <c r="AC708" s="125"/>
      <c r="AD708" s="124"/>
      <c r="AE708" s="124"/>
      <c r="AF708" s="124"/>
      <c r="AG708" s="124"/>
      <c r="AH708" s="124"/>
      <c r="AI708" s="124"/>
      <c r="AJ708" s="138"/>
      <c r="AK708" s="34"/>
      <c r="AL708" s="37"/>
      <c r="AM708" s="37"/>
      <c r="AN708" s="126" t="s">
        <v>3348</v>
      </c>
      <c r="AO708" s="24">
        <v>0.004270833333333333</v>
      </c>
      <c r="AP708" s="131" t="s">
        <v>633</v>
      </c>
      <c r="AQ708" s="4" t="s">
        <v>633</v>
      </c>
      <c r="AR708" s="139" t="s">
        <v>633</v>
      </c>
      <c r="AS708" s="7" t="b">
        <f>NOT(ISERROR(MATCH(A708,'Villages according to موسوعة ال'!C:C,0)))</f>
        <v>1</v>
      </c>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row>
    <row r="709">
      <c r="A709" s="7" t="s">
        <v>318</v>
      </c>
      <c r="B709" s="26" t="s">
        <v>319</v>
      </c>
      <c r="E709" s="83"/>
      <c r="F709" s="4"/>
      <c r="G709" s="132"/>
      <c r="H709" s="4" t="s">
        <v>3349</v>
      </c>
      <c r="I709" s="4" t="s">
        <v>616</v>
      </c>
      <c r="J709" s="4" t="s">
        <v>3350</v>
      </c>
      <c r="K709" s="123"/>
      <c r="L709" s="123"/>
      <c r="M709" s="124" t="b">
        <v>0</v>
      </c>
      <c r="N709" s="124" t="b">
        <v>0</v>
      </c>
      <c r="O709" s="124"/>
      <c r="P709" s="124" t="b">
        <v>0</v>
      </c>
      <c r="Q709" s="124" t="b">
        <v>0</v>
      </c>
      <c r="R709" s="124" t="b">
        <v>0</v>
      </c>
      <c r="S709" s="124"/>
      <c r="T709" s="32"/>
      <c r="U709" s="124" t="b">
        <v>0</v>
      </c>
      <c r="V709" s="124"/>
      <c r="W709" s="124" t="b">
        <v>0</v>
      </c>
      <c r="X709" s="124" t="b">
        <v>0</v>
      </c>
      <c r="Y709" s="124"/>
      <c r="Z709" s="124"/>
      <c r="AA709" s="124"/>
      <c r="AB709" s="124"/>
      <c r="AC709" s="125"/>
      <c r="AD709" s="124"/>
      <c r="AE709" s="124"/>
      <c r="AF709" s="124"/>
      <c r="AG709" s="124"/>
      <c r="AH709" s="124"/>
      <c r="AI709" s="124"/>
      <c r="AJ709" s="138"/>
      <c r="AK709" s="34"/>
      <c r="AL709" s="37"/>
      <c r="AM709" s="37"/>
      <c r="AN709" s="126" t="s">
        <v>3351</v>
      </c>
      <c r="AO709" s="24">
        <v>0.0021180555555555558</v>
      </c>
      <c r="AP709" s="131" t="s">
        <v>633</v>
      </c>
      <c r="AQ709" s="4" t="s">
        <v>633</v>
      </c>
      <c r="AR709" s="139" t="s">
        <v>633</v>
      </c>
      <c r="AS709" s="7" t="b">
        <f>NOT(ISERROR(MATCH(A709,'Villages according to موسوعة ال'!C:C,0)))</f>
        <v>1</v>
      </c>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row>
    <row r="710">
      <c r="A710" s="7" t="s">
        <v>318</v>
      </c>
      <c r="B710" s="26" t="s">
        <v>319</v>
      </c>
      <c r="E710" s="83"/>
      <c r="F710" s="4"/>
      <c r="G710" s="132"/>
      <c r="K710" s="123"/>
      <c r="L710" s="123"/>
      <c r="M710" s="124" t="b">
        <v>0</v>
      </c>
      <c r="N710" s="124" t="b">
        <v>0</v>
      </c>
      <c r="O710" s="124"/>
      <c r="P710" s="124" t="b">
        <v>0</v>
      </c>
      <c r="Q710" s="124" t="b">
        <v>0</v>
      </c>
      <c r="R710" s="124" t="b">
        <v>0</v>
      </c>
      <c r="S710" s="124"/>
      <c r="T710" s="32"/>
      <c r="U710" s="124" t="b">
        <v>0</v>
      </c>
      <c r="V710" s="124"/>
      <c r="W710" s="124" t="b">
        <v>0</v>
      </c>
      <c r="X710" s="124" t="b">
        <v>0</v>
      </c>
      <c r="Y710" s="124"/>
      <c r="Z710" s="124"/>
      <c r="AA710" s="124"/>
      <c r="AB710" s="124"/>
      <c r="AC710" s="125"/>
      <c r="AD710" s="124"/>
      <c r="AE710" s="124"/>
      <c r="AF710" s="124"/>
      <c r="AG710" s="124"/>
      <c r="AH710" s="124"/>
      <c r="AI710" s="124"/>
      <c r="AJ710" s="138"/>
      <c r="AK710" s="34"/>
      <c r="AL710" s="37"/>
      <c r="AM710" s="37"/>
      <c r="AN710" s="126" t="s">
        <v>3352</v>
      </c>
      <c r="AO710" s="24">
        <v>0.006446759259259259</v>
      </c>
      <c r="AP710" s="131" t="s">
        <v>633</v>
      </c>
      <c r="AQ710" s="4" t="s">
        <v>633</v>
      </c>
      <c r="AR710" s="139" t="s">
        <v>633</v>
      </c>
      <c r="AS710" s="7" t="b">
        <f>NOT(ISERROR(MATCH(A710,'Villages according to موسوعة ال'!C:C,0)))</f>
        <v>1</v>
      </c>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row>
    <row r="711">
      <c r="A711" s="7" t="s">
        <v>3353</v>
      </c>
      <c r="B711" s="43" t="s">
        <v>3354</v>
      </c>
      <c r="C711" s="7" t="s">
        <v>3354</v>
      </c>
      <c r="D711" s="7" t="s">
        <v>3355</v>
      </c>
      <c r="E711" s="87"/>
      <c r="F711" s="7"/>
      <c r="G711" s="28"/>
      <c r="H711" s="7" t="s">
        <v>3356</v>
      </c>
      <c r="I711" s="7" t="s">
        <v>616</v>
      </c>
      <c r="J711" s="7" t="s">
        <v>3357</v>
      </c>
      <c r="K711" s="54" t="s">
        <v>3358</v>
      </c>
      <c r="L711" s="30" t="s">
        <v>3359</v>
      </c>
      <c r="M711" s="60" t="b">
        <v>0</v>
      </c>
      <c r="N711" s="60" t="b">
        <v>0</v>
      </c>
      <c r="O711" s="60"/>
      <c r="P711" s="60" t="b">
        <v>0</v>
      </c>
      <c r="Q711" s="60" t="b">
        <v>0</v>
      </c>
      <c r="R711" s="60" t="b">
        <v>0</v>
      </c>
      <c r="S711" s="60"/>
      <c r="T711" s="60"/>
      <c r="U711" s="60" t="b">
        <v>0</v>
      </c>
      <c r="V711" s="60"/>
      <c r="W711" s="60" t="b">
        <v>0</v>
      </c>
      <c r="X711" s="60" t="b">
        <v>0</v>
      </c>
      <c r="Y711" s="60"/>
      <c r="Z711" s="60"/>
      <c r="AA711" s="60"/>
      <c r="AB711" s="60"/>
      <c r="AC711" s="61"/>
      <c r="AD711" s="60"/>
      <c r="AE711" s="60"/>
      <c r="AF711" s="60"/>
      <c r="AG711" s="60"/>
      <c r="AH711" s="60"/>
      <c r="AI711" s="60"/>
      <c r="AJ711" s="104" t="s">
        <v>3360</v>
      </c>
      <c r="AK711" s="34" t="s">
        <v>698</v>
      </c>
      <c r="AL711" s="3" t="s">
        <v>699</v>
      </c>
      <c r="AM711" s="3" t="s">
        <v>831</v>
      </c>
      <c r="AN711" s="35" t="s">
        <v>3361</v>
      </c>
      <c r="AO711" s="24">
        <v>0.015833333333333335</v>
      </c>
      <c r="AP711" s="74" t="s">
        <v>633</v>
      </c>
      <c r="AQ711" s="73">
        <v>40848.0</v>
      </c>
      <c r="AR711" s="35" t="s">
        <v>3362</v>
      </c>
      <c r="AS711" s="7" t="b">
        <f>NOT(ISERROR(MATCH(A711,'Villages according to موسوعة ال'!C:C,0)))</f>
        <v>1</v>
      </c>
      <c r="AT711" s="25"/>
      <c r="AU711" s="25"/>
      <c r="AV711" s="25"/>
      <c r="AW711" s="25"/>
      <c r="AX711" s="25"/>
      <c r="AY711" s="25"/>
      <c r="AZ711" s="25"/>
      <c r="BA711" s="25"/>
      <c r="BB711" s="25"/>
      <c r="BC711" s="25"/>
      <c r="BD711" s="25"/>
      <c r="BE711" s="25"/>
      <c r="BF711" s="25"/>
      <c r="BG711" s="25"/>
      <c r="BH711" s="25"/>
      <c r="BI711" s="25"/>
      <c r="BJ711" s="25"/>
      <c r="BK711" s="25"/>
      <c r="BL711" s="25"/>
      <c r="BM711" s="25"/>
      <c r="BN711" s="25"/>
      <c r="BO711" s="25"/>
      <c r="BP711" s="25"/>
    </row>
    <row r="712">
      <c r="A712" s="3" t="s">
        <v>30</v>
      </c>
      <c r="B712" s="43" t="s">
        <v>3363</v>
      </c>
      <c r="C712" s="7" t="s">
        <v>3363</v>
      </c>
      <c r="D712" s="7" t="s">
        <v>32</v>
      </c>
      <c r="E712" s="87"/>
      <c r="F712" s="7"/>
      <c r="G712" s="28"/>
      <c r="H712" s="7" t="s">
        <v>3364</v>
      </c>
      <c r="I712" s="7" t="s">
        <v>638</v>
      </c>
      <c r="J712" s="7" t="s">
        <v>3365</v>
      </c>
      <c r="K712" s="54" t="s">
        <v>3366</v>
      </c>
      <c r="L712" s="30" t="s">
        <v>3367</v>
      </c>
      <c r="M712" s="60" t="b">
        <v>0</v>
      </c>
      <c r="N712" s="60" t="b">
        <v>0</v>
      </c>
      <c r="O712" s="60"/>
      <c r="P712" s="60" t="b">
        <v>0</v>
      </c>
      <c r="Q712" s="60" t="b">
        <v>0</v>
      </c>
      <c r="R712" s="60" t="b">
        <v>0</v>
      </c>
      <c r="S712" s="60"/>
      <c r="T712" s="60"/>
      <c r="U712" s="60" t="b">
        <v>0</v>
      </c>
      <c r="V712" s="60"/>
      <c r="W712" s="60" t="b">
        <v>0</v>
      </c>
      <c r="X712" s="60" t="b">
        <v>0</v>
      </c>
      <c r="Y712" s="60"/>
      <c r="Z712" s="60"/>
      <c r="AA712" s="60"/>
      <c r="AB712" s="60"/>
      <c r="AC712" s="61"/>
      <c r="AD712" s="60"/>
      <c r="AE712" s="60"/>
      <c r="AF712" s="60"/>
      <c r="AG712" s="60"/>
      <c r="AH712" s="60"/>
      <c r="AI712" s="60"/>
      <c r="AJ712" s="104" t="s">
        <v>3368</v>
      </c>
      <c r="AK712" s="34" t="s">
        <v>698</v>
      </c>
      <c r="AL712" s="3" t="s">
        <v>699</v>
      </c>
      <c r="AM712" s="3" t="s">
        <v>831</v>
      </c>
      <c r="AN712" s="35" t="s">
        <v>3369</v>
      </c>
      <c r="AO712" s="24">
        <v>0.002037037037037037</v>
      </c>
      <c r="AP712" s="74" t="s">
        <v>633</v>
      </c>
      <c r="AQ712" s="7" t="s">
        <v>633</v>
      </c>
      <c r="AR712" s="35" t="s">
        <v>3370</v>
      </c>
      <c r="AS712" s="7" t="b">
        <f>NOT(ISERROR(MATCH(A712,'Villages according to موسوعة ال'!C:C,0)))</f>
        <v>0</v>
      </c>
      <c r="AT712" s="25"/>
      <c r="AU712" s="25"/>
      <c r="AV712" s="25"/>
      <c r="AW712" s="25"/>
      <c r="AX712" s="25"/>
      <c r="AY712" s="25"/>
      <c r="AZ712" s="25"/>
      <c r="BA712" s="25"/>
      <c r="BB712" s="25"/>
      <c r="BC712" s="25"/>
      <c r="BD712" s="25"/>
      <c r="BE712" s="25"/>
      <c r="BF712" s="25"/>
      <c r="BG712" s="25"/>
      <c r="BH712" s="25"/>
      <c r="BI712" s="25"/>
      <c r="BJ712" s="25"/>
      <c r="BK712" s="25"/>
      <c r="BL712" s="25"/>
      <c r="BM712" s="25"/>
      <c r="BN712" s="25"/>
      <c r="BO712" s="25"/>
      <c r="BP712" s="25"/>
    </row>
    <row r="713">
      <c r="A713" s="3" t="s">
        <v>30</v>
      </c>
      <c r="B713" s="26" t="s">
        <v>3363</v>
      </c>
      <c r="E713" s="2"/>
      <c r="F713" s="4"/>
      <c r="G713" s="132"/>
      <c r="H713" s="4" t="s">
        <v>3371</v>
      </c>
      <c r="I713" s="4" t="s">
        <v>638</v>
      </c>
      <c r="J713" s="4" t="s">
        <v>3372</v>
      </c>
      <c r="K713" s="128"/>
      <c r="L713" s="134"/>
      <c r="M713" s="135" t="b">
        <v>0</v>
      </c>
      <c r="N713" s="135" t="b">
        <v>0</v>
      </c>
      <c r="O713" s="135"/>
      <c r="P713" s="135" t="b">
        <v>0</v>
      </c>
      <c r="Q713" s="135" t="b">
        <v>0</v>
      </c>
      <c r="R713" s="135" t="b">
        <v>0</v>
      </c>
      <c r="S713" s="135"/>
      <c r="T713" s="32"/>
      <c r="U713" s="135" t="b">
        <v>0</v>
      </c>
      <c r="V713" s="135"/>
      <c r="W713" s="135" t="b">
        <v>0</v>
      </c>
      <c r="X713" s="135" t="b">
        <v>0</v>
      </c>
      <c r="Y713" s="135"/>
      <c r="Z713" s="135"/>
      <c r="AA713" s="135"/>
      <c r="AB713" s="135"/>
      <c r="AC713" s="136"/>
      <c r="AD713" s="135"/>
      <c r="AE713" s="135"/>
      <c r="AF713" s="135"/>
      <c r="AG713" s="135"/>
      <c r="AH713" s="135"/>
      <c r="AI713" s="135"/>
      <c r="AJ713" s="138"/>
      <c r="AK713" s="34"/>
      <c r="AL713" s="37"/>
      <c r="AM713" s="37"/>
      <c r="AN713" s="126" t="s">
        <v>3373</v>
      </c>
      <c r="AO713" s="24">
        <v>0.0010879629629629629</v>
      </c>
      <c r="AP713" s="131" t="s">
        <v>633</v>
      </c>
      <c r="AQ713" s="4" t="s">
        <v>633</v>
      </c>
      <c r="AR713" s="36" t="s">
        <v>633</v>
      </c>
      <c r="AS713" s="7" t="b">
        <f>NOT(ISERROR(MATCH(A713,'Villages according to موسوعة ال'!C:C,0)))</f>
        <v>0</v>
      </c>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row>
    <row r="714">
      <c r="A714" s="3" t="s">
        <v>30</v>
      </c>
      <c r="B714" s="43" t="s">
        <v>3363</v>
      </c>
      <c r="E714" s="87"/>
      <c r="F714" s="7"/>
      <c r="G714" s="28"/>
      <c r="K714" s="54" t="s">
        <v>3374</v>
      </c>
      <c r="L714" s="30" t="s">
        <v>3375</v>
      </c>
      <c r="M714" s="32" t="b">
        <v>0</v>
      </c>
      <c r="N714" s="32" t="b">
        <v>0</v>
      </c>
      <c r="O714" s="32"/>
      <c r="P714" s="32" t="b">
        <v>0</v>
      </c>
      <c r="Q714" s="32" t="b">
        <v>0</v>
      </c>
      <c r="R714" s="32" t="b">
        <v>0</v>
      </c>
      <c r="S714" s="32"/>
      <c r="T714" s="32"/>
      <c r="U714" s="32" t="b">
        <v>0</v>
      </c>
      <c r="V714" s="32"/>
      <c r="W714" s="32" t="b">
        <v>0</v>
      </c>
      <c r="X714" s="32" t="b">
        <v>0</v>
      </c>
      <c r="Y714" s="32"/>
      <c r="Z714" s="32"/>
      <c r="AA714" s="32"/>
      <c r="AB714" s="32"/>
      <c r="AC714" s="33"/>
      <c r="AD714" s="32"/>
      <c r="AE714" s="32"/>
      <c r="AF714" s="32"/>
      <c r="AG714" s="32"/>
      <c r="AH714" s="32"/>
      <c r="AI714" s="32"/>
      <c r="AJ714" s="104"/>
      <c r="AK714" s="34" t="s">
        <v>631</v>
      </c>
      <c r="AL714" s="25"/>
      <c r="AM714" s="25"/>
      <c r="AN714" s="35" t="s">
        <v>3376</v>
      </c>
      <c r="AO714" s="24">
        <v>0.001875</v>
      </c>
      <c r="AP714" s="74" t="s">
        <v>633</v>
      </c>
      <c r="AQ714" s="7" t="s">
        <v>633</v>
      </c>
      <c r="AR714" s="36" t="s">
        <v>633</v>
      </c>
      <c r="AS714" s="7" t="b">
        <f>NOT(ISERROR(MATCH(A714,'Villages according to موسوعة ال'!C:C,0)))</f>
        <v>0</v>
      </c>
      <c r="AT714" s="25"/>
      <c r="AU714" s="25"/>
      <c r="AV714" s="25"/>
      <c r="AW714" s="25"/>
      <c r="AX714" s="25"/>
      <c r="AY714" s="25"/>
      <c r="AZ714" s="25"/>
      <c r="BA714" s="25"/>
      <c r="BB714" s="25"/>
      <c r="BC714" s="25"/>
      <c r="BD714" s="25"/>
      <c r="BE714" s="25"/>
      <c r="BF714" s="25"/>
      <c r="BG714" s="25"/>
      <c r="BH714" s="25"/>
      <c r="BI714" s="25"/>
      <c r="BJ714" s="25"/>
      <c r="BK714" s="25"/>
      <c r="BL714" s="25"/>
      <c r="BM714" s="25"/>
      <c r="BN714" s="25"/>
      <c r="BO714" s="25"/>
      <c r="BP714" s="25"/>
    </row>
    <row r="715">
      <c r="A715" s="3" t="s">
        <v>30</v>
      </c>
      <c r="B715" s="26" t="s">
        <v>3363</v>
      </c>
      <c r="E715" s="2"/>
      <c r="F715" s="4"/>
      <c r="G715" s="132"/>
      <c r="H715" s="4" t="s">
        <v>3377</v>
      </c>
      <c r="I715" s="4" t="s">
        <v>638</v>
      </c>
      <c r="J715" s="4" t="s">
        <v>3378</v>
      </c>
      <c r="K715" s="128" t="s">
        <v>3379</v>
      </c>
      <c r="L715" s="134" t="s">
        <v>3380</v>
      </c>
      <c r="M715" s="135" t="b">
        <v>0</v>
      </c>
      <c r="N715" s="135" t="b">
        <v>0</v>
      </c>
      <c r="O715" s="135"/>
      <c r="P715" s="135" t="b">
        <v>0</v>
      </c>
      <c r="Q715" s="135" t="b">
        <v>0</v>
      </c>
      <c r="R715" s="135" t="b">
        <v>0</v>
      </c>
      <c r="S715" s="135"/>
      <c r="T715" s="32"/>
      <c r="U715" s="135" t="b">
        <v>0</v>
      </c>
      <c r="V715" s="135"/>
      <c r="W715" s="135" t="b">
        <v>0</v>
      </c>
      <c r="X715" s="135" t="b">
        <v>0</v>
      </c>
      <c r="Y715" s="135"/>
      <c r="Z715" s="135"/>
      <c r="AA715" s="135"/>
      <c r="AB715" s="135"/>
      <c r="AC715" s="136"/>
      <c r="AD715" s="135"/>
      <c r="AE715" s="135"/>
      <c r="AF715" s="135"/>
      <c r="AG715" s="135"/>
      <c r="AH715" s="135"/>
      <c r="AI715" s="135"/>
      <c r="AJ715" s="138"/>
      <c r="AK715" s="34"/>
      <c r="AL715" s="37"/>
      <c r="AM715" s="37"/>
      <c r="AN715" s="126" t="s">
        <v>3381</v>
      </c>
      <c r="AO715" s="24">
        <v>8.680555555555555E-4</v>
      </c>
      <c r="AP715" s="131" t="s">
        <v>633</v>
      </c>
      <c r="AQ715" s="4" t="s">
        <v>633</v>
      </c>
      <c r="AR715" s="36" t="s">
        <v>633</v>
      </c>
      <c r="AS715" s="7" t="b">
        <f>NOT(ISERROR(MATCH(A715,'Villages according to موسوعة ال'!C:C,0)))</f>
        <v>0</v>
      </c>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row>
    <row r="716">
      <c r="A716" s="3" t="s">
        <v>30</v>
      </c>
      <c r="B716" s="26" t="s">
        <v>3363</v>
      </c>
      <c r="E716" s="2"/>
      <c r="F716" s="4"/>
      <c r="G716" s="132"/>
      <c r="H716" s="4" t="s">
        <v>3382</v>
      </c>
      <c r="I716" s="4" t="s">
        <v>616</v>
      </c>
      <c r="J716" s="4" t="s">
        <v>3383</v>
      </c>
      <c r="K716" s="128"/>
      <c r="L716" s="134"/>
      <c r="M716" s="135" t="b">
        <v>0</v>
      </c>
      <c r="N716" s="135" t="b">
        <v>0</v>
      </c>
      <c r="O716" s="135"/>
      <c r="P716" s="135" t="b">
        <v>0</v>
      </c>
      <c r="Q716" s="135" t="b">
        <v>0</v>
      </c>
      <c r="R716" s="135" t="b">
        <v>0</v>
      </c>
      <c r="S716" s="135"/>
      <c r="T716" s="32"/>
      <c r="U716" s="135" t="b">
        <v>0</v>
      </c>
      <c r="V716" s="135"/>
      <c r="W716" s="135" t="b">
        <v>0</v>
      </c>
      <c r="X716" s="135" t="b">
        <v>0</v>
      </c>
      <c r="Y716" s="135"/>
      <c r="Z716" s="135"/>
      <c r="AA716" s="135"/>
      <c r="AB716" s="135"/>
      <c r="AC716" s="136"/>
      <c r="AD716" s="135"/>
      <c r="AE716" s="135"/>
      <c r="AF716" s="135"/>
      <c r="AG716" s="135"/>
      <c r="AH716" s="135"/>
      <c r="AI716" s="135"/>
      <c r="AJ716" s="138"/>
      <c r="AK716" s="34"/>
      <c r="AL716" s="37"/>
      <c r="AM716" s="37"/>
      <c r="AN716" s="126" t="s">
        <v>3384</v>
      </c>
      <c r="AO716" s="24">
        <v>0.009467592592592593</v>
      </c>
      <c r="AP716" s="131" t="s">
        <v>633</v>
      </c>
      <c r="AQ716" s="4" t="s">
        <v>633</v>
      </c>
      <c r="AR716" s="36" t="s">
        <v>633</v>
      </c>
      <c r="AS716" s="7" t="b">
        <f>NOT(ISERROR(MATCH(A716,'Villages according to موسوعة ال'!C:C,0)))</f>
        <v>0</v>
      </c>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row>
    <row r="717">
      <c r="A717" s="3" t="s">
        <v>30</v>
      </c>
      <c r="B717" s="26" t="s">
        <v>3363</v>
      </c>
      <c r="E717" s="2"/>
      <c r="F717" s="4"/>
      <c r="G717" s="132"/>
      <c r="H717" s="4" t="s">
        <v>3385</v>
      </c>
      <c r="I717" s="4" t="s">
        <v>638</v>
      </c>
      <c r="J717" s="4" t="s">
        <v>3386</v>
      </c>
      <c r="K717" s="128" t="s">
        <v>3387</v>
      </c>
      <c r="L717" s="134" t="s">
        <v>3388</v>
      </c>
      <c r="M717" s="135" t="b">
        <v>0</v>
      </c>
      <c r="N717" s="135" t="b">
        <v>0</v>
      </c>
      <c r="O717" s="135"/>
      <c r="P717" s="135" t="b">
        <v>0</v>
      </c>
      <c r="Q717" s="135" t="b">
        <v>0</v>
      </c>
      <c r="R717" s="135" t="b">
        <v>0</v>
      </c>
      <c r="S717" s="135"/>
      <c r="T717" s="32"/>
      <c r="U717" s="135" t="b">
        <v>0</v>
      </c>
      <c r="V717" s="135"/>
      <c r="W717" s="135" t="b">
        <v>0</v>
      </c>
      <c r="X717" s="135" t="b">
        <v>0</v>
      </c>
      <c r="Y717" s="135"/>
      <c r="Z717" s="135"/>
      <c r="AA717" s="135"/>
      <c r="AB717" s="135"/>
      <c r="AC717" s="136"/>
      <c r="AD717" s="135"/>
      <c r="AE717" s="135"/>
      <c r="AF717" s="135"/>
      <c r="AG717" s="135"/>
      <c r="AH717" s="135"/>
      <c r="AI717" s="135"/>
      <c r="AJ717" s="138"/>
      <c r="AK717" s="34"/>
      <c r="AL717" s="37"/>
      <c r="AM717" s="37"/>
      <c r="AN717" s="126" t="s">
        <v>3389</v>
      </c>
      <c r="AO717" s="24">
        <v>0.0010532407407407407</v>
      </c>
      <c r="AP717" s="131" t="s">
        <v>633</v>
      </c>
      <c r="AQ717" s="4" t="s">
        <v>633</v>
      </c>
      <c r="AR717" s="36" t="s">
        <v>633</v>
      </c>
      <c r="AS717" s="7" t="b">
        <f>NOT(ISERROR(MATCH(A717,'Villages according to موسوعة ال'!C:C,0)))</f>
        <v>0</v>
      </c>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row>
    <row r="718">
      <c r="A718" s="3" t="s">
        <v>30</v>
      </c>
      <c r="B718" s="26" t="s">
        <v>3363</v>
      </c>
      <c r="E718" s="2"/>
      <c r="F718" s="4"/>
      <c r="G718" s="132"/>
      <c r="H718" s="4" t="s">
        <v>3390</v>
      </c>
      <c r="I718" s="4" t="s">
        <v>638</v>
      </c>
      <c r="J718" s="4" t="s">
        <v>3391</v>
      </c>
      <c r="K718" s="128" t="s">
        <v>3392</v>
      </c>
      <c r="L718" s="134" t="s">
        <v>3393</v>
      </c>
      <c r="M718" s="135" t="b">
        <v>0</v>
      </c>
      <c r="N718" s="135" t="b">
        <v>0</v>
      </c>
      <c r="O718" s="135"/>
      <c r="P718" s="135" t="b">
        <v>0</v>
      </c>
      <c r="Q718" s="135" t="b">
        <v>0</v>
      </c>
      <c r="R718" s="135" t="b">
        <v>0</v>
      </c>
      <c r="S718" s="135"/>
      <c r="T718" s="32"/>
      <c r="U718" s="135" t="b">
        <v>0</v>
      </c>
      <c r="V718" s="135"/>
      <c r="W718" s="135" t="b">
        <v>0</v>
      </c>
      <c r="X718" s="135" t="b">
        <v>0</v>
      </c>
      <c r="Y718" s="135"/>
      <c r="Z718" s="135"/>
      <c r="AA718" s="135"/>
      <c r="AB718" s="135"/>
      <c r="AC718" s="136"/>
      <c r="AD718" s="135"/>
      <c r="AE718" s="135"/>
      <c r="AF718" s="135"/>
      <c r="AG718" s="135"/>
      <c r="AH718" s="135"/>
      <c r="AI718" s="135"/>
      <c r="AJ718" s="138"/>
      <c r="AK718" s="34"/>
      <c r="AL718" s="37"/>
      <c r="AM718" s="37"/>
      <c r="AN718" s="126" t="s">
        <v>3394</v>
      </c>
      <c r="AO718" s="24">
        <v>0.0013541666666666667</v>
      </c>
      <c r="AP718" s="131" t="s">
        <v>633</v>
      </c>
      <c r="AQ718" s="4" t="s">
        <v>633</v>
      </c>
      <c r="AR718" s="36" t="s">
        <v>633</v>
      </c>
      <c r="AS718" s="7" t="b">
        <f>NOT(ISERROR(MATCH(A718,'Villages according to موسوعة ال'!C:C,0)))</f>
        <v>0</v>
      </c>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row>
    <row r="719">
      <c r="A719" s="3" t="s">
        <v>30</v>
      </c>
      <c r="B719" s="26" t="s">
        <v>3363</v>
      </c>
      <c r="E719" s="2"/>
      <c r="F719" s="4"/>
      <c r="G719" s="132"/>
      <c r="H719" s="4" t="s">
        <v>3382</v>
      </c>
      <c r="I719" s="4" t="s">
        <v>616</v>
      </c>
      <c r="J719" s="4" t="s">
        <v>3395</v>
      </c>
      <c r="K719" s="128" t="s">
        <v>3396</v>
      </c>
      <c r="L719" s="134" t="s">
        <v>3397</v>
      </c>
      <c r="M719" s="135" t="b">
        <v>0</v>
      </c>
      <c r="N719" s="135" t="b">
        <v>0</v>
      </c>
      <c r="O719" s="135"/>
      <c r="P719" s="135" t="b">
        <v>0</v>
      </c>
      <c r="Q719" s="135" t="b">
        <v>0</v>
      </c>
      <c r="R719" s="135" t="b">
        <v>0</v>
      </c>
      <c r="S719" s="135"/>
      <c r="T719" s="32"/>
      <c r="U719" s="135" t="b">
        <v>0</v>
      </c>
      <c r="V719" s="135"/>
      <c r="W719" s="135" t="b">
        <v>0</v>
      </c>
      <c r="X719" s="135" t="b">
        <v>0</v>
      </c>
      <c r="Y719" s="135"/>
      <c r="Z719" s="135"/>
      <c r="AA719" s="135"/>
      <c r="AB719" s="135"/>
      <c r="AC719" s="136"/>
      <c r="AD719" s="135"/>
      <c r="AE719" s="135"/>
      <c r="AF719" s="135"/>
      <c r="AG719" s="135"/>
      <c r="AH719" s="135"/>
      <c r="AI719" s="135"/>
      <c r="AJ719" s="138"/>
      <c r="AK719" s="34" t="s">
        <v>636</v>
      </c>
      <c r="AL719" s="37"/>
      <c r="AM719" s="37"/>
      <c r="AN719" s="126" t="s">
        <v>3398</v>
      </c>
      <c r="AO719" s="24">
        <v>0.0012152777777777778</v>
      </c>
      <c r="AP719" s="131" t="s">
        <v>633</v>
      </c>
      <c r="AQ719" s="4" t="s">
        <v>633</v>
      </c>
      <c r="AR719" s="36" t="s">
        <v>633</v>
      </c>
      <c r="AS719" s="7" t="b">
        <f>NOT(ISERROR(MATCH(A719,'Villages according to موسوعة ال'!C:C,0)))</f>
        <v>0</v>
      </c>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row>
    <row r="720">
      <c r="A720" s="3" t="s">
        <v>30</v>
      </c>
      <c r="B720" s="26" t="s">
        <v>3363</v>
      </c>
      <c r="E720" s="2"/>
      <c r="F720" s="4"/>
      <c r="G720" s="132"/>
      <c r="K720" s="128" t="s">
        <v>3399</v>
      </c>
      <c r="L720" s="134" t="s">
        <v>3400</v>
      </c>
      <c r="M720" s="135" t="b">
        <v>0</v>
      </c>
      <c r="N720" s="135" t="b">
        <v>0</v>
      </c>
      <c r="O720" s="135"/>
      <c r="P720" s="135" t="b">
        <v>0</v>
      </c>
      <c r="Q720" s="135" t="b">
        <v>0</v>
      </c>
      <c r="R720" s="135" t="b">
        <v>0</v>
      </c>
      <c r="S720" s="135"/>
      <c r="T720" s="32"/>
      <c r="U720" s="135" t="b">
        <v>0</v>
      </c>
      <c r="V720" s="135"/>
      <c r="W720" s="135" t="b">
        <v>0</v>
      </c>
      <c r="X720" s="135" t="b">
        <v>0</v>
      </c>
      <c r="Y720" s="135"/>
      <c r="Z720" s="135"/>
      <c r="AA720" s="135"/>
      <c r="AB720" s="135"/>
      <c r="AC720" s="136"/>
      <c r="AD720" s="135"/>
      <c r="AE720" s="135"/>
      <c r="AF720" s="135"/>
      <c r="AG720" s="135"/>
      <c r="AH720" s="135"/>
      <c r="AI720" s="135"/>
      <c r="AJ720" s="138" t="s">
        <v>3401</v>
      </c>
      <c r="AK720" s="34"/>
      <c r="AL720" s="37"/>
      <c r="AM720" s="37"/>
      <c r="AN720" s="126" t="s">
        <v>3402</v>
      </c>
      <c r="AO720" s="24">
        <v>8.796296296296296E-4</v>
      </c>
      <c r="AP720" s="131" t="s">
        <v>633</v>
      </c>
      <c r="AQ720" s="4" t="s">
        <v>633</v>
      </c>
      <c r="AR720" s="36" t="s">
        <v>633</v>
      </c>
      <c r="AS720" s="7" t="b">
        <f>NOT(ISERROR(MATCH(A720,'Villages according to موسوعة ال'!C:C,0)))</f>
        <v>0</v>
      </c>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row>
    <row r="721">
      <c r="A721" s="3" t="s">
        <v>30</v>
      </c>
      <c r="B721" s="26" t="s">
        <v>3363</v>
      </c>
      <c r="E721" s="2"/>
      <c r="F721" s="4"/>
      <c r="G721" s="132"/>
      <c r="H721" s="4" t="s">
        <v>633</v>
      </c>
      <c r="I721" s="4" t="s">
        <v>616</v>
      </c>
      <c r="J721" s="4" t="s">
        <v>3403</v>
      </c>
      <c r="K721" s="128"/>
      <c r="L721" s="134"/>
      <c r="M721" s="135" t="b">
        <v>0</v>
      </c>
      <c r="N721" s="135" t="b">
        <v>0</v>
      </c>
      <c r="O721" s="135"/>
      <c r="P721" s="135" t="b">
        <v>0</v>
      </c>
      <c r="Q721" s="135" t="b">
        <v>0</v>
      </c>
      <c r="R721" s="135" t="b">
        <v>0</v>
      </c>
      <c r="S721" s="135"/>
      <c r="T721" s="32"/>
      <c r="U721" s="135" t="b">
        <v>0</v>
      </c>
      <c r="V721" s="135"/>
      <c r="W721" s="135" t="b">
        <v>0</v>
      </c>
      <c r="X721" s="135" t="b">
        <v>0</v>
      </c>
      <c r="Y721" s="135"/>
      <c r="Z721" s="135"/>
      <c r="AA721" s="135"/>
      <c r="AB721" s="135"/>
      <c r="AC721" s="136"/>
      <c r="AD721" s="135"/>
      <c r="AE721" s="135"/>
      <c r="AF721" s="135"/>
      <c r="AG721" s="135"/>
      <c r="AH721" s="135"/>
      <c r="AI721" s="135"/>
      <c r="AJ721" s="138"/>
      <c r="AK721" s="34"/>
      <c r="AL721" s="37"/>
      <c r="AM721" s="37"/>
      <c r="AN721" s="126" t="s">
        <v>3404</v>
      </c>
      <c r="AO721" s="24">
        <v>0.029328703703703704</v>
      </c>
      <c r="AP721" s="131" t="s">
        <v>2574</v>
      </c>
      <c r="AQ721" s="137">
        <v>44896.0</v>
      </c>
      <c r="AR721" s="36" t="s">
        <v>633</v>
      </c>
      <c r="AS721" s="7" t="b">
        <f>NOT(ISERROR(MATCH(A721,'Villages according to موسوعة ال'!C:C,0)))</f>
        <v>0</v>
      </c>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row>
    <row r="722">
      <c r="A722" s="7" t="s">
        <v>48</v>
      </c>
      <c r="B722" s="43" t="s">
        <v>49</v>
      </c>
      <c r="C722" s="7" t="s">
        <v>49</v>
      </c>
      <c r="D722" s="7" t="s">
        <v>50</v>
      </c>
      <c r="E722" s="87"/>
      <c r="F722" s="7"/>
      <c r="G722" s="28"/>
      <c r="H722" s="140" t="s">
        <v>3405</v>
      </c>
      <c r="I722" s="7" t="s">
        <v>638</v>
      </c>
      <c r="J722" s="7" t="s">
        <v>3406</v>
      </c>
      <c r="K722" s="54" t="s">
        <v>3407</v>
      </c>
      <c r="L722" s="30" t="s">
        <v>3408</v>
      </c>
      <c r="M722" s="60" t="b">
        <v>0</v>
      </c>
      <c r="N722" s="60" t="b">
        <v>0</v>
      </c>
      <c r="O722" s="60"/>
      <c r="P722" s="60" t="b">
        <v>0</v>
      </c>
      <c r="Q722" s="60" t="b">
        <v>0</v>
      </c>
      <c r="R722" s="60" t="b">
        <v>0</v>
      </c>
      <c r="S722" s="60"/>
      <c r="T722" s="60"/>
      <c r="U722" s="60" t="b">
        <v>0</v>
      </c>
      <c r="V722" s="60"/>
      <c r="W722" s="60" t="b">
        <v>0</v>
      </c>
      <c r="X722" s="60" t="b">
        <v>0</v>
      </c>
      <c r="Y722" s="60"/>
      <c r="Z722" s="60"/>
      <c r="AA722" s="60"/>
      <c r="AB722" s="60"/>
      <c r="AC722" s="61"/>
      <c r="AD722" s="60"/>
      <c r="AE722" s="60"/>
      <c r="AF722" s="60"/>
      <c r="AG722" s="60"/>
      <c r="AH722" s="60"/>
      <c r="AI722" s="60"/>
      <c r="AJ722" s="104"/>
      <c r="AK722" s="34" t="s">
        <v>698</v>
      </c>
      <c r="AL722" s="3" t="s">
        <v>699</v>
      </c>
      <c r="AM722" s="3" t="s">
        <v>831</v>
      </c>
      <c r="AN722" s="35" t="s">
        <v>3409</v>
      </c>
      <c r="AO722" s="24">
        <v>0.0022916666666666667</v>
      </c>
      <c r="AP722" s="74" t="s">
        <v>1536</v>
      </c>
      <c r="AQ722" s="73">
        <v>37773.0</v>
      </c>
      <c r="AR722" s="35" t="s">
        <v>3410</v>
      </c>
      <c r="AS722" s="7" t="b">
        <f>NOT(ISERROR(MATCH(A722,'Villages according to موسوعة ال'!C:C,0)))</f>
        <v>1</v>
      </c>
      <c r="AT722" s="25"/>
      <c r="AU722" s="25"/>
      <c r="AV722" s="25"/>
      <c r="AW722" s="25"/>
      <c r="AX722" s="25"/>
      <c r="AY722" s="25"/>
      <c r="AZ722" s="25"/>
      <c r="BA722" s="25"/>
      <c r="BB722" s="25"/>
      <c r="BC722" s="25"/>
      <c r="BD722" s="25"/>
      <c r="BE722" s="25"/>
      <c r="BF722" s="25"/>
      <c r="BG722" s="25"/>
      <c r="BH722" s="25"/>
      <c r="BI722" s="25"/>
      <c r="BJ722" s="25"/>
      <c r="BK722" s="25"/>
      <c r="BL722" s="25"/>
      <c r="BM722" s="25"/>
      <c r="BN722" s="25"/>
      <c r="BO722" s="25"/>
      <c r="BP722" s="25"/>
    </row>
    <row r="723">
      <c r="A723" s="7" t="s">
        <v>48</v>
      </c>
      <c r="B723" s="43" t="s">
        <v>49</v>
      </c>
      <c r="E723" s="87"/>
      <c r="F723" s="7"/>
      <c r="G723" s="28"/>
      <c r="H723" s="7" t="s">
        <v>3411</v>
      </c>
      <c r="I723" s="7" t="s">
        <v>638</v>
      </c>
      <c r="J723" s="7" t="s">
        <v>3412</v>
      </c>
      <c r="K723" s="54" t="s">
        <v>3413</v>
      </c>
      <c r="L723" s="30" t="s">
        <v>3414</v>
      </c>
      <c r="M723" s="60" t="b">
        <v>0</v>
      </c>
      <c r="N723" s="60" t="b">
        <v>0</v>
      </c>
      <c r="O723" s="60"/>
      <c r="P723" s="60" t="b">
        <v>0</v>
      </c>
      <c r="Q723" s="60" t="b">
        <v>0</v>
      </c>
      <c r="R723" s="60" t="b">
        <v>0</v>
      </c>
      <c r="S723" s="60"/>
      <c r="T723" s="60"/>
      <c r="U723" s="60" t="b">
        <v>0</v>
      </c>
      <c r="V723" s="60"/>
      <c r="W723" s="60" t="b">
        <v>0</v>
      </c>
      <c r="X723" s="60" t="b">
        <v>0</v>
      </c>
      <c r="Y723" s="60"/>
      <c r="Z723" s="60"/>
      <c r="AA723" s="60"/>
      <c r="AB723" s="60"/>
      <c r="AC723" s="61"/>
      <c r="AD723" s="60"/>
      <c r="AE723" s="60"/>
      <c r="AF723" s="60"/>
      <c r="AG723" s="60"/>
      <c r="AH723" s="60"/>
      <c r="AI723" s="60"/>
      <c r="AJ723" s="104" t="s">
        <v>3415</v>
      </c>
      <c r="AK723" s="34" t="s">
        <v>698</v>
      </c>
      <c r="AL723" s="3" t="s">
        <v>675</v>
      </c>
      <c r="AM723" s="3" t="s">
        <v>831</v>
      </c>
      <c r="AN723" s="35" t="s">
        <v>3416</v>
      </c>
      <c r="AO723" s="24">
        <v>0.018171296296296297</v>
      </c>
      <c r="AP723" s="74" t="s">
        <v>3417</v>
      </c>
      <c r="AQ723" s="73">
        <v>37773.0</v>
      </c>
      <c r="AR723" s="35" t="s">
        <v>3418</v>
      </c>
      <c r="AS723" s="7" t="b">
        <f>NOT(ISERROR(MATCH(A723,'Villages according to موسوعة ال'!C:C,0)))</f>
        <v>1</v>
      </c>
      <c r="AT723" s="25"/>
      <c r="AU723" s="25"/>
      <c r="AV723" s="25"/>
      <c r="AW723" s="25"/>
      <c r="AX723" s="25"/>
      <c r="AY723" s="25"/>
      <c r="AZ723" s="25"/>
      <c r="BA723" s="25"/>
      <c r="BB723" s="25"/>
      <c r="BC723" s="25"/>
      <c r="BD723" s="25"/>
      <c r="BE723" s="25"/>
      <c r="BF723" s="25"/>
      <c r="BG723" s="25"/>
      <c r="BH723" s="25"/>
      <c r="BI723" s="25"/>
      <c r="BJ723" s="25"/>
      <c r="BK723" s="25"/>
      <c r="BL723" s="25"/>
      <c r="BM723" s="25"/>
      <c r="BN723" s="25"/>
      <c r="BO723" s="25"/>
      <c r="BP723" s="25"/>
    </row>
    <row r="724">
      <c r="A724" s="7" t="s">
        <v>48</v>
      </c>
      <c r="B724" s="43" t="s">
        <v>49</v>
      </c>
      <c r="E724" s="87"/>
      <c r="F724" s="7"/>
      <c r="G724" s="28"/>
      <c r="H724" s="7" t="s">
        <v>3419</v>
      </c>
      <c r="I724" s="7" t="s">
        <v>616</v>
      </c>
      <c r="J724" s="7" t="s">
        <v>3420</v>
      </c>
      <c r="K724" s="54" t="s">
        <v>3421</v>
      </c>
      <c r="L724" s="30" t="s">
        <v>3422</v>
      </c>
      <c r="M724" s="60" t="b">
        <v>0</v>
      </c>
      <c r="N724" s="60" t="b">
        <v>0</v>
      </c>
      <c r="O724" s="60"/>
      <c r="P724" s="60" t="b">
        <v>0</v>
      </c>
      <c r="Q724" s="60" t="b">
        <v>0</v>
      </c>
      <c r="R724" s="60" t="b">
        <v>0</v>
      </c>
      <c r="S724" s="60"/>
      <c r="T724" s="60"/>
      <c r="U724" s="60" t="b">
        <v>0</v>
      </c>
      <c r="V724" s="60"/>
      <c r="W724" s="60" t="b">
        <v>0</v>
      </c>
      <c r="X724" s="60" t="b">
        <v>0</v>
      </c>
      <c r="Y724" s="60"/>
      <c r="Z724" s="60"/>
      <c r="AA724" s="60"/>
      <c r="AB724" s="60"/>
      <c r="AC724" s="61"/>
      <c r="AD724" s="60"/>
      <c r="AE724" s="60"/>
      <c r="AF724" s="60"/>
      <c r="AG724" s="60"/>
      <c r="AH724" s="60"/>
      <c r="AI724" s="60"/>
      <c r="AJ724" s="104"/>
      <c r="AK724" s="34" t="s">
        <v>698</v>
      </c>
      <c r="AL724" s="3" t="s">
        <v>699</v>
      </c>
      <c r="AM724" s="3" t="s">
        <v>831</v>
      </c>
      <c r="AN724" s="35" t="s">
        <v>3423</v>
      </c>
      <c r="AO724" s="24">
        <v>0.002337962962962963</v>
      </c>
      <c r="AP724" s="74" t="s">
        <v>1536</v>
      </c>
      <c r="AQ724" s="73">
        <v>37653.0</v>
      </c>
      <c r="AR724" s="35" t="s">
        <v>3424</v>
      </c>
      <c r="AS724" s="7" t="b">
        <f>NOT(ISERROR(MATCH(A724,'Villages according to موسوعة ال'!C:C,0)))</f>
        <v>1</v>
      </c>
      <c r="AT724" s="25"/>
      <c r="AU724" s="25"/>
      <c r="AV724" s="25"/>
      <c r="AW724" s="25"/>
      <c r="AX724" s="25"/>
      <c r="AY724" s="25"/>
      <c r="AZ724" s="25"/>
      <c r="BA724" s="25"/>
      <c r="BB724" s="25"/>
      <c r="BC724" s="25"/>
      <c r="BD724" s="25"/>
      <c r="BE724" s="25"/>
      <c r="BF724" s="25"/>
      <c r="BG724" s="25"/>
      <c r="BH724" s="25"/>
      <c r="BI724" s="25"/>
      <c r="BJ724" s="25"/>
      <c r="BK724" s="25"/>
      <c r="BL724" s="25"/>
      <c r="BM724" s="25"/>
      <c r="BN724" s="25"/>
      <c r="BO724" s="25"/>
      <c r="BP724" s="25"/>
    </row>
    <row r="725">
      <c r="A725" s="7" t="s">
        <v>9</v>
      </c>
      <c r="B725" s="43" t="s">
        <v>10</v>
      </c>
      <c r="C725" s="7" t="s">
        <v>10</v>
      </c>
      <c r="D725" s="7" t="s">
        <v>11</v>
      </c>
      <c r="E725" s="141"/>
      <c r="F725" s="142"/>
      <c r="G725" s="143"/>
      <c r="H725" s="7" t="s">
        <v>3425</v>
      </c>
      <c r="I725" s="7" t="s">
        <v>616</v>
      </c>
      <c r="J725" s="7" t="s">
        <v>3426</v>
      </c>
      <c r="K725" s="54" t="s">
        <v>3427</v>
      </c>
      <c r="L725" s="30" t="s">
        <v>3422</v>
      </c>
      <c r="M725" s="60" t="b">
        <v>0</v>
      </c>
      <c r="N725" s="60" t="b">
        <v>0</v>
      </c>
      <c r="O725" s="60"/>
      <c r="P725" s="60" t="b">
        <v>0</v>
      </c>
      <c r="Q725" s="60" t="b">
        <v>0</v>
      </c>
      <c r="R725" s="60" t="b">
        <v>0</v>
      </c>
      <c r="S725" s="60"/>
      <c r="T725" s="60"/>
      <c r="U725" s="60" t="b">
        <v>0</v>
      </c>
      <c r="V725" s="60"/>
      <c r="W725" s="60" t="b">
        <v>0</v>
      </c>
      <c r="X725" s="60" t="b">
        <v>0</v>
      </c>
      <c r="Y725" s="60"/>
      <c r="Z725" s="60"/>
      <c r="AA725" s="60"/>
      <c r="AB725" s="60"/>
      <c r="AC725" s="61"/>
      <c r="AD725" s="60"/>
      <c r="AE725" s="60"/>
      <c r="AF725" s="60"/>
      <c r="AG725" s="60"/>
      <c r="AH725" s="60"/>
      <c r="AI725" s="60"/>
      <c r="AJ725" s="81" t="s">
        <v>2330</v>
      </c>
      <c r="AK725" s="34" t="s">
        <v>698</v>
      </c>
      <c r="AL725" s="144" t="s">
        <v>699</v>
      </c>
      <c r="AM725" s="144" t="s">
        <v>831</v>
      </c>
      <c r="AN725" s="35" t="s">
        <v>3428</v>
      </c>
      <c r="AO725" s="24">
        <v>0.006527777777777778</v>
      </c>
      <c r="AP725" s="74" t="s">
        <v>633</v>
      </c>
      <c r="AQ725" s="7">
        <v>2004.0</v>
      </c>
      <c r="AR725" s="35" t="s">
        <v>3429</v>
      </c>
      <c r="AS725" s="7" t="b">
        <f>NOT(ISERROR(MATCH(A725,'Villages according to موسوعة ال'!C:C,0)))</f>
        <v>1</v>
      </c>
      <c r="AT725" s="145"/>
      <c r="AU725" s="145"/>
      <c r="AV725" s="145"/>
      <c r="AW725" s="145"/>
      <c r="AX725" s="145"/>
      <c r="AY725" s="145"/>
      <c r="AZ725" s="145"/>
      <c r="BA725" s="145"/>
      <c r="BB725" s="145"/>
      <c r="BC725" s="145"/>
      <c r="BD725" s="145"/>
      <c r="BE725" s="145"/>
      <c r="BF725" s="145"/>
      <c r="BG725" s="145"/>
      <c r="BH725" s="145"/>
      <c r="BI725" s="145"/>
      <c r="BJ725" s="145"/>
      <c r="BK725" s="145"/>
      <c r="BL725" s="145"/>
      <c r="BM725" s="145"/>
      <c r="BN725" s="145"/>
      <c r="BO725" s="145"/>
      <c r="BP725" s="145"/>
    </row>
    <row r="726">
      <c r="A726" s="7" t="s">
        <v>9</v>
      </c>
      <c r="B726" s="43" t="s">
        <v>10</v>
      </c>
      <c r="E726" s="141"/>
      <c r="F726" s="142"/>
      <c r="G726" s="143"/>
      <c r="H726" s="7" t="s">
        <v>2427</v>
      </c>
      <c r="I726" s="7" t="s">
        <v>638</v>
      </c>
      <c r="J726" s="7" t="s">
        <v>3430</v>
      </c>
      <c r="K726" s="54" t="s">
        <v>3431</v>
      </c>
      <c r="L726" s="30" t="s">
        <v>3432</v>
      </c>
      <c r="M726" s="60" t="b">
        <v>0</v>
      </c>
      <c r="N726" s="60" t="b">
        <v>0</v>
      </c>
      <c r="O726" s="60"/>
      <c r="P726" s="60" t="b">
        <v>0</v>
      </c>
      <c r="Q726" s="60" t="b">
        <v>0</v>
      </c>
      <c r="R726" s="60" t="b">
        <v>0</v>
      </c>
      <c r="S726" s="60"/>
      <c r="T726" s="60"/>
      <c r="U726" s="60" t="b">
        <v>0</v>
      </c>
      <c r="V726" s="60"/>
      <c r="W726" s="60" t="b">
        <v>0</v>
      </c>
      <c r="X726" s="60" t="b">
        <v>0</v>
      </c>
      <c r="Y726" s="60"/>
      <c r="Z726" s="60"/>
      <c r="AA726" s="60"/>
      <c r="AB726" s="60"/>
      <c r="AC726" s="61"/>
      <c r="AD726" s="60"/>
      <c r="AE726" s="60"/>
      <c r="AF726" s="60"/>
      <c r="AG726" s="60"/>
      <c r="AH726" s="60"/>
      <c r="AI726" s="60"/>
      <c r="AJ726" s="81" t="s">
        <v>3433</v>
      </c>
      <c r="AK726" s="34" t="s">
        <v>698</v>
      </c>
      <c r="AL726" s="144" t="s">
        <v>699</v>
      </c>
      <c r="AM726" s="144" t="s">
        <v>831</v>
      </c>
      <c r="AN726" s="35" t="s">
        <v>3434</v>
      </c>
      <c r="AO726" s="24">
        <v>0.0031018518518518517</v>
      </c>
      <c r="AP726" s="74" t="s">
        <v>3435</v>
      </c>
      <c r="AQ726" s="7">
        <v>2004.0</v>
      </c>
      <c r="AR726" s="35" t="s">
        <v>3436</v>
      </c>
      <c r="AS726" s="7" t="b">
        <f>NOT(ISERROR(MATCH(A726,'Villages according to موسوعة ال'!C:C,0)))</f>
        <v>1</v>
      </c>
      <c r="AT726" s="145"/>
      <c r="AU726" s="145"/>
      <c r="AV726" s="145"/>
      <c r="AW726" s="145"/>
      <c r="AX726" s="145"/>
      <c r="AY726" s="145"/>
      <c r="AZ726" s="145"/>
      <c r="BA726" s="145"/>
      <c r="BB726" s="145"/>
      <c r="BC726" s="145"/>
      <c r="BD726" s="145"/>
      <c r="BE726" s="145"/>
      <c r="BF726" s="145"/>
      <c r="BG726" s="145"/>
      <c r="BH726" s="145"/>
      <c r="BI726" s="145"/>
      <c r="BJ726" s="145"/>
      <c r="BK726" s="145"/>
      <c r="BL726" s="145"/>
      <c r="BM726" s="145"/>
      <c r="BN726" s="145"/>
      <c r="BO726" s="145"/>
      <c r="BP726" s="145"/>
    </row>
    <row r="727">
      <c r="A727" s="7" t="s">
        <v>9</v>
      </c>
      <c r="B727" s="26" t="s">
        <v>10</v>
      </c>
      <c r="E727" s="146"/>
      <c r="F727" s="147"/>
      <c r="G727" s="148"/>
      <c r="K727" s="128" t="s">
        <v>3437</v>
      </c>
      <c r="L727" s="134"/>
      <c r="M727" s="135" t="b">
        <v>0</v>
      </c>
      <c r="N727" s="135" t="b">
        <v>0</v>
      </c>
      <c r="O727" s="135"/>
      <c r="P727" s="135" t="b">
        <v>0</v>
      </c>
      <c r="Q727" s="135" t="b">
        <v>0</v>
      </c>
      <c r="R727" s="135" t="b">
        <v>0</v>
      </c>
      <c r="S727" s="135"/>
      <c r="T727" s="32"/>
      <c r="U727" s="135" t="b">
        <v>0</v>
      </c>
      <c r="V727" s="135"/>
      <c r="W727" s="135" t="b">
        <v>0</v>
      </c>
      <c r="X727" s="135" t="b">
        <v>0</v>
      </c>
      <c r="Y727" s="135"/>
      <c r="Z727" s="135"/>
      <c r="AA727" s="135"/>
      <c r="AB727" s="135"/>
      <c r="AC727" s="136"/>
      <c r="AD727" s="135"/>
      <c r="AE727" s="135"/>
      <c r="AF727" s="135"/>
      <c r="AG727" s="135"/>
      <c r="AH727" s="135"/>
      <c r="AI727" s="135"/>
      <c r="AJ727" s="138"/>
      <c r="AK727" s="149"/>
      <c r="AL727" s="2"/>
      <c r="AM727" s="2"/>
      <c r="AN727" s="126" t="s">
        <v>3438</v>
      </c>
      <c r="AO727" s="24">
        <v>0.0016898148148148148</v>
      </c>
      <c r="AP727" s="131" t="s">
        <v>633</v>
      </c>
      <c r="AQ727" s="4">
        <v>2004.0</v>
      </c>
      <c r="AR727" s="139" t="s">
        <v>633</v>
      </c>
      <c r="AS727" s="7" t="b">
        <f>NOT(ISERROR(MATCH(A727,'Villages according to موسوعة ال'!C:C,0)))</f>
        <v>1</v>
      </c>
      <c r="AT727" s="150"/>
      <c r="AU727" s="150"/>
      <c r="AV727" s="150"/>
      <c r="AW727" s="150"/>
      <c r="AX727" s="150"/>
      <c r="AY727" s="150"/>
      <c r="AZ727" s="150"/>
      <c r="BA727" s="150"/>
      <c r="BB727" s="150"/>
      <c r="BC727" s="150"/>
      <c r="BD727" s="150"/>
      <c r="BE727" s="150"/>
      <c r="BF727" s="150"/>
      <c r="BG727" s="150"/>
      <c r="BH727" s="150"/>
      <c r="BI727" s="150"/>
      <c r="BJ727" s="150"/>
      <c r="BK727" s="150"/>
      <c r="BL727" s="150"/>
      <c r="BM727" s="150"/>
      <c r="BN727" s="150"/>
      <c r="BO727" s="150"/>
      <c r="BP727" s="150"/>
    </row>
    <row r="728">
      <c r="A728" s="7" t="s">
        <v>9</v>
      </c>
      <c r="B728" s="26" t="s">
        <v>10</v>
      </c>
      <c r="E728" s="146"/>
      <c r="F728" s="147"/>
      <c r="G728" s="148"/>
      <c r="H728" s="4" t="s">
        <v>3439</v>
      </c>
      <c r="I728" s="4" t="s">
        <v>638</v>
      </c>
      <c r="J728" s="4" t="s">
        <v>3440</v>
      </c>
      <c r="K728" s="128" t="s">
        <v>3441</v>
      </c>
      <c r="L728" s="134" t="s">
        <v>3442</v>
      </c>
      <c r="M728" s="135" t="b">
        <v>0</v>
      </c>
      <c r="N728" s="135" t="b">
        <v>0</v>
      </c>
      <c r="O728" s="135"/>
      <c r="P728" s="135" t="b">
        <v>0</v>
      </c>
      <c r="Q728" s="135" t="b">
        <v>0</v>
      </c>
      <c r="R728" s="135" t="b">
        <v>0</v>
      </c>
      <c r="S728" s="135"/>
      <c r="T728" s="32"/>
      <c r="U728" s="135" t="b">
        <v>0</v>
      </c>
      <c r="V728" s="135"/>
      <c r="W728" s="135" t="b">
        <v>0</v>
      </c>
      <c r="X728" s="135" t="b">
        <v>0</v>
      </c>
      <c r="Y728" s="135"/>
      <c r="Z728" s="135"/>
      <c r="AA728" s="135"/>
      <c r="AB728" s="135"/>
      <c r="AC728" s="136"/>
      <c r="AD728" s="135"/>
      <c r="AE728" s="135"/>
      <c r="AF728" s="135"/>
      <c r="AG728" s="135"/>
      <c r="AH728" s="135"/>
      <c r="AI728" s="135"/>
      <c r="AJ728" s="138" t="s">
        <v>3443</v>
      </c>
      <c r="AK728" s="149"/>
      <c r="AL728" s="2"/>
      <c r="AM728" s="2"/>
      <c r="AN728" s="126" t="s">
        <v>3444</v>
      </c>
      <c r="AO728" s="24">
        <v>0.0028472222222222223</v>
      </c>
      <c r="AP728" s="131" t="s">
        <v>633</v>
      </c>
      <c r="AQ728" s="4">
        <v>2004.0</v>
      </c>
      <c r="AR728" s="139" t="s">
        <v>633</v>
      </c>
      <c r="AS728" s="7" t="b">
        <f>NOT(ISERROR(MATCH(A728,'Villages according to موسوعة ال'!C:C,0)))</f>
        <v>1</v>
      </c>
      <c r="AT728" s="150"/>
      <c r="AU728" s="150"/>
      <c r="AV728" s="150"/>
      <c r="AW728" s="150"/>
      <c r="AX728" s="150"/>
      <c r="AY728" s="150"/>
      <c r="AZ728" s="150"/>
      <c r="BA728" s="150"/>
      <c r="BB728" s="150"/>
      <c r="BC728" s="150"/>
      <c r="BD728" s="150"/>
      <c r="BE728" s="150"/>
      <c r="BF728" s="150"/>
      <c r="BG728" s="150"/>
      <c r="BH728" s="150"/>
      <c r="BI728" s="150"/>
      <c r="BJ728" s="150"/>
      <c r="BK728" s="150"/>
      <c r="BL728" s="150"/>
      <c r="BM728" s="150"/>
      <c r="BN728" s="150"/>
      <c r="BO728" s="150"/>
      <c r="BP728" s="150"/>
    </row>
    <row r="729">
      <c r="A729" s="7" t="s">
        <v>224</v>
      </c>
      <c r="B729" s="43" t="s">
        <v>225</v>
      </c>
      <c r="C729" s="7" t="s">
        <v>225</v>
      </c>
      <c r="D729" s="7" t="s">
        <v>226</v>
      </c>
      <c r="E729" s="141"/>
      <c r="F729" s="142"/>
      <c r="G729" s="143"/>
      <c r="H729" s="7" t="s">
        <v>3445</v>
      </c>
      <c r="I729" s="7" t="s">
        <v>638</v>
      </c>
      <c r="J729" s="7" t="s">
        <v>3446</v>
      </c>
      <c r="K729" s="54" t="s">
        <v>3447</v>
      </c>
      <c r="L729" s="30" t="s">
        <v>3448</v>
      </c>
      <c r="M729" s="60" t="b">
        <v>0</v>
      </c>
      <c r="N729" s="60" t="b">
        <v>0</v>
      </c>
      <c r="O729" s="60"/>
      <c r="P729" s="60" t="b">
        <v>0</v>
      </c>
      <c r="Q729" s="60" t="b">
        <v>0</v>
      </c>
      <c r="R729" s="60" t="b">
        <v>0</v>
      </c>
      <c r="S729" s="60"/>
      <c r="T729" s="60"/>
      <c r="U729" s="60" t="b">
        <v>0</v>
      </c>
      <c r="V729" s="60"/>
      <c r="W729" s="60" t="b">
        <v>0</v>
      </c>
      <c r="X729" s="60" t="b">
        <v>0</v>
      </c>
      <c r="Y729" s="60"/>
      <c r="Z729" s="60"/>
      <c r="AA729" s="60"/>
      <c r="AB729" s="60"/>
      <c r="AC729" s="61"/>
      <c r="AD729" s="60"/>
      <c r="AE729" s="60"/>
      <c r="AF729" s="60"/>
      <c r="AG729" s="60"/>
      <c r="AH729" s="60"/>
      <c r="AI729" s="60"/>
      <c r="AJ729" s="104" t="s">
        <v>3449</v>
      </c>
      <c r="AK729" s="34" t="s">
        <v>698</v>
      </c>
      <c r="AL729" s="87"/>
      <c r="AM729" s="87"/>
      <c r="AN729" s="35" t="s">
        <v>3450</v>
      </c>
      <c r="AO729" s="24">
        <v>0.010949074074074075</v>
      </c>
      <c r="AP729" s="74" t="s">
        <v>633</v>
      </c>
      <c r="AQ729" s="73">
        <v>38018.0</v>
      </c>
      <c r="AR729" s="35" t="s">
        <v>3451</v>
      </c>
      <c r="AS729" s="7" t="b">
        <f>NOT(ISERROR(MATCH(A729,'Villages according to موسوعة ال'!C:C,0)))</f>
        <v>1</v>
      </c>
      <c r="AT729" s="145"/>
      <c r="AU729" s="145"/>
      <c r="AV729" s="145"/>
      <c r="AW729" s="145"/>
      <c r="AX729" s="145"/>
      <c r="AY729" s="145"/>
      <c r="AZ729" s="145"/>
      <c r="BA729" s="145"/>
      <c r="BB729" s="145"/>
      <c r="BC729" s="145"/>
      <c r="BD729" s="145"/>
      <c r="BE729" s="145"/>
      <c r="BF729" s="145"/>
      <c r="BG729" s="145"/>
      <c r="BH729" s="145"/>
      <c r="BI729" s="145"/>
      <c r="BJ729" s="145"/>
      <c r="BK729" s="145"/>
      <c r="BL729" s="145"/>
      <c r="BM729" s="145"/>
      <c r="BN729" s="145"/>
      <c r="BO729" s="145"/>
      <c r="BP729" s="145"/>
    </row>
    <row r="730">
      <c r="A730" s="7" t="s">
        <v>224</v>
      </c>
      <c r="B730" s="26" t="s">
        <v>225</v>
      </c>
      <c r="E730" s="146"/>
      <c r="F730" s="147"/>
      <c r="G730" s="148"/>
      <c r="K730" s="128" t="s">
        <v>3452</v>
      </c>
      <c r="L730" s="134"/>
      <c r="M730" s="135" t="b">
        <v>0</v>
      </c>
      <c r="N730" s="135" t="b">
        <v>0</v>
      </c>
      <c r="O730" s="135"/>
      <c r="P730" s="135" t="b">
        <v>0</v>
      </c>
      <c r="Q730" s="135" t="b">
        <v>0</v>
      </c>
      <c r="R730" s="135" t="b">
        <v>0</v>
      </c>
      <c r="S730" s="135"/>
      <c r="T730" s="32"/>
      <c r="U730" s="135" t="b">
        <v>0</v>
      </c>
      <c r="V730" s="135"/>
      <c r="W730" s="135" t="b">
        <v>0</v>
      </c>
      <c r="X730" s="135" t="b">
        <v>0</v>
      </c>
      <c r="Y730" s="135"/>
      <c r="Z730" s="135"/>
      <c r="AA730" s="135"/>
      <c r="AB730" s="135"/>
      <c r="AC730" s="136"/>
      <c r="AD730" s="135"/>
      <c r="AE730" s="135"/>
      <c r="AF730" s="135"/>
      <c r="AG730" s="135"/>
      <c r="AH730" s="135"/>
      <c r="AI730" s="135"/>
      <c r="AJ730" s="138"/>
      <c r="AK730" s="149"/>
      <c r="AL730" s="2"/>
      <c r="AM730" s="2"/>
      <c r="AN730" s="126" t="s">
        <v>3453</v>
      </c>
      <c r="AO730" s="24">
        <v>0.0017013888888888888</v>
      </c>
      <c r="AP730" s="131" t="s">
        <v>633</v>
      </c>
      <c r="AQ730" s="131" t="s">
        <v>633</v>
      </c>
      <c r="AR730" s="139" t="s">
        <v>633</v>
      </c>
      <c r="AS730" s="7" t="b">
        <f>NOT(ISERROR(MATCH(A730,'Villages according to موسوعة ال'!C:C,0)))</f>
        <v>1</v>
      </c>
      <c r="AT730" s="150"/>
      <c r="AU730" s="150"/>
      <c r="AV730" s="150"/>
      <c r="AW730" s="150"/>
      <c r="AX730" s="150"/>
      <c r="AY730" s="150"/>
      <c r="AZ730" s="150"/>
      <c r="BA730" s="150"/>
      <c r="BB730" s="150"/>
      <c r="BC730" s="150"/>
      <c r="BD730" s="150"/>
      <c r="BE730" s="150"/>
      <c r="BF730" s="150"/>
      <c r="BG730" s="150"/>
      <c r="BH730" s="150"/>
      <c r="BI730" s="150"/>
      <c r="BJ730" s="150"/>
      <c r="BK730" s="150"/>
      <c r="BL730" s="150"/>
      <c r="BM730" s="150"/>
      <c r="BN730" s="150"/>
      <c r="BO730" s="150"/>
      <c r="BP730" s="150"/>
    </row>
    <row r="731">
      <c r="A731" s="7" t="s">
        <v>224</v>
      </c>
      <c r="B731" s="26" t="s">
        <v>225</v>
      </c>
      <c r="E731" s="146"/>
      <c r="F731" s="147"/>
      <c r="G731" s="148"/>
      <c r="H731" s="4" t="s">
        <v>3454</v>
      </c>
      <c r="I731" s="4" t="s">
        <v>616</v>
      </c>
      <c r="J731" s="4" t="s">
        <v>3455</v>
      </c>
      <c r="K731" s="128"/>
      <c r="L731" s="151"/>
      <c r="M731" s="152" t="b">
        <v>0</v>
      </c>
      <c r="N731" s="152" t="b">
        <v>0</v>
      </c>
      <c r="O731" s="152"/>
      <c r="P731" s="152" t="b">
        <v>0</v>
      </c>
      <c r="Q731" s="152" t="b">
        <v>0</v>
      </c>
      <c r="R731" s="152" t="b">
        <v>0</v>
      </c>
      <c r="S731" s="152"/>
      <c r="T731" s="32"/>
      <c r="U731" s="152" t="b">
        <v>0</v>
      </c>
      <c r="V731" s="152"/>
      <c r="W731" s="152" t="b">
        <v>0</v>
      </c>
      <c r="X731" s="152" t="b">
        <v>0</v>
      </c>
      <c r="Y731" s="152"/>
      <c r="Z731" s="152"/>
      <c r="AA731" s="152"/>
      <c r="AB731" s="152"/>
      <c r="AC731" s="153"/>
      <c r="AD731" s="152"/>
      <c r="AE731" s="152"/>
      <c r="AF731" s="152"/>
      <c r="AG731" s="152"/>
      <c r="AH731" s="152"/>
      <c r="AI731" s="152"/>
      <c r="AJ731" s="138"/>
      <c r="AK731" s="149"/>
      <c r="AL731" s="2"/>
      <c r="AM731" s="2"/>
      <c r="AN731" s="126" t="s">
        <v>3456</v>
      </c>
      <c r="AO731" s="24">
        <v>4.7453703703703704E-4</v>
      </c>
      <c r="AP731" s="131" t="s">
        <v>633</v>
      </c>
      <c r="AQ731" s="131" t="s">
        <v>633</v>
      </c>
      <c r="AR731" s="139" t="s">
        <v>633</v>
      </c>
      <c r="AS731" s="7" t="b">
        <f>NOT(ISERROR(MATCH(A731,'Villages according to موسوعة ال'!C:C,0)))</f>
        <v>1</v>
      </c>
      <c r="AT731" s="150"/>
      <c r="AU731" s="150"/>
      <c r="AV731" s="150"/>
      <c r="AW731" s="150"/>
      <c r="AX731" s="150"/>
      <c r="AY731" s="150"/>
      <c r="AZ731" s="150"/>
      <c r="BA731" s="150"/>
      <c r="BB731" s="150"/>
      <c r="BC731" s="150"/>
      <c r="BD731" s="150"/>
      <c r="BE731" s="150"/>
      <c r="BF731" s="150"/>
      <c r="BG731" s="150"/>
      <c r="BH731" s="150"/>
      <c r="BI731" s="150"/>
      <c r="BJ731" s="150"/>
      <c r="BK731" s="150"/>
      <c r="BL731" s="150"/>
      <c r="BM731" s="150"/>
      <c r="BN731" s="150"/>
      <c r="BO731" s="150"/>
      <c r="BP731" s="150"/>
    </row>
    <row r="732">
      <c r="A732" s="7" t="s">
        <v>117</v>
      </c>
      <c r="B732" s="43" t="s">
        <v>118</v>
      </c>
      <c r="C732" s="7" t="s">
        <v>118</v>
      </c>
      <c r="D732" s="7" t="s">
        <v>119</v>
      </c>
      <c r="E732" s="141"/>
      <c r="F732" s="142"/>
      <c r="G732" s="143"/>
      <c r="H732" s="7" t="s">
        <v>3457</v>
      </c>
      <c r="I732" s="7" t="s">
        <v>638</v>
      </c>
      <c r="J732" s="7" t="s">
        <v>3458</v>
      </c>
      <c r="K732" s="54"/>
      <c r="L732" s="30" t="s">
        <v>3459</v>
      </c>
      <c r="M732" s="60" t="b">
        <v>0</v>
      </c>
      <c r="N732" s="60" t="b">
        <v>0</v>
      </c>
      <c r="O732" s="60"/>
      <c r="P732" s="60" t="b">
        <v>0</v>
      </c>
      <c r="Q732" s="60" t="b">
        <v>0</v>
      </c>
      <c r="R732" s="60" t="b">
        <v>0</v>
      </c>
      <c r="S732" s="60"/>
      <c r="T732" s="60"/>
      <c r="U732" s="60" t="b">
        <v>0</v>
      </c>
      <c r="V732" s="60"/>
      <c r="W732" s="60" t="b">
        <v>0</v>
      </c>
      <c r="X732" s="60" t="b">
        <v>0</v>
      </c>
      <c r="Y732" s="60"/>
      <c r="Z732" s="60"/>
      <c r="AA732" s="60"/>
      <c r="AB732" s="60"/>
      <c r="AC732" s="61"/>
      <c r="AD732" s="60"/>
      <c r="AE732" s="60"/>
      <c r="AF732" s="60"/>
      <c r="AG732" s="60"/>
      <c r="AH732" s="60"/>
      <c r="AI732" s="60"/>
      <c r="AJ732" s="104" t="s">
        <v>3460</v>
      </c>
      <c r="AK732" s="34" t="s">
        <v>698</v>
      </c>
      <c r="AL732" s="144" t="s">
        <v>699</v>
      </c>
      <c r="AM732" s="144" t="s">
        <v>831</v>
      </c>
      <c r="AN732" s="35" t="s">
        <v>3461</v>
      </c>
      <c r="AO732" s="24">
        <v>0.0010532407407407407</v>
      </c>
      <c r="AP732" s="74" t="s">
        <v>633</v>
      </c>
      <c r="AQ732" s="74" t="s">
        <v>633</v>
      </c>
      <c r="AR732" s="35" t="s">
        <v>3462</v>
      </c>
      <c r="AS732" s="7" t="b">
        <f>NOT(ISERROR(MATCH(A732,'Villages according to موسوعة ال'!C:C,0)))</f>
        <v>1</v>
      </c>
      <c r="AT732" s="145"/>
      <c r="AU732" s="145"/>
      <c r="AV732" s="145"/>
      <c r="AW732" s="145"/>
      <c r="AX732" s="145"/>
      <c r="AY732" s="145"/>
      <c r="AZ732" s="145"/>
      <c r="BA732" s="145"/>
      <c r="BB732" s="145"/>
      <c r="BC732" s="145"/>
      <c r="BD732" s="145"/>
      <c r="BE732" s="145"/>
      <c r="BF732" s="145"/>
      <c r="BG732" s="145"/>
      <c r="BH732" s="145"/>
      <c r="BI732" s="145"/>
      <c r="BJ732" s="145"/>
      <c r="BK732" s="145"/>
      <c r="BL732" s="145"/>
      <c r="BM732" s="145"/>
      <c r="BN732" s="145"/>
      <c r="BO732" s="145"/>
      <c r="BP732" s="145"/>
    </row>
    <row r="733">
      <c r="A733" s="7" t="s">
        <v>117</v>
      </c>
      <c r="B733" s="26" t="s">
        <v>118</v>
      </c>
      <c r="E733" s="146"/>
      <c r="F733" s="147"/>
      <c r="G733" s="148"/>
      <c r="K733" s="128"/>
      <c r="L733" s="134" t="s">
        <v>3463</v>
      </c>
      <c r="M733" s="135" t="b">
        <v>0</v>
      </c>
      <c r="N733" s="135" t="b">
        <v>0</v>
      </c>
      <c r="O733" s="135"/>
      <c r="P733" s="135" t="b">
        <v>0</v>
      </c>
      <c r="Q733" s="135" t="b">
        <v>0</v>
      </c>
      <c r="R733" s="135" t="b">
        <v>0</v>
      </c>
      <c r="S733" s="135"/>
      <c r="T733" s="32"/>
      <c r="U733" s="135" t="b">
        <v>0</v>
      </c>
      <c r="V733" s="135"/>
      <c r="W733" s="135" t="b">
        <v>0</v>
      </c>
      <c r="X733" s="135" t="b">
        <v>0</v>
      </c>
      <c r="Y733" s="135"/>
      <c r="Z733" s="135"/>
      <c r="AA733" s="135"/>
      <c r="AB733" s="135"/>
      <c r="AC733" s="136"/>
      <c r="AD733" s="135"/>
      <c r="AE733" s="135"/>
      <c r="AF733" s="135"/>
      <c r="AG733" s="135"/>
      <c r="AH733" s="135"/>
      <c r="AI733" s="135"/>
      <c r="AJ733" s="138"/>
      <c r="AK733" s="149"/>
      <c r="AL733" s="2"/>
      <c r="AM733" s="2"/>
      <c r="AN733" s="126" t="s">
        <v>3464</v>
      </c>
      <c r="AO733" s="24">
        <v>0.0021412037037037038</v>
      </c>
      <c r="AP733" s="131" t="s">
        <v>633</v>
      </c>
      <c r="AQ733" s="131" t="s">
        <v>633</v>
      </c>
      <c r="AR733" s="139" t="s">
        <v>633</v>
      </c>
      <c r="AS733" s="7" t="b">
        <f>NOT(ISERROR(MATCH(A733,'Villages according to موسوعة ال'!C:C,0)))</f>
        <v>1</v>
      </c>
      <c r="AT733" s="150"/>
      <c r="AU733" s="150"/>
      <c r="AV733" s="150"/>
      <c r="AW733" s="150"/>
      <c r="AX733" s="150"/>
      <c r="AY733" s="150"/>
      <c r="AZ733" s="150"/>
      <c r="BA733" s="150"/>
      <c r="BB733" s="150"/>
      <c r="BC733" s="150"/>
      <c r="BD733" s="150"/>
      <c r="BE733" s="150"/>
      <c r="BF733" s="150"/>
      <c r="BG733" s="150"/>
      <c r="BH733" s="150"/>
      <c r="BI733" s="150"/>
      <c r="BJ733" s="150"/>
      <c r="BK733" s="150"/>
      <c r="BL733" s="150"/>
      <c r="BM733" s="150"/>
      <c r="BN733" s="150"/>
      <c r="BO733" s="150"/>
      <c r="BP733" s="150"/>
    </row>
    <row r="734">
      <c r="A734" s="7" t="s">
        <v>117</v>
      </c>
      <c r="B734" s="43" t="s">
        <v>118</v>
      </c>
      <c r="E734" s="141"/>
      <c r="F734" s="142"/>
      <c r="G734" s="143"/>
      <c r="K734" s="54" t="s">
        <v>3465</v>
      </c>
      <c r="L734" s="154"/>
      <c r="M734" s="155" t="b">
        <v>0</v>
      </c>
      <c r="N734" s="155" t="b">
        <v>0</v>
      </c>
      <c r="O734" s="155"/>
      <c r="P734" s="155" t="b">
        <v>0</v>
      </c>
      <c r="Q734" s="155" t="b">
        <v>0</v>
      </c>
      <c r="R734" s="155" t="b">
        <v>0</v>
      </c>
      <c r="S734" s="155"/>
      <c r="T734" s="60"/>
      <c r="U734" s="155" t="b">
        <v>0</v>
      </c>
      <c r="V734" s="155"/>
      <c r="W734" s="155" t="b">
        <v>0</v>
      </c>
      <c r="X734" s="155" t="b">
        <v>0</v>
      </c>
      <c r="Y734" s="155"/>
      <c r="Z734" s="155"/>
      <c r="AA734" s="155"/>
      <c r="AB734" s="155"/>
      <c r="AC734" s="156"/>
      <c r="AD734" s="155"/>
      <c r="AE734" s="155"/>
      <c r="AF734" s="155"/>
      <c r="AG734" s="155"/>
      <c r="AH734" s="155"/>
      <c r="AI734" s="155"/>
      <c r="AJ734" s="157" t="s">
        <v>3466</v>
      </c>
      <c r="AK734" s="34" t="s">
        <v>631</v>
      </c>
      <c r="AL734" s="144" t="s">
        <v>675</v>
      </c>
      <c r="AM734" s="144" t="s">
        <v>676</v>
      </c>
      <c r="AN734" s="158" t="s">
        <v>3467</v>
      </c>
      <c r="AO734" s="76">
        <v>0.0017824074074074075</v>
      </c>
      <c r="AP734" s="74" t="s">
        <v>633</v>
      </c>
      <c r="AQ734" s="74" t="s">
        <v>633</v>
      </c>
      <c r="AR734" s="158" t="s">
        <v>3468</v>
      </c>
      <c r="AS734" s="7" t="b">
        <f>NOT(ISERROR(MATCH(A734,'Villages according to موسوعة ال'!C:C,0)))</f>
        <v>1</v>
      </c>
      <c r="AT734" s="145"/>
      <c r="AU734" s="145"/>
      <c r="AV734" s="145"/>
      <c r="AW734" s="145"/>
      <c r="AX734" s="145"/>
      <c r="AY734" s="145"/>
      <c r="AZ734" s="145"/>
      <c r="BA734" s="145"/>
      <c r="BB734" s="145"/>
      <c r="BC734" s="145"/>
      <c r="BD734" s="145"/>
      <c r="BE734" s="145"/>
      <c r="BF734" s="145"/>
      <c r="BG734" s="145"/>
      <c r="BH734" s="145"/>
      <c r="BI734" s="145"/>
      <c r="BJ734" s="145"/>
      <c r="BK734" s="145"/>
      <c r="BL734" s="145"/>
      <c r="BM734" s="145"/>
      <c r="BN734" s="145"/>
      <c r="BO734" s="145"/>
      <c r="BP734" s="145"/>
    </row>
    <row r="735">
      <c r="A735" s="7" t="s">
        <v>117</v>
      </c>
      <c r="B735" s="26" t="s">
        <v>118</v>
      </c>
      <c r="E735" s="146"/>
      <c r="F735" s="147"/>
      <c r="G735" s="148"/>
      <c r="K735" s="128" t="s">
        <v>3469</v>
      </c>
      <c r="L735" s="134" t="s">
        <v>3470</v>
      </c>
      <c r="M735" s="135" t="b">
        <v>0</v>
      </c>
      <c r="N735" s="135" t="b">
        <v>0</v>
      </c>
      <c r="O735" s="135"/>
      <c r="P735" s="135" t="b">
        <v>0</v>
      </c>
      <c r="Q735" s="135" t="b">
        <v>0</v>
      </c>
      <c r="R735" s="135" t="b">
        <v>0</v>
      </c>
      <c r="S735" s="135"/>
      <c r="T735" s="32"/>
      <c r="U735" s="135" t="b">
        <v>0</v>
      </c>
      <c r="V735" s="135"/>
      <c r="W735" s="135" t="b">
        <v>0</v>
      </c>
      <c r="X735" s="135" t="b">
        <v>0</v>
      </c>
      <c r="Y735" s="135"/>
      <c r="Z735" s="135"/>
      <c r="AA735" s="135"/>
      <c r="AB735" s="135"/>
      <c r="AC735" s="136"/>
      <c r="AD735" s="135"/>
      <c r="AE735" s="135"/>
      <c r="AF735" s="135"/>
      <c r="AG735" s="135"/>
      <c r="AH735" s="135"/>
      <c r="AI735" s="135"/>
      <c r="AJ735" s="138"/>
      <c r="AK735" s="149"/>
      <c r="AL735" s="2"/>
      <c r="AM735" s="2"/>
      <c r="AN735" s="126" t="s">
        <v>3471</v>
      </c>
      <c r="AO735" s="24">
        <v>0.0022800925925925927</v>
      </c>
      <c r="AP735" s="131" t="s">
        <v>633</v>
      </c>
      <c r="AQ735" s="131" t="s">
        <v>633</v>
      </c>
      <c r="AR735" s="4" t="s">
        <v>633</v>
      </c>
      <c r="AS735" s="7" t="b">
        <f>NOT(ISERROR(MATCH(A735,'Villages according to موسوعة ال'!C:C,0)))</f>
        <v>1</v>
      </c>
      <c r="AT735" s="150"/>
      <c r="AU735" s="150"/>
      <c r="AV735" s="150"/>
      <c r="AW735" s="150"/>
      <c r="AX735" s="150"/>
      <c r="AY735" s="150"/>
      <c r="AZ735" s="150"/>
      <c r="BA735" s="150"/>
      <c r="BB735" s="150"/>
      <c r="BC735" s="150"/>
      <c r="BD735" s="150"/>
      <c r="BE735" s="150"/>
      <c r="BF735" s="150"/>
      <c r="BG735" s="150"/>
      <c r="BH735" s="150"/>
      <c r="BI735" s="150"/>
      <c r="BJ735" s="150"/>
      <c r="BK735" s="150"/>
      <c r="BL735" s="150"/>
      <c r="BM735" s="150"/>
      <c r="BN735" s="150"/>
      <c r="BO735" s="150"/>
      <c r="BP735" s="150"/>
    </row>
    <row r="736">
      <c r="A736" s="7" t="s">
        <v>117</v>
      </c>
      <c r="B736" s="26" t="s">
        <v>118</v>
      </c>
      <c r="E736" s="146"/>
      <c r="F736" s="147"/>
      <c r="G736" s="148"/>
      <c r="K736" s="128" t="s">
        <v>3472</v>
      </c>
      <c r="L736" s="151"/>
      <c r="M736" s="152" t="b">
        <v>0</v>
      </c>
      <c r="N736" s="152" t="b">
        <v>0</v>
      </c>
      <c r="O736" s="152"/>
      <c r="P736" s="152" t="b">
        <v>0</v>
      </c>
      <c r="Q736" s="152" t="b">
        <v>0</v>
      </c>
      <c r="R736" s="152" t="b">
        <v>0</v>
      </c>
      <c r="S736" s="152"/>
      <c r="T736" s="32"/>
      <c r="U736" s="152" t="b">
        <v>0</v>
      </c>
      <c r="V736" s="152"/>
      <c r="W736" s="152" t="b">
        <v>0</v>
      </c>
      <c r="X736" s="152" t="b">
        <v>0</v>
      </c>
      <c r="Y736" s="152"/>
      <c r="Z736" s="152"/>
      <c r="AA736" s="152"/>
      <c r="AB736" s="152"/>
      <c r="AC736" s="153"/>
      <c r="AD736" s="152"/>
      <c r="AE736" s="152"/>
      <c r="AF736" s="152"/>
      <c r="AG736" s="152"/>
      <c r="AH736" s="152"/>
      <c r="AI736" s="152"/>
      <c r="AJ736" s="138"/>
      <c r="AK736" s="149"/>
      <c r="AL736" s="2"/>
      <c r="AM736" s="2"/>
      <c r="AN736" s="126" t="s">
        <v>3473</v>
      </c>
      <c r="AO736" s="24">
        <v>0.0013310185185185185</v>
      </c>
      <c r="AP736" s="131" t="s">
        <v>633</v>
      </c>
      <c r="AQ736" s="131" t="s">
        <v>633</v>
      </c>
      <c r="AR736" s="4" t="s">
        <v>633</v>
      </c>
      <c r="AS736" s="7" t="b">
        <f>NOT(ISERROR(MATCH(A736,'Villages according to موسوعة ال'!C:C,0)))</f>
        <v>1</v>
      </c>
      <c r="AT736" s="150"/>
      <c r="AU736" s="150"/>
      <c r="AV736" s="150"/>
      <c r="AW736" s="150"/>
      <c r="AX736" s="150"/>
      <c r="AY736" s="150"/>
      <c r="AZ736" s="150"/>
      <c r="BA736" s="150"/>
      <c r="BB736" s="150"/>
      <c r="BC736" s="150"/>
      <c r="BD736" s="150"/>
      <c r="BE736" s="150"/>
      <c r="BF736" s="150"/>
      <c r="BG736" s="150"/>
      <c r="BH736" s="150"/>
      <c r="BI736" s="150"/>
      <c r="BJ736" s="150"/>
      <c r="BK736" s="150"/>
      <c r="BL736" s="150"/>
      <c r="BM736" s="150"/>
      <c r="BN736" s="150"/>
      <c r="BO736" s="150"/>
      <c r="BP736" s="150"/>
    </row>
    <row r="737">
      <c r="A737" s="7" t="s">
        <v>117</v>
      </c>
      <c r="B737" s="26" t="s">
        <v>118</v>
      </c>
      <c r="E737" s="146"/>
      <c r="F737" s="147"/>
      <c r="G737" s="148"/>
      <c r="K737" s="128" t="s">
        <v>3474</v>
      </c>
      <c r="L737" s="134" t="s">
        <v>3470</v>
      </c>
      <c r="M737" s="135" t="b">
        <v>0</v>
      </c>
      <c r="N737" s="135" t="b">
        <v>0</v>
      </c>
      <c r="O737" s="135"/>
      <c r="P737" s="135" t="b">
        <v>0</v>
      </c>
      <c r="Q737" s="135" t="b">
        <v>0</v>
      </c>
      <c r="R737" s="135" t="b">
        <v>0</v>
      </c>
      <c r="S737" s="135"/>
      <c r="T737" s="32"/>
      <c r="U737" s="135" t="b">
        <v>0</v>
      </c>
      <c r="V737" s="135"/>
      <c r="W737" s="135" t="b">
        <v>0</v>
      </c>
      <c r="X737" s="135" t="b">
        <v>0</v>
      </c>
      <c r="Y737" s="135"/>
      <c r="Z737" s="135"/>
      <c r="AA737" s="135"/>
      <c r="AB737" s="135"/>
      <c r="AC737" s="136"/>
      <c r="AD737" s="135"/>
      <c r="AE737" s="135"/>
      <c r="AF737" s="135"/>
      <c r="AG737" s="135"/>
      <c r="AH737" s="135"/>
      <c r="AI737" s="135"/>
      <c r="AJ737" s="138"/>
      <c r="AK737" s="149"/>
      <c r="AL737" s="2"/>
      <c r="AM737" s="2"/>
      <c r="AN737" s="126" t="s">
        <v>3475</v>
      </c>
      <c r="AO737" s="24">
        <v>0.0028356481481481483</v>
      </c>
      <c r="AP737" s="131" t="s">
        <v>633</v>
      </c>
      <c r="AQ737" s="131" t="s">
        <v>633</v>
      </c>
      <c r="AR737" s="4" t="s">
        <v>633</v>
      </c>
      <c r="AS737" s="7" t="b">
        <f>NOT(ISERROR(MATCH(A737,'Villages according to موسوعة ال'!C:C,0)))</f>
        <v>1</v>
      </c>
      <c r="AT737" s="150"/>
      <c r="AU737" s="150"/>
      <c r="AV737" s="150"/>
      <c r="AW737" s="150"/>
      <c r="AX737" s="150"/>
      <c r="AY737" s="150"/>
      <c r="AZ737" s="150"/>
      <c r="BA737" s="150"/>
      <c r="BB737" s="150"/>
      <c r="BC737" s="150"/>
      <c r="BD737" s="150"/>
      <c r="BE737" s="150"/>
      <c r="BF737" s="150"/>
      <c r="BG737" s="150"/>
      <c r="BH737" s="150"/>
      <c r="BI737" s="150"/>
      <c r="BJ737" s="150"/>
      <c r="BK737" s="150"/>
      <c r="BL737" s="150"/>
      <c r="BM737" s="150"/>
      <c r="BN737" s="150"/>
      <c r="BO737" s="150"/>
      <c r="BP737" s="150"/>
    </row>
    <row r="738">
      <c r="A738" s="7" t="s">
        <v>117</v>
      </c>
      <c r="B738" s="26" t="s">
        <v>118</v>
      </c>
      <c r="E738" s="146"/>
      <c r="F738" s="147"/>
      <c r="G738" s="148"/>
      <c r="K738" s="128" t="s">
        <v>3476</v>
      </c>
      <c r="L738" s="151"/>
      <c r="M738" s="152" t="b">
        <v>0</v>
      </c>
      <c r="N738" s="152" t="b">
        <v>0</v>
      </c>
      <c r="O738" s="152"/>
      <c r="P738" s="152" t="b">
        <v>0</v>
      </c>
      <c r="Q738" s="152" t="b">
        <v>0</v>
      </c>
      <c r="R738" s="152" t="b">
        <v>0</v>
      </c>
      <c r="S738" s="152"/>
      <c r="T738" s="32"/>
      <c r="U738" s="152" t="b">
        <v>0</v>
      </c>
      <c r="V738" s="152"/>
      <c r="W738" s="152" t="b">
        <v>0</v>
      </c>
      <c r="X738" s="152" t="b">
        <v>0</v>
      </c>
      <c r="Y738" s="152"/>
      <c r="Z738" s="152"/>
      <c r="AA738" s="152"/>
      <c r="AB738" s="152"/>
      <c r="AC738" s="153"/>
      <c r="AD738" s="152"/>
      <c r="AE738" s="152"/>
      <c r="AF738" s="152"/>
      <c r="AG738" s="152"/>
      <c r="AH738" s="152"/>
      <c r="AI738" s="152"/>
      <c r="AJ738" s="138"/>
      <c r="AK738" s="149"/>
      <c r="AL738" s="2"/>
      <c r="AM738" s="2"/>
      <c r="AN738" s="126" t="s">
        <v>3477</v>
      </c>
      <c r="AO738" s="24">
        <v>0.0011226851851851851</v>
      </c>
      <c r="AP738" s="131" t="s">
        <v>633</v>
      </c>
      <c r="AQ738" s="131" t="s">
        <v>633</v>
      </c>
      <c r="AR738" s="4" t="s">
        <v>633</v>
      </c>
      <c r="AS738" s="7" t="b">
        <f>NOT(ISERROR(MATCH(A738,'Villages according to موسوعة ال'!C:C,0)))</f>
        <v>1</v>
      </c>
      <c r="AT738" s="150"/>
      <c r="AU738" s="150"/>
      <c r="AV738" s="150"/>
      <c r="AW738" s="150"/>
      <c r="AX738" s="150"/>
      <c r="AY738" s="150"/>
      <c r="AZ738" s="150"/>
      <c r="BA738" s="150"/>
      <c r="BB738" s="150"/>
      <c r="BC738" s="150"/>
      <c r="BD738" s="150"/>
      <c r="BE738" s="150"/>
      <c r="BF738" s="150"/>
      <c r="BG738" s="150"/>
      <c r="BH738" s="150"/>
      <c r="BI738" s="150"/>
      <c r="BJ738" s="150"/>
      <c r="BK738" s="150"/>
      <c r="BL738" s="150"/>
      <c r="BM738" s="150"/>
      <c r="BN738" s="150"/>
      <c r="BO738" s="150"/>
      <c r="BP738" s="150"/>
    </row>
    <row r="739">
      <c r="A739" s="7" t="s">
        <v>117</v>
      </c>
      <c r="B739" s="26" t="s">
        <v>118</v>
      </c>
      <c r="E739" s="146"/>
      <c r="F739" s="147"/>
      <c r="G739" s="148"/>
      <c r="K739" s="128"/>
      <c r="L739" s="151"/>
      <c r="M739" s="152" t="b">
        <v>0</v>
      </c>
      <c r="N739" s="152" t="b">
        <v>0</v>
      </c>
      <c r="O739" s="152"/>
      <c r="P739" s="152" t="b">
        <v>0</v>
      </c>
      <c r="Q739" s="152" t="b">
        <v>0</v>
      </c>
      <c r="R739" s="152" t="b">
        <v>0</v>
      </c>
      <c r="S739" s="152"/>
      <c r="T739" s="32"/>
      <c r="U739" s="152" t="b">
        <v>0</v>
      </c>
      <c r="V739" s="152"/>
      <c r="W739" s="152" t="b">
        <v>0</v>
      </c>
      <c r="X739" s="152" t="b">
        <v>0</v>
      </c>
      <c r="Y739" s="152"/>
      <c r="Z739" s="152"/>
      <c r="AA739" s="152"/>
      <c r="AB739" s="152"/>
      <c r="AC739" s="153"/>
      <c r="AD739" s="152"/>
      <c r="AE739" s="152"/>
      <c r="AF739" s="152"/>
      <c r="AG739" s="152"/>
      <c r="AH739" s="152"/>
      <c r="AI739" s="152"/>
      <c r="AJ739" s="138"/>
      <c r="AK739" s="149"/>
      <c r="AL739" s="2"/>
      <c r="AM739" s="2"/>
      <c r="AN739" s="126" t="s">
        <v>3478</v>
      </c>
      <c r="AO739" s="24">
        <v>0.002928240740740741</v>
      </c>
      <c r="AP739" s="131" t="s">
        <v>633</v>
      </c>
      <c r="AQ739" s="131" t="s">
        <v>633</v>
      </c>
      <c r="AR739" s="4" t="s">
        <v>633</v>
      </c>
      <c r="AS739" s="7" t="b">
        <f>NOT(ISERROR(MATCH(A739,'Villages according to موسوعة ال'!C:C,0)))</f>
        <v>1</v>
      </c>
      <c r="AT739" s="150"/>
      <c r="AU739" s="150"/>
      <c r="AV739" s="150"/>
      <c r="AW739" s="150"/>
      <c r="AX739" s="150"/>
      <c r="AY739" s="150"/>
      <c r="AZ739" s="150"/>
      <c r="BA739" s="150"/>
      <c r="BB739" s="150"/>
      <c r="BC739" s="150"/>
      <c r="BD739" s="150"/>
      <c r="BE739" s="150"/>
      <c r="BF739" s="150"/>
      <c r="BG739" s="150"/>
      <c r="BH739" s="150"/>
      <c r="BI739" s="150"/>
      <c r="BJ739" s="150"/>
      <c r="BK739" s="150"/>
      <c r="BL739" s="150"/>
      <c r="BM739" s="150"/>
      <c r="BN739" s="150"/>
      <c r="BO739" s="150"/>
      <c r="BP739" s="150"/>
    </row>
    <row r="740">
      <c r="A740" s="7" t="s">
        <v>117</v>
      </c>
      <c r="B740" s="26" t="s">
        <v>118</v>
      </c>
      <c r="E740" s="146"/>
      <c r="F740" s="147"/>
      <c r="G740" s="148"/>
      <c r="K740" s="128" t="s">
        <v>3479</v>
      </c>
      <c r="L740" s="134" t="s">
        <v>3480</v>
      </c>
      <c r="M740" s="135" t="b">
        <v>0</v>
      </c>
      <c r="N740" s="135" t="b">
        <v>0</v>
      </c>
      <c r="O740" s="135"/>
      <c r="P740" s="135" t="b">
        <v>0</v>
      </c>
      <c r="Q740" s="135" t="b">
        <v>0</v>
      </c>
      <c r="R740" s="135" t="b">
        <v>0</v>
      </c>
      <c r="S740" s="135"/>
      <c r="T740" s="32"/>
      <c r="U740" s="135" t="b">
        <v>0</v>
      </c>
      <c r="V740" s="135"/>
      <c r="W740" s="135" t="b">
        <v>0</v>
      </c>
      <c r="X740" s="135" t="b">
        <v>0</v>
      </c>
      <c r="Y740" s="135"/>
      <c r="Z740" s="135"/>
      <c r="AA740" s="135"/>
      <c r="AB740" s="135"/>
      <c r="AC740" s="136"/>
      <c r="AD740" s="135"/>
      <c r="AE740" s="135"/>
      <c r="AF740" s="135"/>
      <c r="AG740" s="135"/>
      <c r="AH740" s="135"/>
      <c r="AI740" s="135"/>
      <c r="AJ740" s="138"/>
      <c r="AK740" s="149"/>
      <c r="AL740" s="2"/>
      <c r="AM740" s="2"/>
      <c r="AN740" s="126" t="s">
        <v>3481</v>
      </c>
      <c r="AO740" s="24">
        <v>0.002199074074074074</v>
      </c>
      <c r="AP740" s="131" t="s">
        <v>633</v>
      </c>
      <c r="AQ740" s="131" t="s">
        <v>633</v>
      </c>
      <c r="AR740" s="4" t="s">
        <v>633</v>
      </c>
      <c r="AS740" s="7" t="b">
        <f>NOT(ISERROR(MATCH(A740,'Villages according to موسوعة ال'!C:C,0)))</f>
        <v>1</v>
      </c>
      <c r="AT740" s="150"/>
      <c r="AU740" s="150"/>
      <c r="AV740" s="150"/>
      <c r="AW740" s="150"/>
      <c r="AX740" s="150"/>
      <c r="AY740" s="150"/>
      <c r="AZ740" s="150"/>
      <c r="BA740" s="150"/>
      <c r="BB740" s="150"/>
      <c r="BC740" s="150"/>
      <c r="BD740" s="150"/>
      <c r="BE740" s="150"/>
      <c r="BF740" s="150"/>
      <c r="BG740" s="150"/>
      <c r="BH740" s="150"/>
      <c r="BI740" s="150"/>
      <c r="BJ740" s="150"/>
      <c r="BK740" s="150"/>
      <c r="BL740" s="150"/>
      <c r="BM740" s="150"/>
      <c r="BN740" s="150"/>
      <c r="BO740" s="150"/>
      <c r="BP740" s="150"/>
    </row>
    <row r="741">
      <c r="A741" s="7" t="s">
        <v>117</v>
      </c>
      <c r="B741" s="26" t="s">
        <v>118</v>
      </c>
      <c r="E741" s="146"/>
      <c r="F741" s="147"/>
      <c r="G741" s="148"/>
      <c r="K741" s="128" t="s">
        <v>3482</v>
      </c>
      <c r="L741" s="151"/>
      <c r="M741" s="152" t="b">
        <v>0</v>
      </c>
      <c r="N741" s="152" t="b">
        <v>0</v>
      </c>
      <c r="O741" s="152"/>
      <c r="P741" s="152" t="b">
        <v>0</v>
      </c>
      <c r="Q741" s="152" t="b">
        <v>0</v>
      </c>
      <c r="R741" s="152" t="b">
        <v>0</v>
      </c>
      <c r="S741" s="152"/>
      <c r="T741" s="32"/>
      <c r="U741" s="152" t="b">
        <v>0</v>
      </c>
      <c r="V741" s="152"/>
      <c r="W741" s="152" t="b">
        <v>0</v>
      </c>
      <c r="X741" s="152" t="b">
        <v>0</v>
      </c>
      <c r="Y741" s="152"/>
      <c r="Z741" s="152"/>
      <c r="AA741" s="152"/>
      <c r="AB741" s="152"/>
      <c r="AC741" s="153"/>
      <c r="AD741" s="152"/>
      <c r="AE741" s="152"/>
      <c r="AF741" s="152"/>
      <c r="AG741" s="152"/>
      <c r="AH741" s="152"/>
      <c r="AI741" s="152"/>
      <c r="AJ741" s="138"/>
      <c r="AK741" s="149"/>
      <c r="AL741" s="2"/>
      <c r="AM741" s="2"/>
      <c r="AN741" s="126" t="s">
        <v>3483</v>
      </c>
      <c r="AO741" s="24">
        <v>0.003761574074074074</v>
      </c>
      <c r="AP741" s="131" t="s">
        <v>633</v>
      </c>
      <c r="AQ741" s="131" t="s">
        <v>633</v>
      </c>
      <c r="AR741" s="4" t="s">
        <v>633</v>
      </c>
      <c r="AS741" s="7" t="b">
        <f>NOT(ISERROR(MATCH(A741,'Villages according to موسوعة ال'!C:C,0)))</f>
        <v>1</v>
      </c>
      <c r="AT741" s="150"/>
      <c r="AU741" s="150"/>
      <c r="AV741" s="150"/>
      <c r="AW741" s="150"/>
      <c r="AX741" s="150"/>
      <c r="AY741" s="150"/>
      <c r="AZ741" s="150"/>
      <c r="BA741" s="150"/>
      <c r="BB741" s="150"/>
      <c r="BC741" s="150"/>
      <c r="BD741" s="150"/>
      <c r="BE741" s="150"/>
      <c r="BF741" s="150"/>
      <c r="BG741" s="150"/>
      <c r="BH741" s="150"/>
      <c r="BI741" s="150"/>
      <c r="BJ741" s="150"/>
      <c r="BK741" s="150"/>
      <c r="BL741" s="150"/>
      <c r="BM741" s="150"/>
      <c r="BN741" s="150"/>
      <c r="BO741" s="150"/>
      <c r="BP741" s="150"/>
    </row>
    <row r="742">
      <c r="A742" s="7" t="s">
        <v>117</v>
      </c>
      <c r="B742" s="26" t="s">
        <v>118</v>
      </c>
      <c r="E742" s="146"/>
      <c r="F742" s="147"/>
      <c r="G742" s="148"/>
      <c r="H742" s="4" t="s">
        <v>3484</v>
      </c>
      <c r="I742" s="4" t="s">
        <v>638</v>
      </c>
      <c r="J742" s="4" t="s">
        <v>3485</v>
      </c>
      <c r="K742" s="128" t="s">
        <v>3486</v>
      </c>
      <c r="L742" s="134" t="s">
        <v>3487</v>
      </c>
      <c r="M742" s="135" t="b">
        <v>0</v>
      </c>
      <c r="N742" s="135" t="b">
        <v>0</v>
      </c>
      <c r="O742" s="135"/>
      <c r="P742" s="135" t="b">
        <v>0</v>
      </c>
      <c r="Q742" s="135" t="b">
        <v>0</v>
      </c>
      <c r="R742" s="135" t="b">
        <v>0</v>
      </c>
      <c r="S742" s="135"/>
      <c r="T742" s="32"/>
      <c r="U742" s="135" t="b">
        <v>0</v>
      </c>
      <c r="V742" s="135"/>
      <c r="W742" s="135" t="b">
        <v>0</v>
      </c>
      <c r="X742" s="135" t="b">
        <v>0</v>
      </c>
      <c r="Y742" s="135"/>
      <c r="Z742" s="135"/>
      <c r="AA742" s="135"/>
      <c r="AB742" s="135"/>
      <c r="AC742" s="136"/>
      <c r="AD742" s="135"/>
      <c r="AE742" s="135"/>
      <c r="AF742" s="135"/>
      <c r="AG742" s="135"/>
      <c r="AH742" s="135"/>
      <c r="AI742" s="135"/>
      <c r="AJ742" s="138" t="s">
        <v>3488</v>
      </c>
      <c r="AK742" s="149"/>
      <c r="AL742" s="2"/>
      <c r="AM742" s="2"/>
      <c r="AN742" s="126" t="s">
        <v>3489</v>
      </c>
      <c r="AO742" s="24">
        <v>0.03128472222222222</v>
      </c>
      <c r="AP742" s="4" t="s">
        <v>3490</v>
      </c>
      <c r="AQ742" s="4" t="s">
        <v>633</v>
      </c>
      <c r="AR742" s="4" t="s">
        <v>633</v>
      </c>
      <c r="AS742" s="7" t="b">
        <f>NOT(ISERROR(MATCH(A742,'Villages according to موسوعة ال'!C:C,0)))</f>
        <v>1</v>
      </c>
      <c r="AT742" s="150"/>
      <c r="AU742" s="150"/>
      <c r="AV742" s="150"/>
      <c r="AW742" s="150"/>
      <c r="AX742" s="150"/>
      <c r="AY742" s="150"/>
      <c r="AZ742" s="150"/>
      <c r="BA742" s="150"/>
      <c r="BB742" s="150"/>
      <c r="BC742" s="150"/>
      <c r="BD742" s="150"/>
      <c r="BE742" s="150"/>
      <c r="BF742" s="150"/>
      <c r="BG742" s="150"/>
      <c r="BH742" s="150"/>
      <c r="BI742" s="150"/>
      <c r="BJ742" s="150"/>
      <c r="BK742" s="150"/>
      <c r="BL742" s="150"/>
      <c r="BM742" s="150"/>
      <c r="BN742" s="150"/>
      <c r="BO742" s="150"/>
      <c r="BP742" s="150"/>
    </row>
    <row r="743">
      <c r="A743" s="7" t="s">
        <v>117</v>
      </c>
      <c r="B743" s="26" t="s">
        <v>118</v>
      </c>
      <c r="E743" s="146"/>
      <c r="F743" s="147"/>
      <c r="G743" s="148"/>
      <c r="K743" s="128" t="s">
        <v>3491</v>
      </c>
      <c r="L743" s="134" t="s">
        <v>3492</v>
      </c>
      <c r="M743" s="135" t="b">
        <v>0</v>
      </c>
      <c r="N743" s="135" t="b">
        <v>0</v>
      </c>
      <c r="O743" s="135"/>
      <c r="P743" s="135" t="b">
        <v>0</v>
      </c>
      <c r="Q743" s="135" t="b">
        <v>0</v>
      </c>
      <c r="R743" s="135" t="b">
        <v>0</v>
      </c>
      <c r="S743" s="135"/>
      <c r="T743" s="32"/>
      <c r="U743" s="135" t="b">
        <v>0</v>
      </c>
      <c r="V743" s="135"/>
      <c r="W743" s="135" t="b">
        <v>0</v>
      </c>
      <c r="X743" s="135" t="b">
        <v>0</v>
      </c>
      <c r="Y743" s="135"/>
      <c r="Z743" s="135"/>
      <c r="AA743" s="135"/>
      <c r="AB743" s="135"/>
      <c r="AC743" s="136"/>
      <c r="AD743" s="135"/>
      <c r="AE743" s="135"/>
      <c r="AF743" s="135"/>
      <c r="AG743" s="135"/>
      <c r="AH743" s="135"/>
      <c r="AI743" s="135"/>
      <c r="AJ743" s="138" t="s">
        <v>3493</v>
      </c>
      <c r="AK743" s="149"/>
      <c r="AL743" s="2"/>
      <c r="AM743" s="2"/>
      <c r="AN743" s="126" t="s">
        <v>3494</v>
      </c>
      <c r="AO743" s="24">
        <v>0.007592592592592593</v>
      </c>
      <c r="AP743" s="4" t="s">
        <v>3490</v>
      </c>
      <c r="AQ743" s="4" t="s">
        <v>633</v>
      </c>
      <c r="AR743" s="4" t="s">
        <v>633</v>
      </c>
      <c r="AS743" s="7" t="b">
        <f>NOT(ISERROR(MATCH(A743,'Villages according to موسوعة ال'!C:C,0)))</f>
        <v>1</v>
      </c>
      <c r="AT743" s="150"/>
      <c r="AU743" s="150"/>
      <c r="AV743" s="150"/>
      <c r="AW743" s="150"/>
      <c r="AX743" s="150"/>
      <c r="AY743" s="150"/>
      <c r="AZ743" s="150"/>
      <c r="BA743" s="150"/>
      <c r="BB743" s="150"/>
      <c r="BC743" s="150"/>
      <c r="BD743" s="150"/>
      <c r="BE743" s="150"/>
      <c r="BF743" s="150"/>
      <c r="BG743" s="150"/>
      <c r="BH743" s="150"/>
      <c r="BI743" s="150"/>
      <c r="BJ743" s="150"/>
      <c r="BK743" s="150"/>
      <c r="BL743" s="150"/>
      <c r="BM743" s="150"/>
      <c r="BN743" s="150"/>
      <c r="BO743" s="150"/>
      <c r="BP743" s="150"/>
    </row>
    <row r="744">
      <c r="A744" s="7" t="s">
        <v>3495</v>
      </c>
      <c r="B744" s="43" t="s">
        <v>171</v>
      </c>
      <c r="C744" s="7" t="s">
        <v>171</v>
      </c>
      <c r="D744" s="7" t="s">
        <v>172</v>
      </c>
      <c r="E744" s="141"/>
      <c r="F744" s="142"/>
      <c r="G744" s="143"/>
      <c r="H744" s="7" t="s">
        <v>3496</v>
      </c>
      <c r="I744" s="7" t="s">
        <v>638</v>
      </c>
      <c r="J744" s="7" t="s">
        <v>3497</v>
      </c>
      <c r="K744" s="54" t="s">
        <v>3498</v>
      </c>
      <c r="L744" s="30" t="s">
        <v>3499</v>
      </c>
      <c r="M744" s="60" t="b">
        <v>0</v>
      </c>
      <c r="N744" s="60" t="b">
        <v>0</v>
      </c>
      <c r="O744" s="60"/>
      <c r="P744" s="60" t="b">
        <v>0</v>
      </c>
      <c r="Q744" s="60" t="b">
        <v>0</v>
      </c>
      <c r="R744" s="60" t="b">
        <v>0</v>
      </c>
      <c r="S744" s="60"/>
      <c r="T744" s="60"/>
      <c r="U744" s="60" t="b">
        <v>0</v>
      </c>
      <c r="V744" s="60"/>
      <c r="W744" s="60" t="b">
        <v>0</v>
      </c>
      <c r="X744" s="60" t="b">
        <v>0</v>
      </c>
      <c r="Y744" s="60"/>
      <c r="Z744" s="60"/>
      <c r="AA744" s="60"/>
      <c r="AB744" s="60"/>
      <c r="AC744" s="61"/>
      <c r="AD744" s="60"/>
      <c r="AE744" s="60"/>
      <c r="AF744" s="60"/>
      <c r="AG744" s="60"/>
      <c r="AH744" s="60"/>
      <c r="AI744" s="60"/>
      <c r="AJ744" s="104" t="s">
        <v>3500</v>
      </c>
      <c r="AK744" s="34" t="s">
        <v>698</v>
      </c>
      <c r="AL744" s="87"/>
      <c r="AM744" s="87"/>
      <c r="AN744" s="35" t="s">
        <v>3501</v>
      </c>
      <c r="AO744" s="24">
        <v>0.0019444444444444444</v>
      </c>
      <c r="AP744" s="74" t="s">
        <v>3435</v>
      </c>
      <c r="AQ744" s="159">
        <v>37956.0</v>
      </c>
      <c r="AR744" s="35" t="s">
        <v>3502</v>
      </c>
      <c r="AS744" s="7" t="b">
        <f>NOT(ISERROR(MATCH(A744,'Villages according to موسوعة ال'!C:C,0)))</f>
        <v>1</v>
      </c>
      <c r="AT744" s="145"/>
      <c r="AU744" s="145"/>
      <c r="AV744" s="145"/>
      <c r="AW744" s="145"/>
      <c r="AX744" s="145"/>
      <c r="AY744" s="145"/>
      <c r="AZ744" s="145"/>
      <c r="BA744" s="145"/>
      <c r="BB744" s="145"/>
      <c r="BC744" s="145"/>
      <c r="BD744" s="145"/>
      <c r="BE744" s="145"/>
      <c r="BF744" s="145"/>
      <c r="BG744" s="145"/>
      <c r="BH744" s="145"/>
      <c r="BI744" s="145"/>
      <c r="BJ744" s="145"/>
      <c r="BK744" s="145"/>
      <c r="BL744" s="145"/>
      <c r="BM744" s="145"/>
      <c r="BN744" s="145"/>
      <c r="BO744" s="145"/>
      <c r="BP744" s="145"/>
    </row>
    <row r="745">
      <c r="A745" s="7" t="s">
        <v>3495</v>
      </c>
      <c r="B745" s="43" t="s">
        <v>171</v>
      </c>
      <c r="E745" s="141"/>
      <c r="F745" s="142"/>
      <c r="G745" s="143"/>
      <c r="H745" s="7" t="s">
        <v>3503</v>
      </c>
      <c r="I745" s="7" t="s">
        <v>638</v>
      </c>
      <c r="J745" s="7" t="s">
        <v>3504</v>
      </c>
      <c r="K745" s="54" t="s">
        <v>3505</v>
      </c>
      <c r="L745" s="30" t="s">
        <v>3506</v>
      </c>
      <c r="M745" s="32" t="b">
        <v>1</v>
      </c>
      <c r="N745" s="60" t="b">
        <v>0</v>
      </c>
      <c r="O745" s="32" t="s">
        <v>965</v>
      </c>
      <c r="P745" s="60" t="b">
        <v>0</v>
      </c>
      <c r="Q745" s="32" t="b">
        <v>1</v>
      </c>
      <c r="R745" s="60" t="b">
        <v>0</v>
      </c>
      <c r="S745" s="32" t="s">
        <v>966</v>
      </c>
      <c r="T745" s="32" t="s">
        <v>1521</v>
      </c>
      <c r="U745" s="60" t="b">
        <v>0</v>
      </c>
      <c r="V745" s="32" t="s">
        <v>685</v>
      </c>
      <c r="W745" s="60" t="b">
        <v>0</v>
      </c>
      <c r="X745" s="60" t="b">
        <v>0</v>
      </c>
      <c r="Y745" s="32" t="s">
        <v>671</v>
      </c>
      <c r="Z745" s="60"/>
      <c r="AA745" s="60"/>
      <c r="AB745" s="60"/>
      <c r="AC745" s="33" t="s">
        <v>672</v>
      </c>
      <c r="AD745" s="32" t="s">
        <v>686</v>
      </c>
      <c r="AE745" s="32" t="s">
        <v>711</v>
      </c>
      <c r="AF745" s="32" t="s">
        <v>1759</v>
      </c>
      <c r="AG745" s="60"/>
      <c r="AH745" s="60"/>
      <c r="AI745" s="32" t="s">
        <v>673</v>
      </c>
      <c r="AJ745" s="81" t="s">
        <v>3507</v>
      </c>
      <c r="AK745" s="34" t="s">
        <v>698</v>
      </c>
      <c r="AL745" s="144" t="s">
        <v>699</v>
      </c>
      <c r="AM745" s="144" t="s">
        <v>676</v>
      </c>
      <c r="AN745" s="35" t="s">
        <v>3508</v>
      </c>
      <c r="AO745" s="24">
        <v>0.005671296296296297</v>
      </c>
      <c r="AP745" s="7" t="s">
        <v>633</v>
      </c>
      <c r="AQ745" s="7" t="s">
        <v>633</v>
      </c>
      <c r="AR745" s="35" t="s">
        <v>3509</v>
      </c>
      <c r="AS745" s="7" t="b">
        <f>NOT(ISERROR(MATCH(A745,'Villages according to موسوعة ال'!C:C,0)))</f>
        <v>1</v>
      </c>
      <c r="AT745" s="145"/>
      <c r="AU745" s="145"/>
      <c r="AV745" s="145"/>
      <c r="AW745" s="145"/>
      <c r="AX745" s="145"/>
      <c r="AY745" s="145"/>
      <c r="AZ745" s="145"/>
      <c r="BA745" s="145"/>
      <c r="BB745" s="145"/>
      <c r="BC745" s="145"/>
      <c r="BD745" s="145"/>
      <c r="BE745" s="145"/>
      <c r="BF745" s="145"/>
      <c r="BG745" s="145"/>
      <c r="BH745" s="145"/>
      <c r="BI745" s="145"/>
      <c r="BJ745" s="145"/>
      <c r="BK745" s="145"/>
      <c r="BL745" s="145"/>
      <c r="BM745" s="145"/>
      <c r="BN745" s="145"/>
      <c r="BO745" s="145"/>
      <c r="BP745" s="145"/>
    </row>
    <row r="746">
      <c r="A746" s="7" t="s">
        <v>3495</v>
      </c>
      <c r="B746" s="127" t="s">
        <v>171</v>
      </c>
      <c r="E746" s="146"/>
      <c r="F746" s="147"/>
      <c r="G746" s="148"/>
      <c r="J746" s="4" t="s">
        <v>3504</v>
      </c>
      <c r="K746" s="128" t="s">
        <v>3510</v>
      </c>
      <c r="L746" s="134" t="s">
        <v>3511</v>
      </c>
      <c r="M746" s="135" t="b">
        <v>0</v>
      </c>
      <c r="N746" s="135" t="b">
        <v>0</v>
      </c>
      <c r="O746" s="135"/>
      <c r="P746" s="135" t="b">
        <v>0</v>
      </c>
      <c r="Q746" s="135" t="b">
        <v>0</v>
      </c>
      <c r="R746" s="135" t="b">
        <v>0</v>
      </c>
      <c r="S746" s="135"/>
      <c r="T746" s="32"/>
      <c r="U746" s="135" t="b">
        <v>0</v>
      </c>
      <c r="V746" s="135"/>
      <c r="W746" s="135" t="b">
        <v>0</v>
      </c>
      <c r="X746" s="135" t="b">
        <v>0</v>
      </c>
      <c r="Y746" s="135"/>
      <c r="Z746" s="135"/>
      <c r="AA746" s="135"/>
      <c r="AB746" s="135"/>
      <c r="AC746" s="136"/>
      <c r="AD746" s="135"/>
      <c r="AE746" s="135"/>
      <c r="AF746" s="135"/>
      <c r="AG746" s="135"/>
      <c r="AH746" s="135"/>
      <c r="AI746" s="135"/>
      <c r="AJ746" s="138" t="s">
        <v>3512</v>
      </c>
      <c r="AK746" s="149"/>
      <c r="AL746" s="2"/>
      <c r="AM746" s="2"/>
      <c r="AN746" s="126" t="s">
        <v>3513</v>
      </c>
      <c r="AO746" s="24">
        <v>0.0039004629629629628</v>
      </c>
      <c r="AP746" s="4" t="s">
        <v>633</v>
      </c>
      <c r="AQ746" s="4" t="s">
        <v>633</v>
      </c>
      <c r="AR746" s="4" t="s">
        <v>633</v>
      </c>
      <c r="AS746" s="7" t="b">
        <f>NOT(ISERROR(MATCH(A746,'Villages according to موسوعة ال'!C:C,0)))</f>
        <v>1</v>
      </c>
      <c r="AT746" s="150"/>
      <c r="AU746" s="150"/>
      <c r="AV746" s="150"/>
      <c r="AW746" s="150"/>
      <c r="AX746" s="150"/>
      <c r="AY746" s="150"/>
      <c r="AZ746" s="150"/>
      <c r="BA746" s="150"/>
      <c r="BB746" s="150"/>
      <c r="BC746" s="150"/>
      <c r="BD746" s="150"/>
      <c r="BE746" s="150"/>
      <c r="BF746" s="150"/>
      <c r="BG746" s="150"/>
      <c r="BH746" s="150"/>
      <c r="BI746" s="150"/>
      <c r="BJ746" s="150"/>
      <c r="BK746" s="150"/>
      <c r="BL746" s="150"/>
      <c r="BM746" s="150"/>
      <c r="BN746" s="150"/>
      <c r="BO746" s="150"/>
      <c r="BP746" s="150"/>
    </row>
    <row r="747">
      <c r="A747" s="7" t="s">
        <v>3495</v>
      </c>
      <c r="B747" s="43" t="s">
        <v>171</v>
      </c>
      <c r="E747" s="141"/>
      <c r="F747" s="142"/>
      <c r="G747" s="143"/>
      <c r="J747" s="7" t="s">
        <v>3504</v>
      </c>
      <c r="K747" s="54" t="s">
        <v>3514</v>
      </c>
      <c r="L747" s="30" t="s">
        <v>3515</v>
      </c>
      <c r="M747" s="60" t="b">
        <v>0</v>
      </c>
      <c r="N747" s="60" t="b">
        <v>0</v>
      </c>
      <c r="O747" s="60"/>
      <c r="P747" s="60" t="b">
        <v>0</v>
      </c>
      <c r="Q747" s="60" t="b">
        <v>0</v>
      </c>
      <c r="R747" s="60" t="b">
        <v>0</v>
      </c>
      <c r="S747" s="60"/>
      <c r="T747" s="60"/>
      <c r="U747" s="60" t="b">
        <v>0</v>
      </c>
      <c r="V747" s="60"/>
      <c r="W747" s="60" t="b">
        <v>0</v>
      </c>
      <c r="X747" s="60" t="b">
        <v>0</v>
      </c>
      <c r="Y747" s="60"/>
      <c r="Z747" s="60"/>
      <c r="AA747" s="60"/>
      <c r="AB747" s="60"/>
      <c r="AC747" s="61"/>
      <c r="AD747" s="60"/>
      <c r="AE747" s="60"/>
      <c r="AF747" s="60"/>
      <c r="AG747" s="60"/>
      <c r="AH747" s="60"/>
      <c r="AI747" s="60"/>
      <c r="AJ747" s="104" t="s">
        <v>3516</v>
      </c>
      <c r="AK747" s="34" t="s">
        <v>698</v>
      </c>
      <c r="AL747" s="144" t="s">
        <v>699</v>
      </c>
      <c r="AM747" s="144" t="s">
        <v>831</v>
      </c>
      <c r="AN747" s="35" t="s">
        <v>3517</v>
      </c>
      <c r="AO747" s="24">
        <v>0.0038888888888888888</v>
      </c>
      <c r="AP747" s="74" t="s">
        <v>633</v>
      </c>
      <c r="AQ747" s="160"/>
      <c r="AR747" s="35" t="s">
        <v>3518</v>
      </c>
      <c r="AS747" s="7" t="b">
        <f>NOT(ISERROR(MATCH(A747,'Villages according to موسوعة ال'!C:C,0)))</f>
        <v>1</v>
      </c>
      <c r="AT747" s="145"/>
      <c r="AU747" s="145"/>
      <c r="AV747" s="145"/>
      <c r="AW747" s="145"/>
      <c r="AX747" s="145"/>
      <c r="AY747" s="145"/>
      <c r="AZ747" s="145"/>
      <c r="BA747" s="145"/>
      <c r="BB747" s="145"/>
      <c r="BC747" s="145"/>
      <c r="BD747" s="145"/>
      <c r="BE747" s="145"/>
      <c r="BF747" s="145"/>
      <c r="BG747" s="145"/>
      <c r="BH747" s="145"/>
      <c r="BI747" s="145"/>
      <c r="BJ747" s="145"/>
      <c r="BK747" s="145"/>
      <c r="BL747" s="145"/>
      <c r="BM747" s="145"/>
      <c r="BN747" s="145"/>
      <c r="BO747" s="145"/>
      <c r="BP747" s="145"/>
    </row>
    <row r="748">
      <c r="A748" s="7" t="s">
        <v>3495</v>
      </c>
      <c r="B748" s="43" t="s">
        <v>171</v>
      </c>
      <c r="E748" s="141"/>
      <c r="F748" s="142"/>
      <c r="G748" s="143"/>
      <c r="H748" s="7" t="s">
        <v>3519</v>
      </c>
      <c r="I748" s="7" t="s">
        <v>616</v>
      </c>
      <c r="J748" s="7" t="s">
        <v>3520</v>
      </c>
      <c r="K748" s="54" t="s">
        <v>3521</v>
      </c>
      <c r="L748" s="30" t="s">
        <v>3522</v>
      </c>
      <c r="M748" s="60" t="b">
        <v>0</v>
      </c>
      <c r="N748" s="60" t="b">
        <v>0</v>
      </c>
      <c r="O748" s="60"/>
      <c r="P748" s="60" t="b">
        <v>0</v>
      </c>
      <c r="Q748" s="60" t="b">
        <v>0</v>
      </c>
      <c r="R748" s="60" t="b">
        <v>0</v>
      </c>
      <c r="S748" s="60"/>
      <c r="T748" s="60"/>
      <c r="U748" s="60" t="b">
        <v>0</v>
      </c>
      <c r="V748" s="60"/>
      <c r="W748" s="60" t="b">
        <v>0</v>
      </c>
      <c r="X748" s="60" t="b">
        <v>0</v>
      </c>
      <c r="Y748" s="60"/>
      <c r="Z748" s="60"/>
      <c r="AA748" s="60"/>
      <c r="AB748" s="60"/>
      <c r="AC748" s="61"/>
      <c r="AD748" s="60"/>
      <c r="AE748" s="60"/>
      <c r="AF748" s="60"/>
      <c r="AG748" s="60"/>
      <c r="AH748" s="60"/>
      <c r="AI748" s="60"/>
      <c r="AJ748" s="104"/>
      <c r="AK748" s="34" t="s">
        <v>698</v>
      </c>
      <c r="AL748" s="144" t="s">
        <v>823</v>
      </c>
      <c r="AM748" s="144" t="s">
        <v>831</v>
      </c>
      <c r="AN748" s="35" t="s">
        <v>3523</v>
      </c>
      <c r="AO748" s="24">
        <v>0.001585648148148148</v>
      </c>
      <c r="AP748" s="74" t="s">
        <v>633</v>
      </c>
      <c r="AQ748" s="7" t="s">
        <v>633</v>
      </c>
      <c r="AR748" s="35" t="s">
        <v>3524</v>
      </c>
      <c r="AS748" s="7" t="b">
        <f>NOT(ISERROR(MATCH(A748,'Villages according to موسوعة ال'!C:C,0)))</f>
        <v>1</v>
      </c>
      <c r="AT748" s="145"/>
      <c r="AU748" s="145"/>
      <c r="AV748" s="145"/>
      <c r="AW748" s="145"/>
      <c r="AX748" s="145"/>
      <c r="AY748" s="145"/>
      <c r="AZ748" s="145"/>
      <c r="BA748" s="145"/>
      <c r="BB748" s="145"/>
      <c r="BC748" s="145"/>
      <c r="BD748" s="145"/>
      <c r="BE748" s="145"/>
      <c r="BF748" s="145"/>
      <c r="BG748" s="145"/>
      <c r="BH748" s="145"/>
      <c r="BI748" s="145"/>
      <c r="BJ748" s="145"/>
      <c r="BK748" s="145"/>
      <c r="BL748" s="145"/>
      <c r="BM748" s="145"/>
      <c r="BN748" s="145"/>
      <c r="BO748" s="145"/>
      <c r="BP748" s="145"/>
    </row>
    <row r="749">
      <c r="A749" s="7" t="s">
        <v>3495</v>
      </c>
      <c r="B749" s="43" t="s">
        <v>171</v>
      </c>
      <c r="E749" s="141"/>
      <c r="F749" s="142"/>
      <c r="G749" s="143"/>
      <c r="J749" s="7" t="s">
        <v>3520</v>
      </c>
      <c r="K749" s="54" t="s">
        <v>3525</v>
      </c>
      <c r="L749" s="30" t="s">
        <v>3526</v>
      </c>
      <c r="M749" s="60" t="b">
        <v>0</v>
      </c>
      <c r="N749" s="60" t="b">
        <v>0</v>
      </c>
      <c r="O749" s="60"/>
      <c r="P749" s="60" t="b">
        <v>0</v>
      </c>
      <c r="Q749" s="60" t="b">
        <v>0</v>
      </c>
      <c r="R749" s="60" t="b">
        <v>0</v>
      </c>
      <c r="S749" s="60"/>
      <c r="T749" s="60"/>
      <c r="U749" s="60" t="b">
        <v>0</v>
      </c>
      <c r="V749" s="60"/>
      <c r="W749" s="60" t="b">
        <v>0</v>
      </c>
      <c r="X749" s="60" t="b">
        <v>0</v>
      </c>
      <c r="Y749" s="60"/>
      <c r="Z749" s="60"/>
      <c r="AA749" s="60"/>
      <c r="AB749" s="60"/>
      <c r="AC749" s="61"/>
      <c r="AD749" s="60"/>
      <c r="AE749" s="60"/>
      <c r="AF749" s="60"/>
      <c r="AG749" s="60"/>
      <c r="AH749" s="60"/>
      <c r="AI749" s="60"/>
      <c r="AJ749" s="104"/>
      <c r="AK749" s="34" t="s">
        <v>698</v>
      </c>
      <c r="AL749" s="87"/>
      <c r="AM749" s="87"/>
      <c r="AN749" s="35" t="s">
        <v>3527</v>
      </c>
      <c r="AO749" s="24">
        <v>0.002650462962962963</v>
      </c>
      <c r="AP749" s="74" t="s">
        <v>633</v>
      </c>
      <c r="AQ749" s="7" t="s">
        <v>633</v>
      </c>
      <c r="AR749" s="35" t="s">
        <v>3528</v>
      </c>
      <c r="AS749" s="7" t="b">
        <f>NOT(ISERROR(MATCH(A749,'Villages according to موسوعة ال'!C:C,0)))</f>
        <v>1</v>
      </c>
      <c r="AT749" s="145"/>
      <c r="AU749" s="145"/>
      <c r="AV749" s="145"/>
      <c r="AW749" s="145"/>
      <c r="AX749" s="145"/>
      <c r="AY749" s="145"/>
      <c r="AZ749" s="145"/>
      <c r="BA749" s="145"/>
      <c r="BB749" s="145"/>
      <c r="BC749" s="145"/>
      <c r="BD749" s="145"/>
      <c r="BE749" s="145"/>
      <c r="BF749" s="145"/>
      <c r="BG749" s="145"/>
      <c r="BH749" s="145"/>
      <c r="BI749" s="145"/>
      <c r="BJ749" s="145"/>
      <c r="BK749" s="145"/>
      <c r="BL749" s="145"/>
      <c r="BM749" s="145"/>
      <c r="BN749" s="145"/>
      <c r="BO749" s="145"/>
      <c r="BP749" s="145"/>
    </row>
    <row r="750">
      <c r="A750" s="7" t="s">
        <v>84</v>
      </c>
      <c r="B750" s="26" t="s">
        <v>85</v>
      </c>
      <c r="C750" s="7" t="s">
        <v>85</v>
      </c>
      <c r="D750" s="7" t="s">
        <v>86</v>
      </c>
      <c r="E750" s="146"/>
      <c r="F750" s="147"/>
      <c r="G750" s="148"/>
      <c r="H750" s="4" t="s">
        <v>3529</v>
      </c>
      <c r="I750" s="4" t="s">
        <v>616</v>
      </c>
      <c r="J750" s="4" t="s">
        <v>3530</v>
      </c>
      <c r="K750" s="128" t="s">
        <v>3531</v>
      </c>
      <c r="L750" s="134" t="s">
        <v>3532</v>
      </c>
      <c r="M750" s="135" t="b">
        <v>0</v>
      </c>
      <c r="N750" s="135" t="b">
        <v>0</v>
      </c>
      <c r="O750" s="135"/>
      <c r="P750" s="135" t="b">
        <v>0</v>
      </c>
      <c r="Q750" s="135" t="b">
        <v>0</v>
      </c>
      <c r="R750" s="135" t="b">
        <v>0</v>
      </c>
      <c r="S750" s="135"/>
      <c r="T750" s="32"/>
      <c r="U750" s="135" t="b">
        <v>0</v>
      </c>
      <c r="V750" s="135"/>
      <c r="W750" s="135" t="b">
        <v>0</v>
      </c>
      <c r="X750" s="135" t="b">
        <v>0</v>
      </c>
      <c r="Y750" s="135"/>
      <c r="Z750" s="135"/>
      <c r="AA750" s="135"/>
      <c r="AB750" s="135"/>
      <c r="AC750" s="136"/>
      <c r="AD750" s="135"/>
      <c r="AE750" s="135"/>
      <c r="AF750" s="135"/>
      <c r="AG750" s="135"/>
      <c r="AH750" s="135"/>
      <c r="AI750" s="135"/>
      <c r="AJ750" s="138"/>
      <c r="AK750" s="149"/>
      <c r="AL750" s="2"/>
      <c r="AM750" s="2"/>
      <c r="AN750" s="126" t="s">
        <v>3533</v>
      </c>
      <c r="AO750" s="24">
        <v>0.0061342592592592594</v>
      </c>
      <c r="AP750" s="131" t="s">
        <v>633</v>
      </c>
      <c r="AQ750" s="4" t="s">
        <v>633</v>
      </c>
      <c r="AR750" s="4" t="s">
        <v>633</v>
      </c>
      <c r="AS750" s="7" t="b">
        <f>NOT(ISERROR(MATCH(A750,'Villages according to موسوعة ال'!C:C,0)))</f>
        <v>1</v>
      </c>
      <c r="AT750" s="150"/>
      <c r="AU750" s="150"/>
      <c r="AV750" s="150"/>
      <c r="AW750" s="150"/>
      <c r="AX750" s="150"/>
      <c r="AY750" s="150"/>
      <c r="AZ750" s="150"/>
      <c r="BA750" s="150"/>
      <c r="BB750" s="150"/>
      <c r="BC750" s="150"/>
      <c r="BD750" s="150"/>
      <c r="BE750" s="150"/>
      <c r="BF750" s="150"/>
      <c r="BG750" s="150"/>
      <c r="BH750" s="150"/>
      <c r="BI750" s="150"/>
      <c r="BJ750" s="150"/>
      <c r="BK750" s="150"/>
      <c r="BL750" s="150"/>
      <c r="BM750" s="150"/>
      <c r="BN750" s="150"/>
      <c r="BO750" s="150"/>
      <c r="BP750" s="150"/>
    </row>
    <row r="751">
      <c r="A751" s="7" t="s">
        <v>84</v>
      </c>
      <c r="B751" s="26" t="s">
        <v>85</v>
      </c>
      <c r="E751" s="146"/>
      <c r="F751" s="147"/>
      <c r="G751" s="148"/>
      <c r="K751" s="128" t="s">
        <v>3534</v>
      </c>
      <c r="L751" s="134" t="s">
        <v>3535</v>
      </c>
      <c r="M751" s="135" t="b">
        <v>0</v>
      </c>
      <c r="N751" s="135" t="b">
        <v>0</v>
      </c>
      <c r="O751" s="135"/>
      <c r="P751" s="135" t="b">
        <v>0</v>
      </c>
      <c r="Q751" s="135" t="b">
        <v>0</v>
      </c>
      <c r="R751" s="135" t="b">
        <v>0</v>
      </c>
      <c r="S751" s="135"/>
      <c r="T751" s="32"/>
      <c r="U751" s="135" t="b">
        <v>0</v>
      </c>
      <c r="V751" s="135"/>
      <c r="W751" s="135" t="b">
        <v>0</v>
      </c>
      <c r="X751" s="135" t="b">
        <v>0</v>
      </c>
      <c r="Y751" s="135"/>
      <c r="Z751" s="135"/>
      <c r="AA751" s="135"/>
      <c r="AB751" s="135"/>
      <c r="AC751" s="136"/>
      <c r="AD751" s="135"/>
      <c r="AE751" s="135"/>
      <c r="AF751" s="135"/>
      <c r="AG751" s="135"/>
      <c r="AH751" s="135"/>
      <c r="AI751" s="135"/>
      <c r="AJ751" s="138" t="s">
        <v>3536</v>
      </c>
      <c r="AK751" s="149"/>
      <c r="AL751" s="2"/>
      <c r="AM751" s="2"/>
      <c r="AN751" s="126" t="s">
        <v>3537</v>
      </c>
      <c r="AO751" s="24">
        <v>0.0021180555555555558</v>
      </c>
      <c r="AP751" s="131" t="s">
        <v>633</v>
      </c>
      <c r="AQ751" s="4" t="s">
        <v>633</v>
      </c>
      <c r="AR751" s="4" t="s">
        <v>633</v>
      </c>
      <c r="AS751" s="7" t="b">
        <f>NOT(ISERROR(MATCH(A751,'Villages according to موسوعة ال'!C:C,0)))</f>
        <v>1</v>
      </c>
      <c r="AT751" s="150"/>
      <c r="AU751" s="150"/>
      <c r="AV751" s="150"/>
      <c r="AW751" s="150"/>
      <c r="AX751" s="150"/>
      <c r="AY751" s="150"/>
      <c r="AZ751" s="150"/>
      <c r="BA751" s="150"/>
      <c r="BB751" s="150"/>
      <c r="BC751" s="150"/>
      <c r="BD751" s="150"/>
      <c r="BE751" s="150"/>
      <c r="BF751" s="150"/>
      <c r="BG751" s="150"/>
      <c r="BH751" s="150"/>
      <c r="BI751" s="150"/>
      <c r="BJ751" s="150"/>
      <c r="BK751" s="150"/>
      <c r="BL751" s="150"/>
      <c r="BM751" s="150"/>
      <c r="BN751" s="150"/>
      <c r="BO751" s="150"/>
      <c r="BP751" s="150"/>
    </row>
    <row r="752">
      <c r="A752" s="7" t="s">
        <v>84</v>
      </c>
      <c r="B752" s="26" t="s">
        <v>85</v>
      </c>
      <c r="E752" s="146"/>
      <c r="F752" s="147"/>
      <c r="G752" s="148"/>
      <c r="H752" s="4" t="s">
        <v>3538</v>
      </c>
      <c r="I752" s="4" t="s">
        <v>616</v>
      </c>
      <c r="J752" s="4" t="s">
        <v>3539</v>
      </c>
      <c r="K752" s="128" t="s">
        <v>3540</v>
      </c>
      <c r="L752" s="134" t="s">
        <v>3541</v>
      </c>
      <c r="M752" s="135" t="b">
        <v>0</v>
      </c>
      <c r="N752" s="135" t="b">
        <v>0</v>
      </c>
      <c r="O752" s="135"/>
      <c r="P752" s="135" t="b">
        <v>0</v>
      </c>
      <c r="Q752" s="135" t="b">
        <v>0</v>
      </c>
      <c r="R752" s="135" t="b">
        <v>0</v>
      </c>
      <c r="S752" s="135"/>
      <c r="T752" s="32"/>
      <c r="U752" s="135" t="b">
        <v>0</v>
      </c>
      <c r="V752" s="135"/>
      <c r="W752" s="135" t="b">
        <v>0</v>
      </c>
      <c r="X752" s="135" t="b">
        <v>0</v>
      </c>
      <c r="Y752" s="135"/>
      <c r="Z752" s="135"/>
      <c r="AA752" s="135"/>
      <c r="AB752" s="135"/>
      <c r="AC752" s="136"/>
      <c r="AD752" s="135"/>
      <c r="AE752" s="135"/>
      <c r="AF752" s="135"/>
      <c r="AG752" s="135"/>
      <c r="AH752" s="135"/>
      <c r="AI752" s="135"/>
      <c r="AJ752" s="138"/>
      <c r="AK752" s="149"/>
      <c r="AL752" s="2"/>
      <c r="AM752" s="2"/>
      <c r="AN752" s="126" t="s">
        <v>3542</v>
      </c>
      <c r="AO752" s="24">
        <v>9.375E-4</v>
      </c>
      <c r="AP752" s="131" t="s">
        <v>633</v>
      </c>
      <c r="AQ752" s="4" t="s">
        <v>633</v>
      </c>
      <c r="AR752" s="4" t="s">
        <v>633</v>
      </c>
      <c r="AS752" s="7" t="b">
        <f>NOT(ISERROR(MATCH(A752,'Villages according to موسوعة ال'!C:C,0)))</f>
        <v>1</v>
      </c>
      <c r="AT752" s="150"/>
      <c r="AU752" s="150"/>
      <c r="AV752" s="150"/>
      <c r="AW752" s="150"/>
      <c r="AX752" s="150"/>
      <c r="AY752" s="150"/>
      <c r="AZ752" s="150"/>
      <c r="BA752" s="150"/>
      <c r="BB752" s="150"/>
      <c r="BC752" s="150"/>
      <c r="BD752" s="150"/>
      <c r="BE752" s="150"/>
      <c r="BF752" s="150"/>
      <c r="BG752" s="150"/>
      <c r="BH752" s="150"/>
      <c r="BI752" s="150"/>
      <c r="BJ752" s="150"/>
      <c r="BK752" s="150"/>
      <c r="BL752" s="150"/>
      <c r="BM752" s="150"/>
      <c r="BN752" s="150"/>
      <c r="BO752" s="150"/>
      <c r="BP752" s="150"/>
    </row>
    <row r="753">
      <c r="A753" s="7" t="s">
        <v>84</v>
      </c>
      <c r="B753" s="26" t="s">
        <v>85</v>
      </c>
      <c r="E753" s="146"/>
      <c r="F753" s="147"/>
      <c r="G753" s="148"/>
      <c r="K753" s="151"/>
      <c r="L753" s="134" t="s">
        <v>3541</v>
      </c>
      <c r="M753" s="135" t="b">
        <v>0</v>
      </c>
      <c r="N753" s="135" t="b">
        <v>0</v>
      </c>
      <c r="O753" s="135"/>
      <c r="P753" s="135" t="b">
        <v>0</v>
      </c>
      <c r="Q753" s="135" t="b">
        <v>0</v>
      </c>
      <c r="R753" s="135" t="b">
        <v>0</v>
      </c>
      <c r="S753" s="135"/>
      <c r="T753" s="32"/>
      <c r="U753" s="135" t="b">
        <v>0</v>
      </c>
      <c r="V753" s="135"/>
      <c r="W753" s="135" t="b">
        <v>0</v>
      </c>
      <c r="X753" s="135" t="b">
        <v>0</v>
      </c>
      <c r="Y753" s="135"/>
      <c r="Z753" s="135"/>
      <c r="AA753" s="135"/>
      <c r="AB753" s="135"/>
      <c r="AC753" s="136"/>
      <c r="AD753" s="135"/>
      <c r="AE753" s="135"/>
      <c r="AF753" s="135"/>
      <c r="AG753" s="135"/>
      <c r="AH753" s="135"/>
      <c r="AI753" s="135"/>
      <c r="AJ753" s="139" t="s">
        <v>3543</v>
      </c>
      <c r="AK753" s="149"/>
      <c r="AL753" s="2"/>
      <c r="AM753" s="2"/>
      <c r="AN753" s="126" t="s">
        <v>3544</v>
      </c>
      <c r="AO753" s="24">
        <v>4.5138888888888887E-4</v>
      </c>
      <c r="AP753" s="131" t="s">
        <v>633</v>
      </c>
      <c r="AQ753" s="4" t="s">
        <v>633</v>
      </c>
      <c r="AR753" s="4" t="s">
        <v>633</v>
      </c>
      <c r="AS753" s="7" t="b">
        <f>NOT(ISERROR(MATCH(A753,'Villages according to موسوعة ال'!C:C,0)))</f>
        <v>1</v>
      </c>
      <c r="AT753" s="150"/>
      <c r="AU753" s="150"/>
      <c r="AV753" s="150"/>
      <c r="AW753" s="150"/>
      <c r="AX753" s="150"/>
      <c r="AY753" s="150"/>
      <c r="AZ753" s="150"/>
      <c r="BA753" s="150"/>
      <c r="BB753" s="150"/>
      <c r="BC753" s="150"/>
      <c r="BD753" s="150"/>
      <c r="BE753" s="150"/>
      <c r="BF753" s="150"/>
      <c r="BG753" s="150"/>
      <c r="BH753" s="150"/>
      <c r="BI753" s="150"/>
      <c r="BJ753" s="150"/>
      <c r="BK753" s="150"/>
      <c r="BL753" s="150"/>
      <c r="BM753" s="150"/>
      <c r="BN753" s="150"/>
      <c r="BO753" s="150"/>
      <c r="BP753" s="150"/>
    </row>
    <row r="754">
      <c r="A754" s="7" t="s">
        <v>84</v>
      </c>
      <c r="B754" s="26" t="s">
        <v>85</v>
      </c>
      <c r="E754" s="146"/>
      <c r="F754" s="147"/>
      <c r="G754" s="148"/>
      <c r="H754" s="4" t="s">
        <v>2341</v>
      </c>
      <c r="I754" s="4" t="s">
        <v>638</v>
      </c>
      <c r="J754" s="4" t="s">
        <v>3545</v>
      </c>
      <c r="K754" s="128" t="s">
        <v>3546</v>
      </c>
      <c r="L754" s="134" t="s">
        <v>3541</v>
      </c>
      <c r="M754" s="135" t="b">
        <v>0</v>
      </c>
      <c r="N754" s="135" t="b">
        <v>0</v>
      </c>
      <c r="O754" s="135"/>
      <c r="P754" s="135" t="b">
        <v>0</v>
      </c>
      <c r="Q754" s="135" t="b">
        <v>0</v>
      </c>
      <c r="R754" s="135" t="b">
        <v>0</v>
      </c>
      <c r="S754" s="135"/>
      <c r="T754" s="32"/>
      <c r="U754" s="135" t="b">
        <v>0</v>
      </c>
      <c r="V754" s="135"/>
      <c r="W754" s="135" t="b">
        <v>0</v>
      </c>
      <c r="X754" s="135" t="b">
        <v>0</v>
      </c>
      <c r="Y754" s="135"/>
      <c r="Z754" s="135"/>
      <c r="AA754" s="135"/>
      <c r="AB754" s="135"/>
      <c r="AC754" s="136"/>
      <c r="AD754" s="135"/>
      <c r="AE754" s="135"/>
      <c r="AF754" s="135"/>
      <c r="AG754" s="135"/>
      <c r="AH754" s="135"/>
      <c r="AI754" s="135"/>
      <c r="AJ754" s="138"/>
      <c r="AK754" s="149"/>
      <c r="AL754" s="2"/>
      <c r="AM754" s="2"/>
      <c r="AN754" s="126" t="s">
        <v>3547</v>
      </c>
      <c r="AO754" s="24">
        <v>0.0014351851851851852</v>
      </c>
      <c r="AP754" s="131" t="s">
        <v>633</v>
      </c>
      <c r="AQ754" s="4" t="s">
        <v>633</v>
      </c>
      <c r="AR754" s="4" t="s">
        <v>633</v>
      </c>
      <c r="AS754" s="7" t="b">
        <f>NOT(ISERROR(MATCH(A754,'Villages according to موسوعة ال'!C:C,0)))</f>
        <v>1</v>
      </c>
      <c r="AT754" s="150"/>
      <c r="AU754" s="150"/>
      <c r="AV754" s="150"/>
      <c r="AW754" s="150"/>
      <c r="AX754" s="150"/>
      <c r="AY754" s="150"/>
      <c r="AZ754" s="150"/>
      <c r="BA754" s="150"/>
      <c r="BB754" s="150"/>
      <c r="BC754" s="150"/>
      <c r="BD754" s="150"/>
      <c r="BE754" s="150"/>
      <c r="BF754" s="150"/>
      <c r="BG754" s="150"/>
      <c r="BH754" s="150"/>
      <c r="BI754" s="150"/>
      <c r="BJ754" s="150"/>
      <c r="BK754" s="150"/>
      <c r="BL754" s="150"/>
      <c r="BM754" s="150"/>
      <c r="BN754" s="150"/>
      <c r="BO754" s="150"/>
      <c r="BP754" s="150"/>
    </row>
    <row r="755">
      <c r="A755" s="7" t="s">
        <v>239</v>
      </c>
      <c r="B755" s="26" t="s">
        <v>240</v>
      </c>
      <c r="C755" s="7" t="s">
        <v>240</v>
      </c>
      <c r="D755" s="7" t="s">
        <v>241</v>
      </c>
      <c r="E755" s="37"/>
      <c r="F755" s="37"/>
      <c r="G755" s="122"/>
      <c r="H755" s="4" t="s">
        <v>3538</v>
      </c>
      <c r="I755" s="4" t="s">
        <v>616</v>
      </c>
      <c r="J755" s="4" t="s">
        <v>3548</v>
      </c>
      <c r="K755" s="123"/>
      <c r="L755" s="134"/>
      <c r="M755" s="135" t="b">
        <v>0</v>
      </c>
      <c r="N755" s="135" t="b">
        <v>0</v>
      </c>
      <c r="O755" s="135"/>
      <c r="P755" s="135" t="b">
        <v>0</v>
      </c>
      <c r="Q755" s="135" t="b">
        <v>0</v>
      </c>
      <c r="R755" s="135" t="b">
        <v>0</v>
      </c>
      <c r="S755" s="135"/>
      <c r="T755" s="32"/>
      <c r="U755" s="135" t="b">
        <v>0</v>
      </c>
      <c r="V755" s="135"/>
      <c r="W755" s="135" t="b">
        <v>0</v>
      </c>
      <c r="X755" s="135" t="b">
        <v>0</v>
      </c>
      <c r="Y755" s="135"/>
      <c r="Z755" s="135"/>
      <c r="AA755" s="135"/>
      <c r="AB755" s="135"/>
      <c r="AC755" s="136"/>
      <c r="AD755" s="135"/>
      <c r="AE755" s="135"/>
      <c r="AF755" s="135"/>
      <c r="AG755" s="135"/>
      <c r="AH755" s="135"/>
      <c r="AI755" s="135"/>
      <c r="AJ755" s="138" t="s">
        <v>3549</v>
      </c>
      <c r="AK755" s="50"/>
      <c r="AL755" s="37"/>
      <c r="AM755" s="37"/>
      <c r="AN755" s="126" t="s">
        <v>3550</v>
      </c>
      <c r="AO755" s="24">
        <v>0.0026157407407407405</v>
      </c>
      <c r="AP755" s="131" t="s">
        <v>633</v>
      </c>
      <c r="AQ755" s="4" t="s">
        <v>633</v>
      </c>
      <c r="AR755" s="4" t="s">
        <v>633</v>
      </c>
      <c r="AS755" s="7" t="b">
        <f>NOT(ISERROR(MATCH(A755,'Villages according to موسوعة ال'!C:C,0)))</f>
        <v>1</v>
      </c>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row>
    <row r="756">
      <c r="A756" s="7" t="s">
        <v>239</v>
      </c>
      <c r="B756" s="26" t="s">
        <v>240</v>
      </c>
      <c r="E756" s="37"/>
      <c r="F756" s="37"/>
      <c r="G756" s="122"/>
      <c r="I756" s="4" t="s">
        <v>616</v>
      </c>
      <c r="J756" s="4" t="s">
        <v>3551</v>
      </c>
      <c r="K756" s="123"/>
      <c r="L756" s="134"/>
      <c r="M756" s="135" t="b">
        <v>0</v>
      </c>
      <c r="N756" s="135" t="b">
        <v>0</v>
      </c>
      <c r="O756" s="135"/>
      <c r="P756" s="135" t="b">
        <v>0</v>
      </c>
      <c r="Q756" s="135" t="b">
        <v>0</v>
      </c>
      <c r="R756" s="135" t="b">
        <v>0</v>
      </c>
      <c r="S756" s="135"/>
      <c r="T756" s="32"/>
      <c r="U756" s="135" t="b">
        <v>0</v>
      </c>
      <c r="V756" s="135"/>
      <c r="W756" s="135" t="b">
        <v>0</v>
      </c>
      <c r="X756" s="135" t="b">
        <v>0</v>
      </c>
      <c r="Y756" s="135"/>
      <c r="Z756" s="135"/>
      <c r="AA756" s="135"/>
      <c r="AB756" s="135"/>
      <c r="AC756" s="136"/>
      <c r="AD756" s="135"/>
      <c r="AE756" s="135"/>
      <c r="AF756" s="135"/>
      <c r="AG756" s="135"/>
      <c r="AH756" s="135"/>
      <c r="AI756" s="135"/>
      <c r="AJ756" s="138"/>
      <c r="AK756" s="50"/>
      <c r="AL756" s="37"/>
      <c r="AM756" s="37"/>
      <c r="AN756" s="126" t="s">
        <v>3552</v>
      </c>
      <c r="AO756" s="24">
        <v>0.0010416666666666667</v>
      </c>
      <c r="AP756" s="131" t="s">
        <v>633</v>
      </c>
      <c r="AQ756" s="4" t="s">
        <v>633</v>
      </c>
      <c r="AR756" s="4" t="s">
        <v>633</v>
      </c>
      <c r="AS756" s="7" t="b">
        <f>NOT(ISERROR(MATCH(A756,'Villages according to موسوعة ال'!C:C,0)))</f>
        <v>1</v>
      </c>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row>
    <row r="757">
      <c r="A757" s="7" t="s">
        <v>239</v>
      </c>
      <c r="B757" s="43" t="s">
        <v>240</v>
      </c>
      <c r="E757" s="25"/>
      <c r="F757" s="25"/>
      <c r="G757" s="84"/>
      <c r="I757" s="7" t="s">
        <v>616</v>
      </c>
      <c r="J757" s="7" t="s">
        <v>3551</v>
      </c>
      <c r="K757" s="47"/>
      <c r="L757" s="30"/>
      <c r="M757" s="60" t="b">
        <v>0</v>
      </c>
      <c r="N757" s="60" t="b">
        <v>0</v>
      </c>
      <c r="O757" s="60"/>
      <c r="P757" s="60" t="b">
        <v>0</v>
      </c>
      <c r="Q757" s="60" t="b">
        <v>0</v>
      </c>
      <c r="R757" s="60" t="b">
        <v>0</v>
      </c>
      <c r="S757" s="60"/>
      <c r="T757" s="60"/>
      <c r="U757" s="60" t="b">
        <v>0</v>
      </c>
      <c r="V757" s="60"/>
      <c r="W757" s="60" t="b">
        <v>0</v>
      </c>
      <c r="X757" s="60" t="b">
        <v>0</v>
      </c>
      <c r="Y757" s="60"/>
      <c r="Z757" s="60"/>
      <c r="AA757" s="60"/>
      <c r="AB757" s="60"/>
      <c r="AC757" s="61"/>
      <c r="AD757" s="60"/>
      <c r="AE757" s="60"/>
      <c r="AF757" s="60"/>
      <c r="AG757" s="60"/>
      <c r="AH757" s="60"/>
      <c r="AI757" s="60"/>
      <c r="AJ757" s="138" t="s">
        <v>3553</v>
      </c>
      <c r="AK757" s="34" t="s">
        <v>698</v>
      </c>
      <c r="AL757" s="3" t="s">
        <v>699</v>
      </c>
      <c r="AM757" s="3" t="s">
        <v>831</v>
      </c>
      <c r="AN757" s="35" t="s">
        <v>3554</v>
      </c>
      <c r="AO757" s="24">
        <v>0.007395833333333333</v>
      </c>
      <c r="AP757" s="74" t="s">
        <v>3555</v>
      </c>
      <c r="AQ757" s="73">
        <v>37956.0</v>
      </c>
      <c r="AR757" s="35" t="s">
        <v>3556</v>
      </c>
      <c r="AS757" s="7" t="b">
        <f>NOT(ISERROR(MATCH(A757,'Villages according to موسوعة ال'!C:C,0)))</f>
        <v>1</v>
      </c>
      <c r="AT757" s="25"/>
      <c r="AU757" s="25"/>
      <c r="AV757" s="25"/>
      <c r="AW757" s="25"/>
      <c r="AX757" s="25"/>
      <c r="AY757" s="25"/>
      <c r="AZ757" s="25"/>
      <c r="BA757" s="25"/>
      <c r="BB757" s="25"/>
      <c r="BC757" s="25"/>
      <c r="BD757" s="25"/>
      <c r="BE757" s="25"/>
      <c r="BF757" s="25"/>
      <c r="BG757" s="25"/>
      <c r="BH757" s="25"/>
      <c r="BI757" s="25"/>
      <c r="BJ757" s="25"/>
      <c r="BK757" s="25"/>
      <c r="BL757" s="25"/>
      <c r="BM757" s="25"/>
      <c r="BN757" s="25"/>
      <c r="BO757" s="25"/>
      <c r="BP757" s="25"/>
    </row>
    <row r="758">
      <c r="A758" s="7" t="s">
        <v>239</v>
      </c>
      <c r="B758" s="26" t="s">
        <v>240</v>
      </c>
      <c r="E758" s="37"/>
      <c r="F758" s="37"/>
      <c r="G758" s="122"/>
      <c r="H758" s="4" t="s">
        <v>3557</v>
      </c>
      <c r="I758" s="4" t="s">
        <v>638</v>
      </c>
      <c r="J758" s="4" t="s">
        <v>3558</v>
      </c>
      <c r="K758" s="128" t="s">
        <v>3559</v>
      </c>
      <c r="L758" s="134" t="s">
        <v>3560</v>
      </c>
      <c r="M758" s="135" t="b">
        <v>0</v>
      </c>
      <c r="N758" s="135" t="b">
        <v>0</v>
      </c>
      <c r="O758" s="135"/>
      <c r="P758" s="135" t="b">
        <v>0</v>
      </c>
      <c r="Q758" s="135" t="b">
        <v>0</v>
      </c>
      <c r="R758" s="135" t="b">
        <v>0</v>
      </c>
      <c r="S758" s="135"/>
      <c r="T758" s="32"/>
      <c r="U758" s="135" t="b">
        <v>0</v>
      </c>
      <c r="V758" s="135"/>
      <c r="W758" s="135" t="b">
        <v>0</v>
      </c>
      <c r="X758" s="135" t="b">
        <v>0</v>
      </c>
      <c r="Y758" s="135"/>
      <c r="Z758" s="135"/>
      <c r="AA758" s="135"/>
      <c r="AB758" s="135"/>
      <c r="AC758" s="136"/>
      <c r="AD758" s="135"/>
      <c r="AE758" s="135"/>
      <c r="AF758" s="135"/>
      <c r="AG758" s="135"/>
      <c r="AH758" s="135"/>
      <c r="AI758" s="135"/>
      <c r="AJ758" s="138" t="s">
        <v>3561</v>
      </c>
      <c r="AK758" s="50"/>
      <c r="AL758" s="37"/>
      <c r="AM758" s="37"/>
      <c r="AN758" s="126" t="s">
        <v>3562</v>
      </c>
      <c r="AO758" s="24">
        <v>0.004791666666666666</v>
      </c>
      <c r="AP758" s="131" t="s">
        <v>633</v>
      </c>
      <c r="AQ758" s="4" t="s">
        <v>633</v>
      </c>
      <c r="AR758" s="4" t="s">
        <v>633</v>
      </c>
      <c r="AS758" s="7" t="b">
        <f>NOT(ISERROR(MATCH(A758,'Villages according to موسوعة ال'!C:C,0)))</f>
        <v>1</v>
      </c>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row>
    <row r="759">
      <c r="A759" s="7" t="s">
        <v>239</v>
      </c>
      <c r="B759" s="43" t="s">
        <v>240</v>
      </c>
      <c r="E759" s="25"/>
      <c r="F759" s="25"/>
      <c r="G759" s="84"/>
      <c r="I759" s="7" t="s">
        <v>638</v>
      </c>
      <c r="J759" s="7" t="s">
        <v>3558</v>
      </c>
      <c r="K759" s="54" t="s">
        <v>3563</v>
      </c>
      <c r="L759" s="30" t="s">
        <v>3564</v>
      </c>
      <c r="M759" s="60" t="b">
        <v>0</v>
      </c>
      <c r="N759" s="60" t="b">
        <v>0</v>
      </c>
      <c r="O759" s="60"/>
      <c r="P759" s="60" t="b">
        <v>0</v>
      </c>
      <c r="Q759" s="60" t="b">
        <v>0</v>
      </c>
      <c r="R759" s="60" t="b">
        <v>0</v>
      </c>
      <c r="S759" s="60"/>
      <c r="T759" s="60"/>
      <c r="U759" s="60" t="b">
        <v>0</v>
      </c>
      <c r="V759" s="60"/>
      <c r="W759" s="60" t="b">
        <v>0</v>
      </c>
      <c r="X759" s="60" t="b">
        <v>0</v>
      </c>
      <c r="Y759" s="60"/>
      <c r="Z759" s="60"/>
      <c r="AA759" s="60"/>
      <c r="AB759" s="60"/>
      <c r="AC759" s="61"/>
      <c r="AD759" s="60"/>
      <c r="AE759" s="60"/>
      <c r="AF759" s="60"/>
      <c r="AG759" s="60"/>
      <c r="AH759" s="60"/>
      <c r="AI759" s="60"/>
      <c r="AJ759" s="138" t="s">
        <v>3565</v>
      </c>
      <c r="AK759" s="34" t="s">
        <v>698</v>
      </c>
      <c r="AL759" s="3" t="s">
        <v>699</v>
      </c>
      <c r="AM759" s="3" t="s">
        <v>831</v>
      </c>
      <c r="AN759" s="35" t="s">
        <v>3566</v>
      </c>
      <c r="AO759" s="24">
        <v>0.0030671296296296297</v>
      </c>
      <c r="AP759" s="74" t="s">
        <v>3435</v>
      </c>
      <c r="AQ759" s="161">
        <v>37956.0</v>
      </c>
      <c r="AR759" s="35" t="s">
        <v>3567</v>
      </c>
      <c r="AS759" s="7" t="b">
        <f>NOT(ISERROR(MATCH(A759,'Villages according to موسوعة ال'!C:C,0)))</f>
        <v>1</v>
      </c>
      <c r="AT759" s="25"/>
      <c r="AU759" s="25"/>
      <c r="AV759" s="25"/>
      <c r="AW759" s="25"/>
      <c r="AX759" s="25"/>
      <c r="AY759" s="25"/>
      <c r="AZ759" s="25"/>
      <c r="BA759" s="25"/>
      <c r="BB759" s="25"/>
      <c r="BC759" s="25"/>
      <c r="BD759" s="25"/>
      <c r="BE759" s="25"/>
      <c r="BF759" s="25"/>
      <c r="BG759" s="25"/>
      <c r="BH759" s="25"/>
      <c r="BI759" s="25"/>
      <c r="BJ759" s="25"/>
      <c r="BK759" s="25"/>
      <c r="BL759" s="25"/>
      <c r="BM759" s="25"/>
      <c r="BN759" s="25"/>
      <c r="BO759" s="25"/>
      <c r="BP759" s="25"/>
    </row>
    <row r="760">
      <c r="A760" s="3" t="s">
        <v>554</v>
      </c>
      <c r="B760" s="43" t="s">
        <v>3568</v>
      </c>
      <c r="C760" s="7" t="s">
        <v>3568</v>
      </c>
      <c r="D760" s="7" t="s">
        <v>556</v>
      </c>
      <c r="E760" s="25"/>
      <c r="F760" s="25"/>
      <c r="G760" s="84"/>
      <c r="H760" s="7" t="s">
        <v>633</v>
      </c>
      <c r="I760" s="7" t="s">
        <v>616</v>
      </c>
      <c r="J760" s="7" t="s">
        <v>3569</v>
      </c>
      <c r="K760" s="54" t="s">
        <v>3570</v>
      </c>
      <c r="L760" s="30" t="s">
        <v>3571</v>
      </c>
      <c r="M760" s="60" t="b">
        <v>0</v>
      </c>
      <c r="N760" s="60" t="b">
        <v>0</v>
      </c>
      <c r="O760" s="32" t="s">
        <v>756</v>
      </c>
      <c r="P760" s="60" t="b">
        <v>0</v>
      </c>
      <c r="Q760" s="60" t="b">
        <v>0</v>
      </c>
      <c r="R760" s="60" t="b">
        <v>0</v>
      </c>
      <c r="S760" s="32" t="s">
        <v>966</v>
      </c>
      <c r="T760" s="32" t="s">
        <v>1521</v>
      </c>
      <c r="U760" s="60" t="b">
        <v>0</v>
      </c>
      <c r="V760" s="32" t="s">
        <v>685</v>
      </c>
      <c r="W760" s="32" t="b">
        <v>1</v>
      </c>
      <c r="X760" s="60" t="b">
        <v>0</v>
      </c>
      <c r="Y760" s="32" t="s">
        <v>671</v>
      </c>
      <c r="Z760" s="60"/>
      <c r="AA760" s="60"/>
      <c r="AB760" s="32" t="s">
        <v>1193</v>
      </c>
      <c r="AC760" s="33" t="s">
        <v>672</v>
      </c>
      <c r="AD760" s="32" t="s">
        <v>686</v>
      </c>
      <c r="AE760" s="32" t="s">
        <v>711</v>
      </c>
      <c r="AF760" s="32" t="s">
        <v>2695</v>
      </c>
      <c r="AG760" s="60"/>
      <c r="AH760" s="60"/>
      <c r="AI760" s="32" t="s">
        <v>1523</v>
      </c>
      <c r="AJ760" s="3"/>
      <c r="AK760" s="34" t="s">
        <v>698</v>
      </c>
      <c r="AL760" s="3" t="s">
        <v>699</v>
      </c>
      <c r="AM760" s="3" t="s">
        <v>868</v>
      </c>
      <c r="AN760" s="35" t="s">
        <v>3572</v>
      </c>
      <c r="AO760" s="24">
        <v>0.001979166666666667</v>
      </c>
      <c r="AP760" s="74" t="s">
        <v>3573</v>
      </c>
      <c r="AQ760" s="7" t="s">
        <v>633</v>
      </c>
      <c r="AR760" s="35" t="s">
        <v>3574</v>
      </c>
      <c r="AS760" s="7" t="b">
        <f>NOT(ISERROR(MATCH(A760,'Villages according to موسوعة ال'!C:C,0)))</f>
        <v>1</v>
      </c>
      <c r="AT760" s="25"/>
      <c r="AU760" s="25"/>
      <c r="AV760" s="25"/>
      <c r="AW760" s="25"/>
      <c r="AX760" s="25"/>
      <c r="AY760" s="25"/>
      <c r="AZ760" s="25"/>
      <c r="BA760" s="25"/>
      <c r="BB760" s="25"/>
      <c r="BC760" s="25"/>
      <c r="BD760" s="25"/>
      <c r="BE760" s="25"/>
      <c r="BF760" s="25"/>
      <c r="BG760" s="25"/>
      <c r="BH760" s="25"/>
      <c r="BI760" s="25"/>
      <c r="BJ760" s="25"/>
      <c r="BK760" s="25"/>
      <c r="BL760" s="25"/>
      <c r="BM760" s="25"/>
      <c r="BN760" s="25"/>
      <c r="BO760" s="25"/>
      <c r="BP760" s="25"/>
    </row>
    <row r="761">
      <c r="A761" s="3" t="s">
        <v>554</v>
      </c>
      <c r="B761" s="43" t="s">
        <v>3568</v>
      </c>
      <c r="E761" s="25"/>
      <c r="F761" s="25"/>
      <c r="G761" s="84"/>
      <c r="K761" s="54" t="s">
        <v>3575</v>
      </c>
      <c r="L761" s="30" t="s">
        <v>3576</v>
      </c>
      <c r="M761" s="32" t="b">
        <v>0</v>
      </c>
      <c r="N761" s="32" t="b">
        <v>0</v>
      </c>
      <c r="O761" s="32"/>
      <c r="P761" s="32" t="b">
        <v>0</v>
      </c>
      <c r="Q761" s="32" t="b">
        <v>0</v>
      </c>
      <c r="R761" s="32" t="b">
        <v>0</v>
      </c>
      <c r="S761" s="32"/>
      <c r="T761" s="32"/>
      <c r="U761" s="32" t="b">
        <v>0</v>
      </c>
      <c r="V761" s="32"/>
      <c r="W761" s="32" t="b">
        <v>0</v>
      </c>
      <c r="X761" s="32" t="b">
        <v>0</v>
      </c>
      <c r="Y761" s="32"/>
      <c r="Z761" s="32"/>
      <c r="AA761" s="32"/>
      <c r="AB761" s="32"/>
      <c r="AC761" s="33"/>
      <c r="AD761" s="32"/>
      <c r="AE761" s="32"/>
      <c r="AF761" s="32"/>
      <c r="AG761" s="32"/>
      <c r="AH761" s="32"/>
      <c r="AI761" s="32"/>
      <c r="AJ761" s="25"/>
      <c r="AK761" s="34" t="s">
        <v>631</v>
      </c>
      <c r="AL761" s="25"/>
      <c r="AM761" s="25"/>
      <c r="AN761" s="35" t="s">
        <v>3577</v>
      </c>
      <c r="AO761" s="24">
        <v>0.0020601851851851853</v>
      </c>
      <c r="AP761" s="74" t="s">
        <v>3573</v>
      </c>
      <c r="AQ761" s="7" t="s">
        <v>633</v>
      </c>
      <c r="AR761" s="7" t="s">
        <v>633</v>
      </c>
      <c r="AS761" s="7" t="b">
        <f>NOT(ISERROR(MATCH(A761,'Villages according to موسوعة ال'!C:C,0)))</f>
        <v>1</v>
      </c>
      <c r="AT761" s="25"/>
      <c r="AU761" s="25"/>
      <c r="AV761" s="25"/>
      <c r="AW761" s="25"/>
      <c r="AX761" s="25"/>
      <c r="AY761" s="25"/>
      <c r="AZ761" s="25"/>
      <c r="BA761" s="25"/>
      <c r="BB761" s="25"/>
      <c r="BC761" s="25"/>
      <c r="BD761" s="25"/>
      <c r="BE761" s="25"/>
      <c r="BF761" s="25"/>
      <c r="BG761" s="25"/>
      <c r="BH761" s="25"/>
      <c r="BI761" s="25"/>
      <c r="BJ761" s="25"/>
      <c r="BK761" s="25"/>
      <c r="BL761" s="25"/>
      <c r="BM761" s="25"/>
      <c r="BN761" s="25"/>
      <c r="BO761" s="25"/>
      <c r="BP761" s="25"/>
    </row>
    <row r="762">
      <c r="A762" s="3" t="s">
        <v>554</v>
      </c>
      <c r="B762" s="127" t="s">
        <v>3568</v>
      </c>
      <c r="E762" s="37"/>
      <c r="F762" s="37"/>
      <c r="G762" s="122"/>
      <c r="K762" s="128" t="s">
        <v>3578</v>
      </c>
      <c r="L762" s="123"/>
      <c r="M762" s="124" t="b">
        <v>0</v>
      </c>
      <c r="N762" s="124" t="b">
        <v>0</v>
      </c>
      <c r="O762" s="124"/>
      <c r="P762" s="124" t="b">
        <v>0</v>
      </c>
      <c r="Q762" s="124" t="b">
        <v>0</v>
      </c>
      <c r="R762" s="124" t="b">
        <v>0</v>
      </c>
      <c r="S762" s="124"/>
      <c r="T762" s="32"/>
      <c r="U762" s="124" t="b">
        <v>0</v>
      </c>
      <c r="V762" s="124"/>
      <c r="W762" s="124" t="b">
        <v>0</v>
      </c>
      <c r="X762" s="124" t="b">
        <v>0</v>
      </c>
      <c r="Y762" s="124"/>
      <c r="Z762" s="124"/>
      <c r="AA762" s="124"/>
      <c r="AB762" s="124"/>
      <c r="AC762" s="125"/>
      <c r="AD762" s="124"/>
      <c r="AE762" s="124"/>
      <c r="AF762" s="124"/>
      <c r="AG762" s="124"/>
      <c r="AH762" s="124"/>
      <c r="AI762" s="124"/>
      <c r="AJ762" s="37"/>
      <c r="AK762" s="34" t="s">
        <v>666</v>
      </c>
      <c r="AL762" s="37"/>
      <c r="AM762" s="37"/>
      <c r="AN762" s="126" t="s">
        <v>3579</v>
      </c>
      <c r="AO762" s="24">
        <v>0.0012847222222222223</v>
      </c>
      <c r="AP762" s="131" t="s">
        <v>3573</v>
      </c>
      <c r="AQ762" s="4" t="s">
        <v>633</v>
      </c>
      <c r="AR762" s="4" t="s">
        <v>633</v>
      </c>
      <c r="AS762" s="7" t="b">
        <f>NOT(ISERROR(MATCH(A762,'Villages according to موسوعة ال'!C:C,0)))</f>
        <v>1</v>
      </c>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row>
    <row r="763">
      <c r="A763" s="3" t="s">
        <v>554</v>
      </c>
      <c r="B763" s="43" t="s">
        <v>3568</v>
      </c>
      <c r="E763" s="25"/>
      <c r="F763" s="25"/>
      <c r="G763" s="84"/>
      <c r="H763" s="7" t="s">
        <v>633</v>
      </c>
      <c r="I763" s="7" t="s">
        <v>638</v>
      </c>
      <c r="J763" s="7" t="s">
        <v>3580</v>
      </c>
      <c r="K763" s="54" t="s">
        <v>3581</v>
      </c>
      <c r="L763" s="30" t="s">
        <v>3582</v>
      </c>
      <c r="M763" s="32" t="b">
        <v>0</v>
      </c>
      <c r="N763" s="32" t="b">
        <v>0</v>
      </c>
      <c r="O763" s="32"/>
      <c r="P763" s="32" t="b">
        <v>0</v>
      </c>
      <c r="Q763" s="32" t="b">
        <v>0</v>
      </c>
      <c r="R763" s="32" t="b">
        <v>0</v>
      </c>
      <c r="S763" s="32"/>
      <c r="T763" s="32"/>
      <c r="U763" s="32" t="b">
        <v>0</v>
      </c>
      <c r="V763" s="32"/>
      <c r="W763" s="32" t="b">
        <v>0</v>
      </c>
      <c r="X763" s="32" t="b">
        <v>0</v>
      </c>
      <c r="Y763" s="32"/>
      <c r="Z763" s="32"/>
      <c r="AA763" s="32"/>
      <c r="AB763" s="32"/>
      <c r="AC763" s="33"/>
      <c r="AD763" s="32"/>
      <c r="AE763" s="32"/>
      <c r="AF763" s="32"/>
      <c r="AG763" s="32"/>
      <c r="AH763" s="32"/>
      <c r="AI763" s="32"/>
      <c r="AJ763" s="7" t="s">
        <v>3583</v>
      </c>
      <c r="AK763" s="34" t="s">
        <v>631</v>
      </c>
      <c r="AL763" s="25"/>
      <c r="AM763" s="25"/>
      <c r="AN763" s="35" t="s">
        <v>3584</v>
      </c>
      <c r="AO763" s="24">
        <v>0.004826388888888889</v>
      </c>
      <c r="AP763" s="74" t="s">
        <v>3573</v>
      </c>
      <c r="AQ763" s="7" t="s">
        <v>633</v>
      </c>
      <c r="AR763" s="7" t="s">
        <v>633</v>
      </c>
      <c r="AS763" s="7" t="b">
        <f>NOT(ISERROR(MATCH(A763,'Villages according to موسوعة ال'!C:C,0)))</f>
        <v>1</v>
      </c>
      <c r="AT763" s="25"/>
      <c r="AU763" s="25"/>
      <c r="AV763" s="25"/>
      <c r="AW763" s="25"/>
      <c r="AX763" s="25"/>
      <c r="AY763" s="25"/>
      <c r="AZ763" s="25"/>
      <c r="BA763" s="25"/>
      <c r="BB763" s="25"/>
      <c r="BC763" s="25"/>
      <c r="BD763" s="25"/>
      <c r="BE763" s="25"/>
      <c r="BF763" s="25"/>
      <c r="BG763" s="25"/>
      <c r="BH763" s="25"/>
      <c r="BI763" s="25"/>
      <c r="BJ763" s="25"/>
      <c r="BK763" s="25"/>
      <c r="BL763" s="25"/>
      <c r="BM763" s="25"/>
      <c r="BN763" s="25"/>
      <c r="BO763" s="25"/>
      <c r="BP763" s="25"/>
    </row>
    <row r="764">
      <c r="A764" s="3" t="s">
        <v>554</v>
      </c>
      <c r="B764" s="127" t="s">
        <v>3568</v>
      </c>
      <c r="E764" s="37"/>
      <c r="F764" s="37"/>
      <c r="G764" s="122"/>
      <c r="K764" s="128" t="s">
        <v>3585</v>
      </c>
      <c r="L764" s="123"/>
      <c r="M764" s="124" t="b">
        <v>0</v>
      </c>
      <c r="N764" s="124" t="b">
        <v>0</v>
      </c>
      <c r="O764" s="124"/>
      <c r="P764" s="124" t="b">
        <v>0</v>
      </c>
      <c r="Q764" s="124" t="b">
        <v>0</v>
      </c>
      <c r="R764" s="124" t="b">
        <v>0</v>
      </c>
      <c r="S764" s="124"/>
      <c r="T764" s="32"/>
      <c r="U764" s="124" t="b">
        <v>0</v>
      </c>
      <c r="V764" s="124"/>
      <c r="W764" s="124" t="b">
        <v>0</v>
      </c>
      <c r="X764" s="124" t="b">
        <v>0</v>
      </c>
      <c r="Y764" s="124"/>
      <c r="Z764" s="124"/>
      <c r="AA764" s="124"/>
      <c r="AB764" s="124"/>
      <c r="AC764" s="125"/>
      <c r="AD764" s="124"/>
      <c r="AE764" s="124"/>
      <c r="AF764" s="124"/>
      <c r="AG764" s="124"/>
      <c r="AH764" s="124"/>
      <c r="AI764" s="124"/>
      <c r="AJ764" s="37"/>
      <c r="AK764" s="34" t="s">
        <v>636</v>
      </c>
      <c r="AL764" s="37"/>
      <c r="AM764" s="37"/>
      <c r="AN764" s="126" t="s">
        <v>3586</v>
      </c>
      <c r="AO764" s="24">
        <v>0.0015393518518518519</v>
      </c>
      <c r="AP764" s="131" t="s">
        <v>3573</v>
      </c>
      <c r="AQ764" s="4" t="s">
        <v>633</v>
      </c>
      <c r="AR764" s="4" t="s">
        <v>633</v>
      </c>
      <c r="AS764" s="7" t="b">
        <f>NOT(ISERROR(MATCH(A764,'Villages according to موسوعة ال'!C:C,0)))</f>
        <v>1</v>
      </c>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row>
    <row r="765">
      <c r="A765" s="7" t="s">
        <v>191</v>
      </c>
      <c r="B765" s="127" t="s">
        <v>192</v>
      </c>
      <c r="C765" s="4" t="s">
        <v>192</v>
      </c>
      <c r="D765" s="4" t="s">
        <v>193</v>
      </c>
      <c r="E765" s="37"/>
      <c r="F765" s="4"/>
      <c r="G765" s="132"/>
      <c r="H765" s="4" t="s">
        <v>3587</v>
      </c>
      <c r="I765" s="4" t="s">
        <v>638</v>
      </c>
      <c r="J765" s="4" t="s">
        <v>3588</v>
      </c>
      <c r="K765" s="123"/>
      <c r="L765" s="134" t="s">
        <v>3589</v>
      </c>
      <c r="M765" s="135" t="b">
        <v>0</v>
      </c>
      <c r="N765" s="135" t="b">
        <v>0</v>
      </c>
      <c r="O765" s="135"/>
      <c r="P765" s="135" t="b">
        <v>0</v>
      </c>
      <c r="Q765" s="135" t="b">
        <v>0</v>
      </c>
      <c r="R765" s="135" t="b">
        <v>0</v>
      </c>
      <c r="S765" s="135"/>
      <c r="T765" s="32"/>
      <c r="U765" s="135" t="b">
        <v>0</v>
      </c>
      <c r="V765" s="135"/>
      <c r="W765" s="135" t="b">
        <v>0</v>
      </c>
      <c r="X765" s="135" t="b">
        <v>0</v>
      </c>
      <c r="Y765" s="135"/>
      <c r="Z765" s="135"/>
      <c r="AA765" s="135"/>
      <c r="AB765" s="135"/>
      <c r="AC765" s="136"/>
      <c r="AD765" s="135"/>
      <c r="AE765" s="135"/>
      <c r="AF765" s="135"/>
      <c r="AG765" s="135"/>
      <c r="AH765" s="135"/>
      <c r="AI765" s="135"/>
      <c r="AJ765" s="37"/>
      <c r="AK765" s="34" t="s">
        <v>636</v>
      </c>
      <c r="AL765" s="37"/>
      <c r="AM765" s="37"/>
      <c r="AN765" s="126" t="s">
        <v>3590</v>
      </c>
      <c r="AO765" s="24">
        <v>0.0046875</v>
      </c>
      <c r="AP765" s="131" t="s">
        <v>3591</v>
      </c>
      <c r="AQ765" s="4" t="s">
        <v>633</v>
      </c>
      <c r="AR765" s="4" t="s">
        <v>633</v>
      </c>
      <c r="AS765" s="7" t="b">
        <f>NOT(ISERROR(MATCH(A765,'Villages according to موسوعة ال'!C:C,0)))</f>
        <v>1</v>
      </c>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row>
    <row r="766">
      <c r="A766" s="7" t="s">
        <v>191</v>
      </c>
      <c r="B766" s="127" t="s">
        <v>192</v>
      </c>
      <c r="E766" s="37"/>
      <c r="F766" s="37"/>
      <c r="G766" s="122"/>
      <c r="K766" s="128" t="s">
        <v>3592</v>
      </c>
      <c r="L766" s="123"/>
      <c r="M766" s="124" t="b">
        <v>0</v>
      </c>
      <c r="N766" s="124" t="b">
        <v>0</v>
      </c>
      <c r="O766" s="124"/>
      <c r="P766" s="124" t="b">
        <v>0</v>
      </c>
      <c r="Q766" s="124" t="b">
        <v>0</v>
      </c>
      <c r="R766" s="124" t="b">
        <v>0</v>
      </c>
      <c r="S766" s="124"/>
      <c r="T766" s="32"/>
      <c r="U766" s="124" t="b">
        <v>0</v>
      </c>
      <c r="V766" s="124"/>
      <c r="W766" s="124" t="b">
        <v>0</v>
      </c>
      <c r="X766" s="124" t="b">
        <v>0</v>
      </c>
      <c r="Y766" s="124"/>
      <c r="Z766" s="124"/>
      <c r="AA766" s="124"/>
      <c r="AB766" s="124"/>
      <c r="AC766" s="125"/>
      <c r="AD766" s="124"/>
      <c r="AE766" s="124"/>
      <c r="AF766" s="124"/>
      <c r="AG766" s="124"/>
      <c r="AH766" s="124"/>
      <c r="AI766" s="124"/>
      <c r="AJ766" s="37"/>
      <c r="AK766" s="34" t="s">
        <v>666</v>
      </c>
      <c r="AL766" s="37"/>
      <c r="AM766" s="37"/>
      <c r="AN766" s="126" t="s">
        <v>3593</v>
      </c>
      <c r="AO766" s="24">
        <v>0.005648148148148148</v>
      </c>
      <c r="AP766" s="131" t="s">
        <v>3591</v>
      </c>
      <c r="AQ766" s="4" t="s">
        <v>633</v>
      </c>
      <c r="AR766" s="4" t="s">
        <v>633</v>
      </c>
      <c r="AS766" s="7" t="b">
        <f>NOT(ISERROR(MATCH(A766,'Villages according to موسوعة ال'!C:C,0)))</f>
        <v>1</v>
      </c>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row>
    <row r="767">
      <c r="A767" s="1" t="s">
        <v>462</v>
      </c>
      <c r="B767" s="162" t="s">
        <v>463</v>
      </c>
      <c r="C767" s="4" t="s">
        <v>463</v>
      </c>
      <c r="D767" s="4" t="s">
        <v>464</v>
      </c>
      <c r="E767" s="4" t="s">
        <v>900</v>
      </c>
      <c r="F767" s="37"/>
      <c r="G767" s="122"/>
      <c r="H767" s="37"/>
      <c r="I767" s="4" t="s">
        <v>638</v>
      </c>
      <c r="J767" s="4" t="s">
        <v>3594</v>
      </c>
      <c r="K767" s="123"/>
      <c r="L767" s="123"/>
      <c r="M767" s="124" t="b">
        <v>0</v>
      </c>
      <c r="N767" s="124" t="b">
        <v>0</v>
      </c>
      <c r="O767" s="124"/>
      <c r="P767" s="124" t="b">
        <v>0</v>
      </c>
      <c r="Q767" s="124" t="b">
        <v>0</v>
      </c>
      <c r="R767" s="124" t="b">
        <v>0</v>
      </c>
      <c r="S767" s="124"/>
      <c r="T767" s="60"/>
      <c r="U767" s="124" t="b">
        <v>0</v>
      </c>
      <c r="V767" s="124"/>
      <c r="W767" s="124" t="b">
        <v>0</v>
      </c>
      <c r="X767" s="124" t="b">
        <v>0</v>
      </c>
      <c r="Y767" s="124"/>
      <c r="Z767" s="124"/>
      <c r="AA767" s="124"/>
      <c r="AB767" s="124"/>
      <c r="AC767" s="125"/>
      <c r="AD767" s="124"/>
      <c r="AE767" s="124"/>
      <c r="AF767" s="124"/>
      <c r="AG767" s="124"/>
      <c r="AH767" s="124"/>
      <c r="AI767" s="124"/>
      <c r="AJ767" s="37"/>
      <c r="AK767" s="50"/>
      <c r="AL767" s="37"/>
      <c r="AM767" s="37"/>
      <c r="AN767" s="35" t="s">
        <v>3595</v>
      </c>
      <c r="AO767" s="24">
        <v>3.935185185185185E-4</v>
      </c>
      <c r="AP767" s="131" t="s">
        <v>3596</v>
      </c>
      <c r="AQ767" s="37"/>
      <c r="AR767" s="37"/>
      <c r="AS767" s="7" t="b">
        <f>NOT(ISERROR(MATCH(A767,'Villages according to موسوعة ال'!C:C,0)))</f>
        <v>1</v>
      </c>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row>
    <row r="768">
      <c r="A768" s="1" t="s">
        <v>462</v>
      </c>
      <c r="B768" s="162" t="s">
        <v>463</v>
      </c>
      <c r="E768" s="4" t="s">
        <v>900</v>
      </c>
      <c r="G768" s="122"/>
      <c r="H768" s="37"/>
      <c r="I768" s="4" t="s">
        <v>638</v>
      </c>
      <c r="J768" s="4" t="s">
        <v>3594</v>
      </c>
      <c r="K768" s="123"/>
      <c r="L768" s="123"/>
      <c r="M768" s="124" t="b">
        <v>0</v>
      </c>
      <c r="N768" s="124" t="b">
        <v>0</v>
      </c>
      <c r="O768" s="124"/>
      <c r="P768" s="124" t="b">
        <v>0</v>
      </c>
      <c r="Q768" s="124" t="b">
        <v>0</v>
      </c>
      <c r="R768" s="124" t="b">
        <v>0</v>
      </c>
      <c r="S768" s="124"/>
      <c r="T768" s="60"/>
      <c r="U768" s="124" t="b">
        <v>0</v>
      </c>
      <c r="V768" s="124"/>
      <c r="W768" s="124" t="b">
        <v>0</v>
      </c>
      <c r="X768" s="124" t="b">
        <v>0</v>
      </c>
      <c r="Y768" s="124"/>
      <c r="Z768" s="124"/>
      <c r="AA768" s="124"/>
      <c r="AB768" s="124"/>
      <c r="AC768" s="125"/>
      <c r="AD768" s="124"/>
      <c r="AE768" s="124"/>
      <c r="AF768" s="124"/>
      <c r="AG768" s="124"/>
      <c r="AH768" s="124"/>
      <c r="AI768" s="124"/>
      <c r="AJ768" s="37"/>
      <c r="AK768" s="50"/>
      <c r="AL768" s="37"/>
      <c r="AM768" s="37"/>
      <c r="AN768" s="35" t="s">
        <v>3597</v>
      </c>
      <c r="AO768" s="24">
        <v>0.0020717592592592593</v>
      </c>
      <c r="AP768" s="131" t="s">
        <v>3596</v>
      </c>
      <c r="AQ768" s="37"/>
      <c r="AR768" s="37"/>
      <c r="AS768" s="7" t="b">
        <f>NOT(ISERROR(MATCH(A768,'Villages according to موسوعة ال'!C:C,0)))</f>
        <v>1</v>
      </c>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row>
    <row r="769">
      <c r="A769" s="1" t="s">
        <v>462</v>
      </c>
      <c r="B769" s="162" t="s">
        <v>463</v>
      </c>
      <c r="E769" s="4" t="s">
        <v>900</v>
      </c>
      <c r="G769" s="122"/>
      <c r="H769" s="37"/>
      <c r="I769" s="4" t="s">
        <v>638</v>
      </c>
      <c r="J769" s="4" t="s">
        <v>3594</v>
      </c>
      <c r="K769" s="123"/>
      <c r="L769" s="123"/>
      <c r="M769" s="124" t="b">
        <v>0</v>
      </c>
      <c r="N769" s="124" t="b">
        <v>0</v>
      </c>
      <c r="O769" s="124"/>
      <c r="P769" s="124" t="b">
        <v>0</v>
      </c>
      <c r="Q769" s="124" t="b">
        <v>0</v>
      </c>
      <c r="R769" s="124" t="b">
        <v>0</v>
      </c>
      <c r="S769" s="124"/>
      <c r="T769" s="60"/>
      <c r="U769" s="124" t="b">
        <v>0</v>
      </c>
      <c r="V769" s="124"/>
      <c r="W769" s="124" t="b">
        <v>0</v>
      </c>
      <c r="X769" s="124" t="b">
        <v>0</v>
      </c>
      <c r="Y769" s="124"/>
      <c r="Z769" s="124"/>
      <c r="AA769" s="124"/>
      <c r="AB769" s="124"/>
      <c r="AC769" s="125"/>
      <c r="AD769" s="124"/>
      <c r="AE769" s="124"/>
      <c r="AF769" s="124"/>
      <c r="AG769" s="124"/>
      <c r="AH769" s="124"/>
      <c r="AI769" s="124"/>
      <c r="AJ769" s="37"/>
      <c r="AK769" s="50"/>
      <c r="AL769" s="37"/>
      <c r="AM769" s="37"/>
      <c r="AN769" s="35" t="s">
        <v>3598</v>
      </c>
      <c r="AO769" s="24">
        <v>3.587962962962963E-4</v>
      </c>
      <c r="AP769" s="131" t="s">
        <v>3596</v>
      </c>
      <c r="AQ769" s="37"/>
      <c r="AR769" s="37"/>
      <c r="AS769" s="7" t="b">
        <f>NOT(ISERROR(MATCH(A769,'Villages according to موسوعة ال'!C:C,0)))</f>
        <v>1</v>
      </c>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row>
    <row r="770">
      <c r="A770" s="1" t="s">
        <v>462</v>
      </c>
      <c r="B770" s="162" t="s">
        <v>463</v>
      </c>
      <c r="E770" s="4" t="s">
        <v>900</v>
      </c>
      <c r="G770" s="122"/>
      <c r="H770" s="37"/>
      <c r="I770" s="4" t="s">
        <v>638</v>
      </c>
      <c r="J770" s="4" t="s">
        <v>3594</v>
      </c>
      <c r="K770" s="123"/>
      <c r="L770" s="123"/>
      <c r="M770" s="124" t="b">
        <v>0</v>
      </c>
      <c r="N770" s="124" t="b">
        <v>0</v>
      </c>
      <c r="O770" s="124"/>
      <c r="P770" s="124" t="b">
        <v>0</v>
      </c>
      <c r="Q770" s="124" t="b">
        <v>0</v>
      </c>
      <c r="R770" s="124" t="b">
        <v>0</v>
      </c>
      <c r="S770" s="124"/>
      <c r="T770" s="60"/>
      <c r="U770" s="124" t="b">
        <v>0</v>
      </c>
      <c r="V770" s="124"/>
      <c r="W770" s="124" t="b">
        <v>0</v>
      </c>
      <c r="X770" s="124" t="b">
        <v>0</v>
      </c>
      <c r="Y770" s="124"/>
      <c r="Z770" s="124"/>
      <c r="AA770" s="124"/>
      <c r="AB770" s="124"/>
      <c r="AC770" s="125"/>
      <c r="AD770" s="124"/>
      <c r="AE770" s="124"/>
      <c r="AF770" s="124"/>
      <c r="AG770" s="124"/>
      <c r="AH770" s="124"/>
      <c r="AI770" s="124"/>
      <c r="AJ770" s="37"/>
      <c r="AK770" s="50"/>
      <c r="AL770" s="37"/>
      <c r="AM770" s="37"/>
      <c r="AN770" s="35" t="s">
        <v>3599</v>
      </c>
      <c r="AO770" s="24">
        <v>7.638888888888889E-4</v>
      </c>
      <c r="AP770" s="131" t="s">
        <v>3596</v>
      </c>
      <c r="AQ770" s="37"/>
      <c r="AS770" s="7" t="b">
        <f>NOT(ISERROR(MATCH(A770,'Villages according to موسوعة ال'!C:C,0)))</f>
        <v>1</v>
      </c>
      <c r="AT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row>
    <row r="771">
      <c r="A771" s="1" t="s">
        <v>462</v>
      </c>
      <c r="B771" s="162" t="s">
        <v>463</v>
      </c>
      <c r="E771" s="4" t="s">
        <v>900</v>
      </c>
      <c r="F771" s="37"/>
      <c r="G771" s="132" t="s">
        <v>1545</v>
      </c>
      <c r="H771" s="37"/>
      <c r="I771" s="4" t="s">
        <v>638</v>
      </c>
      <c r="J771" s="4" t="s">
        <v>3600</v>
      </c>
      <c r="K771" s="123"/>
      <c r="L771" s="123"/>
      <c r="M771" s="124" t="b">
        <v>0</v>
      </c>
      <c r="N771" s="124" t="b">
        <v>0</v>
      </c>
      <c r="O771" s="124"/>
      <c r="P771" s="124" t="b">
        <v>0</v>
      </c>
      <c r="Q771" s="124" t="b">
        <v>0</v>
      </c>
      <c r="R771" s="124" t="b">
        <v>0</v>
      </c>
      <c r="S771" s="124"/>
      <c r="T771" s="60"/>
      <c r="U771" s="124" t="b">
        <v>0</v>
      </c>
      <c r="V771" s="124"/>
      <c r="W771" s="124" t="b">
        <v>0</v>
      </c>
      <c r="X771" s="124" t="b">
        <v>0</v>
      </c>
      <c r="Y771" s="124"/>
      <c r="Z771" s="124"/>
      <c r="AA771" s="124"/>
      <c r="AB771" s="124"/>
      <c r="AC771" s="125"/>
      <c r="AD771" s="124"/>
      <c r="AE771" s="124"/>
      <c r="AF771" s="124"/>
      <c r="AG771" s="124"/>
      <c r="AH771" s="124"/>
      <c r="AI771" s="124"/>
      <c r="AJ771" s="37"/>
      <c r="AK771" s="34" t="s">
        <v>631</v>
      </c>
      <c r="AL771" s="37"/>
      <c r="AM771" s="37"/>
      <c r="AN771" s="35" t="s">
        <v>3601</v>
      </c>
      <c r="AO771" s="76">
        <v>0.0011111111111111111</v>
      </c>
      <c r="AP771" s="131" t="s">
        <v>3596</v>
      </c>
      <c r="AQ771" s="137">
        <v>45992.0</v>
      </c>
      <c r="AS771" s="7" t="b">
        <f>NOT(ISERROR(MATCH(A771,'Villages according to موسوعة ال'!C:C,0)))</f>
        <v>1</v>
      </c>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row>
    <row r="772">
      <c r="A772" s="1" t="s">
        <v>3602</v>
      </c>
      <c r="B772" s="26" t="s">
        <v>3603</v>
      </c>
      <c r="C772" s="4" t="s">
        <v>3603</v>
      </c>
      <c r="D772" s="4" t="s">
        <v>3604</v>
      </c>
      <c r="E772" s="4" t="s">
        <v>900</v>
      </c>
      <c r="F772" s="37"/>
      <c r="G772" s="132" t="s">
        <v>2841</v>
      </c>
      <c r="H772" s="4" t="s">
        <v>900</v>
      </c>
      <c r="I772" s="4" t="s">
        <v>638</v>
      </c>
      <c r="J772" s="4" t="s">
        <v>3605</v>
      </c>
      <c r="K772" s="123"/>
      <c r="L772" s="123"/>
      <c r="M772" s="124" t="b">
        <v>0</v>
      </c>
      <c r="N772" s="124" t="b">
        <v>0</v>
      </c>
      <c r="O772" s="124"/>
      <c r="P772" s="124" t="b">
        <v>0</v>
      </c>
      <c r="Q772" s="124" t="b">
        <v>0</v>
      </c>
      <c r="R772" s="124" t="b">
        <v>0</v>
      </c>
      <c r="S772" s="124"/>
      <c r="T772" s="60"/>
      <c r="U772" s="124" t="b">
        <v>0</v>
      </c>
      <c r="V772" s="124"/>
      <c r="W772" s="124" t="b">
        <v>0</v>
      </c>
      <c r="X772" s="124" t="b">
        <v>0</v>
      </c>
      <c r="Y772" s="124"/>
      <c r="Z772" s="124"/>
      <c r="AA772" s="124"/>
      <c r="AB772" s="124"/>
      <c r="AC772" s="125"/>
      <c r="AD772" s="124"/>
      <c r="AE772" s="124"/>
      <c r="AF772" s="124"/>
      <c r="AG772" s="124"/>
      <c r="AH772" s="124"/>
      <c r="AI772" s="124"/>
      <c r="AJ772" s="37"/>
      <c r="AK772" s="34" t="s">
        <v>636</v>
      </c>
      <c r="AL772" s="37"/>
      <c r="AM772" s="37"/>
      <c r="AN772" s="36" t="s">
        <v>3606</v>
      </c>
      <c r="AO772" s="163" t="s">
        <v>3607</v>
      </c>
      <c r="AP772" s="131"/>
      <c r="AQ772" s="37"/>
      <c r="AR772" s="37"/>
      <c r="AS772" s="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row>
    <row r="773">
      <c r="A773" s="4"/>
      <c r="B773" s="164"/>
      <c r="C773" s="4"/>
      <c r="D773" s="4"/>
      <c r="E773" s="37"/>
      <c r="F773" s="37"/>
      <c r="G773" s="122"/>
      <c r="H773" s="37"/>
      <c r="I773" s="37"/>
      <c r="J773" s="37"/>
      <c r="K773" s="123"/>
      <c r="L773" s="123"/>
      <c r="M773" s="124" t="b">
        <v>0</v>
      </c>
      <c r="N773" s="124" t="b">
        <v>0</v>
      </c>
      <c r="O773" s="124"/>
      <c r="P773" s="124" t="b">
        <v>0</v>
      </c>
      <c r="Q773" s="124" t="b">
        <v>0</v>
      </c>
      <c r="R773" s="124" t="b">
        <v>0</v>
      </c>
      <c r="S773" s="124"/>
      <c r="T773" s="60"/>
      <c r="U773" s="124" t="b">
        <v>0</v>
      </c>
      <c r="V773" s="124"/>
      <c r="W773" s="124" t="b">
        <v>0</v>
      </c>
      <c r="X773" s="124" t="b">
        <v>0</v>
      </c>
      <c r="Y773" s="124"/>
      <c r="Z773" s="124"/>
      <c r="AA773" s="124"/>
      <c r="AB773" s="124"/>
      <c r="AC773" s="125"/>
      <c r="AD773" s="124"/>
      <c r="AE773" s="124"/>
      <c r="AF773" s="124"/>
      <c r="AG773" s="124"/>
      <c r="AH773" s="124"/>
      <c r="AI773" s="124"/>
      <c r="AJ773" s="37"/>
      <c r="AK773" s="50"/>
      <c r="AL773" s="37"/>
      <c r="AM773" s="37"/>
      <c r="AN773" s="36"/>
      <c r="AO773" s="165"/>
      <c r="AP773" s="131"/>
      <c r="AQ773" s="37"/>
      <c r="AR773" s="37"/>
      <c r="AS773" s="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row>
    <row r="774">
      <c r="A774" s="4"/>
      <c r="B774" s="164"/>
      <c r="C774" s="4"/>
      <c r="D774" s="4"/>
      <c r="E774" s="37"/>
      <c r="F774" s="37"/>
      <c r="G774" s="122"/>
      <c r="H774" s="37"/>
      <c r="I774" s="37"/>
      <c r="J774" s="37"/>
      <c r="K774" s="123"/>
      <c r="L774" s="123"/>
      <c r="M774" s="124" t="b">
        <v>0</v>
      </c>
      <c r="N774" s="124" t="b">
        <v>0</v>
      </c>
      <c r="O774" s="124"/>
      <c r="P774" s="124" t="b">
        <v>0</v>
      </c>
      <c r="Q774" s="124" t="b">
        <v>0</v>
      </c>
      <c r="R774" s="124" t="b">
        <v>0</v>
      </c>
      <c r="S774" s="124"/>
      <c r="T774" s="60"/>
      <c r="U774" s="124" t="b">
        <v>0</v>
      </c>
      <c r="V774" s="124"/>
      <c r="W774" s="124" t="b">
        <v>0</v>
      </c>
      <c r="X774" s="124" t="b">
        <v>0</v>
      </c>
      <c r="Y774" s="124"/>
      <c r="Z774" s="124"/>
      <c r="AA774" s="124"/>
      <c r="AB774" s="124"/>
      <c r="AC774" s="125"/>
      <c r="AD774" s="124"/>
      <c r="AE774" s="124"/>
      <c r="AF774" s="124"/>
      <c r="AG774" s="124"/>
      <c r="AH774" s="124"/>
      <c r="AI774" s="124"/>
      <c r="AJ774" s="37"/>
      <c r="AK774" s="50"/>
      <c r="AL774" s="37"/>
      <c r="AM774" s="37"/>
      <c r="AN774" s="37"/>
      <c r="AO774" s="165"/>
      <c r="AP774" s="131"/>
      <c r="AQ774" s="37"/>
      <c r="AR774" s="37"/>
      <c r="AS774" s="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row>
    <row r="775">
      <c r="A775" s="4"/>
      <c r="B775" s="164"/>
      <c r="C775" s="4"/>
      <c r="D775" s="4"/>
      <c r="E775" s="37"/>
      <c r="F775" s="37"/>
      <c r="G775" s="122"/>
      <c r="H775" s="37"/>
      <c r="I775" s="37"/>
      <c r="J775" s="37"/>
      <c r="K775" s="123"/>
      <c r="L775" s="123"/>
      <c r="M775" s="124" t="b">
        <v>0</v>
      </c>
      <c r="N775" s="124" t="b">
        <v>0</v>
      </c>
      <c r="O775" s="124"/>
      <c r="P775" s="124" t="b">
        <v>0</v>
      </c>
      <c r="Q775" s="124" t="b">
        <v>0</v>
      </c>
      <c r="R775" s="124" t="b">
        <v>0</v>
      </c>
      <c r="S775" s="124"/>
      <c r="T775" s="60"/>
      <c r="U775" s="124" t="b">
        <v>0</v>
      </c>
      <c r="V775" s="124"/>
      <c r="W775" s="124" t="b">
        <v>0</v>
      </c>
      <c r="X775" s="124" t="b">
        <v>0</v>
      </c>
      <c r="Y775" s="124"/>
      <c r="Z775" s="124"/>
      <c r="AA775" s="124"/>
      <c r="AB775" s="124"/>
      <c r="AC775" s="125"/>
      <c r="AD775" s="124"/>
      <c r="AE775" s="124"/>
      <c r="AF775" s="124"/>
      <c r="AG775" s="124"/>
      <c r="AH775" s="124"/>
      <c r="AI775" s="124"/>
      <c r="AJ775" s="37"/>
      <c r="AK775" s="50"/>
      <c r="AL775" s="37"/>
      <c r="AM775" s="37"/>
      <c r="AN775" s="37"/>
      <c r="AO775" s="165"/>
      <c r="AP775" s="131"/>
      <c r="AQ775" s="37"/>
      <c r="AR775" s="37"/>
      <c r="AS775" s="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row>
    <row r="776">
      <c r="A776" s="4"/>
      <c r="B776" s="164"/>
      <c r="C776" s="4"/>
      <c r="D776" s="4"/>
      <c r="E776" s="37"/>
      <c r="F776" s="37"/>
      <c r="G776" s="122"/>
      <c r="H776" s="37"/>
      <c r="I776" s="37"/>
      <c r="J776" s="37"/>
      <c r="K776" s="123"/>
      <c r="L776" s="123"/>
      <c r="M776" s="124" t="b">
        <v>0</v>
      </c>
      <c r="N776" s="124" t="b">
        <v>0</v>
      </c>
      <c r="O776" s="124"/>
      <c r="P776" s="124" t="b">
        <v>0</v>
      </c>
      <c r="Q776" s="124" t="b">
        <v>0</v>
      </c>
      <c r="R776" s="124" t="b">
        <v>0</v>
      </c>
      <c r="S776" s="124"/>
      <c r="T776" s="60"/>
      <c r="U776" s="124" t="b">
        <v>0</v>
      </c>
      <c r="V776" s="124"/>
      <c r="W776" s="124" t="b">
        <v>0</v>
      </c>
      <c r="X776" s="124" t="b">
        <v>0</v>
      </c>
      <c r="Y776" s="124"/>
      <c r="Z776" s="124"/>
      <c r="AA776" s="124"/>
      <c r="AB776" s="124"/>
      <c r="AC776" s="125"/>
      <c r="AD776" s="124"/>
      <c r="AE776" s="124"/>
      <c r="AF776" s="124"/>
      <c r="AG776" s="124"/>
      <c r="AH776" s="124"/>
      <c r="AI776" s="124"/>
      <c r="AJ776" s="37"/>
      <c r="AK776" s="50"/>
      <c r="AL776" s="37"/>
      <c r="AM776" s="37"/>
      <c r="AN776" s="37"/>
      <c r="AO776" s="165"/>
      <c r="AP776" s="131"/>
      <c r="AQ776" s="37"/>
      <c r="AR776" s="37"/>
      <c r="AS776" s="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row>
    <row r="777">
      <c r="A777" s="4"/>
      <c r="B777" s="164"/>
      <c r="C777" s="4"/>
      <c r="D777" s="4"/>
      <c r="E777" s="37"/>
      <c r="F777" s="37"/>
      <c r="G777" s="122"/>
      <c r="H777" s="37"/>
      <c r="I777" s="37"/>
      <c r="J777" s="37"/>
      <c r="K777" s="123"/>
      <c r="L777" s="123"/>
      <c r="M777" s="124" t="b">
        <v>0</v>
      </c>
      <c r="N777" s="124" t="b">
        <v>0</v>
      </c>
      <c r="O777" s="124"/>
      <c r="P777" s="124" t="b">
        <v>0</v>
      </c>
      <c r="Q777" s="124" t="b">
        <v>0</v>
      </c>
      <c r="R777" s="124" t="b">
        <v>0</v>
      </c>
      <c r="S777" s="124"/>
      <c r="T777" s="60"/>
      <c r="U777" s="124" t="b">
        <v>0</v>
      </c>
      <c r="V777" s="124"/>
      <c r="W777" s="124" t="b">
        <v>0</v>
      </c>
      <c r="X777" s="124" t="b">
        <v>0</v>
      </c>
      <c r="Y777" s="124"/>
      <c r="Z777" s="124"/>
      <c r="AA777" s="124"/>
      <c r="AB777" s="124"/>
      <c r="AC777" s="125"/>
      <c r="AD777" s="124"/>
      <c r="AE777" s="124"/>
      <c r="AF777" s="124"/>
      <c r="AG777" s="124"/>
      <c r="AH777" s="124"/>
      <c r="AI777" s="124"/>
      <c r="AJ777" s="37"/>
      <c r="AK777" s="50"/>
      <c r="AL777" s="37"/>
      <c r="AM777" s="37"/>
      <c r="AN777" s="37"/>
      <c r="AO777" s="165"/>
      <c r="AP777" s="131"/>
      <c r="AQ777" s="37"/>
      <c r="AR777" s="37"/>
      <c r="AS777" s="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row>
    <row r="778">
      <c r="A778" s="4"/>
      <c r="B778" s="164"/>
      <c r="C778" s="4"/>
      <c r="D778" s="4"/>
      <c r="E778" s="37"/>
      <c r="F778" s="37"/>
      <c r="G778" s="122"/>
      <c r="H778" s="37"/>
      <c r="I778" s="37"/>
      <c r="J778" s="37"/>
      <c r="K778" s="123"/>
      <c r="L778" s="123"/>
      <c r="M778" s="124" t="b">
        <v>0</v>
      </c>
      <c r="N778" s="124" t="b">
        <v>0</v>
      </c>
      <c r="O778" s="124"/>
      <c r="P778" s="124" t="b">
        <v>0</v>
      </c>
      <c r="Q778" s="124" t="b">
        <v>0</v>
      </c>
      <c r="R778" s="124" t="b">
        <v>0</v>
      </c>
      <c r="S778" s="124"/>
      <c r="T778" s="60"/>
      <c r="U778" s="124" t="b">
        <v>0</v>
      </c>
      <c r="V778" s="124"/>
      <c r="W778" s="124" t="b">
        <v>0</v>
      </c>
      <c r="X778" s="124" t="b">
        <v>0</v>
      </c>
      <c r="Y778" s="124"/>
      <c r="Z778" s="124"/>
      <c r="AA778" s="124"/>
      <c r="AB778" s="124"/>
      <c r="AC778" s="125"/>
      <c r="AD778" s="124"/>
      <c r="AE778" s="124"/>
      <c r="AF778" s="124"/>
      <c r="AG778" s="124"/>
      <c r="AH778" s="124"/>
      <c r="AI778" s="124"/>
      <c r="AJ778" s="37"/>
      <c r="AK778" s="50"/>
      <c r="AL778" s="37"/>
      <c r="AM778" s="37"/>
      <c r="AN778" s="37"/>
      <c r="AO778" s="165"/>
      <c r="AP778" s="166"/>
      <c r="AQ778" s="37"/>
      <c r="AR778" s="37"/>
      <c r="AS778" s="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row>
    <row r="779">
      <c r="A779" s="4"/>
      <c r="B779" s="164"/>
      <c r="C779" s="4"/>
      <c r="D779" s="4"/>
      <c r="E779" s="37"/>
      <c r="F779" s="37"/>
      <c r="G779" s="122"/>
      <c r="H779" s="37"/>
      <c r="I779" s="37"/>
      <c r="J779" s="37"/>
      <c r="K779" s="123"/>
      <c r="L779" s="123"/>
      <c r="M779" s="124" t="b">
        <v>0</v>
      </c>
      <c r="N779" s="124" t="b">
        <v>0</v>
      </c>
      <c r="O779" s="124"/>
      <c r="P779" s="124" t="b">
        <v>0</v>
      </c>
      <c r="Q779" s="124" t="b">
        <v>0</v>
      </c>
      <c r="R779" s="124" t="b">
        <v>0</v>
      </c>
      <c r="S779" s="124"/>
      <c r="T779" s="60"/>
      <c r="U779" s="124" t="b">
        <v>0</v>
      </c>
      <c r="V779" s="124"/>
      <c r="W779" s="124" t="b">
        <v>0</v>
      </c>
      <c r="X779" s="124" t="b">
        <v>0</v>
      </c>
      <c r="Y779" s="124"/>
      <c r="Z779" s="124"/>
      <c r="AA779" s="124"/>
      <c r="AB779" s="124"/>
      <c r="AC779" s="125"/>
      <c r="AD779" s="124"/>
      <c r="AE779" s="124"/>
      <c r="AF779" s="124"/>
      <c r="AG779" s="124"/>
      <c r="AH779" s="124"/>
      <c r="AI779" s="124"/>
      <c r="AJ779" s="37"/>
      <c r="AK779" s="50"/>
      <c r="AL779" s="37"/>
      <c r="AM779" s="37"/>
      <c r="AN779" s="37"/>
      <c r="AO779" s="165"/>
      <c r="AP779" s="166"/>
      <c r="AQ779" s="37"/>
      <c r="AR779" s="37"/>
      <c r="AS779" s="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row>
    <row r="780">
      <c r="A780" s="4"/>
      <c r="B780" s="164"/>
      <c r="C780" s="4"/>
      <c r="D780" s="4"/>
      <c r="E780" s="37"/>
      <c r="F780" s="37"/>
      <c r="G780" s="122"/>
      <c r="H780" s="37"/>
      <c r="I780" s="37"/>
      <c r="J780" s="37"/>
      <c r="K780" s="123"/>
      <c r="L780" s="123"/>
      <c r="M780" s="124" t="b">
        <v>0</v>
      </c>
      <c r="N780" s="124" t="b">
        <v>0</v>
      </c>
      <c r="O780" s="124"/>
      <c r="P780" s="124" t="b">
        <v>0</v>
      </c>
      <c r="Q780" s="124" t="b">
        <v>0</v>
      </c>
      <c r="R780" s="124" t="b">
        <v>0</v>
      </c>
      <c r="S780" s="124"/>
      <c r="T780" s="60"/>
      <c r="U780" s="124" t="b">
        <v>0</v>
      </c>
      <c r="V780" s="124"/>
      <c r="W780" s="124" t="b">
        <v>0</v>
      </c>
      <c r="X780" s="124" t="b">
        <v>0</v>
      </c>
      <c r="Y780" s="124"/>
      <c r="Z780" s="124"/>
      <c r="AA780" s="124"/>
      <c r="AB780" s="124"/>
      <c r="AC780" s="125"/>
      <c r="AD780" s="124"/>
      <c r="AE780" s="124"/>
      <c r="AF780" s="124"/>
      <c r="AG780" s="124"/>
      <c r="AH780" s="124"/>
      <c r="AI780" s="124"/>
      <c r="AJ780" s="37"/>
      <c r="AK780" s="50"/>
      <c r="AL780" s="37"/>
      <c r="AM780" s="37"/>
      <c r="AN780" s="37"/>
      <c r="AO780" s="165"/>
      <c r="AP780" s="166"/>
      <c r="AQ780" s="37"/>
      <c r="AR780" s="37"/>
      <c r="AS780" s="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row>
    <row r="781">
      <c r="A781" s="4"/>
      <c r="B781" s="164"/>
      <c r="C781" s="4"/>
      <c r="D781" s="4"/>
      <c r="E781" s="37"/>
      <c r="F781" s="37"/>
      <c r="G781" s="122"/>
      <c r="H781" s="37"/>
      <c r="I781" s="37"/>
      <c r="J781" s="37"/>
      <c r="K781" s="123"/>
      <c r="L781" s="123"/>
      <c r="M781" s="124" t="b">
        <v>0</v>
      </c>
      <c r="N781" s="124" t="b">
        <v>0</v>
      </c>
      <c r="O781" s="124"/>
      <c r="P781" s="124" t="b">
        <v>0</v>
      </c>
      <c r="Q781" s="124" t="b">
        <v>0</v>
      </c>
      <c r="R781" s="124" t="b">
        <v>0</v>
      </c>
      <c r="S781" s="124"/>
      <c r="T781" s="60"/>
      <c r="U781" s="124" t="b">
        <v>0</v>
      </c>
      <c r="V781" s="124"/>
      <c r="W781" s="124" t="b">
        <v>0</v>
      </c>
      <c r="X781" s="124" t="b">
        <v>0</v>
      </c>
      <c r="Y781" s="124"/>
      <c r="Z781" s="124"/>
      <c r="AA781" s="124"/>
      <c r="AB781" s="124"/>
      <c r="AC781" s="125"/>
      <c r="AD781" s="124"/>
      <c r="AE781" s="124"/>
      <c r="AF781" s="124"/>
      <c r="AG781" s="124"/>
      <c r="AH781" s="124"/>
      <c r="AI781" s="124"/>
      <c r="AJ781" s="37"/>
      <c r="AK781" s="50"/>
      <c r="AL781" s="37"/>
      <c r="AM781" s="37"/>
      <c r="AN781" s="37"/>
      <c r="AO781" s="165"/>
      <c r="AP781" s="166"/>
      <c r="AQ781" s="37"/>
      <c r="AR781" s="37"/>
      <c r="AS781" s="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row>
    <row r="782">
      <c r="A782" s="4"/>
      <c r="B782" s="164"/>
      <c r="C782" s="4"/>
      <c r="D782" s="4"/>
      <c r="E782" s="37"/>
      <c r="F782" s="37"/>
      <c r="G782" s="122"/>
      <c r="H782" s="37"/>
      <c r="I782" s="37"/>
      <c r="J782" s="37"/>
      <c r="K782" s="123"/>
      <c r="L782" s="123"/>
      <c r="M782" s="124" t="b">
        <v>0</v>
      </c>
      <c r="N782" s="124" t="b">
        <v>0</v>
      </c>
      <c r="O782" s="124"/>
      <c r="P782" s="124" t="b">
        <v>0</v>
      </c>
      <c r="Q782" s="124" t="b">
        <v>0</v>
      </c>
      <c r="R782" s="124" t="b">
        <v>0</v>
      </c>
      <c r="S782" s="124"/>
      <c r="T782" s="60"/>
      <c r="U782" s="124" t="b">
        <v>0</v>
      </c>
      <c r="V782" s="124"/>
      <c r="W782" s="124" t="b">
        <v>0</v>
      </c>
      <c r="X782" s="124" t="b">
        <v>0</v>
      </c>
      <c r="Y782" s="124"/>
      <c r="Z782" s="124"/>
      <c r="AA782" s="124"/>
      <c r="AB782" s="124"/>
      <c r="AC782" s="125"/>
      <c r="AD782" s="124"/>
      <c r="AE782" s="124"/>
      <c r="AF782" s="124"/>
      <c r="AG782" s="124"/>
      <c r="AH782" s="124"/>
      <c r="AI782" s="124"/>
      <c r="AJ782" s="37"/>
      <c r="AK782" s="50"/>
      <c r="AL782" s="37"/>
      <c r="AM782" s="37"/>
      <c r="AN782" s="37"/>
      <c r="AO782" s="165"/>
      <c r="AP782" s="166"/>
      <c r="AQ782" s="37"/>
      <c r="AR782" s="37"/>
      <c r="AS782" s="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row>
    <row r="783">
      <c r="A783" s="4"/>
      <c r="B783" s="164"/>
      <c r="C783" s="4"/>
      <c r="D783" s="4"/>
      <c r="E783" s="37"/>
      <c r="F783" s="37"/>
      <c r="G783" s="122"/>
      <c r="H783" s="37"/>
      <c r="I783" s="37"/>
      <c r="J783" s="37"/>
      <c r="K783" s="123"/>
      <c r="L783" s="123"/>
      <c r="M783" s="124" t="b">
        <v>0</v>
      </c>
      <c r="N783" s="124" t="b">
        <v>0</v>
      </c>
      <c r="O783" s="124"/>
      <c r="P783" s="124" t="b">
        <v>0</v>
      </c>
      <c r="Q783" s="124" t="b">
        <v>0</v>
      </c>
      <c r="R783" s="124" t="b">
        <v>0</v>
      </c>
      <c r="S783" s="124"/>
      <c r="T783" s="60"/>
      <c r="U783" s="124" t="b">
        <v>0</v>
      </c>
      <c r="V783" s="124"/>
      <c r="W783" s="124" t="b">
        <v>0</v>
      </c>
      <c r="X783" s="124" t="b">
        <v>0</v>
      </c>
      <c r="Y783" s="124"/>
      <c r="Z783" s="124"/>
      <c r="AA783" s="124"/>
      <c r="AB783" s="124"/>
      <c r="AC783" s="125"/>
      <c r="AD783" s="124"/>
      <c r="AE783" s="124"/>
      <c r="AF783" s="124"/>
      <c r="AG783" s="124"/>
      <c r="AH783" s="124"/>
      <c r="AI783" s="124"/>
      <c r="AJ783" s="37"/>
      <c r="AK783" s="50"/>
      <c r="AL783" s="37"/>
      <c r="AM783" s="37"/>
      <c r="AN783" s="37"/>
      <c r="AO783" s="165"/>
      <c r="AP783" s="166"/>
      <c r="AQ783" s="37"/>
      <c r="AR783" s="37"/>
      <c r="AS783" s="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row>
    <row r="784">
      <c r="A784" s="4"/>
      <c r="B784" s="164"/>
      <c r="C784" s="4"/>
      <c r="D784" s="4"/>
      <c r="E784" s="37"/>
      <c r="F784" s="37"/>
      <c r="G784" s="122"/>
      <c r="H784" s="37"/>
      <c r="I784" s="37"/>
      <c r="J784" s="37"/>
      <c r="K784" s="123"/>
      <c r="L784" s="123"/>
      <c r="M784" s="124" t="b">
        <v>0</v>
      </c>
      <c r="N784" s="124" t="b">
        <v>0</v>
      </c>
      <c r="O784" s="124"/>
      <c r="P784" s="124" t="b">
        <v>0</v>
      </c>
      <c r="Q784" s="124" t="b">
        <v>0</v>
      </c>
      <c r="R784" s="124" t="b">
        <v>0</v>
      </c>
      <c r="S784" s="124"/>
      <c r="T784" s="60"/>
      <c r="U784" s="124" t="b">
        <v>0</v>
      </c>
      <c r="V784" s="124"/>
      <c r="W784" s="124" t="b">
        <v>0</v>
      </c>
      <c r="X784" s="124" t="b">
        <v>0</v>
      </c>
      <c r="Y784" s="124"/>
      <c r="Z784" s="124"/>
      <c r="AA784" s="124"/>
      <c r="AB784" s="124"/>
      <c r="AC784" s="125"/>
      <c r="AD784" s="124"/>
      <c r="AE784" s="124"/>
      <c r="AF784" s="124"/>
      <c r="AG784" s="124"/>
      <c r="AH784" s="124"/>
      <c r="AI784" s="124"/>
      <c r="AJ784" s="37"/>
      <c r="AK784" s="50"/>
      <c r="AL784" s="37"/>
      <c r="AM784" s="37"/>
      <c r="AN784" s="37"/>
      <c r="AO784" s="165"/>
      <c r="AP784" s="166"/>
      <c r="AQ784" s="37"/>
      <c r="AR784" s="37"/>
      <c r="AS784" s="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row>
    <row r="785">
      <c r="A785" s="4"/>
      <c r="B785" s="164"/>
      <c r="C785" s="4"/>
      <c r="D785" s="4"/>
      <c r="E785" s="37"/>
      <c r="F785" s="37"/>
      <c r="G785" s="122"/>
      <c r="H785" s="37"/>
      <c r="I785" s="37"/>
      <c r="J785" s="37"/>
      <c r="K785" s="123"/>
      <c r="L785" s="123"/>
      <c r="M785" s="124" t="b">
        <v>0</v>
      </c>
      <c r="N785" s="124" t="b">
        <v>0</v>
      </c>
      <c r="O785" s="124"/>
      <c r="P785" s="124" t="b">
        <v>0</v>
      </c>
      <c r="Q785" s="124" t="b">
        <v>0</v>
      </c>
      <c r="R785" s="124" t="b">
        <v>0</v>
      </c>
      <c r="S785" s="124"/>
      <c r="T785" s="60"/>
      <c r="U785" s="124" t="b">
        <v>0</v>
      </c>
      <c r="V785" s="124"/>
      <c r="W785" s="124" t="b">
        <v>0</v>
      </c>
      <c r="X785" s="124" t="b">
        <v>0</v>
      </c>
      <c r="Y785" s="124"/>
      <c r="Z785" s="124"/>
      <c r="AA785" s="124"/>
      <c r="AB785" s="124"/>
      <c r="AC785" s="125"/>
      <c r="AD785" s="124"/>
      <c r="AE785" s="124"/>
      <c r="AF785" s="124"/>
      <c r="AG785" s="124"/>
      <c r="AH785" s="124"/>
      <c r="AI785" s="124"/>
      <c r="AJ785" s="37"/>
      <c r="AK785" s="50"/>
      <c r="AL785" s="37"/>
      <c r="AM785" s="37"/>
      <c r="AN785" s="37"/>
      <c r="AO785" s="165"/>
      <c r="AP785" s="166"/>
      <c r="AQ785" s="37"/>
      <c r="AR785" s="37"/>
      <c r="AS785" s="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row>
    <row r="786">
      <c r="A786" s="4"/>
      <c r="B786" s="164"/>
      <c r="C786" s="4"/>
      <c r="D786" s="4"/>
      <c r="E786" s="37"/>
      <c r="F786" s="37"/>
      <c r="G786" s="122"/>
      <c r="H786" s="37"/>
      <c r="I786" s="37"/>
      <c r="J786" s="37"/>
      <c r="K786" s="123"/>
      <c r="L786" s="123"/>
      <c r="M786" s="124" t="b">
        <v>0</v>
      </c>
      <c r="N786" s="124" t="b">
        <v>0</v>
      </c>
      <c r="O786" s="124"/>
      <c r="P786" s="124" t="b">
        <v>0</v>
      </c>
      <c r="Q786" s="124" t="b">
        <v>0</v>
      </c>
      <c r="R786" s="124" t="b">
        <v>0</v>
      </c>
      <c r="S786" s="124"/>
      <c r="T786" s="60"/>
      <c r="U786" s="124" t="b">
        <v>0</v>
      </c>
      <c r="V786" s="124"/>
      <c r="W786" s="124" t="b">
        <v>0</v>
      </c>
      <c r="X786" s="124" t="b">
        <v>0</v>
      </c>
      <c r="Y786" s="124"/>
      <c r="Z786" s="124"/>
      <c r="AA786" s="124"/>
      <c r="AB786" s="124"/>
      <c r="AC786" s="125"/>
      <c r="AD786" s="124"/>
      <c r="AE786" s="124"/>
      <c r="AF786" s="124"/>
      <c r="AG786" s="124"/>
      <c r="AH786" s="124"/>
      <c r="AI786" s="124"/>
      <c r="AJ786" s="37"/>
      <c r="AK786" s="50"/>
      <c r="AL786" s="37"/>
      <c r="AM786" s="37"/>
      <c r="AN786" s="37"/>
      <c r="AO786" s="165"/>
      <c r="AP786" s="166"/>
      <c r="AQ786" s="37"/>
      <c r="AR786" s="37"/>
      <c r="AS786" s="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row>
    <row r="787">
      <c r="A787" s="4"/>
      <c r="B787" s="164"/>
      <c r="C787" s="4"/>
      <c r="D787" s="4"/>
      <c r="E787" s="37"/>
      <c r="F787" s="37"/>
      <c r="G787" s="122"/>
      <c r="H787" s="37"/>
      <c r="I787" s="37"/>
      <c r="J787" s="37"/>
      <c r="K787" s="123"/>
      <c r="L787" s="123"/>
      <c r="M787" s="124" t="b">
        <v>0</v>
      </c>
      <c r="N787" s="124" t="b">
        <v>0</v>
      </c>
      <c r="O787" s="124"/>
      <c r="P787" s="124" t="b">
        <v>0</v>
      </c>
      <c r="Q787" s="124" t="b">
        <v>0</v>
      </c>
      <c r="R787" s="124" t="b">
        <v>0</v>
      </c>
      <c r="S787" s="124"/>
      <c r="T787" s="60"/>
      <c r="U787" s="124" t="b">
        <v>0</v>
      </c>
      <c r="V787" s="124"/>
      <c r="W787" s="124" t="b">
        <v>0</v>
      </c>
      <c r="X787" s="124" t="b">
        <v>0</v>
      </c>
      <c r="Y787" s="124"/>
      <c r="Z787" s="124"/>
      <c r="AA787" s="124"/>
      <c r="AB787" s="124"/>
      <c r="AC787" s="125"/>
      <c r="AD787" s="124"/>
      <c r="AE787" s="124"/>
      <c r="AF787" s="124"/>
      <c r="AG787" s="124"/>
      <c r="AH787" s="124"/>
      <c r="AI787" s="124"/>
      <c r="AJ787" s="37"/>
      <c r="AK787" s="50"/>
      <c r="AL787" s="37"/>
      <c r="AM787" s="37"/>
      <c r="AN787" s="37"/>
      <c r="AO787" s="165"/>
      <c r="AP787" s="166"/>
      <c r="AQ787" s="37"/>
      <c r="AR787" s="37"/>
      <c r="AS787" s="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row>
    <row r="788">
      <c r="A788" s="4"/>
      <c r="B788" s="164"/>
      <c r="C788" s="4"/>
      <c r="D788" s="4"/>
      <c r="E788" s="37"/>
      <c r="F788" s="37"/>
      <c r="G788" s="122"/>
      <c r="H788" s="37"/>
      <c r="I788" s="37"/>
      <c r="J788" s="37"/>
      <c r="K788" s="123"/>
      <c r="L788" s="123"/>
      <c r="M788" s="124" t="b">
        <v>0</v>
      </c>
      <c r="N788" s="124" t="b">
        <v>0</v>
      </c>
      <c r="O788" s="124"/>
      <c r="P788" s="124" t="b">
        <v>0</v>
      </c>
      <c r="Q788" s="124" t="b">
        <v>0</v>
      </c>
      <c r="R788" s="124" t="b">
        <v>0</v>
      </c>
      <c r="S788" s="124"/>
      <c r="T788" s="60"/>
      <c r="U788" s="124" t="b">
        <v>0</v>
      </c>
      <c r="V788" s="124"/>
      <c r="W788" s="124" t="b">
        <v>0</v>
      </c>
      <c r="X788" s="124" t="b">
        <v>0</v>
      </c>
      <c r="Y788" s="124"/>
      <c r="Z788" s="124"/>
      <c r="AA788" s="124"/>
      <c r="AB788" s="124"/>
      <c r="AC788" s="125"/>
      <c r="AD788" s="124"/>
      <c r="AE788" s="124"/>
      <c r="AF788" s="124"/>
      <c r="AG788" s="124"/>
      <c r="AH788" s="124"/>
      <c r="AI788" s="124"/>
      <c r="AJ788" s="37"/>
      <c r="AK788" s="50"/>
      <c r="AL788" s="37"/>
      <c r="AM788" s="37"/>
      <c r="AN788" s="37"/>
      <c r="AO788" s="165"/>
      <c r="AP788" s="166"/>
      <c r="AQ788" s="37"/>
      <c r="AR788" s="37"/>
      <c r="AS788" s="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row>
    <row r="789">
      <c r="A789" s="4"/>
      <c r="B789" s="164"/>
      <c r="C789" s="4"/>
      <c r="D789" s="4"/>
      <c r="E789" s="37"/>
      <c r="F789" s="37"/>
      <c r="G789" s="122"/>
      <c r="H789" s="37"/>
      <c r="I789" s="37"/>
      <c r="J789" s="37"/>
      <c r="K789" s="123"/>
      <c r="L789" s="123"/>
      <c r="M789" s="124" t="b">
        <v>0</v>
      </c>
      <c r="N789" s="124" t="b">
        <v>0</v>
      </c>
      <c r="O789" s="124"/>
      <c r="P789" s="124" t="b">
        <v>0</v>
      </c>
      <c r="Q789" s="124" t="b">
        <v>0</v>
      </c>
      <c r="R789" s="124" t="b">
        <v>0</v>
      </c>
      <c r="S789" s="124"/>
      <c r="T789" s="60"/>
      <c r="U789" s="124" t="b">
        <v>0</v>
      </c>
      <c r="V789" s="124"/>
      <c r="W789" s="124" t="b">
        <v>0</v>
      </c>
      <c r="X789" s="124" t="b">
        <v>0</v>
      </c>
      <c r="Y789" s="124"/>
      <c r="Z789" s="124"/>
      <c r="AA789" s="124"/>
      <c r="AB789" s="124"/>
      <c r="AC789" s="125"/>
      <c r="AD789" s="124"/>
      <c r="AE789" s="124"/>
      <c r="AF789" s="124"/>
      <c r="AG789" s="124"/>
      <c r="AH789" s="124"/>
      <c r="AI789" s="124"/>
      <c r="AJ789" s="37"/>
      <c r="AK789" s="50"/>
      <c r="AL789" s="37"/>
      <c r="AM789" s="37"/>
      <c r="AN789" s="37"/>
      <c r="AO789" s="165"/>
      <c r="AP789" s="166"/>
      <c r="AQ789" s="37"/>
      <c r="AR789" s="37"/>
      <c r="AS789" s="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row>
    <row r="790">
      <c r="A790" s="4"/>
      <c r="B790" s="164"/>
      <c r="C790" s="4"/>
      <c r="D790" s="4"/>
      <c r="E790" s="37"/>
      <c r="F790" s="37"/>
      <c r="G790" s="122"/>
      <c r="H790" s="37"/>
      <c r="I790" s="37"/>
      <c r="J790" s="37"/>
      <c r="K790" s="123"/>
      <c r="L790" s="123"/>
      <c r="M790" s="124" t="b">
        <v>0</v>
      </c>
      <c r="N790" s="124" t="b">
        <v>0</v>
      </c>
      <c r="O790" s="124"/>
      <c r="P790" s="124" t="b">
        <v>0</v>
      </c>
      <c r="Q790" s="124" t="b">
        <v>0</v>
      </c>
      <c r="R790" s="124" t="b">
        <v>0</v>
      </c>
      <c r="S790" s="124"/>
      <c r="T790" s="60"/>
      <c r="U790" s="124" t="b">
        <v>0</v>
      </c>
      <c r="V790" s="124"/>
      <c r="W790" s="124" t="b">
        <v>0</v>
      </c>
      <c r="X790" s="124" t="b">
        <v>0</v>
      </c>
      <c r="Y790" s="124"/>
      <c r="Z790" s="124"/>
      <c r="AA790" s="124"/>
      <c r="AB790" s="124"/>
      <c r="AC790" s="125"/>
      <c r="AD790" s="124"/>
      <c r="AE790" s="124"/>
      <c r="AF790" s="124"/>
      <c r="AG790" s="124"/>
      <c r="AH790" s="124"/>
      <c r="AI790" s="124"/>
      <c r="AJ790" s="37"/>
      <c r="AK790" s="50"/>
      <c r="AL790" s="37"/>
      <c r="AM790" s="37"/>
      <c r="AN790" s="37"/>
      <c r="AO790" s="165"/>
      <c r="AP790" s="166"/>
      <c r="AQ790" s="37"/>
      <c r="AR790" s="37"/>
      <c r="AS790" s="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row>
    <row r="791">
      <c r="A791" s="4"/>
      <c r="B791" s="164"/>
      <c r="C791" s="4"/>
      <c r="D791" s="4"/>
      <c r="E791" s="37"/>
      <c r="F791" s="37"/>
      <c r="G791" s="122"/>
      <c r="H791" s="37"/>
      <c r="I791" s="37"/>
      <c r="J791" s="37"/>
      <c r="K791" s="123"/>
      <c r="L791" s="123"/>
      <c r="M791" s="124" t="b">
        <v>0</v>
      </c>
      <c r="N791" s="124" t="b">
        <v>0</v>
      </c>
      <c r="O791" s="124"/>
      <c r="P791" s="124" t="b">
        <v>0</v>
      </c>
      <c r="Q791" s="124" t="b">
        <v>0</v>
      </c>
      <c r="R791" s="124" t="b">
        <v>0</v>
      </c>
      <c r="S791" s="124"/>
      <c r="T791" s="60"/>
      <c r="U791" s="124" t="b">
        <v>0</v>
      </c>
      <c r="V791" s="124"/>
      <c r="W791" s="124" t="b">
        <v>0</v>
      </c>
      <c r="X791" s="124" t="b">
        <v>0</v>
      </c>
      <c r="Y791" s="124"/>
      <c r="Z791" s="124"/>
      <c r="AA791" s="124"/>
      <c r="AB791" s="124"/>
      <c r="AC791" s="125"/>
      <c r="AD791" s="124"/>
      <c r="AE791" s="124"/>
      <c r="AF791" s="124"/>
      <c r="AG791" s="124"/>
      <c r="AH791" s="124"/>
      <c r="AI791" s="124"/>
      <c r="AJ791" s="37"/>
      <c r="AK791" s="50"/>
      <c r="AL791" s="37"/>
      <c r="AM791" s="37"/>
      <c r="AN791" s="37"/>
      <c r="AO791" s="165"/>
      <c r="AP791" s="166"/>
      <c r="AQ791" s="37"/>
      <c r="AR791" s="37"/>
      <c r="AS791" s="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row>
    <row r="792">
      <c r="A792" s="4"/>
      <c r="B792" s="164"/>
      <c r="C792" s="4"/>
      <c r="D792" s="4"/>
      <c r="E792" s="37"/>
      <c r="F792" s="37"/>
      <c r="G792" s="122"/>
      <c r="H792" s="37"/>
      <c r="I792" s="37"/>
      <c r="J792" s="37"/>
      <c r="K792" s="123"/>
      <c r="L792" s="123"/>
      <c r="M792" s="124" t="b">
        <v>0</v>
      </c>
      <c r="N792" s="124" t="b">
        <v>0</v>
      </c>
      <c r="O792" s="124"/>
      <c r="P792" s="124" t="b">
        <v>0</v>
      </c>
      <c r="Q792" s="124" t="b">
        <v>0</v>
      </c>
      <c r="R792" s="124" t="b">
        <v>0</v>
      </c>
      <c r="S792" s="124"/>
      <c r="T792" s="60"/>
      <c r="U792" s="124" t="b">
        <v>0</v>
      </c>
      <c r="V792" s="124"/>
      <c r="W792" s="124" t="b">
        <v>0</v>
      </c>
      <c r="X792" s="124" t="b">
        <v>0</v>
      </c>
      <c r="Y792" s="124"/>
      <c r="Z792" s="124"/>
      <c r="AA792" s="124"/>
      <c r="AB792" s="124"/>
      <c r="AC792" s="125"/>
      <c r="AD792" s="124"/>
      <c r="AE792" s="124"/>
      <c r="AF792" s="124"/>
      <c r="AG792" s="124"/>
      <c r="AH792" s="124"/>
      <c r="AI792" s="124"/>
      <c r="AJ792" s="37"/>
      <c r="AK792" s="50"/>
      <c r="AL792" s="37"/>
      <c r="AM792" s="37"/>
      <c r="AN792" s="37"/>
      <c r="AO792" s="165"/>
      <c r="AP792" s="166"/>
      <c r="AQ792" s="37"/>
      <c r="AR792" s="37"/>
      <c r="AS792" s="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row>
    <row r="793">
      <c r="A793" s="4"/>
      <c r="B793" s="164"/>
      <c r="C793" s="4"/>
      <c r="D793" s="4"/>
      <c r="E793" s="37"/>
      <c r="F793" s="37"/>
      <c r="G793" s="122"/>
      <c r="H793" s="37"/>
      <c r="I793" s="37"/>
      <c r="J793" s="37"/>
      <c r="K793" s="123"/>
      <c r="L793" s="123"/>
      <c r="M793" s="124" t="b">
        <v>0</v>
      </c>
      <c r="N793" s="124" t="b">
        <v>0</v>
      </c>
      <c r="O793" s="124"/>
      <c r="P793" s="124" t="b">
        <v>0</v>
      </c>
      <c r="Q793" s="124" t="b">
        <v>0</v>
      </c>
      <c r="R793" s="124" t="b">
        <v>0</v>
      </c>
      <c r="S793" s="124"/>
      <c r="T793" s="60"/>
      <c r="U793" s="124" t="b">
        <v>0</v>
      </c>
      <c r="V793" s="124"/>
      <c r="W793" s="124" t="b">
        <v>0</v>
      </c>
      <c r="X793" s="124" t="b">
        <v>0</v>
      </c>
      <c r="Y793" s="124"/>
      <c r="Z793" s="124"/>
      <c r="AA793" s="124"/>
      <c r="AB793" s="124"/>
      <c r="AC793" s="125"/>
      <c r="AD793" s="124"/>
      <c r="AE793" s="124"/>
      <c r="AF793" s="124"/>
      <c r="AG793" s="124"/>
      <c r="AH793" s="124"/>
      <c r="AI793" s="124"/>
      <c r="AJ793" s="37"/>
      <c r="AK793" s="50"/>
      <c r="AL793" s="37"/>
      <c r="AM793" s="37"/>
      <c r="AN793" s="37"/>
      <c r="AO793" s="165"/>
      <c r="AP793" s="166"/>
      <c r="AQ793" s="37"/>
      <c r="AR793" s="37"/>
      <c r="AS793" s="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row>
    <row r="794">
      <c r="A794" s="4"/>
      <c r="B794" s="164"/>
      <c r="C794" s="4"/>
      <c r="D794" s="4"/>
      <c r="E794" s="37"/>
      <c r="F794" s="37"/>
      <c r="G794" s="122"/>
      <c r="H794" s="37"/>
      <c r="I794" s="37"/>
      <c r="J794" s="37"/>
      <c r="K794" s="123"/>
      <c r="L794" s="123"/>
      <c r="M794" s="124" t="b">
        <v>0</v>
      </c>
      <c r="N794" s="124" t="b">
        <v>0</v>
      </c>
      <c r="O794" s="124"/>
      <c r="P794" s="124" t="b">
        <v>0</v>
      </c>
      <c r="Q794" s="124" t="b">
        <v>0</v>
      </c>
      <c r="R794" s="124" t="b">
        <v>0</v>
      </c>
      <c r="S794" s="124"/>
      <c r="T794" s="60"/>
      <c r="U794" s="124" t="b">
        <v>0</v>
      </c>
      <c r="V794" s="124"/>
      <c r="W794" s="124" t="b">
        <v>0</v>
      </c>
      <c r="X794" s="124" t="b">
        <v>0</v>
      </c>
      <c r="Y794" s="124"/>
      <c r="Z794" s="124"/>
      <c r="AA794" s="124"/>
      <c r="AB794" s="124"/>
      <c r="AC794" s="125"/>
      <c r="AD794" s="124"/>
      <c r="AE794" s="124"/>
      <c r="AF794" s="124"/>
      <c r="AG794" s="124"/>
      <c r="AH794" s="124"/>
      <c r="AI794" s="124"/>
      <c r="AJ794" s="37"/>
      <c r="AK794" s="50"/>
      <c r="AL794" s="37"/>
      <c r="AM794" s="37"/>
      <c r="AN794" s="37"/>
      <c r="AO794" s="165"/>
      <c r="AP794" s="166"/>
      <c r="AQ794" s="37"/>
      <c r="AR794" s="37"/>
      <c r="AS794" s="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row>
    <row r="795">
      <c r="A795" s="4"/>
      <c r="B795" s="164"/>
      <c r="C795" s="4"/>
      <c r="D795" s="4"/>
      <c r="E795" s="37"/>
      <c r="F795" s="37"/>
      <c r="G795" s="122"/>
      <c r="H795" s="37"/>
      <c r="I795" s="37"/>
      <c r="J795" s="37"/>
      <c r="K795" s="123"/>
      <c r="L795" s="123"/>
      <c r="M795" s="124" t="b">
        <v>0</v>
      </c>
      <c r="N795" s="124" t="b">
        <v>0</v>
      </c>
      <c r="O795" s="124"/>
      <c r="P795" s="124" t="b">
        <v>0</v>
      </c>
      <c r="Q795" s="124" t="b">
        <v>0</v>
      </c>
      <c r="R795" s="124" t="b">
        <v>0</v>
      </c>
      <c r="S795" s="124"/>
      <c r="T795" s="60"/>
      <c r="U795" s="124" t="b">
        <v>0</v>
      </c>
      <c r="V795" s="124"/>
      <c r="W795" s="124" t="b">
        <v>0</v>
      </c>
      <c r="X795" s="124" t="b">
        <v>0</v>
      </c>
      <c r="Y795" s="124"/>
      <c r="Z795" s="124"/>
      <c r="AA795" s="124"/>
      <c r="AB795" s="124"/>
      <c r="AC795" s="125"/>
      <c r="AD795" s="124"/>
      <c r="AE795" s="124"/>
      <c r="AF795" s="124"/>
      <c r="AG795" s="124"/>
      <c r="AH795" s="124"/>
      <c r="AI795" s="124"/>
      <c r="AJ795" s="37"/>
      <c r="AK795" s="50"/>
      <c r="AL795" s="37"/>
      <c r="AM795" s="37"/>
      <c r="AN795" s="37"/>
      <c r="AO795" s="165"/>
      <c r="AP795" s="166"/>
      <c r="AQ795" s="37"/>
      <c r="AR795" s="37"/>
      <c r="AS795" s="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row>
    <row r="796">
      <c r="A796" s="4"/>
      <c r="B796" s="164"/>
      <c r="C796" s="4"/>
      <c r="D796" s="4"/>
      <c r="E796" s="37"/>
      <c r="F796" s="37"/>
      <c r="G796" s="122"/>
      <c r="H796" s="37"/>
      <c r="I796" s="37"/>
      <c r="J796" s="37"/>
      <c r="K796" s="123"/>
      <c r="L796" s="123"/>
      <c r="M796" s="124" t="b">
        <v>0</v>
      </c>
      <c r="N796" s="124" t="b">
        <v>0</v>
      </c>
      <c r="O796" s="124"/>
      <c r="P796" s="124" t="b">
        <v>0</v>
      </c>
      <c r="Q796" s="124" t="b">
        <v>0</v>
      </c>
      <c r="R796" s="124" t="b">
        <v>0</v>
      </c>
      <c r="S796" s="124"/>
      <c r="T796" s="60"/>
      <c r="U796" s="124" t="b">
        <v>0</v>
      </c>
      <c r="V796" s="124"/>
      <c r="W796" s="124" t="b">
        <v>0</v>
      </c>
      <c r="X796" s="124" t="b">
        <v>0</v>
      </c>
      <c r="Y796" s="124"/>
      <c r="Z796" s="124"/>
      <c r="AA796" s="124"/>
      <c r="AB796" s="124"/>
      <c r="AC796" s="125"/>
      <c r="AD796" s="124"/>
      <c r="AE796" s="124"/>
      <c r="AF796" s="124"/>
      <c r="AG796" s="124"/>
      <c r="AH796" s="124"/>
      <c r="AI796" s="124"/>
      <c r="AJ796" s="37"/>
      <c r="AK796" s="50"/>
      <c r="AL796" s="37"/>
      <c r="AM796" s="37"/>
      <c r="AN796" s="37"/>
      <c r="AO796" s="165"/>
      <c r="AP796" s="166"/>
      <c r="AQ796" s="37"/>
      <c r="AR796" s="37"/>
      <c r="AS796" s="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row>
    <row r="797">
      <c r="A797" s="4"/>
      <c r="B797" s="164"/>
      <c r="C797" s="4"/>
      <c r="D797" s="4"/>
      <c r="E797" s="37"/>
      <c r="F797" s="37"/>
      <c r="G797" s="122"/>
      <c r="H797" s="37"/>
      <c r="I797" s="37"/>
      <c r="J797" s="37"/>
      <c r="K797" s="123"/>
      <c r="L797" s="123"/>
      <c r="M797" s="124" t="b">
        <v>0</v>
      </c>
      <c r="N797" s="124" t="b">
        <v>0</v>
      </c>
      <c r="O797" s="124"/>
      <c r="P797" s="124" t="b">
        <v>0</v>
      </c>
      <c r="Q797" s="124" t="b">
        <v>0</v>
      </c>
      <c r="R797" s="124" t="b">
        <v>0</v>
      </c>
      <c r="S797" s="124"/>
      <c r="T797" s="60"/>
      <c r="U797" s="124" t="b">
        <v>0</v>
      </c>
      <c r="V797" s="124"/>
      <c r="W797" s="124" t="b">
        <v>0</v>
      </c>
      <c r="X797" s="124" t="b">
        <v>0</v>
      </c>
      <c r="Y797" s="124"/>
      <c r="Z797" s="124"/>
      <c r="AA797" s="124"/>
      <c r="AB797" s="124"/>
      <c r="AC797" s="125"/>
      <c r="AD797" s="124"/>
      <c r="AE797" s="124"/>
      <c r="AF797" s="124"/>
      <c r="AG797" s="124"/>
      <c r="AH797" s="124"/>
      <c r="AI797" s="124"/>
      <c r="AJ797" s="37"/>
      <c r="AK797" s="50"/>
      <c r="AL797" s="37"/>
      <c r="AM797" s="37"/>
      <c r="AN797" s="37"/>
      <c r="AO797" s="165"/>
      <c r="AP797" s="166"/>
      <c r="AQ797" s="37"/>
      <c r="AR797" s="37"/>
      <c r="AS797" s="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row>
    <row r="798">
      <c r="A798" s="4"/>
      <c r="B798" s="164"/>
      <c r="C798" s="4"/>
      <c r="D798" s="4"/>
      <c r="E798" s="37"/>
      <c r="F798" s="37"/>
      <c r="G798" s="122"/>
      <c r="H798" s="37"/>
      <c r="I798" s="37"/>
      <c r="J798" s="37"/>
      <c r="K798" s="123"/>
      <c r="L798" s="123"/>
      <c r="M798" s="124" t="b">
        <v>0</v>
      </c>
      <c r="N798" s="124" t="b">
        <v>0</v>
      </c>
      <c r="O798" s="124"/>
      <c r="P798" s="124" t="b">
        <v>0</v>
      </c>
      <c r="Q798" s="124" t="b">
        <v>0</v>
      </c>
      <c r="R798" s="124" t="b">
        <v>0</v>
      </c>
      <c r="S798" s="124"/>
      <c r="T798" s="60"/>
      <c r="U798" s="124" t="b">
        <v>0</v>
      </c>
      <c r="V798" s="124"/>
      <c r="W798" s="124" t="b">
        <v>0</v>
      </c>
      <c r="X798" s="124" t="b">
        <v>0</v>
      </c>
      <c r="Y798" s="124"/>
      <c r="Z798" s="124"/>
      <c r="AA798" s="124"/>
      <c r="AB798" s="124"/>
      <c r="AC798" s="125"/>
      <c r="AD798" s="124"/>
      <c r="AE798" s="124"/>
      <c r="AF798" s="124"/>
      <c r="AG798" s="124"/>
      <c r="AH798" s="124"/>
      <c r="AI798" s="124"/>
      <c r="AJ798" s="37"/>
      <c r="AK798" s="50"/>
      <c r="AL798" s="37"/>
      <c r="AM798" s="37"/>
      <c r="AN798" s="37"/>
      <c r="AO798" s="165"/>
      <c r="AP798" s="166"/>
      <c r="AQ798" s="37"/>
      <c r="AR798" s="37"/>
      <c r="AS798" s="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row>
    <row r="799">
      <c r="A799" s="4"/>
      <c r="B799" s="164"/>
      <c r="C799" s="4"/>
      <c r="D799" s="4"/>
      <c r="E799" s="37"/>
      <c r="F799" s="37"/>
      <c r="G799" s="122"/>
      <c r="H799" s="37"/>
      <c r="I799" s="37"/>
      <c r="J799" s="37"/>
      <c r="K799" s="123"/>
      <c r="L799" s="123"/>
      <c r="M799" s="124" t="b">
        <v>0</v>
      </c>
      <c r="N799" s="124" t="b">
        <v>0</v>
      </c>
      <c r="O799" s="124"/>
      <c r="P799" s="124" t="b">
        <v>0</v>
      </c>
      <c r="Q799" s="124" t="b">
        <v>0</v>
      </c>
      <c r="R799" s="124" t="b">
        <v>0</v>
      </c>
      <c r="S799" s="124"/>
      <c r="T799" s="60"/>
      <c r="U799" s="124" t="b">
        <v>0</v>
      </c>
      <c r="V799" s="124"/>
      <c r="W799" s="124" t="b">
        <v>0</v>
      </c>
      <c r="X799" s="124" t="b">
        <v>0</v>
      </c>
      <c r="Y799" s="124"/>
      <c r="Z799" s="124"/>
      <c r="AA799" s="124"/>
      <c r="AB799" s="124"/>
      <c r="AC799" s="125"/>
      <c r="AD799" s="124"/>
      <c r="AE799" s="124"/>
      <c r="AF799" s="124"/>
      <c r="AG799" s="124"/>
      <c r="AH799" s="124"/>
      <c r="AI799" s="124"/>
      <c r="AJ799" s="37"/>
      <c r="AK799" s="50"/>
      <c r="AL799" s="37"/>
      <c r="AM799" s="37"/>
      <c r="AN799" s="37"/>
      <c r="AO799" s="165"/>
      <c r="AP799" s="166"/>
      <c r="AQ799" s="37"/>
      <c r="AR799" s="37"/>
      <c r="AS799" s="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row>
    <row r="800">
      <c r="A800" s="4"/>
      <c r="B800" s="164"/>
      <c r="C800" s="4"/>
      <c r="D800" s="4"/>
      <c r="E800" s="37"/>
      <c r="F800" s="37"/>
      <c r="G800" s="122"/>
      <c r="H800" s="37"/>
      <c r="I800" s="37"/>
      <c r="J800" s="37"/>
      <c r="K800" s="123"/>
      <c r="L800" s="123"/>
      <c r="M800" s="124" t="b">
        <v>0</v>
      </c>
      <c r="N800" s="124" t="b">
        <v>0</v>
      </c>
      <c r="O800" s="124"/>
      <c r="P800" s="124" t="b">
        <v>0</v>
      </c>
      <c r="Q800" s="124" t="b">
        <v>0</v>
      </c>
      <c r="R800" s="124" t="b">
        <v>0</v>
      </c>
      <c r="S800" s="124"/>
      <c r="T800" s="60"/>
      <c r="U800" s="124" t="b">
        <v>0</v>
      </c>
      <c r="V800" s="124"/>
      <c r="W800" s="124" t="b">
        <v>0</v>
      </c>
      <c r="X800" s="124" t="b">
        <v>0</v>
      </c>
      <c r="Y800" s="124"/>
      <c r="Z800" s="124"/>
      <c r="AA800" s="124"/>
      <c r="AB800" s="124"/>
      <c r="AC800" s="125"/>
      <c r="AD800" s="124"/>
      <c r="AE800" s="124"/>
      <c r="AF800" s="124"/>
      <c r="AG800" s="124"/>
      <c r="AH800" s="124"/>
      <c r="AI800" s="124"/>
      <c r="AJ800" s="37"/>
      <c r="AK800" s="50"/>
      <c r="AL800" s="37"/>
      <c r="AM800" s="37"/>
      <c r="AN800" s="37"/>
      <c r="AO800" s="165"/>
      <c r="AP800" s="166"/>
      <c r="AQ800" s="37"/>
      <c r="AR800" s="37"/>
      <c r="AS800" s="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row>
    <row r="801">
      <c r="A801" s="4"/>
      <c r="B801" s="164"/>
      <c r="C801" s="4"/>
      <c r="D801" s="4"/>
      <c r="E801" s="37"/>
      <c r="F801" s="37"/>
      <c r="G801" s="122"/>
      <c r="H801" s="37"/>
      <c r="I801" s="37"/>
      <c r="J801" s="37"/>
      <c r="K801" s="123"/>
      <c r="L801" s="123"/>
      <c r="M801" s="124" t="b">
        <v>0</v>
      </c>
      <c r="N801" s="124" t="b">
        <v>0</v>
      </c>
      <c r="O801" s="124"/>
      <c r="P801" s="124" t="b">
        <v>0</v>
      </c>
      <c r="Q801" s="124" t="b">
        <v>0</v>
      </c>
      <c r="R801" s="124" t="b">
        <v>0</v>
      </c>
      <c r="S801" s="124"/>
      <c r="T801" s="60"/>
      <c r="U801" s="124" t="b">
        <v>0</v>
      </c>
      <c r="V801" s="124"/>
      <c r="W801" s="124" t="b">
        <v>0</v>
      </c>
      <c r="X801" s="124" t="b">
        <v>0</v>
      </c>
      <c r="Y801" s="124"/>
      <c r="Z801" s="124"/>
      <c r="AA801" s="124"/>
      <c r="AB801" s="124"/>
      <c r="AC801" s="125"/>
      <c r="AD801" s="124"/>
      <c r="AE801" s="124"/>
      <c r="AF801" s="124"/>
      <c r="AG801" s="124"/>
      <c r="AH801" s="124"/>
      <c r="AI801" s="124"/>
      <c r="AJ801" s="37"/>
      <c r="AK801" s="50"/>
      <c r="AL801" s="37"/>
      <c r="AM801" s="37"/>
      <c r="AN801" s="37"/>
      <c r="AO801" s="165"/>
      <c r="AP801" s="166"/>
      <c r="AQ801" s="37"/>
      <c r="AR801" s="37"/>
      <c r="AS801" s="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row>
    <row r="802">
      <c r="A802" s="4"/>
      <c r="B802" s="164"/>
      <c r="C802" s="4"/>
      <c r="D802" s="4"/>
      <c r="E802" s="37"/>
      <c r="F802" s="37"/>
      <c r="G802" s="122"/>
      <c r="H802" s="37"/>
      <c r="I802" s="37"/>
      <c r="J802" s="37"/>
      <c r="K802" s="123"/>
      <c r="L802" s="123"/>
      <c r="M802" s="124" t="b">
        <v>0</v>
      </c>
      <c r="N802" s="124" t="b">
        <v>0</v>
      </c>
      <c r="O802" s="124"/>
      <c r="P802" s="124" t="b">
        <v>0</v>
      </c>
      <c r="Q802" s="124" t="b">
        <v>0</v>
      </c>
      <c r="R802" s="124" t="b">
        <v>0</v>
      </c>
      <c r="S802" s="124"/>
      <c r="T802" s="60"/>
      <c r="U802" s="124" t="b">
        <v>0</v>
      </c>
      <c r="V802" s="124"/>
      <c r="W802" s="124" t="b">
        <v>0</v>
      </c>
      <c r="X802" s="124" t="b">
        <v>0</v>
      </c>
      <c r="Y802" s="124"/>
      <c r="Z802" s="124"/>
      <c r="AA802" s="124"/>
      <c r="AB802" s="124"/>
      <c r="AC802" s="125"/>
      <c r="AD802" s="124"/>
      <c r="AE802" s="124"/>
      <c r="AF802" s="124"/>
      <c r="AG802" s="124"/>
      <c r="AH802" s="124"/>
      <c r="AI802" s="124"/>
      <c r="AJ802" s="37"/>
      <c r="AK802" s="50"/>
      <c r="AL802" s="37"/>
      <c r="AM802" s="37"/>
      <c r="AN802" s="37"/>
      <c r="AO802" s="165"/>
      <c r="AP802" s="166"/>
      <c r="AQ802" s="37"/>
      <c r="AR802" s="37"/>
      <c r="AS802" s="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row>
    <row r="803">
      <c r="A803" s="4"/>
      <c r="B803" s="164"/>
      <c r="C803" s="4"/>
      <c r="D803" s="4"/>
      <c r="E803" s="37"/>
      <c r="F803" s="37"/>
      <c r="G803" s="122"/>
      <c r="H803" s="37"/>
      <c r="I803" s="37"/>
      <c r="J803" s="37"/>
      <c r="K803" s="123"/>
      <c r="L803" s="123"/>
      <c r="M803" s="124" t="b">
        <v>0</v>
      </c>
      <c r="N803" s="124" t="b">
        <v>0</v>
      </c>
      <c r="O803" s="124"/>
      <c r="P803" s="124" t="b">
        <v>0</v>
      </c>
      <c r="Q803" s="124" t="b">
        <v>0</v>
      </c>
      <c r="R803" s="124" t="b">
        <v>0</v>
      </c>
      <c r="S803" s="124"/>
      <c r="T803" s="60"/>
      <c r="U803" s="124" t="b">
        <v>0</v>
      </c>
      <c r="V803" s="124"/>
      <c r="W803" s="124" t="b">
        <v>0</v>
      </c>
      <c r="X803" s="124" t="b">
        <v>0</v>
      </c>
      <c r="Y803" s="124"/>
      <c r="Z803" s="124"/>
      <c r="AA803" s="124"/>
      <c r="AB803" s="124"/>
      <c r="AC803" s="125"/>
      <c r="AD803" s="124"/>
      <c r="AE803" s="124"/>
      <c r="AF803" s="124"/>
      <c r="AG803" s="124"/>
      <c r="AH803" s="124"/>
      <c r="AI803" s="124"/>
      <c r="AJ803" s="37"/>
      <c r="AK803" s="50"/>
      <c r="AL803" s="37"/>
      <c r="AM803" s="37"/>
      <c r="AN803" s="37"/>
      <c r="AO803" s="165"/>
      <c r="AP803" s="166"/>
      <c r="AQ803" s="37"/>
      <c r="AR803" s="37"/>
      <c r="AS803" s="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row>
    <row r="804">
      <c r="A804" s="4"/>
      <c r="B804" s="164"/>
      <c r="C804" s="4"/>
      <c r="D804" s="4"/>
      <c r="E804" s="37"/>
      <c r="F804" s="37"/>
      <c r="G804" s="122"/>
      <c r="H804" s="37"/>
      <c r="I804" s="37"/>
      <c r="J804" s="37"/>
      <c r="K804" s="123"/>
      <c r="L804" s="123"/>
      <c r="M804" s="124" t="b">
        <v>0</v>
      </c>
      <c r="N804" s="124" t="b">
        <v>0</v>
      </c>
      <c r="O804" s="124"/>
      <c r="P804" s="124" t="b">
        <v>0</v>
      </c>
      <c r="Q804" s="124" t="b">
        <v>0</v>
      </c>
      <c r="R804" s="124" t="b">
        <v>0</v>
      </c>
      <c r="S804" s="124"/>
      <c r="T804" s="60"/>
      <c r="U804" s="124" t="b">
        <v>0</v>
      </c>
      <c r="V804" s="124"/>
      <c r="W804" s="124" t="b">
        <v>0</v>
      </c>
      <c r="X804" s="124" t="b">
        <v>0</v>
      </c>
      <c r="Y804" s="124"/>
      <c r="Z804" s="124"/>
      <c r="AA804" s="124"/>
      <c r="AB804" s="124"/>
      <c r="AC804" s="125"/>
      <c r="AD804" s="124"/>
      <c r="AE804" s="124"/>
      <c r="AF804" s="124"/>
      <c r="AG804" s="124"/>
      <c r="AH804" s="124"/>
      <c r="AI804" s="124"/>
      <c r="AJ804" s="37"/>
      <c r="AK804" s="50"/>
      <c r="AL804" s="37"/>
      <c r="AM804" s="37"/>
      <c r="AN804" s="37"/>
      <c r="AO804" s="165"/>
      <c r="AP804" s="166"/>
      <c r="AQ804" s="37"/>
      <c r="AR804" s="37"/>
      <c r="AS804" s="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row>
    <row r="805">
      <c r="A805" s="4"/>
      <c r="B805" s="164"/>
      <c r="C805" s="4"/>
      <c r="D805" s="4"/>
      <c r="E805" s="37"/>
      <c r="F805" s="37"/>
      <c r="G805" s="122"/>
      <c r="H805" s="37"/>
      <c r="I805" s="37"/>
      <c r="J805" s="37"/>
      <c r="K805" s="123"/>
      <c r="L805" s="123"/>
      <c r="M805" s="124" t="b">
        <v>0</v>
      </c>
      <c r="N805" s="124" t="b">
        <v>0</v>
      </c>
      <c r="O805" s="124"/>
      <c r="P805" s="124" t="b">
        <v>0</v>
      </c>
      <c r="Q805" s="124" t="b">
        <v>0</v>
      </c>
      <c r="R805" s="124" t="b">
        <v>0</v>
      </c>
      <c r="S805" s="124"/>
      <c r="T805" s="60"/>
      <c r="U805" s="124" t="b">
        <v>0</v>
      </c>
      <c r="V805" s="124"/>
      <c r="W805" s="124" t="b">
        <v>0</v>
      </c>
      <c r="X805" s="124" t="b">
        <v>0</v>
      </c>
      <c r="Y805" s="124"/>
      <c r="Z805" s="124"/>
      <c r="AA805" s="124"/>
      <c r="AB805" s="124"/>
      <c r="AC805" s="125"/>
      <c r="AD805" s="124"/>
      <c r="AE805" s="124"/>
      <c r="AF805" s="124"/>
      <c r="AG805" s="124"/>
      <c r="AH805" s="124"/>
      <c r="AI805" s="124"/>
      <c r="AJ805" s="37"/>
      <c r="AK805" s="50"/>
      <c r="AL805" s="37"/>
      <c r="AM805" s="37"/>
      <c r="AN805" s="37"/>
      <c r="AO805" s="165"/>
      <c r="AP805" s="166"/>
      <c r="AQ805" s="37"/>
      <c r="AR805" s="37"/>
      <c r="AS805" s="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row>
    <row r="806">
      <c r="A806" s="4"/>
      <c r="B806" s="164"/>
      <c r="C806" s="4"/>
      <c r="D806" s="4"/>
      <c r="E806" s="37"/>
      <c r="F806" s="37"/>
      <c r="G806" s="122"/>
      <c r="H806" s="37"/>
      <c r="I806" s="37"/>
      <c r="J806" s="37"/>
      <c r="K806" s="123"/>
      <c r="L806" s="123"/>
      <c r="M806" s="124" t="b">
        <v>0</v>
      </c>
      <c r="N806" s="124" t="b">
        <v>0</v>
      </c>
      <c r="O806" s="124"/>
      <c r="P806" s="124" t="b">
        <v>0</v>
      </c>
      <c r="Q806" s="124" t="b">
        <v>0</v>
      </c>
      <c r="R806" s="124" t="b">
        <v>0</v>
      </c>
      <c r="S806" s="124"/>
      <c r="T806" s="60"/>
      <c r="U806" s="124" t="b">
        <v>0</v>
      </c>
      <c r="V806" s="124"/>
      <c r="W806" s="124" t="b">
        <v>0</v>
      </c>
      <c r="X806" s="124" t="b">
        <v>0</v>
      </c>
      <c r="Y806" s="124"/>
      <c r="Z806" s="124"/>
      <c r="AA806" s="124"/>
      <c r="AB806" s="124"/>
      <c r="AC806" s="125"/>
      <c r="AD806" s="124"/>
      <c r="AE806" s="124"/>
      <c r="AF806" s="124"/>
      <c r="AG806" s="124"/>
      <c r="AH806" s="124"/>
      <c r="AI806" s="124"/>
      <c r="AJ806" s="37"/>
      <c r="AK806" s="50"/>
      <c r="AL806" s="37"/>
      <c r="AM806" s="37"/>
      <c r="AN806" s="37"/>
      <c r="AO806" s="165"/>
      <c r="AP806" s="166"/>
      <c r="AQ806" s="37"/>
      <c r="AR806" s="37"/>
      <c r="AS806" s="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row>
    <row r="807">
      <c r="A807" s="4"/>
      <c r="B807" s="164"/>
      <c r="C807" s="4"/>
      <c r="D807" s="4"/>
      <c r="E807" s="37"/>
      <c r="F807" s="37"/>
      <c r="G807" s="122"/>
      <c r="H807" s="37"/>
      <c r="I807" s="37"/>
      <c r="J807" s="37"/>
      <c r="K807" s="123"/>
      <c r="L807" s="123"/>
      <c r="M807" s="124" t="b">
        <v>0</v>
      </c>
      <c r="N807" s="124" t="b">
        <v>0</v>
      </c>
      <c r="O807" s="124"/>
      <c r="P807" s="124" t="b">
        <v>0</v>
      </c>
      <c r="Q807" s="124" t="b">
        <v>0</v>
      </c>
      <c r="R807" s="124" t="b">
        <v>0</v>
      </c>
      <c r="S807" s="124"/>
      <c r="T807" s="60"/>
      <c r="U807" s="124" t="b">
        <v>0</v>
      </c>
      <c r="V807" s="124"/>
      <c r="W807" s="124" t="b">
        <v>0</v>
      </c>
      <c r="X807" s="124" t="b">
        <v>0</v>
      </c>
      <c r="Y807" s="124"/>
      <c r="Z807" s="124"/>
      <c r="AA807" s="124"/>
      <c r="AB807" s="124"/>
      <c r="AC807" s="125"/>
      <c r="AD807" s="124"/>
      <c r="AE807" s="124"/>
      <c r="AF807" s="124"/>
      <c r="AG807" s="124"/>
      <c r="AH807" s="124"/>
      <c r="AI807" s="124"/>
      <c r="AJ807" s="37"/>
      <c r="AK807" s="50"/>
      <c r="AL807" s="37"/>
      <c r="AM807" s="37"/>
      <c r="AN807" s="37"/>
      <c r="AO807" s="165"/>
      <c r="AP807" s="166"/>
      <c r="AQ807" s="37"/>
      <c r="AR807" s="37"/>
      <c r="AS807" s="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row>
    <row r="808">
      <c r="A808" s="4"/>
      <c r="B808" s="164"/>
      <c r="C808" s="4"/>
      <c r="D808" s="4"/>
      <c r="E808" s="37"/>
      <c r="F808" s="37"/>
      <c r="G808" s="122"/>
      <c r="H808" s="37"/>
      <c r="I808" s="37"/>
      <c r="J808" s="37"/>
      <c r="K808" s="123"/>
      <c r="L808" s="123"/>
      <c r="M808" s="124" t="b">
        <v>0</v>
      </c>
      <c r="N808" s="124" t="b">
        <v>0</v>
      </c>
      <c r="O808" s="124"/>
      <c r="P808" s="124" t="b">
        <v>0</v>
      </c>
      <c r="Q808" s="124" t="b">
        <v>0</v>
      </c>
      <c r="R808" s="124" t="b">
        <v>0</v>
      </c>
      <c r="S808" s="124"/>
      <c r="T808" s="60"/>
      <c r="U808" s="124" t="b">
        <v>0</v>
      </c>
      <c r="V808" s="124"/>
      <c r="W808" s="124" t="b">
        <v>0</v>
      </c>
      <c r="X808" s="124" t="b">
        <v>0</v>
      </c>
      <c r="Y808" s="124"/>
      <c r="Z808" s="124"/>
      <c r="AA808" s="124"/>
      <c r="AB808" s="124"/>
      <c r="AC808" s="125"/>
      <c r="AD808" s="124"/>
      <c r="AE808" s="124"/>
      <c r="AF808" s="124"/>
      <c r="AG808" s="124"/>
      <c r="AH808" s="124"/>
      <c r="AI808" s="124"/>
      <c r="AJ808" s="37"/>
      <c r="AK808" s="50"/>
      <c r="AL808" s="37"/>
      <c r="AM808" s="37"/>
      <c r="AN808" s="37"/>
      <c r="AO808" s="165"/>
      <c r="AP808" s="166"/>
      <c r="AQ808" s="37"/>
      <c r="AR808" s="37"/>
      <c r="AS808" s="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row>
    <row r="809">
      <c r="A809" s="4"/>
      <c r="B809" s="164"/>
      <c r="C809" s="4"/>
      <c r="D809" s="4"/>
      <c r="E809" s="37"/>
      <c r="F809" s="37"/>
      <c r="G809" s="122"/>
      <c r="H809" s="37"/>
      <c r="I809" s="37"/>
      <c r="J809" s="37"/>
      <c r="K809" s="123"/>
      <c r="L809" s="123"/>
      <c r="M809" s="124" t="b">
        <v>0</v>
      </c>
      <c r="N809" s="124" t="b">
        <v>0</v>
      </c>
      <c r="O809" s="124"/>
      <c r="P809" s="124" t="b">
        <v>0</v>
      </c>
      <c r="Q809" s="124" t="b">
        <v>0</v>
      </c>
      <c r="R809" s="124" t="b">
        <v>0</v>
      </c>
      <c r="S809" s="124"/>
      <c r="T809" s="60"/>
      <c r="U809" s="124" t="b">
        <v>0</v>
      </c>
      <c r="V809" s="124"/>
      <c r="W809" s="124" t="b">
        <v>0</v>
      </c>
      <c r="X809" s="124" t="b">
        <v>0</v>
      </c>
      <c r="Y809" s="124"/>
      <c r="Z809" s="124"/>
      <c r="AA809" s="124"/>
      <c r="AB809" s="124"/>
      <c r="AC809" s="125"/>
      <c r="AD809" s="124"/>
      <c r="AE809" s="124"/>
      <c r="AF809" s="124"/>
      <c r="AG809" s="124"/>
      <c r="AH809" s="124"/>
      <c r="AI809" s="124"/>
      <c r="AJ809" s="37"/>
      <c r="AK809" s="50"/>
      <c r="AL809" s="37"/>
      <c r="AM809" s="37"/>
      <c r="AN809" s="37"/>
      <c r="AO809" s="165"/>
      <c r="AP809" s="166"/>
      <c r="AQ809" s="37"/>
      <c r="AR809" s="37"/>
      <c r="AS809" s="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row>
    <row r="810">
      <c r="A810" s="4"/>
      <c r="B810" s="164"/>
      <c r="C810" s="4"/>
      <c r="D810" s="4"/>
      <c r="E810" s="37"/>
      <c r="F810" s="37"/>
      <c r="G810" s="122"/>
      <c r="H810" s="37"/>
      <c r="I810" s="37"/>
      <c r="J810" s="37"/>
      <c r="K810" s="123"/>
      <c r="L810" s="123"/>
      <c r="M810" s="124" t="b">
        <v>0</v>
      </c>
      <c r="N810" s="124" t="b">
        <v>0</v>
      </c>
      <c r="O810" s="124"/>
      <c r="P810" s="124" t="b">
        <v>0</v>
      </c>
      <c r="Q810" s="124" t="b">
        <v>0</v>
      </c>
      <c r="R810" s="124" t="b">
        <v>0</v>
      </c>
      <c r="S810" s="124"/>
      <c r="T810" s="60"/>
      <c r="U810" s="124" t="b">
        <v>0</v>
      </c>
      <c r="V810" s="124"/>
      <c r="W810" s="124" t="b">
        <v>0</v>
      </c>
      <c r="X810" s="124" t="b">
        <v>0</v>
      </c>
      <c r="Y810" s="124"/>
      <c r="Z810" s="124"/>
      <c r="AA810" s="124"/>
      <c r="AB810" s="124"/>
      <c r="AC810" s="125"/>
      <c r="AD810" s="124"/>
      <c r="AE810" s="124"/>
      <c r="AF810" s="124"/>
      <c r="AG810" s="124"/>
      <c r="AH810" s="124"/>
      <c r="AI810" s="124"/>
      <c r="AJ810" s="37"/>
      <c r="AK810" s="50"/>
      <c r="AL810" s="37"/>
      <c r="AM810" s="37"/>
      <c r="AN810" s="37"/>
      <c r="AO810" s="165"/>
      <c r="AP810" s="166"/>
      <c r="AQ810" s="37"/>
      <c r="AR810" s="37"/>
      <c r="AS810" s="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row>
    <row r="811">
      <c r="A811" s="4"/>
      <c r="B811" s="164"/>
      <c r="C811" s="4"/>
      <c r="D811" s="4"/>
      <c r="E811" s="37"/>
      <c r="F811" s="37"/>
      <c r="G811" s="122"/>
      <c r="H811" s="37"/>
      <c r="I811" s="37"/>
      <c r="J811" s="37"/>
      <c r="K811" s="123"/>
      <c r="L811" s="123"/>
      <c r="M811" s="124" t="b">
        <v>0</v>
      </c>
      <c r="N811" s="124" t="b">
        <v>0</v>
      </c>
      <c r="O811" s="124"/>
      <c r="P811" s="124" t="b">
        <v>0</v>
      </c>
      <c r="Q811" s="124" t="b">
        <v>0</v>
      </c>
      <c r="R811" s="124" t="b">
        <v>0</v>
      </c>
      <c r="S811" s="124"/>
      <c r="T811" s="60"/>
      <c r="U811" s="124" t="b">
        <v>0</v>
      </c>
      <c r="V811" s="124"/>
      <c r="W811" s="124" t="b">
        <v>0</v>
      </c>
      <c r="X811" s="124" t="b">
        <v>0</v>
      </c>
      <c r="Y811" s="124"/>
      <c r="Z811" s="124"/>
      <c r="AA811" s="124"/>
      <c r="AB811" s="124"/>
      <c r="AC811" s="125"/>
      <c r="AD811" s="124"/>
      <c r="AE811" s="124"/>
      <c r="AF811" s="124"/>
      <c r="AG811" s="124"/>
      <c r="AH811" s="124"/>
      <c r="AI811" s="124"/>
      <c r="AJ811" s="37"/>
      <c r="AK811" s="50"/>
      <c r="AL811" s="37"/>
      <c r="AM811" s="37"/>
      <c r="AN811" s="37"/>
      <c r="AO811" s="165"/>
      <c r="AP811" s="166"/>
      <c r="AQ811" s="37"/>
      <c r="AR811" s="37"/>
      <c r="AS811" s="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row>
    <row r="812">
      <c r="A812" s="4"/>
      <c r="B812" s="164"/>
      <c r="C812" s="4"/>
      <c r="D812" s="4"/>
      <c r="E812" s="37"/>
      <c r="F812" s="37"/>
      <c r="G812" s="122"/>
      <c r="H812" s="37"/>
      <c r="I812" s="37"/>
      <c r="J812" s="37"/>
      <c r="K812" s="123"/>
      <c r="L812" s="123"/>
      <c r="M812" s="124" t="b">
        <v>0</v>
      </c>
      <c r="N812" s="124" t="b">
        <v>0</v>
      </c>
      <c r="O812" s="124"/>
      <c r="P812" s="124" t="b">
        <v>0</v>
      </c>
      <c r="Q812" s="124" t="b">
        <v>0</v>
      </c>
      <c r="R812" s="124" t="b">
        <v>0</v>
      </c>
      <c r="S812" s="124"/>
      <c r="T812" s="60"/>
      <c r="U812" s="124" t="b">
        <v>0</v>
      </c>
      <c r="V812" s="124"/>
      <c r="W812" s="124" t="b">
        <v>0</v>
      </c>
      <c r="X812" s="124" t="b">
        <v>0</v>
      </c>
      <c r="Y812" s="124"/>
      <c r="Z812" s="124"/>
      <c r="AA812" s="124"/>
      <c r="AB812" s="124"/>
      <c r="AC812" s="125"/>
      <c r="AD812" s="124"/>
      <c r="AE812" s="124"/>
      <c r="AF812" s="124"/>
      <c r="AG812" s="124"/>
      <c r="AH812" s="124"/>
      <c r="AI812" s="124"/>
      <c r="AJ812" s="37"/>
      <c r="AK812" s="50"/>
      <c r="AL812" s="37"/>
      <c r="AM812" s="37"/>
      <c r="AN812" s="37"/>
      <c r="AO812" s="165"/>
      <c r="AP812" s="166"/>
      <c r="AQ812" s="37"/>
      <c r="AR812" s="37"/>
      <c r="AS812" s="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row>
    <row r="813">
      <c r="A813" s="4"/>
      <c r="B813" s="164"/>
      <c r="C813" s="4"/>
      <c r="D813" s="4"/>
      <c r="E813" s="37"/>
      <c r="F813" s="37"/>
      <c r="G813" s="122"/>
      <c r="H813" s="37"/>
      <c r="I813" s="37"/>
      <c r="J813" s="37"/>
      <c r="K813" s="123"/>
      <c r="L813" s="123"/>
      <c r="M813" s="124" t="b">
        <v>0</v>
      </c>
      <c r="N813" s="124" t="b">
        <v>0</v>
      </c>
      <c r="O813" s="124"/>
      <c r="P813" s="124" t="b">
        <v>0</v>
      </c>
      <c r="Q813" s="124" t="b">
        <v>0</v>
      </c>
      <c r="R813" s="124" t="b">
        <v>0</v>
      </c>
      <c r="S813" s="124"/>
      <c r="T813" s="60"/>
      <c r="U813" s="124" t="b">
        <v>0</v>
      </c>
      <c r="V813" s="124"/>
      <c r="W813" s="124" t="b">
        <v>0</v>
      </c>
      <c r="X813" s="124" t="b">
        <v>0</v>
      </c>
      <c r="Y813" s="124"/>
      <c r="Z813" s="124"/>
      <c r="AA813" s="124"/>
      <c r="AB813" s="124"/>
      <c r="AC813" s="125"/>
      <c r="AD813" s="124"/>
      <c r="AE813" s="124"/>
      <c r="AF813" s="124"/>
      <c r="AG813" s="124"/>
      <c r="AH813" s="124"/>
      <c r="AI813" s="124"/>
      <c r="AJ813" s="37"/>
      <c r="AK813" s="50"/>
      <c r="AL813" s="37"/>
      <c r="AM813" s="37"/>
      <c r="AN813" s="37"/>
      <c r="AO813" s="165"/>
      <c r="AP813" s="166"/>
      <c r="AQ813" s="37"/>
      <c r="AR813" s="37"/>
      <c r="AS813" s="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row>
    <row r="814">
      <c r="A814" s="4"/>
      <c r="B814" s="164"/>
      <c r="C814" s="4"/>
      <c r="D814" s="4"/>
      <c r="E814" s="37"/>
      <c r="F814" s="37"/>
      <c r="G814" s="122"/>
      <c r="H814" s="37"/>
      <c r="I814" s="37"/>
      <c r="J814" s="37"/>
      <c r="K814" s="123"/>
      <c r="L814" s="123"/>
      <c r="M814" s="124" t="b">
        <v>0</v>
      </c>
      <c r="N814" s="124" t="b">
        <v>0</v>
      </c>
      <c r="O814" s="124"/>
      <c r="P814" s="124" t="b">
        <v>0</v>
      </c>
      <c r="Q814" s="124" t="b">
        <v>0</v>
      </c>
      <c r="R814" s="124" t="b">
        <v>0</v>
      </c>
      <c r="S814" s="124"/>
      <c r="T814" s="60"/>
      <c r="U814" s="124" t="b">
        <v>0</v>
      </c>
      <c r="V814" s="124"/>
      <c r="W814" s="124" t="b">
        <v>0</v>
      </c>
      <c r="X814" s="124" t="b">
        <v>0</v>
      </c>
      <c r="Y814" s="124"/>
      <c r="Z814" s="124"/>
      <c r="AA814" s="124"/>
      <c r="AB814" s="124"/>
      <c r="AC814" s="125"/>
      <c r="AD814" s="124"/>
      <c r="AE814" s="124"/>
      <c r="AF814" s="124"/>
      <c r="AG814" s="124"/>
      <c r="AH814" s="124"/>
      <c r="AI814" s="124"/>
      <c r="AJ814" s="37"/>
      <c r="AK814" s="50"/>
      <c r="AL814" s="37"/>
      <c r="AM814" s="37"/>
      <c r="AN814" s="37"/>
      <c r="AO814" s="165"/>
      <c r="AP814" s="166"/>
      <c r="AQ814" s="37"/>
      <c r="AR814" s="37"/>
      <c r="AS814" s="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row>
    <row r="815">
      <c r="A815" s="37"/>
      <c r="B815" s="167"/>
      <c r="C815" s="37"/>
      <c r="D815" s="37"/>
      <c r="E815" s="37"/>
      <c r="F815" s="37"/>
      <c r="G815" s="122"/>
      <c r="H815" s="37"/>
      <c r="I815" s="37"/>
      <c r="J815" s="37"/>
      <c r="K815" s="123"/>
      <c r="L815" s="123"/>
      <c r="M815" s="124" t="b">
        <v>0</v>
      </c>
      <c r="N815" s="124" t="b">
        <v>0</v>
      </c>
      <c r="O815" s="124"/>
      <c r="P815" s="124" t="b">
        <v>0</v>
      </c>
      <c r="Q815" s="124" t="b">
        <v>0</v>
      </c>
      <c r="R815" s="124" t="b">
        <v>0</v>
      </c>
      <c r="S815" s="124"/>
      <c r="T815" s="60"/>
      <c r="U815" s="124" t="b">
        <v>0</v>
      </c>
      <c r="V815" s="124"/>
      <c r="W815" s="124" t="b">
        <v>0</v>
      </c>
      <c r="X815" s="124" t="b">
        <v>0</v>
      </c>
      <c r="Y815" s="124"/>
      <c r="Z815" s="124"/>
      <c r="AA815" s="124"/>
      <c r="AB815" s="124"/>
      <c r="AC815" s="125"/>
      <c r="AD815" s="124"/>
      <c r="AE815" s="124"/>
      <c r="AF815" s="124"/>
      <c r="AG815" s="124"/>
      <c r="AH815" s="124"/>
      <c r="AI815" s="124"/>
      <c r="AJ815" s="37"/>
      <c r="AK815" s="50"/>
      <c r="AL815" s="37"/>
      <c r="AM815" s="37"/>
      <c r="AN815" s="37"/>
      <c r="AO815" s="165"/>
      <c r="AP815" s="166"/>
      <c r="AQ815" s="37"/>
      <c r="AR815" s="37"/>
      <c r="AS815" s="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row>
    <row r="816">
      <c r="A816" s="37"/>
      <c r="B816" s="167"/>
      <c r="C816" s="37"/>
      <c r="D816" s="37"/>
      <c r="E816" s="37"/>
      <c r="F816" s="37"/>
      <c r="G816" s="122"/>
      <c r="H816" s="37"/>
      <c r="I816" s="37"/>
      <c r="J816" s="37"/>
      <c r="K816" s="123"/>
      <c r="L816" s="123"/>
      <c r="M816" s="124" t="b">
        <v>0</v>
      </c>
      <c r="N816" s="124" t="b">
        <v>0</v>
      </c>
      <c r="O816" s="124"/>
      <c r="P816" s="124" t="b">
        <v>0</v>
      </c>
      <c r="Q816" s="124" t="b">
        <v>0</v>
      </c>
      <c r="R816" s="124" t="b">
        <v>0</v>
      </c>
      <c r="S816" s="124"/>
      <c r="T816" s="60"/>
      <c r="U816" s="124" t="b">
        <v>0</v>
      </c>
      <c r="V816" s="124"/>
      <c r="W816" s="124" t="b">
        <v>0</v>
      </c>
      <c r="X816" s="124" t="b">
        <v>0</v>
      </c>
      <c r="Y816" s="124"/>
      <c r="Z816" s="124"/>
      <c r="AA816" s="124"/>
      <c r="AB816" s="124"/>
      <c r="AC816" s="125"/>
      <c r="AD816" s="124"/>
      <c r="AE816" s="124"/>
      <c r="AF816" s="124"/>
      <c r="AG816" s="124"/>
      <c r="AH816" s="124"/>
      <c r="AI816" s="124"/>
      <c r="AJ816" s="37"/>
      <c r="AK816" s="50"/>
      <c r="AL816" s="37"/>
      <c r="AM816" s="37"/>
      <c r="AN816" s="37"/>
      <c r="AO816" s="165"/>
      <c r="AP816" s="166"/>
      <c r="AQ816" s="37"/>
      <c r="AR816" s="37"/>
      <c r="AS816" s="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row>
    <row r="817">
      <c r="A817" s="37"/>
      <c r="B817" s="167"/>
      <c r="C817" s="37"/>
      <c r="D817" s="37"/>
      <c r="E817" s="37"/>
      <c r="F817" s="37"/>
      <c r="G817" s="122"/>
      <c r="H817" s="37"/>
      <c r="I817" s="37"/>
      <c r="J817" s="37"/>
      <c r="K817" s="123"/>
      <c r="L817" s="123"/>
      <c r="M817" s="124" t="b">
        <v>0</v>
      </c>
      <c r="N817" s="124" t="b">
        <v>0</v>
      </c>
      <c r="O817" s="124"/>
      <c r="P817" s="124" t="b">
        <v>0</v>
      </c>
      <c r="Q817" s="124" t="b">
        <v>0</v>
      </c>
      <c r="R817" s="124" t="b">
        <v>0</v>
      </c>
      <c r="S817" s="124"/>
      <c r="T817" s="60"/>
      <c r="U817" s="124" t="b">
        <v>0</v>
      </c>
      <c r="V817" s="124"/>
      <c r="W817" s="124" t="b">
        <v>0</v>
      </c>
      <c r="X817" s="124" t="b">
        <v>0</v>
      </c>
      <c r="Y817" s="124"/>
      <c r="Z817" s="124"/>
      <c r="AA817" s="124"/>
      <c r="AB817" s="124"/>
      <c r="AC817" s="125"/>
      <c r="AD817" s="124"/>
      <c r="AE817" s="124"/>
      <c r="AF817" s="124"/>
      <c r="AG817" s="124"/>
      <c r="AH817" s="124"/>
      <c r="AI817" s="124"/>
      <c r="AJ817" s="37"/>
      <c r="AK817" s="50"/>
      <c r="AL817" s="37"/>
      <c r="AM817" s="37"/>
      <c r="AN817" s="37"/>
      <c r="AO817" s="165"/>
      <c r="AP817" s="166"/>
      <c r="AQ817" s="37"/>
      <c r="AR817" s="37"/>
      <c r="AS817" s="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row>
    <row r="818">
      <c r="A818" s="37"/>
      <c r="B818" s="167"/>
      <c r="C818" s="37"/>
      <c r="D818" s="37"/>
      <c r="E818" s="37"/>
      <c r="F818" s="37"/>
      <c r="G818" s="122"/>
      <c r="H818" s="37"/>
      <c r="I818" s="37"/>
      <c r="J818" s="37"/>
      <c r="K818" s="123"/>
      <c r="L818" s="123"/>
      <c r="M818" s="124" t="b">
        <v>0</v>
      </c>
      <c r="N818" s="124" t="b">
        <v>0</v>
      </c>
      <c r="O818" s="124"/>
      <c r="P818" s="124" t="b">
        <v>0</v>
      </c>
      <c r="Q818" s="124" t="b">
        <v>0</v>
      </c>
      <c r="R818" s="124" t="b">
        <v>0</v>
      </c>
      <c r="S818" s="124"/>
      <c r="T818" s="60"/>
      <c r="U818" s="124" t="b">
        <v>0</v>
      </c>
      <c r="V818" s="124"/>
      <c r="W818" s="124" t="b">
        <v>0</v>
      </c>
      <c r="X818" s="124" t="b">
        <v>0</v>
      </c>
      <c r="Y818" s="124"/>
      <c r="Z818" s="124"/>
      <c r="AA818" s="124"/>
      <c r="AB818" s="124"/>
      <c r="AC818" s="125"/>
      <c r="AD818" s="124"/>
      <c r="AE818" s="124"/>
      <c r="AF818" s="124"/>
      <c r="AG818" s="124"/>
      <c r="AH818" s="124"/>
      <c r="AI818" s="124"/>
      <c r="AJ818" s="37"/>
      <c r="AK818" s="50"/>
      <c r="AL818" s="37"/>
      <c r="AM818" s="37"/>
      <c r="AN818" s="37"/>
      <c r="AO818" s="165"/>
      <c r="AP818" s="166"/>
      <c r="AQ818" s="37"/>
      <c r="AR818" s="37"/>
      <c r="AS818" s="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row>
    <row r="819">
      <c r="A819" s="37"/>
      <c r="B819" s="167"/>
      <c r="C819" s="37"/>
      <c r="D819" s="37"/>
      <c r="E819" s="37"/>
      <c r="F819" s="37"/>
      <c r="G819" s="122"/>
      <c r="H819" s="37"/>
      <c r="I819" s="37"/>
      <c r="J819" s="37"/>
      <c r="K819" s="123"/>
      <c r="L819" s="123"/>
      <c r="M819" s="124" t="b">
        <v>0</v>
      </c>
      <c r="N819" s="124" t="b">
        <v>0</v>
      </c>
      <c r="O819" s="124"/>
      <c r="P819" s="124" t="b">
        <v>0</v>
      </c>
      <c r="Q819" s="124" t="b">
        <v>0</v>
      </c>
      <c r="R819" s="124" t="b">
        <v>0</v>
      </c>
      <c r="S819" s="124"/>
      <c r="T819" s="60"/>
      <c r="U819" s="124" t="b">
        <v>0</v>
      </c>
      <c r="V819" s="124"/>
      <c r="W819" s="124" t="b">
        <v>0</v>
      </c>
      <c r="X819" s="124" t="b">
        <v>0</v>
      </c>
      <c r="Y819" s="124"/>
      <c r="Z819" s="124"/>
      <c r="AA819" s="124"/>
      <c r="AB819" s="124"/>
      <c r="AC819" s="125"/>
      <c r="AD819" s="124"/>
      <c r="AE819" s="124"/>
      <c r="AF819" s="124"/>
      <c r="AG819" s="124"/>
      <c r="AH819" s="124"/>
      <c r="AI819" s="124"/>
      <c r="AJ819" s="37"/>
      <c r="AK819" s="50"/>
      <c r="AL819" s="37"/>
      <c r="AM819" s="37"/>
      <c r="AN819" s="37"/>
      <c r="AO819" s="165"/>
      <c r="AP819" s="166"/>
      <c r="AQ819" s="37"/>
      <c r="AR819" s="37"/>
      <c r="AS819" s="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row>
    <row r="820">
      <c r="A820" s="37"/>
      <c r="B820" s="167"/>
      <c r="C820" s="37"/>
      <c r="D820" s="37"/>
      <c r="E820" s="37"/>
      <c r="F820" s="37"/>
      <c r="G820" s="122"/>
      <c r="H820" s="37"/>
      <c r="I820" s="37"/>
      <c r="J820" s="37"/>
      <c r="K820" s="123"/>
      <c r="L820" s="123"/>
      <c r="M820" s="124" t="b">
        <v>0</v>
      </c>
      <c r="N820" s="124" t="b">
        <v>0</v>
      </c>
      <c r="O820" s="124"/>
      <c r="P820" s="124" t="b">
        <v>0</v>
      </c>
      <c r="Q820" s="124" t="b">
        <v>0</v>
      </c>
      <c r="R820" s="124" t="b">
        <v>0</v>
      </c>
      <c r="S820" s="124"/>
      <c r="T820" s="60"/>
      <c r="U820" s="124" t="b">
        <v>0</v>
      </c>
      <c r="V820" s="124"/>
      <c r="W820" s="124" t="b">
        <v>0</v>
      </c>
      <c r="X820" s="124" t="b">
        <v>0</v>
      </c>
      <c r="Y820" s="124"/>
      <c r="Z820" s="124"/>
      <c r="AA820" s="124"/>
      <c r="AB820" s="124"/>
      <c r="AC820" s="125"/>
      <c r="AD820" s="124"/>
      <c r="AE820" s="124"/>
      <c r="AF820" s="124"/>
      <c r="AG820" s="124"/>
      <c r="AH820" s="124"/>
      <c r="AI820" s="124"/>
      <c r="AJ820" s="37"/>
      <c r="AK820" s="50"/>
      <c r="AL820" s="37"/>
      <c r="AM820" s="37"/>
      <c r="AN820" s="37"/>
      <c r="AO820" s="165"/>
      <c r="AP820" s="166"/>
      <c r="AQ820" s="37"/>
      <c r="AR820" s="37"/>
      <c r="AS820" s="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row>
    <row r="821">
      <c r="A821" s="37"/>
      <c r="B821" s="167"/>
      <c r="C821" s="37"/>
      <c r="D821" s="37"/>
      <c r="E821" s="37"/>
      <c r="F821" s="37"/>
      <c r="G821" s="122"/>
      <c r="H821" s="37"/>
      <c r="I821" s="37"/>
      <c r="J821" s="37"/>
      <c r="K821" s="123"/>
      <c r="L821" s="123"/>
      <c r="M821" s="124" t="b">
        <v>0</v>
      </c>
      <c r="N821" s="124" t="b">
        <v>0</v>
      </c>
      <c r="O821" s="124"/>
      <c r="P821" s="124" t="b">
        <v>0</v>
      </c>
      <c r="Q821" s="124" t="b">
        <v>0</v>
      </c>
      <c r="R821" s="124" t="b">
        <v>0</v>
      </c>
      <c r="S821" s="124"/>
      <c r="T821" s="60"/>
      <c r="U821" s="124" t="b">
        <v>0</v>
      </c>
      <c r="V821" s="124"/>
      <c r="W821" s="124" t="b">
        <v>0</v>
      </c>
      <c r="X821" s="124" t="b">
        <v>0</v>
      </c>
      <c r="Y821" s="124"/>
      <c r="Z821" s="124"/>
      <c r="AA821" s="124"/>
      <c r="AB821" s="124"/>
      <c r="AC821" s="125"/>
      <c r="AD821" s="124"/>
      <c r="AE821" s="124"/>
      <c r="AF821" s="124"/>
      <c r="AG821" s="124"/>
      <c r="AH821" s="124"/>
      <c r="AI821" s="124"/>
      <c r="AJ821" s="37"/>
      <c r="AK821" s="50"/>
      <c r="AL821" s="37"/>
      <c r="AM821" s="37"/>
      <c r="AN821" s="37"/>
      <c r="AO821" s="165"/>
      <c r="AP821" s="166"/>
      <c r="AQ821" s="37"/>
      <c r="AR821" s="37"/>
      <c r="AS821" s="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row>
    <row r="822">
      <c r="A822" s="37"/>
      <c r="B822" s="167"/>
      <c r="C822" s="37"/>
      <c r="D822" s="37"/>
      <c r="E822" s="37"/>
      <c r="F822" s="37"/>
      <c r="G822" s="122"/>
      <c r="H822" s="37"/>
      <c r="I822" s="37"/>
      <c r="J822" s="37"/>
      <c r="K822" s="123"/>
      <c r="L822" s="123"/>
      <c r="M822" s="124" t="b">
        <v>0</v>
      </c>
      <c r="N822" s="124" t="b">
        <v>0</v>
      </c>
      <c r="O822" s="124"/>
      <c r="P822" s="124" t="b">
        <v>0</v>
      </c>
      <c r="Q822" s="124" t="b">
        <v>0</v>
      </c>
      <c r="R822" s="124" t="b">
        <v>0</v>
      </c>
      <c r="S822" s="124"/>
      <c r="T822" s="60"/>
      <c r="U822" s="124" t="b">
        <v>0</v>
      </c>
      <c r="V822" s="124"/>
      <c r="W822" s="124" t="b">
        <v>0</v>
      </c>
      <c r="X822" s="124" t="b">
        <v>0</v>
      </c>
      <c r="Y822" s="124"/>
      <c r="Z822" s="124"/>
      <c r="AA822" s="124"/>
      <c r="AB822" s="124"/>
      <c r="AC822" s="125"/>
      <c r="AD822" s="124"/>
      <c r="AE822" s="124"/>
      <c r="AF822" s="124"/>
      <c r="AG822" s="124"/>
      <c r="AH822" s="124"/>
      <c r="AI822" s="124"/>
      <c r="AJ822" s="37"/>
      <c r="AK822" s="50"/>
      <c r="AL822" s="37"/>
      <c r="AM822" s="37"/>
      <c r="AN822" s="37"/>
      <c r="AO822" s="165"/>
      <c r="AP822" s="166"/>
      <c r="AQ822" s="37"/>
      <c r="AR822" s="37"/>
      <c r="AS822" s="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row>
    <row r="823">
      <c r="A823" s="37"/>
      <c r="B823" s="167"/>
      <c r="C823" s="37"/>
      <c r="D823" s="37"/>
      <c r="E823" s="37"/>
      <c r="F823" s="37"/>
      <c r="G823" s="122"/>
      <c r="H823" s="37"/>
      <c r="I823" s="37"/>
      <c r="J823" s="37"/>
      <c r="K823" s="123"/>
      <c r="L823" s="123"/>
      <c r="M823" s="124" t="b">
        <v>0</v>
      </c>
      <c r="N823" s="124" t="b">
        <v>0</v>
      </c>
      <c r="O823" s="124"/>
      <c r="P823" s="124" t="b">
        <v>0</v>
      </c>
      <c r="Q823" s="124" t="b">
        <v>0</v>
      </c>
      <c r="R823" s="124" t="b">
        <v>0</v>
      </c>
      <c r="S823" s="124"/>
      <c r="T823" s="60"/>
      <c r="U823" s="124" t="b">
        <v>0</v>
      </c>
      <c r="V823" s="124"/>
      <c r="W823" s="124" t="b">
        <v>0</v>
      </c>
      <c r="X823" s="124" t="b">
        <v>0</v>
      </c>
      <c r="Y823" s="124"/>
      <c r="Z823" s="124"/>
      <c r="AA823" s="124"/>
      <c r="AB823" s="124"/>
      <c r="AC823" s="125"/>
      <c r="AD823" s="124"/>
      <c r="AE823" s="124"/>
      <c r="AF823" s="124"/>
      <c r="AG823" s="124"/>
      <c r="AH823" s="124"/>
      <c r="AI823" s="124"/>
      <c r="AJ823" s="37"/>
      <c r="AK823" s="50"/>
      <c r="AL823" s="37"/>
      <c r="AM823" s="37"/>
      <c r="AN823" s="37"/>
      <c r="AO823" s="165"/>
      <c r="AP823" s="166"/>
      <c r="AQ823" s="37"/>
      <c r="AR823" s="37"/>
      <c r="AS823" s="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row>
    <row r="824">
      <c r="A824" s="37"/>
      <c r="B824" s="167"/>
      <c r="C824" s="37"/>
      <c r="D824" s="37"/>
      <c r="E824" s="37"/>
      <c r="F824" s="37"/>
      <c r="G824" s="122"/>
      <c r="H824" s="37"/>
      <c r="I824" s="37"/>
      <c r="J824" s="37"/>
      <c r="K824" s="123"/>
      <c r="L824" s="123"/>
      <c r="M824" s="124" t="b">
        <v>0</v>
      </c>
      <c r="N824" s="124" t="b">
        <v>0</v>
      </c>
      <c r="O824" s="124"/>
      <c r="P824" s="124" t="b">
        <v>0</v>
      </c>
      <c r="Q824" s="124" t="b">
        <v>0</v>
      </c>
      <c r="R824" s="124" t="b">
        <v>0</v>
      </c>
      <c r="S824" s="124"/>
      <c r="T824" s="60"/>
      <c r="U824" s="124" t="b">
        <v>0</v>
      </c>
      <c r="V824" s="124"/>
      <c r="W824" s="124" t="b">
        <v>0</v>
      </c>
      <c r="X824" s="124" t="b">
        <v>0</v>
      </c>
      <c r="Y824" s="124"/>
      <c r="Z824" s="124"/>
      <c r="AA824" s="124"/>
      <c r="AB824" s="124"/>
      <c r="AC824" s="125"/>
      <c r="AD824" s="124"/>
      <c r="AE824" s="124"/>
      <c r="AF824" s="124"/>
      <c r="AG824" s="124"/>
      <c r="AH824" s="124"/>
      <c r="AI824" s="124"/>
      <c r="AJ824" s="37"/>
      <c r="AK824" s="50"/>
      <c r="AL824" s="37"/>
      <c r="AM824" s="37"/>
      <c r="AN824" s="37"/>
      <c r="AO824" s="165"/>
      <c r="AP824" s="166"/>
      <c r="AQ824" s="37"/>
      <c r="AR824" s="37"/>
      <c r="AS824" s="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row>
    <row r="825">
      <c r="A825" s="37"/>
      <c r="B825" s="167"/>
      <c r="C825" s="37"/>
      <c r="D825" s="37"/>
      <c r="E825" s="37"/>
      <c r="F825" s="37"/>
      <c r="G825" s="122"/>
      <c r="H825" s="37"/>
      <c r="I825" s="37"/>
      <c r="J825" s="37"/>
      <c r="K825" s="123"/>
      <c r="L825" s="123"/>
      <c r="M825" s="124" t="b">
        <v>0</v>
      </c>
      <c r="N825" s="124" t="b">
        <v>0</v>
      </c>
      <c r="O825" s="124"/>
      <c r="P825" s="124" t="b">
        <v>0</v>
      </c>
      <c r="Q825" s="124" t="b">
        <v>0</v>
      </c>
      <c r="R825" s="124" t="b">
        <v>0</v>
      </c>
      <c r="S825" s="124"/>
      <c r="T825" s="60"/>
      <c r="U825" s="124" t="b">
        <v>0</v>
      </c>
      <c r="V825" s="124"/>
      <c r="W825" s="124" t="b">
        <v>0</v>
      </c>
      <c r="X825" s="124" t="b">
        <v>0</v>
      </c>
      <c r="Y825" s="124"/>
      <c r="Z825" s="124"/>
      <c r="AA825" s="124"/>
      <c r="AB825" s="124"/>
      <c r="AC825" s="125"/>
      <c r="AD825" s="124"/>
      <c r="AE825" s="124"/>
      <c r="AF825" s="124"/>
      <c r="AG825" s="124"/>
      <c r="AH825" s="124"/>
      <c r="AI825" s="124"/>
      <c r="AJ825" s="37"/>
      <c r="AK825" s="50"/>
      <c r="AL825" s="37"/>
      <c r="AM825" s="37"/>
      <c r="AN825" s="37"/>
      <c r="AO825" s="165"/>
      <c r="AP825" s="166"/>
      <c r="AQ825" s="37"/>
      <c r="AR825" s="37"/>
      <c r="AS825" s="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row>
    <row r="826">
      <c r="A826" s="37"/>
      <c r="B826" s="167"/>
      <c r="C826" s="37"/>
      <c r="D826" s="37"/>
      <c r="E826" s="37"/>
      <c r="F826" s="37"/>
      <c r="G826" s="122"/>
      <c r="H826" s="37"/>
      <c r="I826" s="37"/>
      <c r="J826" s="37"/>
      <c r="K826" s="123"/>
      <c r="L826" s="123"/>
      <c r="M826" s="124" t="b">
        <v>0</v>
      </c>
      <c r="N826" s="124" t="b">
        <v>0</v>
      </c>
      <c r="O826" s="124"/>
      <c r="P826" s="124" t="b">
        <v>0</v>
      </c>
      <c r="Q826" s="124" t="b">
        <v>0</v>
      </c>
      <c r="R826" s="124" t="b">
        <v>0</v>
      </c>
      <c r="S826" s="124"/>
      <c r="T826" s="60"/>
      <c r="U826" s="124" t="b">
        <v>0</v>
      </c>
      <c r="V826" s="124"/>
      <c r="W826" s="124" t="b">
        <v>0</v>
      </c>
      <c r="X826" s="124" t="b">
        <v>0</v>
      </c>
      <c r="Y826" s="124"/>
      <c r="Z826" s="124"/>
      <c r="AA826" s="124"/>
      <c r="AB826" s="124"/>
      <c r="AC826" s="125"/>
      <c r="AD826" s="124"/>
      <c r="AE826" s="124"/>
      <c r="AF826" s="124"/>
      <c r="AG826" s="124"/>
      <c r="AH826" s="124"/>
      <c r="AI826" s="124"/>
      <c r="AJ826" s="37"/>
      <c r="AK826" s="50"/>
      <c r="AL826" s="37"/>
      <c r="AM826" s="37"/>
      <c r="AN826" s="37"/>
      <c r="AO826" s="165"/>
      <c r="AP826" s="166"/>
      <c r="AQ826" s="37"/>
      <c r="AR826" s="37"/>
      <c r="AS826" s="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row>
    <row r="827">
      <c r="A827" s="37"/>
      <c r="B827" s="167"/>
      <c r="C827" s="37"/>
      <c r="D827" s="37"/>
      <c r="E827" s="37"/>
      <c r="F827" s="37"/>
      <c r="G827" s="122"/>
      <c r="H827" s="37"/>
      <c r="I827" s="37"/>
      <c r="J827" s="37"/>
      <c r="K827" s="123"/>
      <c r="L827" s="123"/>
      <c r="M827" s="124" t="b">
        <v>0</v>
      </c>
      <c r="N827" s="124" t="b">
        <v>0</v>
      </c>
      <c r="O827" s="124"/>
      <c r="P827" s="124" t="b">
        <v>0</v>
      </c>
      <c r="Q827" s="124" t="b">
        <v>0</v>
      </c>
      <c r="R827" s="124" t="b">
        <v>0</v>
      </c>
      <c r="S827" s="124"/>
      <c r="T827" s="60"/>
      <c r="U827" s="124" t="b">
        <v>0</v>
      </c>
      <c r="V827" s="124"/>
      <c r="W827" s="124" t="b">
        <v>0</v>
      </c>
      <c r="X827" s="124" t="b">
        <v>0</v>
      </c>
      <c r="Y827" s="124"/>
      <c r="Z827" s="124"/>
      <c r="AA827" s="124"/>
      <c r="AB827" s="124"/>
      <c r="AC827" s="125"/>
      <c r="AD827" s="124"/>
      <c r="AE827" s="124"/>
      <c r="AF827" s="124"/>
      <c r="AG827" s="124"/>
      <c r="AH827" s="124"/>
      <c r="AI827" s="124"/>
      <c r="AJ827" s="37"/>
      <c r="AK827" s="50"/>
      <c r="AL827" s="37"/>
      <c r="AM827" s="37"/>
      <c r="AN827" s="37"/>
      <c r="AO827" s="165"/>
      <c r="AP827" s="166"/>
      <c r="AQ827" s="37"/>
      <c r="AR827" s="37"/>
      <c r="AS827" s="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row>
    <row r="828">
      <c r="A828" s="37"/>
      <c r="B828" s="167"/>
      <c r="C828" s="37"/>
      <c r="D828" s="37"/>
      <c r="E828" s="37"/>
      <c r="F828" s="37"/>
      <c r="G828" s="122"/>
      <c r="H828" s="37"/>
      <c r="I828" s="37"/>
      <c r="J828" s="37"/>
      <c r="K828" s="123"/>
      <c r="L828" s="123"/>
      <c r="M828" s="124" t="b">
        <v>0</v>
      </c>
      <c r="N828" s="124" t="b">
        <v>0</v>
      </c>
      <c r="O828" s="124"/>
      <c r="P828" s="124" t="b">
        <v>0</v>
      </c>
      <c r="Q828" s="124" t="b">
        <v>0</v>
      </c>
      <c r="R828" s="124" t="b">
        <v>0</v>
      </c>
      <c r="S828" s="124"/>
      <c r="T828" s="60"/>
      <c r="U828" s="124" t="b">
        <v>0</v>
      </c>
      <c r="V828" s="124"/>
      <c r="W828" s="124" t="b">
        <v>0</v>
      </c>
      <c r="X828" s="124" t="b">
        <v>0</v>
      </c>
      <c r="Y828" s="124"/>
      <c r="Z828" s="124"/>
      <c r="AA828" s="124"/>
      <c r="AB828" s="124"/>
      <c r="AC828" s="125"/>
      <c r="AD828" s="124"/>
      <c r="AE828" s="124"/>
      <c r="AF828" s="124"/>
      <c r="AG828" s="124"/>
      <c r="AH828" s="124"/>
      <c r="AI828" s="124"/>
      <c r="AJ828" s="37"/>
      <c r="AK828" s="50"/>
      <c r="AL828" s="37"/>
      <c r="AM828" s="37"/>
      <c r="AN828" s="37"/>
      <c r="AO828" s="165"/>
      <c r="AP828" s="166"/>
      <c r="AQ828" s="37"/>
      <c r="AR828" s="37"/>
      <c r="AS828" s="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row>
    <row r="829">
      <c r="A829" s="37"/>
      <c r="B829" s="167"/>
      <c r="C829" s="37"/>
      <c r="D829" s="37"/>
      <c r="E829" s="37"/>
      <c r="F829" s="37"/>
      <c r="G829" s="122"/>
      <c r="H829" s="37"/>
      <c r="I829" s="37"/>
      <c r="J829" s="37"/>
      <c r="K829" s="123"/>
      <c r="L829" s="123"/>
      <c r="M829" s="124" t="b">
        <v>0</v>
      </c>
      <c r="N829" s="124" t="b">
        <v>0</v>
      </c>
      <c r="O829" s="124"/>
      <c r="P829" s="124" t="b">
        <v>0</v>
      </c>
      <c r="Q829" s="124" t="b">
        <v>0</v>
      </c>
      <c r="R829" s="124" t="b">
        <v>0</v>
      </c>
      <c r="S829" s="124"/>
      <c r="T829" s="60"/>
      <c r="U829" s="124" t="b">
        <v>0</v>
      </c>
      <c r="V829" s="124"/>
      <c r="W829" s="124" t="b">
        <v>0</v>
      </c>
      <c r="X829" s="124" t="b">
        <v>0</v>
      </c>
      <c r="Y829" s="124"/>
      <c r="Z829" s="124"/>
      <c r="AA829" s="124"/>
      <c r="AB829" s="124"/>
      <c r="AC829" s="125"/>
      <c r="AD829" s="124"/>
      <c r="AE829" s="124"/>
      <c r="AF829" s="124"/>
      <c r="AG829" s="124"/>
      <c r="AH829" s="124"/>
      <c r="AI829" s="124"/>
      <c r="AJ829" s="37"/>
      <c r="AK829" s="50"/>
      <c r="AL829" s="37"/>
      <c r="AM829" s="37"/>
      <c r="AN829" s="37"/>
      <c r="AO829" s="165"/>
      <c r="AP829" s="166"/>
      <c r="AQ829" s="37"/>
      <c r="AR829" s="37"/>
      <c r="AS829" s="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row>
    <row r="830">
      <c r="A830" s="25"/>
      <c r="B830" s="168"/>
      <c r="C830" s="25"/>
      <c r="D830" s="25"/>
      <c r="E830" s="25"/>
      <c r="F830" s="25"/>
      <c r="G830" s="84"/>
      <c r="H830" s="25"/>
      <c r="I830" s="25"/>
      <c r="J830" s="25"/>
      <c r="K830" s="169"/>
      <c r="L830" s="169"/>
      <c r="M830" s="170" t="b">
        <v>0</v>
      </c>
      <c r="N830" s="170" t="b">
        <v>0</v>
      </c>
      <c r="O830" s="48"/>
      <c r="P830" s="170" t="b">
        <v>0</v>
      </c>
      <c r="Q830" s="170" t="b">
        <v>0</v>
      </c>
      <c r="R830" s="170" t="b">
        <v>0</v>
      </c>
      <c r="S830" s="48"/>
      <c r="T830" s="60"/>
      <c r="U830" s="170" t="b">
        <v>0</v>
      </c>
      <c r="V830" s="170"/>
      <c r="W830" s="170" t="b">
        <v>0</v>
      </c>
      <c r="X830" s="170" t="b">
        <v>0</v>
      </c>
      <c r="Y830" s="170"/>
      <c r="Z830" s="170"/>
      <c r="AA830" s="170"/>
      <c r="AB830" s="170"/>
      <c r="AC830" s="171"/>
      <c r="AD830" s="170"/>
      <c r="AE830" s="170"/>
      <c r="AF830" s="170"/>
      <c r="AG830" s="170"/>
      <c r="AH830" s="170"/>
      <c r="AI830" s="170"/>
      <c r="AJ830" s="172"/>
      <c r="AK830" s="50"/>
      <c r="AL830" s="25"/>
      <c r="AM830" s="25"/>
      <c r="AN830" s="25"/>
      <c r="AO830" s="165"/>
      <c r="AP830" s="78"/>
      <c r="AQ830" s="25"/>
      <c r="AR830" s="25"/>
      <c r="AS830" s="25"/>
      <c r="AT830" s="25"/>
      <c r="AU830" s="25"/>
      <c r="AV830" s="25"/>
      <c r="AW830" s="25"/>
      <c r="AX830" s="25"/>
      <c r="AY830" s="25"/>
      <c r="AZ830" s="25"/>
      <c r="BA830" s="25"/>
      <c r="BB830" s="25"/>
      <c r="BC830" s="25"/>
      <c r="BD830" s="25"/>
      <c r="BE830" s="25"/>
      <c r="BF830" s="25"/>
      <c r="BG830" s="25"/>
      <c r="BH830" s="25"/>
      <c r="BI830" s="25"/>
      <c r="BJ830" s="25"/>
      <c r="BK830" s="25"/>
      <c r="BL830" s="25"/>
      <c r="BM830" s="25"/>
      <c r="BN830" s="25"/>
      <c r="BO830" s="25"/>
      <c r="BP830" s="25"/>
    </row>
    <row r="831">
      <c r="A831" s="25"/>
      <c r="B831" s="168"/>
      <c r="C831" s="25"/>
      <c r="D831" s="25"/>
      <c r="E831" s="25"/>
      <c r="F831" s="25"/>
      <c r="G831" s="84"/>
      <c r="H831" s="25"/>
      <c r="I831" s="25"/>
      <c r="J831" s="25"/>
      <c r="K831" s="169"/>
      <c r="M831" s="170" t="b">
        <v>0</v>
      </c>
      <c r="N831" s="170" t="b">
        <v>0</v>
      </c>
      <c r="O831" s="48"/>
      <c r="P831" s="170" t="b">
        <v>0</v>
      </c>
      <c r="Q831" s="170" t="b">
        <v>0</v>
      </c>
      <c r="R831" s="170" t="b">
        <v>0</v>
      </c>
      <c r="S831" s="48"/>
      <c r="T831" s="60"/>
      <c r="U831" s="170" t="b">
        <v>0</v>
      </c>
      <c r="V831" s="170"/>
      <c r="W831" s="170" t="b">
        <v>0</v>
      </c>
      <c r="X831" s="170" t="b">
        <v>0</v>
      </c>
      <c r="Y831" s="170"/>
      <c r="Z831" s="170"/>
      <c r="AA831" s="170"/>
      <c r="AB831" s="170"/>
      <c r="AC831" s="171"/>
      <c r="AD831" s="170"/>
      <c r="AE831" s="170"/>
      <c r="AF831" s="170"/>
      <c r="AG831" s="170"/>
      <c r="AH831" s="170"/>
      <c r="AI831" s="170"/>
      <c r="AJ831" s="172"/>
      <c r="AK831" s="50"/>
      <c r="AL831" s="25"/>
      <c r="AM831" s="25"/>
      <c r="AN831" s="25"/>
      <c r="AO831" s="165"/>
      <c r="AP831" s="78"/>
      <c r="AQ831" s="25"/>
      <c r="AR831" s="25"/>
      <c r="AS831" s="25"/>
      <c r="AT831" s="25"/>
      <c r="AU831" s="25"/>
      <c r="AV831" s="25"/>
      <c r="AW831" s="25"/>
      <c r="AX831" s="25"/>
      <c r="AY831" s="25"/>
      <c r="AZ831" s="25"/>
      <c r="BA831" s="25"/>
      <c r="BB831" s="25"/>
      <c r="BC831" s="25"/>
      <c r="BD831" s="25"/>
      <c r="BE831" s="25"/>
      <c r="BF831" s="25"/>
      <c r="BG831" s="25"/>
      <c r="BH831" s="25"/>
      <c r="BI831" s="25"/>
      <c r="BJ831" s="25"/>
      <c r="BK831" s="25"/>
      <c r="BL831" s="25"/>
      <c r="BM831" s="25"/>
      <c r="BN831" s="25"/>
      <c r="BO831" s="25"/>
      <c r="BP831" s="25"/>
    </row>
    <row r="832">
      <c r="A832" s="25"/>
      <c r="B832" s="168"/>
      <c r="C832" s="25"/>
      <c r="D832" s="25"/>
      <c r="E832" s="25"/>
      <c r="F832" s="25"/>
      <c r="G832" s="84"/>
      <c r="H832" s="25"/>
      <c r="I832" s="25"/>
      <c r="J832" s="25"/>
      <c r="K832" s="169"/>
      <c r="M832" s="170" t="b">
        <v>0</v>
      </c>
      <c r="N832" s="170" t="b">
        <v>0</v>
      </c>
      <c r="O832" s="48"/>
      <c r="P832" s="170" t="b">
        <v>0</v>
      </c>
      <c r="Q832" s="170" t="b">
        <v>0</v>
      </c>
      <c r="R832" s="170" t="b">
        <v>0</v>
      </c>
      <c r="S832" s="48"/>
      <c r="T832" s="60"/>
      <c r="U832" s="170" t="b">
        <v>0</v>
      </c>
      <c r="V832" s="170"/>
      <c r="W832" s="170" t="b">
        <v>0</v>
      </c>
      <c r="X832" s="170" t="b">
        <v>0</v>
      </c>
      <c r="Y832" s="170"/>
      <c r="Z832" s="170"/>
      <c r="AA832" s="170"/>
      <c r="AB832" s="170"/>
      <c r="AC832" s="171"/>
      <c r="AD832" s="170"/>
      <c r="AE832" s="170"/>
      <c r="AF832" s="170"/>
      <c r="AG832" s="170"/>
      <c r="AH832" s="170"/>
      <c r="AI832" s="170"/>
      <c r="AJ832" s="172"/>
      <c r="AK832" s="50"/>
      <c r="AL832" s="25"/>
      <c r="AM832" s="25"/>
      <c r="AN832" s="25"/>
      <c r="AO832" s="165"/>
      <c r="AP832" s="78"/>
      <c r="AQ832" s="25"/>
      <c r="AR832" s="25"/>
      <c r="AS832" s="25"/>
      <c r="AT832" s="25"/>
      <c r="AU832" s="25"/>
      <c r="AV832" s="25"/>
      <c r="AW832" s="25"/>
      <c r="AX832" s="25"/>
      <c r="AY832" s="25"/>
      <c r="AZ832" s="25"/>
      <c r="BA832" s="25"/>
      <c r="BB832" s="25"/>
      <c r="BC832" s="25"/>
      <c r="BD832" s="25"/>
      <c r="BE832" s="25"/>
      <c r="BF832" s="25"/>
      <c r="BG832" s="25"/>
      <c r="BH832" s="25"/>
      <c r="BI832" s="25"/>
      <c r="BJ832" s="25"/>
      <c r="BK832" s="25"/>
      <c r="BL832" s="25"/>
      <c r="BM832" s="25"/>
      <c r="BN832" s="25"/>
      <c r="BO832" s="25"/>
      <c r="BP832" s="25"/>
    </row>
    <row r="833">
      <c r="A833" s="25"/>
      <c r="B833" s="168"/>
      <c r="C833" s="25"/>
      <c r="D833" s="25"/>
      <c r="E833" s="25"/>
      <c r="F833" s="25"/>
      <c r="G833" s="84"/>
      <c r="H833" s="25"/>
      <c r="I833" s="25"/>
      <c r="J833" s="25"/>
      <c r="K833" s="169"/>
      <c r="M833" s="170" t="b">
        <v>0</v>
      </c>
      <c r="N833" s="170" t="b">
        <v>0</v>
      </c>
      <c r="O833" s="48"/>
      <c r="P833" s="170" t="b">
        <v>0</v>
      </c>
      <c r="Q833" s="170" t="b">
        <v>0</v>
      </c>
      <c r="R833" s="170" t="b">
        <v>0</v>
      </c>
      <c r="S833" s="48"/>
      <c r="T833" s="60"/>
      <c r="U833" s="170" t="b">
        <v>0</v>
      </c>
      <c r="V833" s="170"/>
      <c r="W833" s="170" t="b">
        <v>0</v>
      </c>
      <c r="X833" s="170" t="b">
        <v>0</v>
      </c>
      <c r="Y833" s="170"/>
      <c r="Z833" s="170"/>
      <c r="AA833" s="170"/>
      <c r="AB833" s="170"/>
      <c r="AC833" s="171"/>
      <c r="AD833" s="170"/>
      <c r="AE833" s="170"/>
      <c r="AF833" s="170"/>
      <c r="AG833" s="170"/>
      <c r="AH833" s="170"/>
      <c r="AI833" s="170"/>
      <c r="AJ833" s="172"/>
      <c r="AK833" s="50"/>
      <c r="AL833" s="25"/>
      <c r="AM833" s="25"/>
      <c r="AN833" s="25"/>
      <c r="AO833" s="165"/>
      <c r="AP833" s="78"/>
      <c r="AQ833" s="25"/>
      <c r="AR833" s="25"/>
      <c r="AS833" s="25"/>
      <c r="AT833" s="25"/>
      <c r="AU833" s="25"/>
      <c r="AV833" s="25"/>
      <c r="AW833" s="25"/>
      <c r="AX833" s="25"/>
      <c r="AY833" s="25"/>
      <c r="AZ833" s="25"/>
      <c r="BA833" s="25"/>
      <c r="BB833" s="25"/>
      <c r="BC833" s="25"/>
      <c r="BD833" s="25"/>
      <c r="BE833" s="25"/>
      <c r="BF833" s="25"/>
      <c r="BG833" s="25"/>
      <c r="BH833" s="25"/>
      <c r="BI833" s="25"/>
      <c r="BJ833" s="25"/>
      <c r="BK833" s="25"/>
      <c r="BL833" s="25"/>
      <c r="BM833" s="25"/>
      <c r="BN833" s="25"/>
      <c r="BO833" s="25"/>
      <c r="BP833" s="25"/>
    </row>
    <row r="834">
      <c r="A834" s="25"/>
      <c r="B834" s="168"/>
      <c r="C834" s="25"/>
      <c r="D834" s="25"/>
      <c r="E834" s="25"/>
      <c r="F834" s="25"/>
      <c r="G834" s="84"/>
      <c r="H834" s="25"/>
      <c r="I834" s="25"/>
      <c r="J834" s="25"/>
      <c r="K834" s="169"/>
      <c r="L834" s="169"/>
      <c r="M834" s="170" t="b">
        <v>0</v>
      </c>
      <c r="N834" s="170" t="b">
        <v>0</v>
      </c>
      <c r="O834" s="48"/>
      <c r="P834" s="170" t="b">
        <v>0</v>
      </c>
      <c r="Q834" s="170" t="b">
        <v>0</v>
      </c>
      <c r="R834" s="170" t="b">
        <v>0</v>
      </c>
      <c r="S834" s="48"/>
      <c r="T834" s="60"/>
      <c r="U834" s="170" t="b">
        <v>0</v>
      </c>
      <c r="V834" s="170"/>
      <c r="W834" s="170" t="b">
        <v>0</v>
      </c>
      <c r="X834" s="170" t="b">
        <v>0</v>
      </c>
      <c r="Y834" s="170"/>
      <c r="Z834" s="170"/>
      <c r="AA834" s="170"/>
      <c r="AB834" s="170"/>
      <c r="AC834" s="171"/>
      <c r="AD834" s="170"/>
      <c r="AE834" s="170"/>
      <c r="AF834" s="170"/>
      <c r="AG834" s="170"/>
      <c r="AH834" s="170"/>
      <c r="AI834" s="170"/>
      <c r="AJ834" s="172"/>
      <c r="AK834" s="50"/>
      <c r="AL834" s="25"/>
      <c r="AM834" s="25"/>
      <c r="AN834" s="25"/>
      <c r="AO834" s="165"/>
      <c r="AP834" s="78"/>
      <c r="AQ834" s="25"/>
      <c r="AR834" s="25"/>
      <c r="AS834" s="25"/>
      <c r="AT834" s="25"/>
      <c r="AU834" s="25"/>
      <c r="AV834" s="25"/>
      <c r="AW834" s="25"/>
      <c r="AX834" s="25"/>
      <c r="AY834" s="25"/>
      <c r="AZ834" s="25"/>
      <c r="BA834" s="25"/>
      <c r="BB834" s="25"/>
      <c r="BC834" s="25"/>
      <c r="BD834" s="25"/>
      <c r="BE834" s="25"/>
      <c r="BF834" s="25"/>
      <c r="BG834" s="25"/>
      <c r="BH834" s="25"/>
      <c r="BI834" s="25"/>
      <c r="BJ834" s="25"/>
      <c r="BK834" s="25"/>
      <c r="BL834" s="25"/>
      <c r="BM834" s="25"/>
      <c r="BN834" s="25"/>
      <c r="BO834" s="25"/>
      <c r="BP834" s="25"/>
    </row>
    <row r="835">
      <c r="A835" s="25"/>
      <c r="B835" s="168"/>
      <c r="C835" s="25"/>
      <c r="D835" s="25"/>
      <c r="E835" s="25"/>
      <c r="F835" s="25"/>
      <c r="G835" s="84"/>
      <c r="H835" s="25"/>
      <c r="I835" s="25"/>
      <c r="J835" s="25"/>
      <c r="K835" s="169"/>
      <c r="L835" s="169"/>
      <c r="M835" s="170" t="b">
        <v>0</v>
      </c>
      <c r="N835" s="170" t="b">
        <v>0</v>
      </c>
      <c r="O835" s="48"/>
      <c r="P835" s="170" t="b">
        <v>0</v>
      </c>
      <c r="Q835" s="170" t="b">
        <v>0</v>
      </c>
      <c r="R835" s="170" t="b">
        <v>0</v>
      </c>
      <c r="S835" s="48"/>
      <c r="T835" s="60"/>
      <c r="U835" s="170" t="b">
        <v>0</v>
      </c>
      <c r="V835" s="170"/>
      <c r="W835" s="170" t="b">
        <v>0</v>
      </c>
      <c r="X835" s="170" t="b">
        <v>0</v>
      </c>
      <c r="Y835" s="170"/>
      <c r="Z835" s="170"/>
      <c r="AA835" s="170"/>
      <c r="AB835" s="170"/>
      <c r="AC835" s="171"/>
      <c r="AD835" s="170"/>
      <c r="AE835" s="170"/>
      <c r="AF835" s="170"/>
      <c r="AG835" s="170"/>
      <c r="AH835" s="170"/>
      <c r="AI835" s="170"/>
      <c r="AJ835" s="172"/>
      <c r="AK835" s="50"/>
      <c r="AL835" s="25"/>
      <c r="AM835" s="25"/>
      <c r="AN835" s="25"/>
      <c r="AO835" s="165"/>
      <c r="AP835" s="78"/>
      <c r="AQ835" s="25"/>
      <c r="AR835" s="25"/>
      <c r="AS835" s="25"/>
      <c r="AT835" s="25"/>
      <c r="AU835" s="25"/>
      <c r="AV835" s="25"/>
      <c r="AW835" s="25"/>
      <c r="AX835" s="25"/>
      <c r="AY835" s="25"/>
      <c r="AZ835" s="25"/>
      <c r="BA835" s="25"/>
      <c r="BB835" s="25"/>
      <c r="BC835" s="25"/>
      <c r="BD835" s="25"/>
      <c r="BE835" s="25"/>
      <c r="BF835" s="25"/>
      <c r="BG835" s="25"/>
      <c r="BH835" s="25"/>
      <c r="BI835" s="25"/>
      <c r="BJ835" s="25"/>
      <c r="BK835" s="25"/>
      <c r="BL835" s="25"/>
      <c r="BM835" s="25"/>
      <c r="BN835" s="25"/>
      <c r="BO835" s="25"/>
      <c r="BP835" s="25"/>
    </row>
    <row r="836">
      <c r="A836" s="25"/>
      <c r="B836" s="168"/>
      <c r="C836" s="25"/>
      <c r="D836" s="25"/>
      <c r="E836" s="25"/>
      <c r="F836" s="25"/>
      <c r="G836" s="84"/>
      <c r="H836" s="25"/>
      <c r="I836" s="25"/>
      <c r="J836" s="25"/>
      <c r="K836" s="169"/>
      <c r="L836" s="169"/>
      <c r="M836" s="170" t="b">
        <v>0</v>
      </c>
      <c r="N836" s="170" t="b">
        <v>0</v>
      </c>
      <c r="O836" s="48"/>
      <c r="P836" s="170" t="b">
        <v>0</v>
      </c>
      <c r="Q836" s="170" t="b">
        <v>0</v>
      </c>
      <c r="R836" s="170" t="b">
        <v>0</v>
      </c>
      <c r="S836" s="48"/>
      <c r="T836" s="60"/>
      <c r="U836" s="170" t="b">
        <v>0</v>
      </c>
      <c r="V836" s="170"/>
      <c r="W836" s="170" t="b">
        <v>0</v>
      </c>
      <c r="X836" s="170" t="b">
        <v>0</v>
      </c>
      <c r="Y836" s="170"/>
      <c r="Z836" s="170"/>
      <c r="AA836" s="170"/>
      <c r="AB836" s="170"/>
      <c r="AC836" s="171"/>
      <c r="AD836" s="170"/>
      <c r="AE836" s="170"/>
      <c r="AF836" s="170"/>
      <c r="AG836" s="170"/>
      <c r="AH836" s="170"/>
      <c r="AI836" s="170"/>
      <c r="AJ836" s="172"/>
      <c r="AK836" s="50"/>
      <c r="AL836" s="25"/>
      <c r="AM836" s="25"/>
      <c r="AN836" s="25"/>
      <c r="AO836" s="165"/>
      <c r="AP836" s="78"/>
      <c r="AQ836" s="25"/>
      <c r="AR836" s="25"/>
      <c r="AS836" s="25"/>
      <c r="AT836" s="25"/>
      <c r="AU836" s="25"/>
      <c r="AV836" s="25"/>
      <c r="AW836" s="25"/>
      <c r="AX836" s="25"/>
      <c r="AY836" s="25"/>
      <c r="AZ836" s="25"/>
      <c r="BA836" s="25"/>
      <c r="BB836" s="25"/>
      <c r="BC836" s="25"/>
      <c r="BD836" s="25"/>
      <c r="BE836" s="25"/>
      <c r="BF836" s="25"/>
      <c r="BG836" s="25"/>
      <c r="BH836" s="25"/>
      <c r="BI836" s="25"/>
      <c r="BJ836" s="25"/>
      <c r="BK836" s="25"/>
      <c r="BL836" s="25"/>
      <c r="BM836" s="25"/>
      <c r="BN836" s="25"/>
      <c r="BO836" s="25"/>
      <c r="BP836" s="25"/>
    </row>
    <row r="837">
      <c r="A837" s="25"/>
      <c r="B837" s="168"/>
      <c r="C837" s="25"/>
      <c r="D837" s="25"/>
      <c r="E837" s="25"/>
      <c r="F837" s="25"/>
      <c r="G837" s="84"/>
      <c r="H837" s="25"/>
      <c r="I837" s="25"/>
      <c r="J837" s="25"/>
      <c r="K837" s="169"/>
      <c r="L837" s="169"/>
      <c r="M837" s="170" t="b">
        <v>0</v>
      </c>
      <c r="N837" s="170" t="b">
        <v>0</v>
      </c>
      <c r="O837" s="48"/>
      <c r="P837" s="170" t="b">
        <v>0</v>
      </c>
      <c r="Q837" s="170" t="b">
        <v>0</v>
      </c>
      <c r="R837" s="170" t="b">
        <v>0</v>
      </c>
      <c r="S837" s="48"/>
      <c r="T837" s="60"/>
      <c r="U837" s="170" t="b">
        <v>0</v>
      </c>
      <c r="V837" s="170"/>
      <c r="W837" s="170" t="b">
        <v>0</v>
      </c>
      <c r="X837" s="170" t="b">
        <v>0</v>
      </c>
      <c r="Y837" s="170"/>
      <c r="Z837" s="170"/>
      <c r="AA837" s="170"/>
      <c r="AB837" s="170"/>
      <c r="AC837" s="171"/>
      <c r="AD837" s="170"/>
      <c r="AE837" s="170"/>
      <c r="AF837" s="170"/>
      <c r="AG837" s="170"/>
      <c r="AH837" s="170"/>
      <c r="AI837" s="170"/>
      <c r="AJ837" s="172"/>
      <c r="AK837" s="50"/>
      <c r="AL837" s="25"/>
      <c r="AM837" s="25"/>
      <c r="AN837" s="25"/>
      <c r="AO837" s="165"/>
      <c r="AP837" s="78"/>
      <c r="AQ837" s="25"/>
      <c r="AR837" s="25"/>
      <c r="AS837" s="25"/>
      <c r="AT837" s="25"/>
      <c r="AU837" s="25"/>
      <c r="AV837" s="25"/>
      <c r="AW837" s="25"/>
      <c r="AX837" s="25"/>
      <c r="AY837" s="25"/>
      <c r="AZ837" s="25"/>
      <c r="BA837" s="25"/>
      <c r="BB837" s="25"/>
      <c r="BC837" s="25"/>
      <c r="BD837" s="25"/>
      <c r="BE837" s="25"/>
      <c r="BF837" s="25"/>
      <c r="BG837" s="25"/>
      <c r="BH837" s="25"/>
      <c r="BI837" s="25"/>
      <c r="BJ837" s="25"/>
      <c r="BK837" s="25"/>
      <c r="BL837" s="25"/>
      <c r="BM837" s="25"/>
      <c r="BN837" s="25"/>
      <c r="BO837" s="25"/>
      <c r="BP837" s="25"/>
    </row>
    <row r="838">
      <c r="A838" s="25"/>
      <c r="B838" s="168"/>
      <c r="C838" s="25"/>
      <c r="D838" s="25"/>
      <c r="E838" s="25"/>
      <c r="F838" s="25"/>
      <c r="G838" s="84"/>
      <c r="H838" s="25"/>
      <c r="I838" s="25"/>
      <c r="J838" s="25"/>
      <c r="K838" s="169"/>
      <c r="M838" s="170" t="b">
        <v>0</v>
      </c>
      <c r="N838" s="170" t="b">
        <v>0</v>
      </c>
      <c r="O838" s="48"/>
      <c r="P838" s="170" t="b">
        <v>0</v>
      </c>
      <c r="Q838" s="170" t="b">
        <v>0</v>
      </c>
      <c r="R838" s="170" t="b">
        <v>0</v>
      </c>
      <c r="S838" s="48"/>
      <c r="T838" s="60"/>
      <c r="U838" s="170" t="b">
        <v>0</v>
      </c>
      <c r="V838" s="170"/>
      <c r="W838" s="170" t="b">
        <v>0</v>
      </c>
      <c r="X838" s="170" t="b">
        <v>0</v>
      </c>
      <c r="Y838" s="170"/>
      <c r="Z838" s="170"/>
      <c r="AA838" s="170"/>
      <c r="AB838" s="170"/>
      <c r="AC838" s="171"/>
      <c r="AD838" s="170"/>
      <c r="AE838" s="170"/>
      <c r="AF838" s="170"/>
      <c r="AG838" s="170"/>
      <c r="AH838" s="170"/>
      <c r="AI838" s="170"/>
      <c r="AJ838" s="172"/>
      <c r="AK838" s="50"/>
      <c r="AL838" s="25"/>
      <c r="AM838" s="25"/>
      <c r="AN838" s="25"/>
      <c r="AO838" s="165"/>
      <c r="AP838" s="78"/>
      <c r="AQ838" s="25"/>
      <c r="AR838" s="25"/>
      <c r="AS838" s="25"/>
      <c r="AT838" s="25"/>
      <c r="AU838" s="25"/>
      <c r="AV838" s="25"/>
      <c r="AW838" s="25"/>
      <c r="AX838" s="25"/>
      <c r="AY838" s="25"/>
      <c r="AZ838" s="25"/>
      <c r="BA838" s="25"/>
      <c r="BB838" s="25"/>
      <c r="BC838" s="25"/>
      <c r="BD838" s="25"/>
      <c r="BE838" s="25"/>
      <c r="BF838" s="25"/>
      <c r="BG838" s="25"/>
      <c r="BH838" s="25"/>
      <c r="BI838" s="25"/>
      <c r="BJ838" s="25"/>
      <c r="BK838" s="25"/>
      <c r="BL838" s="25"/>
      <c r="BM838" s="25"/>
      <c r="BN838" s="25"/>
      <c r="BO838" s="25"/>
      <c r="BP838" s="25"/>
    </row>
    <row r="839">
      <c r="A839" s="25"/>
      <c r="B839" s="168"/>
      <c r="C839" s="25"/>
      <c r="D839" s="25"/>
      <c r="E839" s="25"/>
      <c r="F839" s="25"/>
      <c r="G839" s="84"/>
      <c r="H839" s="25"/>
      <c r="I839" s="25"/>
      <c r="J839" s="25"/>
      <c r="K839" s="169"/>
      <c r="L839" s="169"/>
      <c r="M839" s="170" t="b">
        <v>0</v>
      </c>
      <c r="N839" s="170" t="b">
        <v>0</v>
      </c>
      <c r="O839" s="48"/>
      <c r="P839" s="170" t="b">
        <v>0</v>
      </c>
      <c r="Q839" s="170" t="b">
        <v>0</v>
      </c>
      <c r="R839" s="170" t="b">
        <v>0</v>
      </c>
      <c r="S839" s="48"/>
      <c r="T839" s="60"/>
      <c r="U839" s="170" t="b">
        <v>0</v>
      </c>
      <c r="V839" s="170"/>
      <c r="W839" s="170" t="b">
        <v>0</v>
      </c>
      <c r="X839" s="170" t="b">
        <v>0</v>
      </c>
      <c r="Y839" s="170"/>
      <c r="Z839" s="170"/>
      <c r="AA839" s="170"/>
      <c r="AB839" s="170"/>
      <c r="AC839" s="171"/>
      <c r="AD839" s="170"/>
      <c r="AE839" s="170"/>
      <c r="AF839" s="170"/>
      <c r="AG839" s="170"/>
      <c r="AH839" s="170"/>
      <c r="AI839" s="170"/>
      <c r="AJ839" s="172"/>
      <c r="AK839" s="50"/>
      <c r="AL839" s="25"/>
      <c r="AM839" s="25"/>
      <c r="AN839" s="25"/>
      <c r="AO839" s="165"/>
      <c r="AP839" s="78"/>
      <c r="AQ839" s="25"/>
      <c r="AR839" s="25"/>
      <c r="AS839" s="25"/>
      <c r="AT839" s="25"/>
      <c r="AU839" s="25"/>
      <c r="AV839" s="25"/>
      <c r="AW839" s="25"/>
      <c r="AX839" s="25"/>
      <c r="AY839" s="25"/>
      <c r="AZ839" s="25"/>
      <c r="BA839" s="25"/>
      <c r="BB839" s="25"/>
      <c r="BC839" s="25"/>
      <c r="BD839" s="25"/>
      <c r="BE839" s="25"/>
      <c r="BF839" s="25"/>
      <c r="BG839" s="25"/>
      <c r="BH839" s="25"/>
      <c r="BI839" s="25"/>
      <c r="BJ839" s="25"/>
      <c r="BK839" s="25"/>
      <c r="BL839" s="25"/>
      <c r="BM839" s="25"/>
      <c r="BN839" s="25"/>
      <c r="BO839" s="25"/>
      <c r="BP839" s="25"/>
    </row>
    <row r="840">
      <c r="A840" s="25"/>
      <c r="B840" s="168"/>
      <c r="C840" s="25"/>
      <c r="D840" s="25"/>
      <c r="E840" s="25"/>
      <c r="F840" s="25"/>
      <c r="G840" s="84"/>
      <c r="H840" s="25"/>
      <c r="I840" s="25"/>
      <c r="J840" s="25"/>
      <c r="K840" s="169"/>
      <c r="L840" s="169"/>
      <c r="M840" s="170" t="b">
        <v>0</v>
      </c>
      <c r="N840" s="170" t="b">
        <v>0</v>
      </c>
      <c r="O840" s="48"/>
      <c r="P840" s="170" t="b">
        <v>0</v>
      </c>
      <c r="Q840" s="170" t="b">
        <v>0</v>
      </c>
      <c r="R840" s="170" t="b">
        <v>0</v>
      </c>
      <c r="S840" s="48"/>
      <c r="T840" s="60"/>
      <c r="U840" s="170" t="b">
        <v>0</v>
      </c>
      <c r="V840" s="170"/>
      <c r="W840" s="170" t="b">
        <v>0</v>
      </c>
      <c r="X840" s="170" t="b">
        <v>0</v>
      </c>
      <c r="Y840" s="170"/>
      <c r="Z840" s="170"/>
      <c r="AA840" s="170"/>
      <c r="AB840" s="170"/>
      <c r="AC840" s="171"/>
      <c r="AD840" s="170"/>
      <c r="AE840" s="170"/>
      <c r="AF840" s="170"/>
      <c r="AG840" s="170"/>
      <c r="AH840" s="170"/>
      <c r="AI840" s="170"/>
      <c r="AJ840" s="172"/>
      <c r="AK840" s="50"/>
      <c r="AL840" s="25"/>
      <c r="AM840" s="25"/>
      <c r="AN840" s="25"/>
      <c r="AO840" s="165"/>
      <c r="AP840" s="78"/>
      <c r="AQ840" s="25"/>
      <c r="AR840" s="25"/>
      <c r="AS840" s="25"/>
      <c r="AT840" s="25"/>
      <c r="AU840" s="25"/>
      <c r="AV840" s="25"/>
      <c r="AW840" s="25"/>
      <c r="AX840" s="25"/>
      <c r="AY840" s="25"/>
      <c r="AZ840" s="25"/>
      <c r="BA840" s="25"/>
      <c r="BB840" s="25"/>
      <c r="BC840" s="25"/>
      <c r="BD840" s="25"/>
      <c r="BE840" s="25"/>
      <c r="BF840" s="25"/>
      <c r="BG840" s="25"/>
      <c r="BH840" s="25"/>
      <c r="BI840" s="25"/>
      <c r="BJ840" s="25"/>
      <c r="BK840" s="25"/>
      <c r="BL840" s="25"/>
      <c r="BM840" s="25"/>
      <c r="BN840" s="25"/>
      <c r="BO840" s="25"/>
      <c r="BP840" s="25"/>
    </row>
    <row r="841">
      <c r="A841" s="25"/>
      <c r="B841" s="168"/>
      <c r="C841" s="25"/>
      <c r="D841" s="25"/>
      <c r="E841" s="25"/>
      <c r="F841" s="25"/>
      <c r="G841" s="84"/>
      <c r="H841" s="25"/>
      <c r="I841" s="25"/>
      <c r="J841" s="25"/>
      <c r="K841" s="169"/>
      <c r="L841" s="169"/>
      <c r="M841" s="170" t="b">
        <v>0</v>
      </c>
      <c r="N841" s="170" t="b">
        <v>0</v>
      </c>
      <c r="O841" s="48"/>
      <c r="P841" s="170" t="b">
        <v>0</v>
      </c>
      <c r="Q841" s="170" t="b">
        <v>0</v>
      </c>
      <c r="R841" s="170" t="b">
        <v>0</v>
      </c>
      <c r="S841" s="48"/>
      <c r="T841" s="60"/>
      <c r="U841" s="170" t="b">
        <v>0</v>
      </c>
      <c r="V841" s="170"/>
      <c r="W841" s="170" t="b">
        <v>0</v>
      </c>
      <c r="X841" s="170" t="b">
        <v>0</v>
      </c>
      <c r="Y841" s="170"/>
      <c r="Z841" s="170"/>
      <c r="AA841" s="170"/>
      <c r="AB841" s="170"/>
      <c r="AC841" s="171"/>
      <c r="AD841" s="170"/>
      <c r="AE841" s="170"/>
      <c r="AF841" s="170"/>
      <c r="AG841" s="170"/>
      <c r="AH841" s="170"/>
      <c r="AI841" s="170"/>
      <c r="AJ841" s="172"/>
      <c r="AK841" s="50"/>
      <c r="AL841" s="25"/>
      <c r="AM841" s="25"/>
      <c r="AN841" s="25"/>
      <c r="AO841" s="165"/>
      <c r="AP841" s="78"/>
      <c r="AQ841" s="25"/>
      <c r="AR841" s="25"/>
      <c r="AS841" s="25"/>
      <c r="AT841" s="25"/>
      <c r="AU841" s="25"/>
      <c r="AV841" s="25"/>
      <c r="AW841" s="25"/>
      <c r="AX841" s="25"/>
      <c r="AY841" s="25"/>
      <c r="AZ841" s="25"/>
      <c r="BA841" s="25"/>
      <c r="BB841" s="25"/>
      <c r="BC841" s="25"/>
      <c r="BD841" s="25"/>
      <c r="BE841" s="25"/>
      <c r="BF841" s="25"/>
      <c r="BG841" s="25"/>
      <c r="BH841" s="25"/>
      <c r="BI841" s="25"/>
      <c r="BJ841" s="25"/>
      <c r="BK841" s="25"/>
      <c r="BL841" s="25"/>
      <c r="BM841" s="25"/>
      <c r="BN841" s="25"/>
      <c r="BO841" s="25"/>
      <c r="BP841" s="25"/>
    </row>
    <row r="842">
      <c r="A842" s="25"/>
      <c r="B842" s="168"/>
      <c r="C842" s="25"/>
      <c r="D842" s="25"/>
      <c r="E842" s="25"/>
      <c r="F842" s="25"/>
      <c r="G842" s="84"/>
      <c r="H842" s="25"/>
      <c r="I842" s="25"/>
      <c r="J842" s="25"/>
      <c r="K842" s="169"/>
      <c r="L842" s="169"/>
      <c r="M842" s="170" t="b">
        <v>0</v>
      </c>
      <c r="N842" s="170" t="b">
        <v>0</v>
      </c>
      <c r="O842" s="48"/>
      <c r="P842" s="170" t="b">
        <v>0</v>
      </c>
      <c r="Q842" s="170" t="b">
        <v>0</v>
      </c>
      <c r="R842" s="170" t="b">
        <v>0</v>
      </c>
      <c r="S842" s="48"/>
      <c r="T842" s="60"/>
      <c r="U842" s="170" t="b">
        <v>0</v>
      </c>
      <c r="V842" s="170"/>
      <c r="W842" s="170" t="b">
        <v>0</v>
      </c>
      <c r="X842" s="170" t="b">
        <v>0</v>
      </c>
      <c r="Y842" s="170"/>
      <c r="Z842" s="170"/>
      <c r="AA842" s="170"/>
      <c r="AB842" s="170"/>
      <c r="AC842" s="171"/>
      <c r="AD842" s="170"/>
      <c r="AE842" s="170"/>
      <c r="AF842" s="170"/>
      <c r="AG842" s="170"/>
      <c r="AH842" s="170"/>
      <c r="AI842" s="170"/>
      <c r="AJ842" s="172"/>
      <c r="AK842" s="50"/>
      <c r="AL842" s="25"/>
      <c r="AM842" s="25"/>
      <c r="AN842" s="25"/>
      <c r="AO842" s="165"/>
      <c r="AP842" s="78"/>
      <c r="AQ842" s="25"/>
      <c r="AR842" s="25"/>
      <c r="AS842" s="25"/>
      <c r="AT842" s="25"/>
      <c r="AU842" s="25"/>
      <c r="AV842" s="25"/>
      <c r="AW842" s="25"/>
      <c r="AX842" s="25"/>
      <c r="AY842" s="25"/>
      <c r="AZ842" s="25"/>
      <c r="BA842" s="25"/>
      <c r="BB842" s="25"/>
      <c r="BC842" s="25"/>
      <c r="BD842" s="25"/>
      <c r="BE842" s="25"/>
      <c r="BF842" s="25"/>
      <c r="BG842" s="25"/>
      <c r="BH842" s="25"/>
      <c r="BI842" s="25"/>
      <c r="BJ842" s="25"/>
      <c r="BK842" s="25"/>
      <c r="BL842" s="25"/>
      <c r="BM842" s="25"/>
      <c r="BN842" s="25"/>
      <c r="BO842" s="25"/>
      <c r="BP842" s="25"/>
    </row>
    <row r="843">
      <c r="A843" s="25"/>
      <c r="B843" s="168"/>
      <c r="C843" s="25"/>
      <c r="D843" s="25"/>
      <c r="E843" s="25"/>
      <c r="F843" s="25"/>
      <c r="G843" s="84"/>
      <c r="H843" s="25"/>
      <c r="I843" s="25"/>
      <c r="J843" s="25"/>
      <c r="K843" s="169"/>
      <c r="L843" s="169"/>
      <c r="M843" s="170" t="b">
        <v>0</v>
      </c>
      <c r="N843" s="170" t="b">
        <v>0</v>
      </c>
      <c r="O843" s="48"/>
      <c r="P843" s="170" t="b">
        <v>0</v>
      </c>
      <c r="Q843" s="170" t="b">
        <v>0</v>
      </c>
      <c r="R843" s="170" t="b">
        <v>0</v>
      </c>
      <c r="S843" s="48"/>
      <c r="T843" s="60"/>
      <c r="U843" s="170" t="b">
        <v>0</v>
      </c>
      <c r="V843" s="170"/>
      <c r="W843" s="170" t="b">
        <v>0</v>
      </c>
      <c r="X843" s="170" t="b">
        <v>0</v>
      </c>
      <c r="Y843" s="170"/>
      <c r="Z843" s="170"/>
      <c r="AA843" s="170"/>
      <c r="AB843" s="170"/>
      <c r="AC843" s="171"/>
      <c r="AD843" s="170"/>
      <c r="AE843" s="170"/>
      <c r="AF843" s="170"/>
      <c r="AG843" s="170"/>
      <c r="AH843" s="170"/>
      <c r="AI843" s="170"/>
      <c r="AJ843" s="172"/>
      <c r="AK843" s="50"/>
      <c r="AL843" s="25"/>
      <c r="AM843" s="25"/>
      <c r="AN843" s="25"/>
      <c r="AO843" s="165"/>
      <c r="AP843" s="78"/>
      <c r="AQ843" s="25"/>
      <c r="AR843" s="25"/>
      <c r="AS843" s="25"/>
      <c r="AT843" s="25"/>
      <c r="AU843" s="25"/>
      <c r="AV843" s="25"/>
      <c r="AW843" s="25"/>
      <c r="AX843" s="25"/>
      <c r="AY843" s="25"/>
      <c r="AZ843" s="25"/>
      <c r="BA843" s="25"/>
      <c r="BB843" s="25"/>
      <c r="BC843" s="25"/>
      <c r="BD843" s="25"/>
      <c r="BE843" s="25"/>
      <c r="BF843" s="25"/>
      <c r="BG843" s="25"/>
      <c r="BH843" s="25"/>
      <c r="BI843" s="25"/>
      <c r="BJ843" s="25"/>
      <c r="BK843" s="25"/>
      <c r="BL843" s="25"/>
      <c r="BM843" s="25"/>
      <c r="BN843" s="25"/>
      <c r="BO843" s="25"/>
      <c r="BP843" s="25"/>
    </row>
    <row r="844">
      <c r="A844" s="25"/>
      <c r="B844" s="168"/>
      <c r="C844" s="25"/>
      <c r="D844" s="25"/>
      <c r="E844" s="25"/>
      <c r="F844" s="25"/>
      <c r="G844" s="84"/>
      <c r="H844" s="25"/>
      <c r="I844" s="25"/>
      <c r="J844" s="25"/>
      <c r="K844" s="169"/>
      <c r="L844" s="169"/>
      <c r="M844" s="170" t="b">
        <v>0</v>
      </c>
      <c r="N844" s="170" t="b">
        <v>0</v>
      </c>
      <c r="O844" s="48"/>
      <c r="P844" s="170" t="b">
        <v>0</v>
      </c>
      <c r="Q844" s="170" t="b">
        <v>0</v>
      </c>
      <c r="R844" s="170" t="b">
        <v>0</v>
      </c>
      <c r="S844" s="48"/>
      <c r="T844" s="60"/>
      <c r="U844" s="170" t="b">
        <v>0</v>
      </c>
      <c r="V844" s="170"/>
      <c r="W844" s="170" t="b">
        <v>0</v>
      </c>
      <c r="X844" s="170" t="b">
        <v>0</v>
      </c>
      <c r="Y844" s="170"/>
      <c r="Z844" s="170"/>
      <c r="AA844" s="170"/>
      <c r="AB844" s="170"/>
      <c r="AC844" s="171"/>
      <c r="AD844" s="170"/>
      <c r="AE844" s="170"/>
      <c r="AF844" s="170"/>
      <c r="AG844" s="170"/>
      <c r="AH844" s="170"/>
      <c r="AI844" s="170"/>
      <c r="AJ844" s="172"/>
      <c r="AK844" s="50"/>
      <c r="AL844" s="25"/>
      <c r="AM844" s="25"/>
      <c r="AN844" s="25"/>
      <c r="AO844" s="165"/>
      <c r="AP844" s="78"/>
      <c r="AQ844" s="25"/>
      <c r="AR844" s="25"/>
      <c r="AS844" s="25"/>
      <c r="AT844" s="25"/>
      <c r="AU844" s="25"/>
      <c r="AV844" s="25"/>
      <c r="AW844" s="25"/>
      <c r="AX844" s="25"/>
      <c r="AY844" s="25"/>
      <c r="AZ844" s="25"/>
      <c r="BA844" s="25"/>
      <c r="BB844" s="25"/>
      <c r="BC844" s="25"/>
      <c r="BD844" s="25"/>
      <c r="BE844" s="25"/>
      <c r="BF844" s="25"/>
      <c r="BG844" s="25"/>
      <c r="BH844" s="25"/>
      <c r="BI844" s="25"/>
      <c r="BJ844" s="25"/>
      <c r="BK844" s="25"/>
      <c r="BL844" s="25"/>
      <c r="BM844" s="25"/>
      <c r="BN844" s="25"/>
      <c r="BO844" s="25"/>
      <c r="BP844" s="25"/>
    </row>
    <row r="845">
      <c r="A845" s="25"/>
      <c r="B845" s="168"/>
      <c r="C845" s="25"/>
      <c r="D845" s="25"/>
      <c r="E845" s="25"/>
      <c r="F845" s="25"/>
      <c r="G845" s="84"/>
      <c r="H845" s="25"/>
      <c r="I845" s="25"/>
      <c r="J845" s="25"/>
      <c r="K845" s="169"/>
      <c r="L845" s="169"/>
      <c r="M845" s="170" t="b">
        <v>0</v>
      </c>
      <c r="N845" s="170" t="b">
        <v>0</v>
      </c>
      <c r="O845" s="48"/>
      <c r="P845" s="170" t="b">
        <v>0</v>
      </c>
      <c r="Q845" s="170" t="b">
        <v>0</v>
      </c>
      <c r="R845" s="170" t="b">
        <v>0</v>
      </c>
      <c r="S845" s="48"/>
      <c r="T845" s="60"/>
      <c r="U845" s="170" t="b">
        <v>0</v>
      </c>
      <c r="V845" s="170"/>
      <c r="W845" s="170" t="b">
        <v>0</v>
      </c>
      <c r="X845" s="170" t="b">
        <v>0</v>
      </c>
      <c r="Y845" s="170"/>
      <c r="Z845" s="170"/>
      <c r="AA845" s="170"/>
      <c r="AB845" s="170"/>
      <c r="AC845" s="171"/>
      <c r="AD845" s="170"/>
      <c r="AE845" s="170"/>
      <c r="AF845" s="170"/>
      <c r="AG845" s="170"/>
      <c r="AH845" s="170"/>
      <c r="AI845" s="170"/>
      <c r="AJ845" s="172"/>
      <c r="AK845" s="50"/>
      <c r="AL845" s="25"/>
      <c r="AM845" s="25"/>
      <c r="AN845" s="25"/>
      <c r="AO845" s="165"/>
      <c r="AP845" s="78"/>
      <c r="AQ845" s="25"/>
      <c r="AR845" s="25"/>
      <c r="AS845" s="25"/>
      <c r="AT845" s="25"/>
      <c r="AU845" s="25"/>
      <c r="AV845" s="25"/>
      <c r="AW845" s="25"/>
      <c r="AX845" s="25"/>
      <c r="AY845" s="25"/>
      <c r="AZ845" s="25"/>
      <c r="BA845" s="25"/>
      <c r="BB845" s="25"/>
      <c r="BC845" s="25"/>
      <c r="BD845" s="25"/>
      <c r="BE845" s="25"/>
      <c r="BF845" s="25"/>
      <c r="BG845" s="25"/>
      <c r="BH845" s="25"/>
      <c r="BI845" s="25"/>
      <c r="BJ845" s="25"/>
      <c r="BK845" s="25"/>
      <c r="BL845" s="25"/>
      <c r="BM845" s="25"/>
      <c r="BN845" s="25"/>
      <c r="BO845" s="25"/>
      <c r="BP845" s="25"/>
    </row>
    <row r="846">
      <c r="A846" s="25"/>
      <c r="B846" s="168"/>
      <c r="C846" s="25"/>
      <c r="D846" s="25"/>
      <c r="E846" s="25"/>
      <c r="F846" s="25"/>
      <c r="G846" s="84"/>
      <c r="H846" s="25"/>
      <c r="I846" s="25"/>
      <c r="J846" s="25"/>
      <c r="K846" s="169"/>
      <c r="L846" s="169"/>
      <c r="M846" s="170" t="b">
        <v>0</v>
      </c>
      <c r="N846" s="170" t="b">
        <v>0</v>
      </c>
      <c r="O846" s="48"/>
      <c r="P846" s="170" t="b">
        <v>0</v>
      </c>
      <c r="Q846" s="170" t="b">
        <v>0</v>
      </c>
      <c r="R846" s="170" t="b">
        <v>0</v>
      </c>
      <c r="S846" s="48"/>
      <c r="T846" s="60"/>
      <c r="U846" s="170" t="b">
        <v>0</v>
      </c>
      <c r="V846" s="170"/>
      <c r="W846" s="170" t="b">
        <v>0</v>
      </c>
      <c r="X846" s="170" t="b">
        <v>0</v>
      </c>
      <c r="Y846" s="170"/>
      <c r="Z846" s="170"/>
      <c r="AA846" s="170"/>
      <c r="AB846" s="170"/>
      <c r="AC846" s="171"/>
      <c r="AD846" s="170"/>
      <c r="AE846" s="170"/>
      <c r="AF846" s="170"/>
      <c r="AG846" s="170"/>
      <c r="AH846" s="170"/>
      <c r="AI846" s="170"/>
      <c r="AJ846" s="172"/>
      <c r="AK846" s="50"/>
      <c r="AL846" s="25"/>
      <c r="AM846" s="25"/>
      <c r="AN846" s="25"/>
      <c r="AO846" s="165"/>
      <c r="AP846" s="78"/>
      <c r="AQ846" s="25"/>
      <c r="AR846" s="25"/>
      <c r="AS846" s="25"/>
      <c r="AT846" s="25"/>
      <c r="AU846" s="25"/>
      <c r="AV846" s="25"/>
      <c r="AW846" s="25"/>
      <c r="AX846" s="25"/>
      <c r="AY846" s="25"/>
      <c r="AZ846" s="25"/>
      <c r="BA846" s="25"/>
      <c r="BB846" s="25"/>
      <c r="BC846" s="25"/>
      <c r="BD846" s="25"/>
      <c r="BE846" s="25"/>
      <c r="BF846" s="25"/>
      <c r="BG846" s="25"/>
      <c r="BH846" s="25"/>
      <c r="BI846" s="25"/>
      <c r="BJ846" s="25"/>
      <c r="BK846" s="25"/>
      <c r="BL846" s="25"/>
      <c r="BM846" s="25"/>
      <c r="BN846" s="25"/>
      <c r="BO846" s="25"/>
      <c r="BP846" s="25"/>
    </row>
    <row r="847">
      <c r="A847" s="25"/>
      <c r="B847" s="168"/>
      <c r="C847" s="25"/>
      <c r="D847" s="25"/>
      <c r="E847" s="25"/>
      <c r="F847" s="25"/>
      <c r="G847" s="84"/>
      <c r="H847" s="25"/>
      <c r="I847" s="25"/>
      <c r="J847" s="25"/>
      <c r="K847" s="169"/>
      <c r="L847" s="169"/>
      <c r="M847" s="170" t="b">
        <v>0</v>
      </c>
      <c r="N847" s="170" t="b">
        <v>0</v>
      </c>
      <c r="O847" s="48"/>
      <c r="P847" s="170" t="b">
        <v>0</v>
      </c>
      <c r="Q847" s="170" t="b">
        <v>0</v>
      </c>
      <c r="R847" s="170" t="b">
        <v>0</v>
      </c>
      <c r="S847" s="48"/>
      <c r="T847" s="60"/>
      <c r="U847" s="170" t="b">
        <v>0</v>
      </c>
      <c r="V847" s="170"/>
      <c r="W847" s="170" t="b">
        <v>0</v>
      </c>
      <c r="X847" s="170" t="b">
        <v>0</v>
      </c>
      <c r="Y847" s="170"/>
      <c r="Z847" s="170"/>
      <c r="AA847" s="170"/>
      <c r="AB847" s="170"/>
      <c r="AC847" s="171"/>
      <c r="AD847" s="170"/>
      <c r="AE847" s="170"/>
      <c r="AF847" s="170"/>
      <c r="AG847" s="170"/>
      <c r="AH847" s="170"/>
      <c r="AI847" s="170"/>
      <c r="AJ847" s="172"/>
      <c r="AK847" s="50"/>
      <c r="AL847" s="25"/>
      <c r="AM847" s="25"/>
      <c r="AN847" s="25"/>
      <c r="AO847" s="165"/>
      <c r="AP847" s="78"/>
      <c r="AQ847" s="25"/>
      <c r="AR847" s="25"/>
      <c r="AS847" s="25"/>
      <c r="AT847" s="25"/>
      <c r="AU847" s="25"/>
      <c r="AV847" s="25"/>
      <c r="AW847" s="25"/>
      <c r="AX847" s="25"/>
      <c r="AY847" s="25"/>
      <c r="AZ847" s="25"/>
      <c r="BA847" s="25"/>
      <c r="BB847" s="25"/>
      <c r="BC847" s="25"/>
      <c r="BD847" s="25"/>
      <c r="BE847" s="25"/>
      <c r="BF847" s="25"/>
      <c r="BG847" s="25"/>
      <c r="BH847" s="25"/>
      <c r="BI847" s="25"/>
      <c r="BJ847" s="25"/>
      <c r="BK847" s="25"/>
      <c r="BL847" s="25"/>
      <c r="BM847" s="25"/>
      <c r="BN847" s="25"/>
      <c r="BO847" s="25"/>
      <c r="BP847" s="25"/>
    </row>
    <row r="848">
      <c r="A848" s="25"/>
      <c r="B848" s="168"/>
      <c r="C848" s="25"/>
      <c r="D848" s="25"/>
      <c r="E848" s="25"/>
      <c r="F848" s="25"/>
      <c r="G848" s="84"/>
      <c r="H848" s="25"/>
      <c r="I848" s="25"/>
      <c r="J848" s="25"/>
      <c r="K848" s="169"/>
      <c r="L848" s="169"/>
      <c r="M848" s="170" t="b">
        <v>0</v>
      </c>
      <c r="N848" s="170" t="b">
        <v>0</v>
      </c>
      <c r="O848" s="48"/>
      <c r="P848" s="170" t="b">
        <v>0</v>
      </c>
      <c r="Q848" s="170" t="b">
        <v>0</v>
      </c>
      <c r="R848" s="170" t="b">
        <v>0</v>
      </c>
      <c r="S848" s="48"/>
      <c r="T848" s="60"/>
      <c r="U848" s="170" t="b">
        <v>0</v>
      </c>
      <c r="V848" s="170"/>
      <c r="W848" s="170" t="b">
        <v>0</v>
      </c>
      <c r="X848" s="170" t="b">
        <v>0</v>
      </c>
      <c r="Y848" s="170"/>
      <c r="Z848" s="170"/>
      <c r="AA848" s="170"/>
      <c r="AB848" s="170"/>
      <c r="AC848" s="171"/>
      <c r="AD848" s="170"/>
      <c r="AE848" s="170"/>
      <c r="AF848" s="170"/>
      <c r="AG848" s="170"/>
      <c r="AH848" s="170"/>
      <c r="AI848" s="170"/>
      <c r="AJ848" s="172"/>
      <c r="AK848" s="50"/>
      <c r="AL848" s="25"/>
      <c r="AM848" s="25"/>
      <c r="AN848" s="25"/>
      <c r="AO848" s="165"/>
      <c r="AP848" s="78"/>
      <c r="AQ848" s="25"/>
      <c r="AR848" s="25"/>
      <c r="AS848" s="25"/>
      <c r="AT848" s="25"/>
      <c r="AU848" s="25"/>
      <c r="AV848" s="25"/>
      <c r="AW848" s="25"/>
      <c r="AX848" s="25"/>
      <c r="AY848" s="25"/>
      <c r="AZ848" s="25"/>
      <c r="BA848" s="25"/>
      <c r="BB848" s="25"/>
      <c r="BC848" s="25"/>
      <c r="BD848" s="25"/>
      <c r="BE848" s="25"/>
      <c r="BF848" s="25"/>
      <c r="BG848" s="25"/>
      <c r="BH848" s="25"/>
      <c r="BI848" s="25"/>
      <c r="BJ848" s="25"/>
      <c r="BK848" s="25"/>
      <c r="BL848" s="25"/>
      <c r="BM848" s="25"/>
      <c r="BN848" s="25"/>
      <c r="BO848" s="25"/>
      <c r="BP848" s="25"/>
    </row>
    <row r="849">
      <c r="A849" s="25"/>
      <c r="B849" s="168"/>
      <c r="C849" s="25"/>
      <c r="D849" s="25"/>
      <c r="E849" s="25"/>
      <c r="F849" s="25"/>
      <c r="G849" s="84"/>
      <c r="H849" s="25"/>
      <c r="I849" s="25"/>
      <c r="J849" s="25"/>
      <c r="K849" s="169"/>
      <c r="L849" s="169"/>
      <c r="M849" s="170" t="b">
        <v>0</v>
      </c>
      <c r="N849" s="170" t="b">
        <v>0</v>
      </c>
      <c r="O849" s="48"/>
      <c r="P849" s="170" t="b">
        <v>0</v>
      </c>
      <c r="Q849" s="170" t="b">
        <v>0</v>
      </c>
      <c r="R849" s="170" t="b">
        <v>0</v>
      </c>
      <c r="S849" s="48"/>
      <c r="T849" s="60"/>
      <c r="U849" s="170" t="b">
        <v>0</v>
      </c>
      <c r="V849" s="170"/>
      <c r="W849" s="170" t="b">
        <v>0</v>
      </c>
      <c r="X849" s="170" t="b">
        <v>0</v>
      </c>
      <c r="Y849" s="170"/>
      <c r="Z849" s="170"/>
      <c r="AA849" s="170"/>
      <c r="AB849" s="170"/>
      <c r="AC849" s="171"/>
      <c r="AD849" s="170"/>
      <c r="AE849" s="170"/>
      <c r="AF849" s="170"/>
      <c r="AG849" s="170"/>
      <c r="AH849" s="170"/>
      <c r="AI849" s="170"/>
      <c r="AJ849" s="172"/>
      <c r="AK849" s="50"/>
      <c r="AL849" s="25"/>
      <c r="AM849" s="25"/>
      <c r="AN849" s="25"/>
      <c r="AO849" s="165"/>
      <c r="AP849" s="78"/>
      <c r="AQ849" s="25"/>
      <c r="AR849" s="25"/>
      <c r="AS849" s="25"/>
      <c r="AT849" s="25"/>
      <c r="AU849" s="25"/>
      <c r="AV849" s="25"/>
      <c r="AW849" s="25"/>
      <c r="AX849" s="25"/>
      <c r="AY849" s="25"/>
      <c r="AZ849" s="25"/>
      <c r="BA849" s="25"/>
      <c r="BB849" s="25"/>
      <c r="BC849" s="25"/>
      <c r="BD849" s="25"/>
      <c r="BE849" s="25"/>
      <c r="BF849" s="25"/>
      <c r="BG849" s="25"/>
      <c r="BH849" s="25"/>
      <c r="BI849" s="25"/>
      <c r="BJ849" s="25"/>
      <c r="BK849" s="25"/>
      <c r="BL849" s="25"/>
      <c r="BM849" s="25"/>
      <c r="BN849" s="25"/>
      <c r="BO849" s="25"/>
      <c r="BP849" s="25"/>
    </row>
    <row r="850">
      <c r="A850" s="25"/>
      <c r="B850" s="168"/>
      <c r="C850" s="25"/>
      <c r="D850" s="25"/>
      <c r="E850" s="25"/>
      <c r="F850" s="25"/>
      <c r="G850" s="84"/>
      <c r="H850" s="25"/>
      <c r="I850" s="25"/>
      <c r="J850" s="25"/>
      <c r="K850" s="169"/>
      <c r="L850" s="169"/>
      <c r="M850" s="170" t="b">
        <v>0</v>
      </c>
      <c r="N850" s="170" t="b">
        <v>0</v>
      </c>
      <c r="O850" s="48"/>
      <c r="P850" s="170" t="b">
        <v>0</v>
      </c>
      <c r="Q850" s="170" t="b">
        <v>0</v>
      </c>
      <c r="R850" s="170" t="b">
        <v>0</v>
      </c>
      <c r="S850" s="48"/>
      <c r="T850" s="60"/>
      <c r="U850" s="170" t="b">
        <v>0</v>
      </c>
      <c r="V850" s="170"/>
      <c r="W850" s="170" t="b">
        <v>0</v>
      </c>
      <c r="X850" s="170" t="b">
        <v>0</v>
      </c>
      <c r="Y850" s="170"/>
      <c r="Z850" s="170"/>
      <c r="AA850" s="170"/>
      <c r="AB850" s="170"/>
      <c r="AC850" s="171"/>
      <c r="AD850" s="170"/>
      <c r="AE850" s="170"/>
      <c r="AF850" s="170"/>
      <c r="AG850" s="170"/>
      <c r="AH850" s="170"/>
      <c r="AI850" s="170"/>
      <c r="AJ850" s="172"/>
      <c r="AK850" s="50"/>
      <c r="AL850" s="25"/>
      <c r="AM850" s="25"/>
      <c r="AN850" s="25"/>
      <c r="AO850" s="165"/>
      <c r="AP850" s="78"/>
      <c r="AQ850" s="25"/>
      <c r="AR850" s="25"/>
      <c r="AS850" s="25"/>
      <c r="AT850" s="25"/>
      <c r="AU850" s="25"/>
      <c r="AV850" s="25"/>
      <c r="AW850" s="25"/>
      <c r="AX850" s="25"/>
      <c r="AY850" s="25"/>
      <c r="AZ850" s="25"/>
      <c r="BA850" s="25"/>
      <c r="BB850" s="25"/>
      <c r="BC850" s="25"/>
      <c r="BD850" s="25"/>
      <c r="BE850" s="25"/>
      <c r="BF850" s="25"/>
      <c r="BG850" s="25"/>
      <c r="BH850" s="25"/>
      <c r="BI850" s="25"/>
      <c r="BJ850" s="25"/>
      <c r="BK850" s="25"/>
      <c r="BL850" s="25"/>
      <c r="BM850" s="25"/>
      <c r="BN850" s="25"/>
      <c r="BO850" s="25"/>
      <c r="BP850" s="25"/>
    </row>
    <row r="851">
      <c r="A851" s="25"/>
      <c r="B851" s="168"/>
      <c r="C851" s="25"/>
      <c r="D851" s="25"/>
      <c r="E851" s="25"/>
      <c r="F851" s="25"/>
      <c r="G851" s="84"/>
      <c r="H851" s="25"/>
      <c r="I851" s="25"/>
      <c r="J851" s="25"/>
      <c r="K851" s="169"/>
      <c r="L851" s="169"/>
      <c r="M851" s="170" t="b">
        <v>0</v>
      </c>
      <c r="N851" s="170" t="b">
        <v>0</v>
      </c>
      <c r="O851" s="48"/>
      <c r="P851" s="170" t="b">
        <v>0</v>
      </c>
      <c r="Q851" s="170" t="b">
        <v>0</v>
      </c>
      <c r="R851" s="170" t="b">
        <v>0</v>
      </c>
      <c r="S851" s="48"/>
      <c r="T851" s="60"/>
      <c r="U851" s="170" t="b">
        <v>0</v>
      </c>
      <c r="V851" s="170"/>
      <c r="W851" s="170" t="b">
        <v>0</v>
      </c>
      <c r="X851" s="170" t="b">
        <v>0</v>
      </c>
      <c r="Y851" s="170"/>
      <c r="Z851" s="170"/>
      <c r="AA851" s="170"/>
      <c r="AB851" s="170"/>
      <c r="AC851" s="171"/>
      <c r="AD851" s="170"/>
      <c r="AE851" s="170"/>
      <c r="AF851" s="170"/>
      <c r="AG851" s="170"/>
      <c r="AH851" s="170"/>
      <c r="AI851" s="170"/>
      <c r="AJ851" s="172"/>
      <c r="AK851" s="50"/>
      <c r="AL851" s="25"/>
      <c r="AM851" s="25"/>
      <c r="AN851" s="25"/>
      <c r="AO851" s="165"/>
      <c r="AP851" s="78"/>
      <c r="AQ851" s="25"/>
      <c r="AR851" s="25"/>
      <c r="AS851" s="25"/>
      <c r="AT851" s="25"/>
      <c r="AU851" s="25"/>
      <c r="AV851" s="25"/>
      <c r="AW851" s="25"/>
      <c r="AX851" s="25"/>
      <c r="AY851" s="25"/>
      <c r="AZ851" s="25"/>
      <c r="BA851" s="25"/>
      <c r="BB851" s="25"/>
      <c r="BC851" s="25"/>
      <c r="BD851" s="25"/>
      <c r="BE851" s="25"/>
      <c r="BF851" s="25"/>
      <c r="BG851" s="25"/>
      <c r="BH851" s="25"/>
      <c r="BI851" s="25"/>
      <c r="BJ851" s="25"/>
      <c r="BK851" s="25"/>
      <c r="BL851" s="25"/>
      <c r="BM851" s="25"/>
      <c r="BN851" s="25"/>
      <c r="BO851" s="25"/>
      <c r="BP851" s="25"/>
    </row>
    <row r="852">
      <c r="A852" s="25"/>
      <c r="B852" s="168"/>
      <c r="C852" s="25"/>
      <c r="D852" s="25"/>
      <c r="E852" s="25"/>
      <c r="F852" s="25"/>
      <c r="G852" s="84"/>
      <c r="H852" s="25"/>
      <c r="I852" s="25"/>
      <c r="J852" s="25"/>
      <c r="K852" s="169"/>
      <c r="L852" s="169"/>
      <c r="M852" s="170" t="b">
        <v>0</v>
      </c>
      <c r="N852" s="170" t="b">
        <v>0</v>
      </c>
      <c r="O852" s="48"/>
      <c r="P852" s="170" t="b">
        <v>0</v>
      </c>
      <c r="Q852" s="170" t="b">
        <v>0</v>
      </c>
      <c r="R852" s="170" t="b">
        <v>0</v>
      </c>
      <c r="S852" s="48"/>
      <c r="T852" s="60"/>
      <c r="U852" s="170" t="b">
        <v>0</v>
      </c>
      <c r="V852" s="170"/>
      <c r="W852" s="170" t="b">
        <v>0</v>
      </c>
      <c r="X852" s="170" t="b">
        <v>0</v>
      </c>
      <c r="Y852" s="170"/>
      <c r="Z852" s="170"/>
      <c r="AA852" s="170"/>
      <c r="AB852" s="170"/>
      <c r="AC852" s="171"/>
      <c r="AD852" s="170"/>
      <c r="AE852" s="170"/>
      <c r="AF852" s="170"/>
      <c r="AG852" s="170"/>
      <c r="AH852" s="170"/>
      <c r="AI852" s="170"/>
      <c r="AJ852" s="172"/>
      <c r="AK852" s="50"/>
      <c r="AL852" s="25"/>
      <c r="AM852" s="25"/>
      <c r="AN852" s="25"/>
      <c r="AO852" s="165"/>
      <c r="AP852" s="78"/>
      <c r="AQ852" s="25"/>
      <c r="AR852" s="25"/>
      <c r="AS852" s="25"/>
      <c r="AT852" s="25"/>
      <c r="AU852" s="25"/>
      <c r="AV852" s="25"/>
      <c r="AW852" s="25"/>
      <c r="AX852" s="25"/>
      <c r="AY852" s="25"/>
      <c r="AZ852" s="25"/>
      <c r="BA852" s="25"/>
      <c r="BB852" s="25"/>
      <c r="BC852" s="25"/>
      <c r="BD852" s="25"/>
      <c r="BE852" s="25"/>
      <c r="BF852" s="25"/>
      <c r="BG852" s="25"/>
      <c r="BH852" s="25"/>
      <c r="BI852" s="25"/>
      <c r="BJ852" s="25"/>
      <c r="BK852" s="25"/>
      <c r="BL852" s="25"/>
      <c r="BM852" s="25"/>
      <c r="BN852" s="25"/>
      <c r="BO852" s="25"/>
      <c r="BP852" s="25"/>
    </row>
    <row r="853">
      <c r="A853" s="25"/>
      <c r="B853" s="168"/>
      <c r="C853" s="25"/>
      <c r="D853" s="25"/>
      <c r="E853" s="25"/>
      <c r="F853" s="25"/>
      <c r="G853" s="84"/>
      <c r="H853" s="25"/>
      <c r="I853" s="25"/>
      <c r="J853" s="25"/>
      <c r="K853" s="169"/>
      <c r="L853" s="169"/>
      <c r="M853" s="170" t="b">
        <v>0</v>
      </c>
      <c r="N853" s="170" t="b">
        <v>0</v>
      </c>
      <c r="O853" s="48"/>
      <c r="P853" s="170" t="b">
        <v>0</v>
      </c>
      <c r="Q853" s="170" t="b">
        <v>0</v>
      </c>
      <c r="R853" s="170" t="b">
        <v>0</v>
      </c>
      <c r="S853" s="48"/>
      <c r="T853" s="60"/>
      <c r="U853" s="170" t="b">
        <v>0</v>
      </c>
      <c r="V853" s="170"/>
      <c r="W853" s="170" t="b">
        <v>0</v>
      </c>
      <c r="X853" s="170" t="b">
        <v>0</v>
      </c>
      <c r="Y853" s="170"/>
      <c r="Z853" s="170"/>
      <c r="AA853" s="170"/>
      <c r="AB853" s="170"/>
      <c r="AC853" s="171"/>
      <c r="AD853" s="170"/>
      <c r="AE853" s="170"/>
      <c r="AF853" s="170"/>
      <c r="AG853" s="170"/>
      <c r="AH853" s="170"/>
      <c r="AI853" s="170"/>
      <c r="AJ853" s="172"/>
      <c r="AK853" s="50"/>
      <c r="AL853" s="25"/>
      <c r="AM853" s="25"/>
      <c r="AN853" s="25"/>
      <c r="AO853" s="165"/>
      <c r="AP853" s="78"/>
      <c r="AQ853" s="25"/>
      <c r="AR853" s="25"/>
      <c r="AS853" s="25"/>
      <c r="AT853" s="25"/>
      <c r="AU853" s="25"/>
      <c r="AV853" s="25"/>
      <c r="AW853" s="25"/>
      <c r="AX853" s="25"/>
      <c r="AY853" s="25"/>
      <c r="AZ853" s="25"/>
      <c r="BA853" s="25"/>
      <c r="BB853" s="25"/>
      <c r="BC853" s="25"/>
      <c r="BD853" s="25"/>
      <c r="BE853" s="25"/>
      <c r="BF853" s="25"/>
      <c r="BG853" s="25"/>
      <c r="BH853" s="25"/>
      <c r="BI853" s="25"/>
      <c r="BJ853" s="25"/>
      <c r="BK853" s="25"/>
      <c r="BL853" s="25"/>
      <c r="BM853" s="25"/>
      <c r="BN853" s="25"/>
      <c r="BO853" s="25"/>
      <c r="BP853" s="25"/>
    </row>
    <row r="854">
      <c r="A854" s="25"/>
      <c r="B854" s="168"/>
      <c r="C854" s="25"/>
      <c r="D854" s="25"/>
      <c r="E854" s="25"/>
      <c r="F854" s="25"/>
      <c r="G854" s="84"/>
      <c r="H854" s="25"/>
      <c r="I854" s="25"/>
      <c r="J854" s="25"/>
      <c r="K854" s="169"/>
      <c r="L854" s="169"/>
      <c r="M854" s="170" t="b">
        <v>0</v>
      </c>
      <c r="N854" s="170" t="b">
        <v>0</v>
      </c>
      <c r="O854" s="48"/>
      <c r="P854" s="170" t="b">
        <v>0</v>
      </c>
      <c r="Q854" s="170" t="b">
        <v>0</v>
      </c>
      <c r="R854" s="170" t="b">
        <v>0</v>
      </c>
      <c r="S854" s="48"/>
      <c r="T854" s="60"/>
      <c r="U854" s="170" t="b">
        <v>0</v>
      </c>
      <c r="V854" s="170"/>
      <c r="W854" s="170" t="b">
        <v>0</v>
      </c>
      <c r="X854" s="170" t="b">
        <v>0</v>
      </c>
      <c r="Y854" s="170"/>
      <c r="Z854" s="170"/>
      <c r="AA854" s="170"/>
      <c r="AB854" s="170"/>
      <c r="AC854" s="171"/>
      <c r="AD854" s="170"/>
      <c r="AE854" s="170"/>
      <c r="AF854" s="170"/>
      <c r="AG854" s="170"/>
      <c r="AH854" s="170"/>
      <c r="AI854" s="170"/>
      <c r="AJ854" s="172"/>
      <c r="AK854" s="50"/>
      <c r="AL854" s="25"/>
      <c r="AM854" s="25"/>
      <c r="AN854" s="25"/>
      <c r="AO854" s="165"/>
      <c r="AP854" s="78"/>
      <c r="AQ854" s="25"/>
      <c r="AR854" s="25"/>
      <c r="AS854" s="25"/>
      <c r="AT854" s="25"/>
      <c r="AU854" s="25"/>
      <c r="AV854" s="25"/>
      <c r="AW854" s="25"/>
      <c r="AX854" s="25"/>
      <c r="AY854" s="25"/>
      <c r="AZ854" s="25"/>
      <c r="BA854" s="25"/>
      <c r="BB854" s="25"/>
      <c r="BC854" s="25"/>
      <c r="BD854" s="25"/>
      <c r="BE854" s="25"/>
      <c r="BF854" s="25"/>
      <c r="BG854" s="25"/>
      <c r="BH854" s="25"/>
      <c r="BI854" s="25"/>
      <c r="BJ854" s="25"/>
      <c r="BK854" s="25"/>
      <c r="BL854" s="25"/>
      <c r="BM854" s="25"/>
      <c r="BN854" s="25"/>
      <c r="BO854" s="25"/>
      <c r="BP854" s="25"/>
    </row>
    <row r="855">
      <c r="A855" s="25"/>
      <c r="B855" s="168"/>
      <c r="C855" s="25"/>
      <c r="D855" s="25"/>
      <c r="E855" s="25"/>
      <c r="F855" s="25"/>
      <c r="G855" s="84"/>
      <c r="H855" s="25"/>
      <c r="I855" s="25"/>
      <c r="J855" s="25"/>
      <c r="K855" s="169"/>
      <c r="L855" s="169"/>
      <c r="M855" s="170" t="b">
        <v>0</v>
      </c>
      <c r="N855" s="170" t="b">
        <v>0</v>
      </c>
      <c r="O855" s="48"/>
      <c r="P855" s="170" t="b">
        <v>0</v>
      </c>
      <c r="Q855" s="170" t="b">
        <v>0</v>
      </c>
      <c r="R855" s="170" t="b">
        <v>0</v>
      </c>
      <c r="S855" s="48"/>
      <c r="T855" s="60"/>
      <c r="U855" s="170" t="b">
        <v>0</v>
      </c>
      <c r="V855" s="170"/>
      <c r="W855" s="170" t="b">
        <v>0</v>
      </c>
      <c r="X855" s="170" t="b">
        <v>0</v>
      </c>
      <c r="Y855" s="170"/>
      <c r="Z855" s="170"/>
      <c r="AA855" s="170"/>
      <c r="AB855" s="170"/>
      <c r="AC855" s="171"/>
      <c r="AD855" s="170"/>
      <c r="AE855" s="170"/>
      <c r="AF855" s="170"/>
      <c r="AG855" s="170"/>
      <c r="AH855" s="170"/>
      <c r="AI855" s="170"/>
      <c r="AJ855" s="172"/>
      <c r="AK855" s="50"/>
      <c r="AL855" s="25"/>
      <c r="AM855" s="25"/>
      <c r="AN855" s="25"/>
      <c r="AO855" s="165"/>
      <c r="AP855" s="78"/>
      <c r="AQ855" s="25"/>
      <c r="AR855" s="25"/>
      <c r="AS855" s="25"/>
      <c r="AT855" s="25"/>
      <c r="AU855" s="25"/>
      <c r="AV855" s="25"/>
      <c r="AW855" s="25"/>
      <c r="AX855" s="25"/>
      <c r="AY855" s="25"/>
      <c r="AZ855" s="25"/>
      <c r="BA855" s="25"/>
      <c r="BB855" s="25"/>
      <c r="BC855" s="25"/>
      <c r="BD855" s="25"/>
      <c r="BE855" s="25"/>
      <c r="BF855" s="25"/>
      <c r="BG855" s="25"/>
      <c r="BH855" s="25"/>
      <c r="BI855" s="25"/>
      <c r="BJ855" s="25"/>
      <c r="BK855" s="25"/>
      <c r="BL855" s="25"/>
      <c r="BM855" s="25"/>
      <c r="BN855" s="25"/>
      <c r="BO855" s="25"/>
      <c r="BP855" s="25"/>
    </row>
    <row r="856">
      <c r="A856" s="25"/>
      <c r="B856" s="168"/>
      <c r="C856" s="25"/>
      <c r="D856" s="25"/>
      <c r="E856" s="25"/>
      <c r="F856" s="25"/>
      <c r="G856" s="84"/>
      <c r="H856" s="25"/>
      <c r="I856" s="25"/>
      <c r="J856" s="25"/>
      <c r="K856" s="169"/>
      <c r="L856" s="169"/>
      <c r="M856" s="170" t="b">
        <v>0</v>
      </c>
      <c r="N856" s="170" t="b">
        <v>0</v>
      </c>
      <c r="O856" s="48"/>
      <c r="P856" s="170" t="b">
        <v>0</v>
      </c>
      <c r="Q856" s="170" t="b">
        <v>0</v>
      </c>
      <c r="R856" s="170" t="b">
        <v>0</v>
      </c>
      <c r="S856" s="48"/>
      <c r="T856" s="60"/>
      <c r="U856" s="170" t="b">
        <v>0</v>
      </c>
      <c r="V856" s="170"/>
      <c r="W856" s="170" t="b">
        <v>0</v>
      </c>
      <c r="X856" s="170" t="b">
        <v>0</v>
      </c>
      <c r="Y856" s="170"/>
      <c r="Z856" s="170"/>
      <c r="AA856" s="170"/>
      <c r="AB856" s="170"/>
      <c r="AC856" s="171"/>
      <c r="AD856" s="170"/>
      <c r="AE856" s="170"/>
      <c r="AF856" s="170"/>
      <c r="AG856" s="170"/>
      <c r="AH856" s="170"/>
      <c r="AI856" s="170"/>
      <c r="AJ856" s="172"/>
      <c r="AK856" s="50"/>
      <c r="AL856" s="25"/>
      <c r="AM856" s="25"/>
      <c r="AN856" s="25"/>
      <c r="AO856" s="165"/>
      <c r="AP856" s="78"/>
      <c r="AQ856" s="25"/>
      <c r="AR856" s="25"/>
      <c r="AS856" s="25"/>
      <c r="AT856" s="25"/>
      <c r="AU856" s="25"/>
      <c r="AV856" s="25"/>
      <c r="AW856" s="25"/>
      <c r="AX856" s="25"/>
      <c r="AY856" s="25"/>
      <c r="AZ856" s="25"/>
      <c r="BA856" s="25"/>
      <c r="BB856" s="25"/>
      <c r="BC856" s="25"/>
      <c r="BD856" s="25"/>
      <c r="BE856" s="25"/>
      <c r="BF856" s="25"/>
      <c r="BG856" s="25"/>
      <c r="BH856" s="25"/>
      <c r="BI856" s="25"/>
      <c r="BJ856" s="25"/>
      <c r="BK856" s="25"/>
      <c r="BL856" s="25"/>
      <c r="BM856" s="25"/>
      <c r="BN856" s="25"/>
      <c r="BO856" s="25"/>
      <c r="BP856" s="25"/>
    </row>
    <row r="857">
      <c r="A857" s="25"/>
      <c r="B857" s="168"/>
      <c r="C857" s="25"/>
      <c r="D857" s="25"/>
      <c r="E857" s="25"/>
      <c r="F857" s="25"/>
      <c r="G857" s="84"/>
      <c r="H857" s="25"/>
      <c r="I857" s="25"/>
      <c r="J857" s="25"/>
      <c r="K857" s="169"/>
      <c r="L857" s="169"/>
      <c r="M857" s="170" t="b">
        <v>0</v>
      </c>
      <c r="N857" s="170" t="b">
        <v>0</v>
      </c>
      <c r="O857" s="48"/>
      <c r="P857" s="170" t="b">
        <v>0</v>
      </c>
      <c r="Q857" s="170" t="b">
        <v>0</v>
      </c>
      <c r="R857" s="170" t="b">
        <v>0</v>
      </c>
      <c r="S857" s="48"/>
      <c r="T857" s="60"/>
      <c r="U857" s="170" t="b">
        <v>0</v>
      </c>
      <c r="V857" s="170"/>
      <c r="W857" s="170" t="b">
        <v>0</v>
      </c>
      <c r="X857" s="170" t="b">
        <v>0</v>
      </c>
      <c r="Y857" s="170"/>
      <c r="Z857" s="170"/>
      <c r="AA857" s="170"/>
      <c r="AB857" s="170"/>
      <c r="AC857" s="171"/>
      <c r="AD857" s="170"/>
      <c r="AE857" s="170"/>
      <c r="AF857" s="170"/>
      <c r="AG857" s="170"/>
      <c r="AH857" s="170"/>
      <c r="AI857" s="170"/>
      <c r="AJ857" s="172"/>
      <c r="AK857" s="50"/>
      <c r="AL857" s="25"/>
      <c r="AM857" s="25"/>
      <c r="AN857" s="25"/>
      <c r="AO857" s="165"/>
      <c r="AP857" s="78"/>
      <c r="AQ857" s="25"/>
      <c r="AR857" s="25"/>
      <c r="AS857" s="25"/>
      <c r="AT857" s="25"/>
      <c r="AU857" s="25"/>
      <c r="AV857" s="25"/>
      <c r="AW857" s="25"/>
      <c r="AX857" s="25"/>
      <c r="AY857" s="25"/>
      <c r="AZ857" s="25"/>
      <c r="BA857" s="25"/>
      <c r="BB857" s="25"/>
      <c r="BC857" s="25"/>
      <c r="BD857" s="25"/>
      <c r="BE857" s="25"/>
      <c r="BF857" s="25"/>
      <c r="BG857" s="25"/>
      <c r="BH857" s="25"/>
      <c r="BI857" s="25"/>
      <c r="BJ857" s="25"/>
      <c r="BK857" s="25"/>
      <c r="BL857" s="25"/>
      <c r="BM857" s="25"/>
      <c r="BN857" s="25"/>
      <c r="BO857" s="25"/>
      <c r="BP857" s="25"/>
    </row>
    <row r="858">
      <c r="A858" s="25"/>
      <c r="B858" s="168"/>
      <c r="C858" s="25"/>
      <c r="D858" s="25"/>
      <c r="E858" s="25"/>
      <c r="F858" s="25"/>
      <c r="G858" s="84"/>
      <c r="H858" s="25"/>
      <c r="I858" s="25"/>
      <c r="J858" s="25"/>
      <c r="K858" s="169"/>
      <c r="L858" s="169"/>
      <c r="M858" s="170" t="b">
        <v>0</v>
      </c>
      <c r="N858" s="170" t="b">
        <v>0</v>
      </c>
      <c r="O858" s="48"/>
      <c r="P858" s="170" t="b">
        <v>0</v>
      </c>
      <c r="Q858" s="170" t="b">
        <v>0</v>
      </c>
      <c r="R858" s="170" t="b">
        <v>0</v>
      </c>
      <c r="S858" s="48"/>
      <c r="T858" s="60"/>
      <c r="U858" s="170" t="b">
        <v>0</v>
      </c>
      <c r="V858" s="170"/>
      <c r="W858" s="170" t="b">
        <v>0</v>
      </c>
      <c r="X858" s="170" t="b">
        <v>0</v>
      </c>
      <c r="Y858" s="170"/>
      <c r="Z858" s="170"/>
      <c r="AA858" s="170"/>
      <c r="AB858" s="170"/>
      <c r="AC858" s="171"/>
      <c r="AD858" s="170"/>
      <c r="AE858" s="170"/>
      <c r="AF858" s="170"/>
      <c r="AG858" s="170"/>
      <c r="AH858" s="170"/>
      <c r="AI858" s="170"/>
      <c r="AJ858" s="172"/>
      <c r="AK858" s="50"/>
      <c r="AL858" s="25"/>
      <c r="AM858" s="25"/>
      <c r="AN858" s="25"/>
      <c r="AO858" s="165"/>
      <c r="AP858" s="78"/>
      <c r="AQ858" s="25"/>
      <c r="AR858" s="25"/>
      <c r="AS858" s="25"/>
      <c r="AT858" s="25"/>
      <c r="AU858" s="25"/>
      <c r="AV858" s="25"/>
      <c r="AW858" s="25"/>
      <c r="AX858" s="25"/>
      <c r="AY858" s="25"/>
      <c r="AZ858" s="25"/>
      <c r="BA858" s="25"/>
      <c r="BB858" s="25"/>
      <c r="BC858" s="25"/>
      <c r="BD858" s="25"/>
      <c r="BE858" s="25"/>
      <c r="BF858" s="25"/>
      <c r="BG858" s="25"/>
      <c r="BH858" s="25"/>
      <c r="BI858" s="25"/>
      <c r="BJ858" s="25"/>
      <c r="BK858" s="25"/>
      <c r="BL858" s="25"/>
      <c r="BM858" s="25"/>
      <c r="BN858" s="25"/>
      <c r="BO858" s="25"/>
      <c r="BP858" s="25"/>
    </row>
    <row r="859">
      <c r="A859" s="25"/>
      <c r="B859" s="168"/>
      <c r="C859" s="25"/>
      <c r="D859" s="25"/>
      <c r="E859" s="25"/>
      <c r="F859" s="25"/>
      <c r="G859" s="84"/>
      <c r="H859" s="25"/>
      <c r="I859" s="25"/>
      <c r="J859" s="25"/>
      <c r="K859" s="169"/>
      <c r="L859" s="169"/>
      <c r="M859" s="170" t="b">
        <v>0</v>
      </c>
      <c r="N859" s="170" t="b">
        <v>0</v>
      </c>
      <c r="O859" s="48"/>
      <c r="P859" s="170" t="b">
        <v>0</v>
      </c>
      <c r="Q859" s="170" t="b">
        <v>0</v>
      </c>
      <c r="R859" s="170" t="b">
        <v>0</v>
      </c>
      <c r="S859" s="48"/>
      <c r="T859" s="60"/>
      <c r="U859" s="170" t="b">
        <v>0</v>
      </c>
      <c r="V859" s="170"/>
      <c r="W859" s="170" t="b">
        <v>0</v>
      </c>
      <c r="X859" s="170" t="b">
        <v>0</v>
      </c>
      <c r="Y859" s="170"/>
      <c r="Z859" s="170"/>
      <c r="AA859" s="170"/>
      <c r="AB859" s="170"/>
      <c r="AC859" s="171"/>
      <c r="AD859" s="170"/>
      <c r="AE859" s="170"/>
      <c r="AF859" s="170"/>
      <c r="AG859" s="170"/>
      <c r="AH859" s="170"/>
      <c r="AI859" s="170"/>
      <c r="AJ859" s="172"/>
      <c r="AK859" s="50"/>
      <c r="AL859" s="25"/>
      <c r="AM859" s="25"/>
      <c r="AN859" s="25"/>
      <c r="AO859" s="165"/>
      <c r="AP859" s="78"/>
      <c r="AQ859" s="25"/>
      <c r="AR859" s="25"/>
      <c r="AS859" s="25"/>
      <c r="AT859" s="25"/>
      <c r="AU859" s="25"/>
      <c r="AV859" s="25"/>
      <c r="AW859" s="25"/>
      <c r="AX859" s="25"/>
      <c r="AY859" s="25"/>
      <c r="AZ859" s="25"/>
      <c r="BA859" s="25"/>
      <c r="BB859" s="25"/>
      <c r="BC859" s="25"/>
      <c r="BD859" s="25"/>
      <c r="BE859" s="25"/>
      <c r="BF859" s="25"/>
      <c r="BG859" s="25"/>
      <c r="BH859" s="25"/>
      <c r="BI859" s="25"/>
      <c r="BJ859" s="25"/>
      <c r="BK859" s="25"/>
      <c r="BL859" s="25"/>
      <c r="BM859" s="25"/>
      <c r="BN859" s="25"/>
      <c r="BO859" s="25"/>
      <c r="BP859" s="25"/>
    </row>
    <row r="860">
      <c r="A860" s="25"/>
      <c r="B860" s="168"/>
      <c r="C860" s="25"/>
      <c r="D860" s="25"/>
      <c r="E860" s="25"/>
      <c r="F860" s="25"/>
      <c r="G860" s="84"/>
      <c r="H860" s="25"/>
      <c r="I860" s="25"/>
      <c r="J860" s="25"/>
      <c r="K860" s="169"/>
      <c r="L860" s="169"/>
      <c r="M860" s="170" t="b">
        <v>0</v>
      </c>
      <c r="N860" s="170" t="b">
        <v>0</v>
      </c>
      <c r="O860" s="48"/>
      <c r="P860" s="170" t="b">
        <v>0</v>
      </c>
      <c r="Q860" s="170" t="b">
        <v>0</v>
      </c>
      <c r="R860" s="170" t="b">
        <v>0</v>
      </c>
      <c r="S860" s="48"/>
      <c r="T860" s="60"/>
      <c r="U860" s="170" t="b">
        <v>0</v>
      </c>
      <c r="V860" s="170"/>
      <c r="W860" s="170" t="b">
        <v>0</v>
      </c>
      <c r="X860" s="170" t="b">
        <v>0</v>
      </c>
      <c r="Y860" s="170"/>
      <c r="Z860" s="170"/>
      <c r="AA860" s="170"/>
      <c r="AB860" s="170"/>
      <c r="AC860" s="171"/>
      <c r="AD860" s="170"/>
      <c r="AE860" s="170"/>
      <c r="AF860" s="170"/>
      <c r="AG860" s="170"/>
      <c r="AH860" s="170"/>
      <c r="AI860" s="170"/>
      <c r="AJ860" s="172"/>
      <c r="AK860" s="50"/>
      <c r="AL860" s="25"/>
      <c r="AM860" s="25"/>
      <c r="AN860" s="25"/>
      <c r="AO860" s="165"/>
      <c r="AP860" s="78"/>
      <c r="AQ860" s="25"/>
      <c r="AR860" s="25"/>
      <c r="AS860" s="25"/>
      <c r="AT860" s="25"/>
      <c r="AU860" s="25"/>
      <c r="AV860" s="25"/>
      <c r="AW860" s="25"/>
      <c r="AX860" s="25"/>
      <c r="AY860" s="25"/>
      <c r="AZ860" s="25"/>
      <c r="BA860" s="25"/>
      <c r="BB860" s="25"/>
      <c r="BC860" s="25"/>
      <c r="BD860" s="25"/>
      <c r="BE860" s="25"/>
      <c r="BF860" s="25"/>
      <c r="BG860" s="25"/>
      <c r="BH860" s="25"/>
      <c r="BI860" s="25"/>
      <c r="BJ860" s="25"/>
      <c r="BK860" s="25"/>
      <c r="BL860" s="25"/>
      <c r="BM860" s="25"/>
      <c r="BN860" s="25"/>
      <c r="BO860" s="25"/>
      <c r="BP860" s="25"/>
    </row>
    <row r="861">
      <c r="A861" s="25"/>
      <c r="B861" s="168"/>
      <c r="C861" s="25"/>
      <c r="D861" s="25"/>
      <c r="E861" s="25"/>
      <c r="F861" s="25"/>
      <c r="G861" s="84"/>
      <c r="H861" s="25"/>
      <c r="I861" s="25"/>
      <c r="J861" s="25"/>
      <c r="K861" s="169"/>
      <c r="L861" s="169"/>
      <c r="M861" s="170" t="b">
        <v>0</v>
      </c>
      <c r="N861" s="170" t="b">
        <v>0</v>
      </c>
      <c r="O861" s="48"/>
      <c r="P861" s="170" t="b">
        <v>0</v>
      </c>
      <c r="Q861" s="170" t="b">
        <v>0</v>
      </c>
      <c r="R861" s="170" t="b">
        <v>0</v>
      </c>
      <c r="S861" s="48"/>
      <c r="T861" s="60"/>
      <c r="U861" s="170" t="b">
        <v>0</v>
      </c>
      <c r="V861" s="170"/>
      <c r="W861" s="170" t="b">
        <v>0</v>
      </c>
      <c r="X861" s="170" t="b">
        <v>0</v>
      </c>
      <c r="Y861" s="170"/>
      <c r="Z861" s="170"/>
      <c r="AA861" s="170"/>
      <c r="AB861" s="170"/>
      <c r="AC861" s="171"/>
      <c r="AD861" s="170"/>
      <c r="AE861" s="170"/>
      <c r="AF861" s="170"/>
      <c r="AG861" s="170"/>
      <c r="AH861" s="170"/>
      <c r="AI861" s="170"/>
      <c r="AJ861" s="172"/>
      <c r="AK861" s="50"/>
      <c r="AL861" s="25"/>
      <c r="AM861" s="25"/>
      <c r="AN861" s="25"/>
      <c r="AO861" s="165"/>
      <c r="AP861" s="78"/>
      <c r="AQ861" s="25"/>
      <c r="AR861" s="25"/>
      <c r="AS861" s="25"/>
      <c r="AT861" s="25"/>
      <c r="AU861" s="25"/>
      <c r="AV861" s="25"/>
      <c r="AW861" s="25"/>
      <c r="AX861" s="25"/>
      <c r="AY861" s="25"/>
      <c r="AZ861" s="25"/>
      <c r="BA861" s="25"/>
      <c r="BB861" s="25"/>
      <c r="BC861" s="25"/>
      <c r="BD861" s="25"/>
      <c r="BE861" s="25"/>
      <c r="BF861" s="25"/>
      <c r="BG861" s="25"/>
      <c r="BH861" s="25"/>
      <c r="BI861" s="25"/>
      <c r="BJ861" s="25"/>
      <c r="BK861" s="25"/>
      <c r="BL861" s="25"/>
      <c r="BM861" s="25"/>
      <c r="BN861" s="25"/>
      <c r="BO861" s="25"/>
      <c r="BP861" s="25"/>
    </row>
    <row r="862">
      <c r="A862" s="25"/>
      <c r="B862" s="168"/>
      <c r="C862" s="25"/>
      <c r="D862" s="25"/>
      <c r="E862" s="25"/>
      <c r="F862" s="25"/>
      <c r="G862" s="84"/>
      <c r="H862" s="25"/>
      <c r="I862" s="25"/>
      <c r="J862" s="25"/>
      <c r="K862" s="169"/>
      <c r="L862" s="169"/>
      <c r="M862" s="170" t="b">
        <v>0</v>
      </c>
      <c r="N862" s="170" t="b">
        <v>0</v>
      </c>
      <c r="O862" s="48"/>
      <c r="P862" s="170" t="b">
        <v>0</v>
      </c>
      <c r="Q862" s="170" t="b">
        <v>0</v>
      </c>
      <c r="R862" s="170" t="b">
        <v>0</v>
      </c>
      <c r="S862" s="48"/>
      <c r="T862" s="60"/>
      <c r="U862" s="170" t="b">
        <v>0</v>
      </c>
      <c r="V862" s="170"/>
      <c r="W862" s="170" t="b">
        <v>0</v>
      </c>
      <c r="X862" s="170" t="b">
        <v>0</v>
      </c>
      <c r="Y862" s="170"/>
      <c r="Z862" s="170"/>
      <c r="AA862" s="170"/>
      <c r="AB862" s="170"/>
      <c r="AC862" s="171"/>
      <c r="AD862" s="170"/>
      <c r="AE862" s="170"/>
      <c r="AF862" s="170"/>
      <c r="AG862" s="170"/>
      <c r="AH862" s="170"/>
      <c r="AI862" s="170"/>
      <c r="AJ862" s="172"/>
      <c r="AK862" s="50"/>
      <c r="AL862" s="25"/>
      <c r="AM862" s="25"/>
      <c r="AN862" s="25"/>
      <c r="AO862" s="165"/>
      <c r="AP862" s="78"/>
      <c r="AQ862" s="25"/>
      <c r="AR862" s="25"/>
      <c r="AS862" s="25"/>
      <c r="AT862" s="25"/>
      <c r="AU862" s="25"/>
      <c r="AV862" s="25"/>
      <c r="AW862" s="25"/>
      <c r="AX862" s="25"/>
      <c r="AY862" s="25"/>
      <c r="AZ862" s="25"/>
      <c r="BA862" s="25"/>
      <c r="BB862" s="25"/>
      <c r="BC862" s="25"/>
      <c r="BD862" s="25"/>
      <c r="BE862" s="25"/>
      <c r="BF862" s="25"/>
      <c r="BG862" s="25"/>
      <c r="BH862" s="25"/>
      <c r="BI862" s="25"/>
      <c r="BJ862" s="25"/>
      <c r="BK862" s="25"/>
      <c r="BL862" s="25"/>
      <c r="BM862" s="25"/>
      <c r="BN862" s="25"/>
      <c r="BO862" s="25"/>
      <c r="BP862" s="25"/>
    </row>
    <row r="863">
      <c r="A863" s="25"/>
      <c r="B863" s="168"/>
      <c r="C863" s="25"/>
      <c r="D863" s="25"/>
      <c r="E863" s="25"/>
      <c r="F863" s="25"/>
      <c r="G863" s="84"/>
      <c r="H863" s="25"/>
      <c r="I863" s="25"/>
      <c r="J863" s="25"/>
      <c r="K863" s="169"/>
      <c r="L863" s="169"/>
      <c r="M863" s="170" t="b">
        <v>0</v>
      </c>
      <c r="N863" s="170" t="b">
        <v>0</v>
      </c>
      <c r="O863" s="48"/>
      <c r="P863" s="170" t="b">
        <v>0</v>
      </c>
      <c r="Q863" s="170" t="b">
        <v>0</v>
      </c>
      <c r="R863" s="170" t="b">
        <v>0</v>
      </c>
      <c r="S863" s="48"/>
      <c r="T863" s="60"/>
      <c r="U863" s="170" t="b">
        <v>0</v>
      </c>
      <c r="V863" s="170"/>
      <c r="W863" s="170" t="b">
        <v>0</v>
      </c>
      <c r="X863" s="170" t="b">
        <v>0</v>
      </c>
      <c r="Y863" s="170"/>
      <c r="Z863" s="170"/>
      <c r="AA863" s="170"/>
      <c r="AB863" s="170"/>
      <c r="AC863" s="171"/>
      <c r="AD863" s="170"/>
      <c r="AE863" s="170"/>
      <c r="AF863" s="170"/>
      <c r="AG863" s="170"/>
      <c r="AH863" s="170"/>
      <c r="AI863" s="170"/>
      <c r="AJ863" s="172"/>
      <c r="AK863" s="50"/>
      <c r="AL863" s="25"/>
      <c r="AM863" s="25"/>
      <c r="AN863" s="25"/>
      <c r="AO863" s="165"/>
      <c r="AP863" s="78"/>
      <c r="AQ863" s="25"/>
      <c r="AR863" s="25"/>
      <c r="AS863" s="25"/>
      <c r="AT863" s="25"/>
      <c r="AU863" s="25"/>
      <c r="AV863" s="25"/>
      <c r="AW863" s="25"/>
      <c r="AX863" s="25"/>
      <c r="AY863" s="25"/>
      <c r="AZ863" s="25"/>
      <c r="BA863" s="25"/>
      <c r="BB863" s="25"/>
      <c r="BC863" s="25"/>
      <c r="BD863" s="25"/>
      <c r="BE863" s="25"/>
      <c r="BF863" s="25"/>
      <c r="BG863" s="25"/>
      <c r="BH863" s="25"/>
      <c r="BI863" s="25"/>
      <c r="BJ863" s="25"/>
      <c r="BK863" s="25"/>
      <c r="BL863" s="25"/>
      <c r="BM863" s="25"/>
      <c r="BN863" s="25"/>
      <c r="BO863" s="25"/>
      <c r="BP863" s="25"/>
    </row>
    <row r="864">
      <c r="A864" s="25"/>
      <c r="B864" s="168"/>
      <c r="C864" s="25"/>
      <c r="D864" s="25"/>
      <c r="E864" s="25"/>
      <c r="F864" s="25"/>
      <c r="G864" s="84"/>
      <c r="H864" s="25"/>
      <c r="I864" s="25"/>
      <c r="J864" s="25"/>
      <c r="K864" s="169"/>
      <c r="L864" s="169"/>
      <c r="M864" s="170" t="b">
        <v>0</v>
      </c>
      <c r="N864" s="170" t="b">
        <v>0</v>
      </c>
      <c r="O864" s="48"/>
      <c r="P864" s="170" t="b">
        <v>0</v>
      </c>
      <c r="Q864" s="170" t="b">
        <v>0</v>
      </c>
      <c r="R864" s="170" t="b">
        <v>0</v>
      </c>
      <c r="S864" s="48"/>
      <c r="T864" s="60"/>
      <c r="U864" s="170" t="b">
        <v>0</v>
      </c>
      <c r="V864" s="170"/>
      <c r="W864" s="170" t="b">
        <v>0</v>
      </c>
      <c r="X864" s="170" t="b">
        <v>0</v>
      </c>
      <c r="Y864" s="170"/>
      <c r="Z864" s="170"/>
      <c r="AA864" s="170"/>
      <c r="AB864" s="170"/>
      <c r="AC864" s="171"/>
      <c r="AD864" s="170"/>
      <c r="AE864" s="170"/>
      <c r="AF864" s="170"/>
      <c r="AG864" s="170"/>
      <c r="AH864" s="170"/>
      <c r="AI864" s="170"/>
      <c r="AJ864" s="172"/>
      <c r="AK864" s="50"/>
      <c r="AL864" s="25"/>
      <c r="AM864" s="25"/>
      <c r="AN864" s="25"/>
      <c r="AO864" s="165"/>
      <c r="AP864" s="78"/>
      <c r="AQ864" s="25"/>
      <c r="AR864" s="25"/>
      <c r="AS864" s="25"/>
      <c r="AT864" s="25"/>
      <c r="AU864" s="25"/>
      <c r="AV864" s="25"/>
      <c r="AW864" s="25"/>
      <c r="AX864" s="25"/>
      <c r="AY864" s="25"/>
      <c r="AZ864" s="25"/>
      <c r="BA864" s="25"/>
      <c r="BB864" s="25"/>
      <c r="BC864" s="25"/>
      <c r="BD864" s="25"/>
      <c r="BE864" s="25"/>
      <c r="BF864" s="25"/>
      <c r="BG864" s="25"/>
      <c r="BH864" s="25"/>
      <c r="BI864" s="25"/>
      <c r="BJ864" s="25"/>
      <c r="BK864" s="25"/>
      <c r="BL864" s="25"/>
      <c r="BM864" s="25"/>
      <c r="BN864" s="25"/>
      <c r="BO864" s="25"/>
      <c r="BP864" s="25"/>
    </row>
    <row r="865">
      <c r="A865" s="25"/>
      <c r="B865" s="168"/>
      <c r="C865" s="25"/>
      <c r="D865" s="25"/>
      <c r="E865" s="25"/>
      <c r="F865" s="25"/>
      <c r="G865" s="84"/>
      <c r="H865" s="25"/>
      <c r="I865" s="25"/>
      <c r="J865" s="25"/>
      <c r="K865" s="169"/>
      <c r="L865" s="169"/>
      <c r="M865" s="170" t="b">
        <v>0</v>
      </c>
      <c r="N865" s="170" t="b">
        <v>0</v>
      </c>
      <c r="O865" s="48"/>
      <c r="P865" s="170" t="b">
        <v>0</v>
      </c>
      <c r="Q865" s="170" t="b">
        <v>0</v>
      </c>
      <c r="R865" s="170" t="b">
        <v>0</v>
      </c>
      <c r="S865" s="48"/>
      <c r="T865" s="60"/>
      <c r="U865" s="170" t="b">
        <v>0</v>
      </c>
      <c r="V865" s="170"/>
      <c r="W865" s="170" t="b">
        <v>0</v>
      </c>
      <c r="X865" s="170" t="b">
        <v>0</v>
      </c>
      <c r="Y865" s="170"/>
      <c r="Z865" s="170"/>
      <c r="AA865" s="170"/>
      <c r="AB865" s="170"/>
      <c r="AC865" s="171"/>
      <c r="AD865" s="170"/>
      <c r="AE865" s="170"/>
      <c r="AF865" s="170"/>
      <c r="AG865" s="170"/>
      <c r="AH865" s="170"/>
      <c r="AI865" s="170"/>
      <c r="AJ865" s="172"/>
      <c r="AK865" s="50"/>
      <c r="AL865" s="25"/>
      <c r="AM865" s="25"/>
      <c r="AN865" s="25"/>
      <c r="AO865" s="165"/>
      <c r="AP865" s="78"/>
      <c r="AQ865" s="25"/>
      <c r="AR865" s="25"/>
      <c r="AS865" s="25"/>
      <c r="AT865" s="25"/>
      <c r="AU865" s="25"/>
      <c r="AV865" s="25"/>
      <c r="AW865" s="25"/>
      <c r="AX865" s="25"/>
      <c r="AY865" s="25"/>
      <c r="AZ865" s="25"/>
      <c r="BA865" s="25"/>
      <c r="BB865" s="25"/>
      <c r="BC865" s="25"/>
      <c r="BD865" s="25"/>
      <c r="BE865" s="25"/>
      <c r="BF865" s="25"/>
      <c r="BG865" s="25"/>
      <c r="BH865" s="25"/>
      <c r="BI865" s="25"/>
      <c r="BJ865" s="25"/>
      <c r="BK865" s="25"/>
      <c r="BL865" s="25"/>
      <c r="BM865" s="25"/>
      <c r="BN865" s="25"/>
      <c r="BO865" s="25"/>
      <c r="BP865" s="25"/>
    </row>
    <row r="866">
      <c r="A866" s="25"/>
      <c r="B866" s="168"/>
      <c r="C866" s="25"/>
      <c r="D866" s="25"/>
      <c r="E866" s="25"/>
      <c r="F866" s="25"/>
      <c r="G866" s="84"/>
      <c r="H866" s="25"/>
      <c r="I866" s="25"/>
      <c r="J866" s="25"/>
      <c r="K866" s="169"/>
      <c r="L866" s="169"/>
      <c r="M866" s="170" t="b">
        <v>0</v>
      </c>
      <c r="N866" s="170" t="b">
        <v>0</v>
      </c>
      <c r="O866" s="48"/>
      <c r="P866" s="170" t="b">
        <v>0</v>
      </c>
      <c r="Q866" s="170" t="b">
        <v>0</v>
      </c>
      <c r="R866" s="170" t="b">
        <v>0</v>
      </c>
      <c r="S866" s="48"/>
      <c r="T866" s="60"/>
      <c r="U866" s="170" t="b">
        <v>0</v>
      </c>
      <c r="V866" s="170"/>
      <c r="W866" s="170" t="b">
        <v>0</v>
      </c>
      <c r="X866" s="170" t="b">
        <v>0</v>
      </c>
      <c r="Y866" s="170"/>
      <c r="Z866" s="170"/>
      <c r="AA866" s="170"/>
      <c r="AB866" s="170"/>
      <c r="AC866" s="171"/>
      <c r="AD866" s="170"/>
      <c r="AE866" s="170"/>
      <c r="AF866" s="170"/>
      <c r="AG866" s="170"/>
      <c r="AH866" s="170"/>
      <c r="AI866" s="170"/>
      <c r="AJ866" s="172"/>
      <c r="AK866" s="50"/>
      <c r="AL866" s="25"/>
      <c r="AM866" s="25"/>
      <c r="AN866" s="25"/>
      <c r="AO866" s="165"/>
      <c r="AP866" s="78"/>
      <c r="AQ866" s="25"/>
      <c r="AR866" s="25"/>
      <c r="AS866" s="25"/>
      <c r="AT866" s="25"/>
      <c r="AU866" s="25"/>
      <c r="AV866" s="25"/>
      <c r="AW866" s="25"/>
      <c r="AX866" s="25"/>
      <c r="AY866" s="25"/>
      <c r="AZ866" s="25"/>
      <c r="BA866" s="25"/>
      <c r="BB866" s="25"/>
      <c r="BC866" s="25"/>
      <c r="BD866" s="25"/>
      <c r="BE866" s="25"/>
      <c r="BF866" s="25"/>
      <c r="BG866" s="25"/>
      <c r="BH866" s="25"/>
      <c r="BI866" s="25"/>
      <c r="BJ866" s="25"/>
      <c r="BK866" s="25"/>
      <c r="BL866" s="25"/>
      <c r="BM866" s="25"/>
      <c r="BN866" s="25"/>
      <c r="BO866" s="25"/>
      <c r="BP866" s="25"/>
    </row>
    <row r="867">
      <c r="A867" s="25"/>
      <c r="B867" s="168"/>
      <c r="C867" s="25"/>
      <c r="D867" s="25"/>
      <c r="E867" s="25"/>
      <c r="F867" s="25"/>
      <c r="G867" s="84"/>
      <c r="H867" s="25"/>
      <c r="I867" s="25"/>
      <c r="J867" s="25"/>
      <c r="K867" s="169"/>
      <c r="L867" s="169"/>
      <c r="M867" s="170" t="b">
        <v>0</v>
      </c>
      <c r="N867" s="170" t="b">
        <v>0</v>
      </c>
      <c r="O867" s="48"/>
      <c r="P867" s="170" t="b">
        <v>0</v>
      </c>
      <c r="Q867" s="170" t="b">
        <v>0</v>
      </c>
      <c r="R867" s="170" t="b">
        <v>0</v>
      </c>
      <c r="S867" s="48"/>
      <c r="T867" s="60"/>
      <c r="U867" s="170" t="b">
        <v>0</v>
      </c>
      <c r="V867" s="170"/>
      <c r="W867" s="170" t="b">
        <v>0</v>
      </c>
      <c r="X867" s="170" t="b">
        <v>0</v>
      </c>
      <c r="Y867" s="170"/>
      <c r="Z867" s="170"/>
      <c r="AA867" s="170"/>
      <c r="AB867" s="170"/>
      <c r="AC867" s="171"/>
      <c r="AD867" s="170"/>
      <c r="AE867" s="170"/>
      <c r="AF867" s="170"/>
      <c r="AG867" s="170"/>
      <c r="AH867" s="170"/>
      <c r="AI867" s="170"/>
      <c r="AJ867" s="172"/>
      <c r="AK867" s="50"/>
      <c r="AL867" s="25"/>
      <c r="AM867" s="25"/>
      <c r="AN867" s="25"/>
      <c r="AO867" s="165"/>
      <c r="AP867" s="78"/>
      <c r="AQ867" s="25"/>
      <c r="AR867" s="25"/>
      <c r="AS867" s="25"/>
      <c r="AT867" s="25"/>
      <c r="AU867" s="25"/>
      <c r="AV867" s="25"/>
      <c r="AW867" s="25"/>
      <c r="AX867" s="25"/>
      <c r="AY867" s="25"/>
      <c r="AZ867" s="25"/>
      <c r="BA867" s="25"/>
      <c r="BB867" s="25"/>
      <c r="BC867" s="25"/>
      <c r="BD867" s="25"/>
      <c r="BE867" s="25"/>
      <c r="BF867" s="25"/>
      <c r="BG867" s="25"/>
      <c r="BH867" s="25"/>
      <c r="BI867" s="25"/>
      <c r="BJ867" s="25"/>
      <c r="BK867" s="25"/>
      <c r="BL867" s="25"/>
      <c r="BM867" s="25"/>
      <c r="BN867" s="25"/>
      <c r="BO867" s="25"/>
      <c r="BP867" s="25"/>
    </row>
    <row r="868">
      <c r="A868" s="25"/>
      <c r="B868" s="168"/>
      <c r="C868" s="25"/>
      <c r="D868" s="25"/>
      <c r="E868" s="25"/>
      <c r="F868" s="25"/>
      <c r="G868" s="84"/>
      <c r="H868" s="25"/>
      <c r="I868" s="25"/>
      <c r="J868" s="25"/>
      <c r="K868" s="169"/>
      <c r="L868" s="169"/>
      <c r="M868" s="170" t="b">
        <v>0</v>
      </c>
      <c r="N868" s="170" t="b">
        <v>0</v>
      </c>
      <c r="O868" s="48"/>
      <c r="P868" s="170" t="b">
        <v>0</v>
      </c>
      <c r="Q868" s="170" t="b">
        <v>0</v>
      </c>
      <c r="R868" s="170" t="b">
        <v>0</v>
      </c>
      <c r="S868" s="48"/>
      <c r="T868" s="60"/>
      <c r="U868" s="170" t="b">
        <v>0</v>
      </c>
      <c r="V868" s="170"/>
      <c r="W868" s="170" t="b">
        <v>0</v>
      </c>
      <c r="X868" s="170" t="b">
        <v>0</v>
      </c>
      <c r="Y868" s="170"/>
      <c r="Z868" s="170"/>
      <c r="AA868" s="170"/>
      <c r="AB868" s="170"/>
      <c r="AC868" s="171"/>
      <c r="AD868" s="170"/>
      <c r="AE868" s="170"/>
      <c r="AF868" s="170"/>
      <c r="AG868" s="170"/>
      <c r="AH868" s="170"/>
      <c r="AI868" s="170"/>
      <c r="AJ868" s="172"/>
      <c r="AK868" s="50"/>
      <c r="AL868" s="25"/>
      <c r="AM868" s="25"/>
      <c r="AN868" s="25"/>
      <c r="AO868" s="165"/>
      <c r="AP868" s="78"/>
      <c r="AQ868" s="25"/>
      <c r="AR868" s="25"/>
      <c r="AS868" s="25"/>
      <c r="AT868" s="25"/>
      <c r="AU868" s="25"/>
      <c r="AV868" s="25"/>
      <c r="AW868" s="25"/>
      <c r="AX868" s="25"/>
      <c r="AY868" s="25"/>
      <c r="AZ868" s="25"/>
      <c r="BA868" s="25"/>
      <c r="BB868" s="25"/>
      <c r="BC868" s="25"/>
      <c r="BD868" s="25"/>
      <c r="BE868" s="25"/>
      <c r="BF868" s="25"/>
      <c r="BG868" s="25"/>
      <c r="BH868" s="25"/>
      <c r="BI868" s="25"/>
      <c r="BJ868" s="25"/>
      <c r="BK868" s="25"/>
      <c r="BL868" s="25"/>
      <c r="BM868" s="25"/>
      <c r="BN868" s="25"/>
      <c r="BO868" s="25"/>
      <c r="BP868" s="25"/>
    </row>
    <row r="869">
      <c r="A869" s="25"/>
      <c r="B869" s="168"/>
      <c r="C869" s="25"/>
      <c r="D869" s="25"/>
      <c r="E869" s="25"/>
      <c r="F869" s="25"/>
      <c r="G869" s="84"/>
      <c r="H869" s="25"/>
      <c r="I869" s="25"/>
      <c r="J869" s="25"/>
      <c r="K869" s="169"/>
      <c r="L869" s="169"/>
      <c r="M869" s="170" t="b">
        <v>0</v>
      </c>
      <c r="N869" s="170" t="b">
        <v>0</v>
      </c>
      <c r="O869" s="48"/>
      <c r="P869" s="170" t="b">
        <v>0</v>
      </c>
      <c r="Q869" s="170" t="b">
        <v>0</v>
      </c>
      <c r="R869" s="170" t="b">
        <v>0</v>
      </c>
      <c r="S869" s="48"/>
      <c r="T869" s="60"/>
      <c r="U869" s="170" t="b">
        <v>0</v>
      </c>
      <c r="V869" s="170"/>
      <c r="W869" s="170" t="b">
        <v>0</v>
      </c>
      <c r="X869" s="170" t="b">
        <v>0</v>
      </c>
      <c r="Y869" s="170"/>
      <c r="Z869" s="170"/>
      <c r="AA869" s="170"/>
      <c r="AB869" s="170"/>
      <c r="AC869" s="171"/>
      <c r="AD869" s="170"/>
      <c r="AE869" s="170"/>
      <c r="AF869" s="170"/>
      <c r="AG869" s="170"/>
      <c r="AH869" s="170"/>
      <c r="AI869" s="170"/>
      <c r="AJ869" s="172"/>
      <c r="AK869" s="50"/>
      <c r="AL869" s="25"/>
      <c r="AM869" s="25"/>
      <c r="AN869" s="25"/>
      <c r="AO869" s="165"/>
      <c r="AP869" s="78"/>
      <c r="AQ869" s="25"/>
      <c r="AR869" s="25"/>
      <c r="AS869" s="25"/>
      <c r="AT869" s="25"/>
      <c r="AU869" s="25"/>
      <c r="AV869" s="25"/>
      <c r="AW869" s="25"/>
      <c r="AX869" s="25"/>
      <c r="AY869" s="25"/>
      <c r="AZ869" s="25"/>
      <c r="BA869" s="25"/>
      <c r="BB869" s="25"/>
      <c r="BC869" s="25"/>
      <c r="BD869" s="25"/>
      <c r="BE869" s="25"/>
      <c r="BF869" s="25"/>
      <c r="BG869" s="25"/>
      <c r="BH869" s="25"/>
      <c r="BI869" s="25"/>
      <c r="BJ869" s="25"/>
      <c r="BK869" s="25"/>
      <c r="BL869" s="25"/>
      <c r="BM869" s="25"/>
      <c r="BN869" s="25"/>
      <c r="BO869" s="25"/>
      <c r="BP869" s="25"/>
    </row>
    <row r="870">
      <c r="A870" s="25"/>
      <c r="B870" s="168"/>
      <c r="C870" s="25"/>
      <c r="D870" s="25"/>
      <c r="E870" s="25"/>
      <c r="F870" s="25"/>
      <c r="G870" s="84"/>
      <c r="H870" s="25"/>
      <c r="I870" s="25"/>
      <c r="J870" s="25"/>
      <c r="K870" s="169"/>
      <c r="L870" s="169"/>
      <c r="M870" s="170" t="b">
        <v>0</v>
      </c>
      <c r="N870" s="170" t="b">
        <v>0</v>
      </c>
      <c r="O870" s="48"/>
      <c r="P870" s="170" t="b">
        <v>0</v>
      </c>
      <c r="Q870" s="170" t="b">
        <v>0</v>
      </c>
      <c r="R870" s="170" t="b">
        <v>0</v>
      </c>
      <c r="S870" s="48"/>
      <c r="T870" s="60"/>
      <c r="U870" s="170" t="b">
        <v>0</v>
      </c>
      <c r="V870" s="170"/>
      <c r="W870" s="170" t="b">
        <v>0</v>
      </c>
      <c r="X870" s="170" t="b">
        <v>0</v>
      </c>
      <c r="Y870" s="170"/>
      <c r="Z870" s="170"/>
      <c r="AA870" s="170"/>
      <c r="AB870" s="170"/>
      <c r="AC870" s="171"/>
      <c r="AD870" s="170"/>
      <c r="AE870" s="170"/>
      <c r="AF870" s="170"/>
      <c r="AG870" s="170"/>
      <c r="AH870" s="170"/>
      <c r="AI870" s="170"/>
      <c r="AJ870" s="172"/>
      <c r="AK870" s="50"/>
      <c r="AL870" s="25"/>
      <c r="AM870" s="25"/>
      <c r="AN870" s="25"/>
      <c r="AO870" s="165"/>
      <c r="AP870" s="78"/>
      <c r="AQ870" s="25"/>
      <c r="AR870" s="25"/>
      <c r="AS870" s="25"/>
      <c r="AT870" s="25"/>
      <c r="AU870" s="25"/>
      <c r="AV870" s="25"/>
      <c r="AW870" s="25"/>
      <c r="AX870" s="25"/>
      <c r="AY870" s="25"/>
      <c r="AZ870" s="25"/>
      <c r="BA870" s="25"/>
      <c r="BB870" s="25"/>
      <c r="BC870" s="25"/>
      <c r="BD870" s="25"/>
      <c r="BE870" s="25"/>
      <c r="BF870" s="25"/>
      <c r="BG870" s="25"/>
      <c r="BH870" s="25"/>
      <c r="BI870" s="25"/>
      <c r="BJ870" s="25"/>
      <c r="BK870" s="25"/>
      <c r="BL870" s="25"/>
      <c r="BM870" s="25"/>
      <c r="BN870" s="25"/>
      <c r="BO870" s="25"/>
      <c r="BP870" s="25"/>
    </row>
    <row r="871">
      <c r="A871" s="25"/>
      <c r="B871" s="168"/>
      <c r="C871" s="25"/>
      <c r="D871" s="25"/>
      <c r="E871" s="25"/>
      <c r="F871" s="25"/>
      <c r="G871" s="84"/>
      <c r="H871" s="25"/>
      <c r="I871" s="25"/>
      <c r="J871" s="25"/>
      <c r="K871" s="169"/>
      <c r="L871" s="169"/>
      <c r="M871" s="170" t="b">
        <v>0</v>
      </c>
      <c r="N871" s="170" t="b">
        <v>0</v>
      </c>
      <c r="O871" s="48"/>
      <c r="P871" s="170" t="b">
        <v>0</v>
      </c>
      <c r="Q871" s="170" t="b">
        <v>0</v>
      </c>
      <c r="R871" s="170" t="b">
        <v>0</v>
      </c>
      <c r="S871" s="48"/>
      <c r="T871" s="60"/>
      <c r="U871" s="170" t="b">
        <v>0</v>
      </c>
      <c r="V871" s="170"/>
      <c r="W871" s="170" t="b">
        <v>0</v>
      </c>
      <c r="X871" s="170" t="b">
        <v>0</v>
      </c>
      <c r="Y871" s="170"/>
      <c r="Z871" s="170"/>
      <c r="AA871" s="170"/>
      <c r="AB871" s="170"/>
      <c r="AC871" s="171"/>
      <c r="AD871" s="170"/>
      <c r="AE871" s="170"/>
      <c r="AF871" s="170"/>
      <c r="AG871" s="170"/>
      <c r="AH871" s="170"/>
      <c r="AI871" s="170"/>
      <c r="AJ871" s="172"/>
      <c r="AK871" s="50"/>
      <c r="AL871" s="25"/>
      <c r="AM871" s="25"/>
      <c r="AN871" s="25"/>
      <c r="AO871" s="165"/>
      <c r="AP871" s="78"/>
      <c r="AQ871" s="25"/>
      <c r="AR871" s="25"/>
      <c r="AS871" s="25"/>
      <c r="AT871" s="25"/>
      <c r="AU871" s="25"/>
      <c r="AV871" s="25"/>
      <c r="AW871" s="25"/>
      <c r="AX871" s="25"/>
      <c r="AY871" s="25"/>
      <c r="AZ871" s="25"/>
      <c r="BA871" s="25"/>
      <c r="BB871" s="25"/>
      <c r="BC871" s="25"/>
      <c r="BD871" s="25"/>
      <c r="BE871" s="25"/>
      <c r="BF871" s="25"/>
      <c r="BG871" s="25"/>
      <c r="BH871" s="25"/>
      <c r="BI871" s="25"/>
      <c r="BJ871" s="25"/>
      <c r="BK871" s="25"/>
      <c r="BL871" s="25"/>
      <c r="BM871" s="25"/>
      <c r="BN871" s="25"/>
      <c r="BO871" s="25"/>
      <c r="BP871" s="25"/>
    </row>
    <row r="872">
      <c r="A872" s="25"/>
      <c r="B872" s="168"/>
      <c r="C872" s="25"/>
      <c r="D872" s="25"/>
      <c r="E872" s="25"/>
      <c r="F872" s="25"/>
      <c r="G872" s="84"/>
      <c r="H872" s="25"/>
      <c r="I872" s="25"/>
      <c r="J872" s="25"/>
      <c r="K872" s="169"/>
      <c r="L872" s="169"/>
      <c r="M872" s="170" t="b">
        <v>0</v>
      </c>
      <c r="N872" s="170" t="b">
        <v>0</v>
      </c>
      <c r="O872" s="48"/>
      <c r="P872" s="170" t="b">
        <v>0</v>
      </c>
      <c r="Q872" s="170" t="b">
        <v>0</v>
      </c>
      <c r="R872" s="170" t="b">
        <v>0</v>
      </c>
      <c r="S872" s="48"/>
      <c r="T872" s="60"/>
      <c r="U872" s="170" t="b">
        <v>0</v>
      </c>
      <c r="V872" s="170"/>
      <c r="W872" s="170" t="b">
        <v>0</v>
      </c>
      <c r="X872" s="170" t="b">
        <v>0</v>
      </c>
      <c r="Y872" s="170"/>
      <c r="Z872" s="170"/>
      <c r="AA872" s="170"/>
      <c r="AB872" s="170"/>
      <c r="AC872" s="171"/>
      <c r="AD872" s="170"/>
      <c r="AE872" s="170"/>
      <c r="AF872" s="170"/>
      <c r="AG872" s="170"/>
      <c r="AH872" s="170"/>
      <c r="AI872" s="170"/>
      <c r="AJ872" s="172"/>
      <c r="AK872" s="50"/>
      <c r="AL872" s="25"/>
      <c r="AM872" s="25"/>
      <c r="AN872" s="25"/>
      <c r="AO872" s="165"/>
      <c r="AP872" s="78"/>
      <c r="AQ872" s="25"/>
      <c r="AR872" s="25"/>
      <c r="AS872" s="25"/>
      <c r="AT872" s="25"/>
      <c r="AU872" s="25"/>
      <c r="AV872" s="25"/>
      <c r="AW872" s="25"/>
      <c r="AX872" s="25"/>
      <c r="AY872" s="25"/>
      <c r="AZ872" s="25"/>
      <c r="BA872" s="25"/>
      <c r="BB872" s="25"/>
      <c r="BC872" s="25"/>
      <c r="BD872" s="25"/>
      <c r="BE872" s="25"/>
      <c r="BF872" s="25"/>
      <c r="BG872" s="25"/>
      <c r="BH872" s="25"/>
      <c r="BI872" s="25"/>
      <c r="BJ872" s="25"/>
      <c r="BK872" s="25"/>
      <c r="BL872" s="25"/>
      <c r="BM872" s="25"/>
      <c r="BN872" s="25"/>
      <c r="BO872" s="25"/>
      <c r="BP872" s="25"/>
    </row>
    <row r="873">
      <c r="A873" s="25"/>
      <c r="B873" s="168"/>
      <c r="C873" s="25"/>
      <c r="D873" s="25"/>
      <c r="E873" s="25"/>
      <c r="F873" s="25"/>
      <c r="G873" s="84"/>
      <c r="H873" s="25"/>
      <c r="I873" s="25"/>
      <c r="J873" s="25"/>
      <c r="K873" s="169"/>
      <c r="L873" s="169"/>
      <c r="M873" s="170" t="b">
        <v>0</v>
      </c>
      <c r="N873" s="170" t="b">
        <v>0</v>
      </c>
      <c r="O873" s="48"/>
      <c r="P873" s="170" t="b">
        <v>0</v>
      </c>
      <c r="Q873" s="170" t="b">
        <v>0</v>
      </c>
      <c r="R873" s="170" t="b">
        <v>0</v>
      </c>
      <c r="S873" s="48"/>
      <c r="T873" s="60"/>
      <c r="U873" s="170" t="b">
        <v>0</v>
      </c>
      <c r="V873" s="170"/>
      <c r="W873" s="170" t="b">
        <v>0</v>
      </c>
      <c r="X873" s="170" t="b">
        <v>0</v>
      </c>
      <c r="Y873" s="170"/>
      <c r="Z873" s="170"/>
      <c r="AA873" s="170"/>
      <c r="AB873" s="170"/>
      <c r="AC873" s="171"/>
      <c r="AD873" s="170"/>
      <c r="AE873" s="170"/>
      <c r="AF873" s="170"/>
      <c r="AG873" s="170"/>
      <c r="AH873" s="170"/>
      <c r="AI873" s="170"/>
      <c r="AJ873" s="172"/>
      <c r="AK873" s="50"/>
      <c r="AL873" s="25"/>
      <c r="AM873" s="25"/>
      <c r="AN873" s="25"/>
      <c r="AO873" s="165"/>
      <c r="AP873" s="78"/>
      <c r="AQ873" s="25"/>
      <c r="AR873" s="25"/>
      <c r="AS873" s="25"/>
      <c r="AT873" s="25"/>
      <c r="AU873" s="25"/>
      <c r="AV873" s="25"/>
      <c r="AW873" s="25"/>
      <c r="AX873" s="25"/>
      <c r="AY873" s="25"/>
      <c r="AZ873" s="25"/>
      <c r="BA873" s="25"/>
      <c r="BB873" s="25"/>
      <c r="BC873" s="25"/>
      <c r="BD873" s="25"/>
      <c r="BE873" s="25"/>
      <c r="BF873" s="25"/>
      <c r="BG873" s="25"/>
      <c r="BH873" s="25"/>
      <c r="BI873" s="25"/>
      <c r="BJ873" s="25"/>
      <c r="BK873" s="25"/>
      <c r="BL873" s="25"/>
      <c r="BM873" s="25"/>
      <c r="BN873" s="25"/>
      <c r="BO873" s="25"/>
      <c r="BP873" s="25"/>
    </row>
    <row r="874">
      <c r="A874" s="25"/>
      <c r="B874" s="168"/>
      <c r="C874" s="25"/>
      <c r="D874" s="25"/>
      <c r="E874" s="25"/>
      <c r="F874" s="25"/>
      <c r="G874" s="84"/>
      <c r="H874" s="25"/>
      <c r="I874" s="25"/>
      <c r="J874" s="25"/>
      <c r="K874" s="169"/>
      <c r="L874" s="169"/>
      <c r="M874" s="170" t="b">
        <v>0</v>
      </c>
      <c r="N874" s="170" t="b">
        <v>0</v>
      </c>
      <c r="O874" s="48"/>
      <c r="P874" s="170" t="b">
        <v>0</v>
      </c>
      <c r="Q874" s="170" t="b">
        <v>0</v>
      </c>
      <c r="R874" s="170" t="b">
        <v>0</v>
      </c>
      <c r="S874" s="48"/>
      <c r="T874" s="60"/>
      <c r="U874" s="170" t="b">
        <v>0</v>
      </c>
      <c r="V874" s="170"/>
      <c r="W874" s="170" t="b">
        <v>0</v>
      </c>
      <c r="X874" s="170" t="b">
        <v>0</v>
      </c>
      <c r="Y874" s="170"/>
      <c r="Z874" s="170"/>
      <c r="AA874" s="170"/>
      <c r="AB874" s="170"/>
      <c r="AC874" s="171"/>
      <c r="AD874" s="170"/>
      <c r="AE874" s="170"/>
      <c r="AF874" s="170"/>
      <c r="AG874" s="170"/>
      <c r="AH874" s="170"/>
      <c r="AI874" s="170"/>
      <c r="AJ874" s="172"/>
      <c r="AK874" s="50"/>
      <c r="AL874" s="25"/>
      <c r="AM874" s="25"/>
      <c r="AN874" s="25"/>
      <c r="AO874" s="165"/>
      <c r="AP874" s="78"/>
      <c r="AQ874" s="25"/>
      <c r="AR874" s="25"/>
      <c r="AS874" s="25"/>
      <c r="AT874" s="25"/>
      <c r="AU874" s="25"/>
      <c r="AV874" s="25"/>
      <c r="AW874" s="25"/>
      <c r="AX874" s="25"/>
      <c r="AY874" s="25"/>
      <c r="AZ874" s="25"/>
      <c r="BA874" s="25"/>
      <c r="BB874" s="25"/>
      <c r="BC874" s="25"/>
      <c r="BD874" s="25"/>
      <c r="BE874" s="25"/>
      <c r="BF874" s="25"/>
      <c r="BG874" s="25"/>
      <c r="BH874" s="25"/>
      <c r="BI874" s="25"/>
      <c r="BJ874" s="25"/>
      <c r="BK874" s="25"/>
      <c r="BL874" s="25"/>
      <c r="BM874" s="25"/>
      <c r="BN874" s="25"/>
      <c r="BO874" s="25"/>
      <c r="BP874" s="25"/>
    </row>
    <row r="875">
      <c r="A875" s="25"/>
      <c r="B875" s="168"/>
      <c r="C875" s="25"/>
      <c r="D875" s="25"/>
      <c r="E875" s="25"/>
      <c r="F875" s="25"/>
      <c r="G875" s="84"/>
      <c r="H875" s="25"/>
      <c r="I875" s="25"/>
      <c r="J875" s="25"/>
      <c r="K875" s="169"/>
      <c r="L875" s="169"/>
      <c r="M875" s="170" t="b">
        <v>0</v>
      </c>
      <c r="N875" s="170" t="b">
        <v>0</v>
      </c>
      <c r="O875" s="48"/>
      <c r="P875" s="170" t="b">
        <v>0</v>
      </c>
      <c r="Q875" s="170" t="b">
        <v>0</v>
      </c>
      <c r="R875" s="170" t="b">
        <v>0</v>
      </c>
      <c r="S875" s="48"/>
      <c r="T875" s="60"/>
      <c r="U875" s="170" t="b">
        <v>0</v>
      </c>
      <c r="V875" s="170"/>
      <c r="W875" s="170" t="b">
        <v>0</v>
      </c>
      <c r="X875" s="170" t="b">
        <v>0</v>
      </c>
      <c r="Y875" s="170"/>
      <c r="Z875" s="170"/>
      <c r="AA875" s="170"/>
      <c r="AB875" s="170"/>
      <c r="AC875" s="171"/>
      <c r="AD875" s="170"/>
      <c r="AE875" s="170"/>
      <c r="AF875" s="170"/>
      <c r="AG875" s="170"/>
      <c r="AH875" s="170"/>
      <c r="AI875" s="170"/>
      <c r="AJ875" s="172"/>
      <c r="AK875" s="50"/>
      <c r="AL875" s="25"/>
      <c r="AM875" s="25"/>
      <c r="AN875" s="25"/>
      <c r="AO875" s="165"/>
      <c r="AP875" s="78"/>
      <c r="AQ875" s="25"/>
      <c r="AR875" s="25"/>
      <c r="AS875" s="25"/>
      <c r="AT875" s="25"/>
      <c r="AU875" s="25"/>
      <c r="AV875" s="25"/>
      <c r="AW875" s="25"/>
      <c r="AX875" s="25"/>
      <c r="AY875" s="25"/>
      <c r="AZ875" s="25"/>
      <c r="BA875" s="25"/>
      <c r="BB875" s="25"/>
      <c r="BC875" s="25"/>
      <c r="BD875" s="25"/>
      <c r="BE875" s="25"/>
      <c r="BF875" s="25"/>
      <c r="BG875" s="25"/>
      <c r="BH875" s="25"/>
      <c r="BI875" s="25"/>
      <c r="BJ875" s="25"/>
      <c r="BK875" s="25"/>
      <c r="BL875" s="25"/>
      <c r="BM875" s="25"/>
      <c r="BN875" s="25"/>
      <c r="BO875" s="25"/>
      <c r="BP875" s="25"/>
    </row>
    <row r="876">
      <c r="A876" s="25"/>
      <c r="B876" s="168"/>
      <c r="C876" s="25"/>
      <c r="D876" s="25"/>
      <c r="E876" s="25"/>
      <c r="F876" s="25"/>
      <c r="G876" s="84"/>
      <c r="H876" s="25"/>
      <c r="I876" s="25"/>
      <c r="J876" s="25"/>
      <c r="K876" s="169"/>
      <c r="L876" s="169"/>
      <c r="M876" s="170" t="b">
        <v>0</v>
      </c>
      <c r="N876" s="170" t="b">
        <v>0</v>
      </c>
      <c r="O876" s="48"/>
      <c r="P876" s="170" t="b">
        <v>0</v>
      </c>
      <c r="Q876" s="170" t="b">
        <v>0</v>
      </c>
      <c r="R876" s="170" t="b">
        <v>0</v>
      </c>
      <c r="S876" s="48"/>
      <c r="T876" s="60"/>
      <c r="U876" s="170" t="b">
        <v>0</v>
      </c>
      <c r="V876" s="170"/>
      <c r="W876" s="170" t="b">
        <v>0</v>
      </c>
      <c r="X876" s="170" t="b">
        <v>0</v>
      </c>
      <c r="Y876" s="170"/>
      <c r="Z876" s="170"/>
      <c r="AA876" s="170"/>
      <c r="AB876" s="170"/>
      <c r="AC876" s="171"/>
      <c r="AD876" s="170"/>
      <c r="AE876" s="170"/>
      <c r="AF876" s="170"/>
      <c r="AG876" s="170"/>
      <c r="AH876" s="170"/>
      <c r="AI876" s="170"/>
      <c r="AJ876" s="172"/>
      <c r="AK876" s="50"/>
      <c r="AL876" s="25"/>
      <c r="AM876" s="25"/>
      <c r="AN876" s="25"/>
      <c r="AO876" s="165"/>
      <c r="AP876" s="78"/>
      <c r="AQ876" s="25"/>
      <c r="AR876" s="25"/>
      <c r="AS876" s="25"/>
      <c r="AT876" s="25"/>
      <c r="AU876" s="25"/>
      <c r="AV876" s="25"/>
      <c r="AW876" s="25"/>
      <c r="AX876" s="25"/>
      <c r="AY876" s="25"/>
      <c r="AZ876" s="25"/>
      <c r="BA876" s="25"/>
      <c r="BB876" s="25"/>
      <c r="BC876" s="25"/>
      <c r="BD876" s="25"/>
      <c r="BE876" s="25"/>
      <c r="BF876" s="25"/>
      <c r="BG876" s="25"/>
      <c r="BH876" s="25"/>
      <c r="BI876" s="25"/>
      <c r="BJ876" s="25"/>
      <c r="BK876" s="25"/>
      <c r="BL876" s="25"/>
      <c r="BM876" s="25"/>
      <c r="BN876" s="25"/>
      <c r="BO876" s="25"/>
      <c r="BP876" s="25"/>
    </row>
    <row r="877">
      <c r="A877" s="25"/>
      <c r="B877" s="168"/>
      <c r="C877" s="25"/>
      <c r="D877" s="25"/>
      <c r="E877" s="25"/>
      <c r="F877" s="25"/>
      <c r="G877" s="84"/>
      <c r="H877" s="25"/>
      <c r="I877" s="25"/>
      <c r="J877" s="25"/>
      <c r="K877" s="169"/>
      <c r="L877" s="169"/>
      <c r="M877" s="170" t="b">
        <v>0</v>
      </c>
      <c r="N877" s="170" t="b">
        <v>0</v>
      </c>
      <c r="O877" s="48"/>
      <c r="P877" s="170" t="b">
        <v>0</v>
      </c>
      <c r="Q877" s="170" t="b">
        <v>0</v>
      </c>
      <c r="R877" s="170" t="b">
        <v>0</v>
      </c>
      <c r="S877" s="48"/>
      <c r="T877" s="60"/>
      <c r="U877" s="170" t="b">
        <v>0</v>
      </c>
      <c r="V877" s="170"/>
      <c r="W877" s="170" t="b">
        <v>0</v>
      </c>
      <c r="X877" s="170" t="b">
        <v>0</v>
      </c>
      <c r="Y877" s="170"/>
      <c r="Z877" s="170"/>
      <c r="AA877" s="170"/>
      <c r="AB877" s="170"/>
      <c r="AC877" s="171"/>
      <c r="AD877" s="170"/>
      <c r="AE877" s="170"/>
      <c r="AF877" s="170"/>
      <c r="AG877" s="170"/>
      <c r="AH877" s="170"/>
      <c r="AI877" s="170"/>
      <c r="AJ877" s="172"/>
      <c r="AK877" s="50"/>
      <c r="AL877" s="25"/>
      <c r="AM877" s="25"/>
      <c r="AN877" s="25"/>
      <c r="AO877" s="165"/>
      <c r="AP877" s="78"/>
      <c r="AQ877" s="25"/>
      <c r="AR877" s="25"/>
      <c r="AS877" s="25"/>
      <c r="AT877" s="25"/>
      <c r="AU877" s="25"/>
      <c r="AV877" s="25"/>
      <c r="AW877" s="25"/>
      <c r="AX877" s="25"/>
      <c r="AY877" s="25"/>
      <c r="AZ877" s="25"/>
      <c r="BA877" s="25"/>
      <c r="BB877" s="25"/>
      <c r="BC877" s="25"/>
      <c r="BD877" s="25"/>
      <c r="BE877" s="25"/>
      <c r="BF877" s="25"/>
      <c r="BG877" s="25"/>
      <c r="BH877" s="25"/>
      <c r="BI877" s="25"/>
      <c r="BJ877" s="25"/>
      <c r="BK877" s="25"/>
      <c r="BL877" s="25"/>
      <c r="BM877" s="25"/>
      <c r="BN877" s="25"/>
      <c r="BO877" s="25"/>
      <c r="BP877" s="25"/>
    </row>
    <row r="878">
      <c r="A878" s="25"/>
      <c r="B878" s="168"/>
      <c r="C878" s="25"/>
      <c r="D878" s="25"/>
      <c r="E878" s="25"/>
      <c r="F878" s="25"/>
      <c r="G878" s="84"/>
      <c r="H878" s="25"/>
      <c r="I878" s="25"/>
      <c r="J878" s="25"/>
      <c r="K878" s="169"/>
      <c r="L878" s="169"/>
      <c r="M878" s="170" t="b">
        <v>0</v>
      </c>
      <c r="N878" s="170" t="b">
        <v>0</v>
      </c>
      <c r="O878" s="48"/>
      <c r="P878" s="170" t="b">
        <v>0</v>
      </c>
      <c r="Q878" s="170" t="b">
        <v>0</v>
      </c>
      <c r="R878" s="170" t="b">
        <v>0</v>
      </c>
      <c r="S878" s="48"/>
      <c r="T878" s="60"/>
      <c r="U878" s="170" t="b">
        <v>0</v>
      </c>
      <c r="V878" s="170"/>
      <c r="W878" s="170" t="b">
        <v>0</v>
      </c>
      <c r="X878" s="170" t="b">
        <v>0</v>
      </c>
      <c r="Y878" s="170"/>
      <c r="Z878" s="170"/>
      <c r="AA878" s="170"/>
      <c r="AB878" s="170"/>
      <c r="AC878" s="171"/>
      <c r="AD878" s="170"/>
      <c r="AE878" s="170"/>
      <c r="AF878" s="170"/>
      <c r="AG878" s="170"/>
      <c r="AH878" s="170"/>
      <c r="AI878" s="170"/>
      <c r="AJ878" s="172"/>
      <c r="AK878" s="50"/>
      <c r="AL878" s="25"/>
      <c r="AM878" s="25"/>
      <c r="AN878" s="25"/>
      <c r="AO878" s="165"/>
      <c r="AP878" s="78"/>
      <c r="AQ878" s="25"/>
      <c r="AR878" s="25"/>
      <c r="AS878" s="25"/>
      <c r="AT878" s="25"/>
      <c r="AU878" s="25"/>
      <c r="AV878" s="25"/>
      <c r="AW878" s="25"/>
      <c r="AX878" s="25"/>
      <c r="AY878" s="25"/>
      <c r="AZ878" s="25"/>
      <c r="BA878" s="25"/>
      <c r="BB878" s="25"/>
      <c r="BC878" s="25"/>
      <c r="BD878" s="25"/>
      <c r="BE878" s="25"/>
      <c r="BF878" s="25"/>
      <c r="BG878" s="25"/>
      <c r="BH878" s="25"/>
      <c r="BI878" s="25"/>
      <c r="BJ878" s="25"/>
      <c r="BK878" s="25"/>
      <c r="BL878" s="25"/>
      <c r="BM878" s="25"/>
      <c r="BN878" s="25"/>
      <c r="BO878" s="25"/>
      <c r="BP878" s="25"/>
    </row>
    <row r="879">
      <c r="A879" s="25"/>
      <c r="B879" s="168"/>
      <c r="C879" s="25"/>
      <c r="D879" s="25"/>
      <c r="E879" s="25"/>
      <c r="F879" s="25"/>
      <c r="G879" s="84"/>
      <c r="H879" s="25"/>
      <c r="I879" s="25"/>
      <c r="J879" s="25"/>
      <c r="K879" s="169"/>
      <c r="L879" s="169"/>
      <c r="M879" s="170" t="b">
        <v>0</v>
      </c>
      <c r="N879" s="170" t="b">
        <v>0</v>
      </c>
      <c r="O879" s="48"/>
      <c r="P879" s="170" t="b">
        <v>0</v>
      </c>
      <c r="Q879" s="170" t="b">
        <v>0</v>
      </c>
      <c r="R879" s="170" t="b">
        <v>0</v>
      </c>
      <c r="S879" s="48"/>
      <c r="T879" s="60"/>
      <c r="U879" s="170" t="b">
        <v>0</v>
      </c>
      <c r="V879" s="170"/>
      <c r="W879" s="170" t="b">
        <v>0</v>
      </c>
      <c r="X879" s="170" t="b">
        <v>0</v>
      </c>
      <c r="Y879" s="170"/>
      <c r="Z879" s="170"/>
      <c r="AA879" s="170"/>
      <c r="AB879" s="170"/>
      <c r="AC879" s="171"/>
      <c r="AD879" s="170"/>
      <c r="AE879" s="170"/>
      <c r="AF879" s="170"/>
      <c r="AG879" s="170"/>
      <c r="AH879" s="170"/>
      <c r="AI879" s="170"/>
      <c r="AJ879" s="172"/>
      <c r="AK879" s="50"/>
      <c r="AL879" s="25"/>
      <c r="AM879" s="25"/>
      <c r="AN879" s="25"/>
      <c r="AO879" s="165"/>
      <c r="AP879" s="78"/>
      <c r="AQ879" s="25"/>
      <c r="AR879" s="25"/>
      <c r="AS879" s="25"/>
      <c r="AT879" s="25"/>
      <c r="AU879" s="25"/>
      <c r="AV879" s="25"/>
      <c r="AW879" s="25"/>
      <c r="AX879" s="25"/>
      <c r="AY879" s="25"/>
      <c r="AZ879" s="25"/>
      <c r="BA879" s="25"/>
      <c r="BB879" s="25"/>
      <c r="BC879" s="25"/>
      <c r="BD879" s="25"/>
      <c r="BE879" s="25"/>
      <c r="BF879" s="25"/>
      <c r="BG879" s="25"/>
      <c r="BH879" s="25"/>
      <c r="BI879" s="25"/>
      <c r="BJ879" s="25"/>
      <c r="BK879" s="25"/>
      <c r="BL879" s="25"/>
      <c r="BM879" s="25"/>
      <c r="BN879" s="25"/>
      <c r="BO879" s="25"/>
      <c r="BP879" s="25"/>
    </row>
    <row r="880">
      <c r="A880" s="25"/>
      <c r="B880" s="168"/>
      <c r="C880" s="25"/>
      <c r="D880" s="25"/>
      <c r="E880" s="25"/>
      <c r="F880" s="25"/>
      <c r="G880" s="84"/>
      <c r="H880" s="25"/>
      <c r="I880" s="25"/>
      <c r="J880" s="25"/>
      <c r="K880" s="169"/>
      <c r="L880" s="169"/>
      <c r="M880" s="170" t="b">
        <v>0</v>
      </c>
      <c r="N880" s="170" t="b">
        <v>0</v>
      </c>
      <c r="O880" s="48"/>
      <c r="P880" s="170" t="b">
        <v>0</v>
      </c>
      <c r="Q880" s="170" t="b">
        <v>0</v>
      </c>
      <c r="R880" s="170" t="b">
        <v>0</v>
      </c>
      <c r="S880" s="48"/>
      <c r="T880" s="60"/>
      <c r="U880" s="170" t="b">
        <v>0</v>
      </c>
      <c r="V880" s="170"/>
      <c r="W880" s="170" t="b">
        <v>0</v>
      </c>
      <c r="X880" s="170" t="b">
        <v>0</v>
      </c>
      <c r="Y880" s="170"/>
      <c r="Z880" s="170"/>
      <c r="AA880" s="170"/>
      <c r="AB880" s="170"/>
      <c r="AC880" s="171"/>
      <c r="AD880" s="170"/>
      <c r="AE880" s="170"/>
      <c r="AF880" s="170"/>
      <c r="AG880" s="170"/>
      <c r="AH880" s="170"/>
      <c r="AI880" s="170"/>
      <c r="AJ880" s="172"/>
      <c r="AK880" s="50"/>
      <c r="AL880" s="25"/>
      <c r="AM880" s="25"/>
      <c r="AN880" s="25"/>
      <c r="AO880" s="165"/>
      <c r="AP880" s="78"/>
      <c r="AQ880" s="25"/>
      <c r="AR880" s="25"/>
      <c r="AS880" s="25"/>
      <c r="AT880" s="25"/>
      <c r="AU880" s="25"/>
      <c r="AV880" s="25"/>
      <c r="AW880" s="25"/>
      <c r="AX880" s="25"/>
      <c r="AY880" s="25"/>
      <c r="AZ880" s="25"/>
      <c r="BA880" s="25"/>
      <c r="BB880" s="25"/>
      <c r="BC880" s="25"/>
      <c r="BD880" s="25"/>
      <c r="BE880" s="25"/>
      <c r="BF880" s="25"/>
      <c r="BG880" s="25"/>
      <c r="BH880" s="25"/>
      <c r="BI880" s="25"/>
      <c r="BJ880" s="25"/>
      <c r="BK880" s="25"/>
      <c r="BL880" s="25"/>
      <c r="BM880" s="25"/>
      <c r="BN880" s="25"/>
      <c r="BO880" s="25"/>
      <c r="BP880" s="25"/>
    </row>
    <row r="881">
      <c r="A881" s="25"/>
      <c r="B881" s="168"/>
      <c r="C881" s="25"/>
      <c r="D881" s="25"/>
      <c r="E881" s="25"/>
      <c r="F881" s="25"/>
      <c r="G881" s="84"/>
      <c r="H881" s="25"/>
      <c r="I881" s="25"/>
      <c r="J881" s="25"/>
      <c r="K881" s="169"/>
      <c r="L881" s="169"/>
      <c r="M881" s="170" t="b">
        <v>0</v>
      </c>
      <c r="N881" s="170" t="b">
        <v>0</v>
      </c>
      <c r="O881" s="48"/>
      <c r="P881" s="170" t="b">
        <v>0</v>
      </c>
      <c r="Q881" s="170" t="b">
        <v>0</v>
      </c>
      <c r="R881" s="170" t="b">
        <v>0</v>
      </c>
      <c r="S881" s="48"/>
      <c r="T881" s="60"/>
      <c r="U881" s="170" t="b">
        <v>0</v>
      </c>
      <c r="V881" s="170"/>
      <c r="W881" s="170" t="b">
        <v>0</v>
      </c>
      <c r="X881" s="170" t="b">
        <v>0</v>
      </c>
      <c r="Y881" s="170"/>
      <c r="Z881" s="170"/>
      <c r="AA881" s="170"/>
      <c r="AB881" s="170"/>
      <c r="AC881" s="171"/>
      <c r="AD881" s="170"/>
      <c r="AE881" s="170"/>
      <c r="AF881" s="170"/>
      <c r="AG881" s="170"/>
      <c r="AH881" s="170"/>
      <c r="AI881" s="170"/>
      <c r="AJ881" s="172"/>
      <c r="AK881" s="50"/>
      <c r="AL881" s="25"/>
      <c r="AM881" s="25"/>
      <c r="AN881" s="25"/>
      <c r="AO881" s="165"/>
      <c r="AP881" s="78"/>
      <c r="AQ881" s="25"/>
      <c r="AR881" s="25"/>
      <c r="AS881" s="25"/>
      <c r="AT881" s="25"/>
      <c r="AU881" s="25"/>
      <c r="AV881" s="25"/>
      <c r="AW881" s="25"/>
      <c r="AX881" s="25"/>
      <c r="AY881" s="25"/>
      <c r="AZ881" s="25"/>
      <c r="BA881" s="25"/>
      <c r="BB881" s="25"/>
      <c r="BC881" s="25"/>
      <c r="BD881" s="25"/>
      <c r="BE881" s="25"/>
      <c r="BF881" s="25"/>
      <c r="BG881" s="25"/>
      <c r="BH881" s="25"/>
      <c r="BI881" s="25"/>
      <c r="BJ881" s="25"/>
      <c r="BK881" s="25"/>
      <c r="BL881" s="25"/>
      <c r="BM881" s="25"/>
      <c r="BN881" s="25"/>
      <c r="BO881" s="25"/>
      <c r="BP881" s="25"/>
    </row>
    <row r="882">
      <c r="A882" s="25"/>
      <c r="B882" s="168"/>
      <c r="C882" s="25"/>
      <c r="D882" s="25"/>
      <c r="E882" s="25"/>
      <c r="F882" s="25"/>
      <c r="G882" s="84"/>
      <c r="H882" s="25"/>
      <c r="I882" s="25"/>
      <c r="J882" s="25"/>
      <c r="K882" s="169"/>
      <c r="L882" s="169"/>
      <c r="M882" s="170" t="b">
        <v>0</v>
      </c>
      <c r="N882" s="170" t="b">
        <v>0</v>
      </c>
      <c r="O882" s="48"/>
      <c r="P882" s="170" t="b">
        <v>0</v>
      </c>
      <c r="Q882" s="170" t="b">
        <v>0</v>
      </c>
      <c r="R882" s="170" t="b">
        <v>0</v>
      </c>
      <c r="S882" s="48"/>
      <c r="T882" s="60"/>
      <c r="U882" s="170" t="b">
        <v>0</v>
      </c>
      <c r="V882" s="170"/>
      <c r="W882" s="170" t="b">
        <v>0</v>
      </c>
      <c r="X882" s="170" t="b">
        <v>0</v>
      </c>
      <c r="Y882" s="170"/>
      <c r="Z882" s="170"/>
      <c r="AA882" s="170"/>
      <c r="AB882" s="170"/>
      <c r="AC882" s="171"/>
      <c r="AD882" s="170"/>
      <c r="AE882" s="170"/>
      <c r="AF882" s="170"/>
      <c r="AG882" s="170"/>
      <c r="AH882" s="170"/>
      <c r="AI882" s="170"/>
      <c r="AJ882" s="172"/>
      <c r="AK882" s="50"/>
      <c r="AL882" s="25"/>
      <c r="AM882" s="25"/>
      <c r="AN882" s="25"/>
      <c r="AO882" s="165"/>
      <c r="AP882" s="78"/>
      <c r="AQ882" s="25"/>
      <c r="AR882" s="25"/>
      <c r="AS882" s="25"/>
      <c r="AT882" s="25"/>
      <c r="AU882" s="25"/>
      <c r="AV882" s="25"/>
      <c r="AW882" s="25"/>
      <c r="AX882" s="25"/>
      <c r="AY882" s="25"/>
      <c r="AZ882" s="25"/>
      <c r="BA882" s="25"/>
      <c r="BB882" s="25"/>
      <c r="BC882" s="25"/>
      <c r="BD882" s="25"/>
      <c r="BE882" s="25"/>
      <c r="BF882" s="25"/>
      <c r="BG882" s="25"/>
      <c r="BH882" s="25"/>
      <c r="BI882" s="25"/>
      <c r="BJ882" s="25"/>
      <c r="BK882" s="25"/>
      <c r="BL882" s="25"/>
      <c r="BM882" s="25"/>
      <c r="BN882" s="25"/>
      <c r="BO882" s="25"/>
      <c r="BP882" s="25"/>
    </row>
    <row r="883">
      <c r="A883" s="25"/>
      <c r="B883" s="168"/>
      <c r="C883" s="25"/>
      <c r="D883" s="25"/>
      <c r="E883" s="25"/>
      <c r="F883" s="25"/>
      <c r="G883" s="84"/>
      <c r="H883" s="25"/>
      <c r="I883" s="25"/>
      <c r="J883" s="25"/>
      <c r="K883" s="169"/>
      <c r="L883" s="169"/>
      <c r="M883" s="170" t="b">
        <v>0</v>
      </c>
      <c r="N883" s="170" t="b">
        <v>0</v>
      </c>
      <c r="O883" s="48"/>
      <c r="P883" s="170" t="b">
        <v>0</v>
      </c>
      <c r="Q883" s="170" t="b">
        <v>0</v>
      </c>
      <c r="R883" s="170" t="b">
        <v>0</v>
      </c>
      <c r="S883" s="48"/>
      <c r="T883" s="60"/>
      <c r="U883" s="170" t="b">
        <v>0</v>
      </c>
      <c r="V883" s="170"/>
      <c r="W883" s="170" t="b">
        <v>0</v>
      </c>
      <c r="X883" s="170" t="b">
        <v>0</v>
      </c>
      <c r="Y883" s="170"/>
      <c r="Z883" s="170"/>
      <c r="AA883" s="170"/>
      <c r="AB883" s="170"/>
      <c r="AC883" s="171"/>
      <c r="AD883" s="170"/>
      <c r="AE883" s="170"/>
      <c r="AF883" s="170"/>
      <c r="AG883" s="170"/>
      <c r="AH883" s="170"/>
      <c r="AI883" s="170"/>
      <c r="AJ883" s="172"/>
      <c r="AK883" s="50"/>
      <c r="AL883" s="25"/>
      <c r="AM883" s="25"/>
      <c r="AN883" s="25"/>
      <c r="AO883" s="165"/>
      <c r="AP883" s="78"/>
      <c r="AQ883" s="25"/>
      <c r="AR883" s="25"/>
      <c r="AS883" s="25"/>
      <c r="AT883" s="25"/>
      <c r="AU883" s="25"/>
      <c r="AV883" s="25"/>
      <c r="AW883" s="25"/>
      <c r="AX883" s="25"/>
      <c r="AY883" s="25"/>
      <c r="AZ883" s="25"/>
      <c r="BA883" s="25"/>
      <c r="BB883" s="25"/>
      <c r="BC883" s="25"/>
      <c r="BD883" s="25"/>
      <c r="BE883" s="25"/>
      <c r="BF883" s="25"/>
      <c r="BG883" s="25"/>
      <c r="BH883" s="25"/>
      <c r="BI883" s="25"/>
      <c r="BJ883" s="25"/>
      <c r="BK883" s="25"/>
      <c r="BL883" s="25"/>
      <c r="BM883" s="25"/>
      <c r="BN883" s="25"/>
      <c r="BO883" s="25"/>
      <c r="BP883" s="25"/>
    </row>
    <row r="884">
      <c r="A884" s="25"/>
      <c r="B884" s="168"/>
      <c r="C884" s="25"/>
      <c r="D884" s="25"/>
      <c r="E884" s="25"/>
      <c r="F884" s="25"/>
      <c r="G884" s="84"/>
      <c r="H884" s="25"/>
      <c r="I884" s="25"/>
      <c r="J884" s="25"/>
      <c r="K884" s="169"/>
      <c r="L884" s="169"/>
      <c r="M884" s="170" t="b">
        <v>0</v>
      </c>
      <c r="N884" s="170" t="b">
        <v>0</v>
      </c>
      <c r="O884" s="48"/>
      <c r="P884" s="170" t="b">
        <v>0</v>
      </c>
      <c r="Q884" s="170" t="b">
        <v>0</v>
      </c>
      <c r="R884" s="170" t="b">
        <v>0</v>
      </c>
      <c r="S884" s="48"/>
      <c r="T884" s="60"/>
      <c r="U884" s="170" t="b">
        <v>0</v>
      </c>
      <c r="V884" s="170"/>
      <c r="W884" s="170" t="b">
        <v>0</v>
      </c>
      <c r="X884" s="170" t="b">
        <v>0</v>
      </c>
      <c r="Y884" s="170"/>
      <c r="Z884" s="170"/>
      <c r="AA884" s="170"/>
      <c r="AB884" s="170"/>
      <c r="AC884" s="171"/>
      <c r="AD884" s="170"/>
      <c r="AE884" s="170"/>
      <c r="AF884" s="170"/>
      <c r="AG884" s="170"/>
      <c r="AH884" s="170"/>
      <c r="AI884" s="170"/>
      <c r="AJ884" s="172"/>
      <c r="AK884" s="50"/>
      <c r="AL884" s="25"/>
      <c r="AM884" s="25"/>
      <c r="AN884" s="25"/>
      <c r="AO884" s="165"/>
      <c r="AP884" s="78"/>
      <c r="AQ884" s="25"/>
      <c r="AR884" s="25"/>
      <c r="AS884" s="25"/>
      <c r="AT884" s="25"/>
      <c r="AU884" s="25"/>
      <c r="AV884" s="25"/>
      <c r="AW884" s="25"/>
      <c r="AX884" s="25"/>
      <c r="AY884" s="25"/>
      <c r="AZ884" s="25"/>
      <c r="BA884" s="25"/>
      <c r="BB884" s="25"/>
      <c r="BC884" s="25"/>
      <c r="BD884" s="25"/>
      <c r="BE884" s="25"/>
      <c r="BF884" s="25"/>
      <c r="BG884" s="25"/>
      <c r="BH884" s="25"/>
      <c r="BI884" s="25"/>
      <c r="BJ884" s="25"/>
      <c r="BK884" s="25"/>
      <c r="BL884" s="25"/>
      <c r="BM884" s="25"/>
      <c r="BN884" s="25"/>
      <c r="BO884" s="25"/>
      <c r="BP884" s="25"/>
    </row>
    <row r="885">
      <c r="A885" s="25"/>
      <c r="B885" s="168"/>
      <c r="C885" s="25"/>
      <c r="D885" s="25"/>
      <c r="E885" s="25"/>
      <c r="F885" s="25"/>
      <c r="G885" s="84"/>
      <c r="H885" s="25"/>
      <c r="I885" s="25"/>
      <c r="J885" s="25"/>
      <c r="K885" s="169"/>
      <c r="L885" s="169"/>
      <c r="M885" s="170" t="b">
        <v>0</v>
      </c>
      <c r="N885" s="170" t="b">
        <v>0</v>
      </c>
      <c r="O885" s="48"/>
      <c r="P885" s="170" t="b">
        <v>0</v>
      </c>
      <c r="Q885" s="170" t="b">
        <v>0</v>
      </c>
      <c r="R885" s="170" t="b">
        <v>0</v>
      </c>
      <c r="S885" s="48"/>
      <c r="T885" s="60"/>
      <c r="U885" s="170" t="b">
        <v>0</v>
      </c>
      <c r="V885" s="170"/>
      <c r="W885" s="170" t="b">
        <v>0</v>
      </c>
      <c r="X885" s="170" t="b">
        <v>0</v>
      </c>
      <c r="Y885" s="170"/>
      <c r="Z885" s="170"/>
      <c r="AA885" s="170"/>
      <c r="AB885" s="170"/>
      <c r="AC885" s="171"/>
      <c r="AD885" s="170"/>
      <c r="AE885" s="170"/>
      <c r="AF885" s="170"/>
      <c r="AG885" s="170"/>
      <c r="AH885" s="170"/>
      <c r="AI885" s="170"/>
      <c r="AJ885" s="172"/>
      <c r="AK885" s="50"/>
      <c r="AL885" s="25"/>
      <c r="AM885" s="25"/>
      <c r="AN885" s="25"/>
      <c r="AO885" s="165"/>
      <c r="AP885" s="78"/>
      <c r="AQ885" s="25"/>
      <c r="AR885" s="25"/>
      <c r="AS885" s="25"/>
      <c r="AT885" s="25"/>
      <c r="AU885" s="25"/>
      <c r="AV885" s="25"/>
      <c r="AW885" s="25"/>
      <c r="AX885" s="25"/>
      <c r="AY885" s="25"/>
      <c r="AZ885" s="25"/>
      <c r="BA885" s="25"/>
      <c r="BB885" s="25"/>
      <c r="BC885" s="25"/>
      <c r="BD885" s="25"/>
      <c r="BE885" s="25"/>
      <c r="BF885" s="25"/>
      <c r="BG885" s="25"/>
      <c r="BH885" s="25"/>
      <c r="BI885" s="25"/>
      <c r="BJ885" s="25"/>
      <c r="BK885" s="25"/>
      <c r="BL885" s="25"/>
      <c r="BM885" s="25"/>
      <c r="BN885" s="25"/>
      <c r="BO885" s="25"/>
      <c r="BP885" s="25"/>
    </row>
    <row r="886">
      <c r="A886" s="25"/>
      <c r="B886" s="168"/>
      <c r="C886" s="25"/>
      <c r="D886" s="25"/>
      <c r="E886" s="25"/>
      <c r="F886" s="25"/>
      <c r="G886" s="84"/>
      <c r="H886" s="25"/>
      <c r="I886" s="25"/>
      <c r="J886" s="25"/>
      <c r="K886" s="169"/>
      <c r="L886" s="169"/>
      <c r="M886" s="170" t="b">
        <v>0</v>
      </c>
      <c r="N886" s="170" t="b">
        <v>0</v>
      </c>
      <c r="O886" s="48"/>
      <c r="P886" s="170" t="b">
        <v>0</v>
      </c>
      <c r="Q886" s="170" t="b">
        <v>0</v>
      </c>
      <c r="R886" s="170" t="b">
        <v>0</v>
      </c>
      <c r="S886" s="48"/>
      <c r="T886" s="60"/>
      <c r="U886" s="170" t="b">
        <v>0</v>
      </c>
      <c r="V886" s="170"/>
      <c r="W886" s="170" t="b">
        <v>0</v>
      </c>
      <c r="X886" s="170" t="b">
        <v>0</v>
      </c>
      <c r="Y886" s="170"/>
      <c r="Z886" s="170"/>
      <c r="AA886" s="170"/>
      <c r="AB886" s="170"/>
      <c r="AC886" s="171"/>
      <c r="AD886" s="170"/>
      <c r="AE886" s="170"/>
      <c r="AF886" s="170"/>
      <c r="AG886" s="170"/>
      <c r="AH886" s="170"/>
      <c r="AI886" s="170"/>
      <c r="AJ886" s="172"/>
      <c r="AK886" s="50"/>
      <c r="AL886" s="25"/>
      <c r="AM886" s="25"/>
      <c r="AN886" s="25"/>
      <c r="AO886" s="165"/>
      <c r="AP886" s="78"/>
      <c r="AQ886" s="25"/>
      <c r="AR886" s="25"/>
      <c r="AS886" s="25"/>
      <c r="AT886" s="25"/>
      <c r="AU886" s="25"/>
      <c r="AV886" s="25"/>
      <c r="AW886" s="25"/>
      <c r="AX886" s="25"/>
      <c r="AY886" s="25"/>
      <c r="AZ886" s="25"/>
      <c r="BA886" s="25"/>
      <c r="BB886" s="25"/>
      <c r="BC886" s="25"/>
      <c r="BD886" s="25"/>
      <c r="BE886" s="25"/>
      <c r="BF886" s="25"/>
      <c r="BG886" s="25"/>
      <c r="BH886" s="25"/>
      <c r="BI886" s="25"/>
      <c r="BJ886" s="25"/>
      <c r="BK886" s="25"/>
      <c r="BL886" s="25"/>
      <c r="BM886" s="25"/>
      <c r="BN886" s="25"/>
      <c r="BO886" s="25"/>
      <c r="BP886" s="25"/>
    </row>
    <row r="887">
      <c r="A887" s="25"/>
      <c r="B887" s="168"/>
      <c r="C887" s="25"/>
      <c r="D887" s="25"/>
      <c r="E887" s="25"/>
      <c r="F887" s="25"/>
      <c r="G887" s="84"/>
      <c r="H887" s="25"/>
      <c r="I887" s="25"/>
      <c r="J887" s="25"/>
      <c r="K887" s="169"/>
      <c r="L887" s="169"/>
      <c r="M887" s="170" t="b">
        <v>0</v>
      </c>
      <c r="N887" s="170" t="b">
        <v>0</v>
      </c>
      <c r="O887" s="48"/>
      <c r="P887" s="170" t="b">
        <v>0</v>
      </c>
      <c r="Q887" s="170" t="b">
        <v>0</v>
      </c>
      <c r="R887" s="170" t="b">
        <v>0</v>
      </c>
      <c r="S887" s="48"/>
      <c r="T887" s="60"/>
      <c r="U887" s="170" t="b">
        <v>0</v>
      </c>
      <c r="V887" s="170"/>
      <c r="W887" s="170" t="b">
        <v>0</v>
      </c>
      <c r="X887" s="170" t="b">
        <v>0</v>
      </c>
      <c r="Y887" s="170"/>
      <c r="Z887" s="170"/>
      <c r="AA887" s="170"/>
      <c r="AB887" s="170"/>
      <c r="AC887" s="171"/>
      <c r="AD887" s="170"/>
      <c r="AE887" s="170"/>
      <c r="AF887" s="170"/>
      <c r="AG887" s="170"/>
      <c r="AH887" s="170"/>
      <c r="AI887" s="170"/>
      <c r="AJ887" s="172"/>
      <c r="AK887" s="50"/>
      <c r="AL887" s="25"/>
      <c r="AM887" s="25"/>
      <c r="AN887" s="25"/>
      <c r="AO887" s="165"/>
      <c r="AP887" s="78"/>
      <c r="AQ887" s="25"/>
      <c r="AR887" s="25"/>
      <c r="AS887" s="25"/>
      <c r="AT887" s="25"/>
      <c r="AU887" s="25"/>
      <c r="AV887" s="25"/>
      <c r="AW887" s="25"/>
      <c r="AX887" s="25"/>
      <c r="AY887" s="25"/>
      <c r="AZ887" s="25"/>
      <c r="BA887" s="25"/>
      <c r="BB887" s="25"/>
      <c r="BC887" s="25"/>
      <c r="BD887" s="25"/>
      <c r="BE887" s="25"/>
      <c r="BF887" s="25"/>
      <c r="BG887" s="25"/>
      <c r="BH887" s="25"/>
      <c r="BI887" s="25"/>
      <c r="BJ887" s="25"/>
      <c r="BK887" s="25"/>
      <c r="BL887" s="25"/>
      <c r="BM887" s="25"/>
      <c r="BN887" s="25"/>
      <c r="BO887" s="25"/>
      <c r="BP887" s="25"/>
    </row>
    <row r="888">
      <c r="A888" s="25"/>
      <c r="B888" s="168"/>
      <c r="C888" s="25"/>
      <c r="D888" s="25"/>
      <c r="E888" s="25"/>
      <c r="F888" s="25"/>
      <c r="G888" s="84"/>
      <c r="H888" s="25"/>
      <c r="I888" s="25"/>
      <c r="J888" s="25"/>
      <c r="K888" s="169"/>
      <c r="L888" s="169"/>
      <c r="M888" s="170" t="b">
        <v>0</v>
      </c>
      <c r="N888" s="170" t="b">
        <v>0</v>
      </c>
      <c r="O888" s="48"/>
      <c r="P888" s="170" t="b">
        <v>0</v>
      </c>
      <c r="Q888" s="170" t="b">
        <v>0</v>
      </c>
      <c r="R888" s="170" t="b">
        <v>0</v>
      </c>
      <c r="S888" s="48"/>
      <c r="T888" s="60"/>
      <c r="U888" s="170" t="b">
        <v>0</v>
      </c>
      <c r="V888" s="170"/>
      <c r="W888" s="170" t="b">
        <v>0</v>
      </c>
      <c r="X888" s="170" t="b">
        <v>0</v>
      </c>
      <c r="Y888" s="170"/>
      <c r="Z888" s="170"/>
      <c r="AA888" s="170"/>
      <c r="AB888" s="170"/>
      <c r="AC888" s="171"/>
      <c r="AD888" s="170"/>
      <c r="AE888" s="170"/>
      <c r="AF888" s="170"/>
      <c r="AG888" s="170"/>
      <c r="AH888" s="170"/>
      <c r="AI888" s="170"/>
      <c r="AJ888" s="172"/>
      <c r="AK888" s="50"/>
      <c r="AL888" s="25"/>
      <c r="AM888" s="25"/>
      <c r="AN888" s="25"/>
      <c r="AO888" s="165"/>
      <c r="AP888" s="78"/>
      <c r="AQ888" s="25"/>
      <c r="AR888" s="25"/>
      <c r="AS888" s="25"/>
      <c r="AT888" s="25"/>
      <c r="AU888" s="25"/>
      <c r="AV888" s="25"/>
      <c r="AW888" s="25"/>
      <c r="AX888" s="25"/>
      <c r="AY888" s="25"/>
      <c r="AZ888" s="25"/>
      <c r="BA888" s="25"/>
      <c r="BB888" s="25"/>
      <c r="BC888" s="25"/>
      <c r="BD888" s="25"/>
      <c r="BE888" s="25"/>
      <c r="BF888" s="25"/>
      <c r="BG888" s="25"/>
      <c r="BH888" s="25"/>
      <c r="BI888" s="25"/>
      <c r="BJ888" s="25"/>
      <c r="BK888" s="25"/>
      <c r="BL888" s="25"/>
      <c r="BM888" s="25"/>
      <c r="BN888" s="25"/>
      <c r="BO888" s="25"/>
      <c r="BP888" s="25"/>
    </row>
    <row r="889">
      <c r="A889" s="25"/>
      <c r="B889" s="168"/>
      <c r="C889" s="25"/>
      <c r="D889" s="25"/>
      <c r="E889" s="25"/>
      <c r="F889" s="25"/>
      <c r="G889" s="84"/>
      <c r="H889" s="25"/>
      <c r="I889" s="25"/>
      <c r="J889" s="25"/>
      <c r="K889" s="169"/>
      <c r="L889" s="169"/>
      <c r="M889" s="170" t="b">
        <v>0</v>
      </c>
      <c r="N889" s="170" t="b">
        <v>0</v>
      </c>
      <c r="O889" s="48"/>
      <c r="P889" s="170" t="b">
        <v>0</v>
      </c>
      <c r="Q889" s="170" t="b">
        <v>0</v>
      </c>
      <c r="R889" s="170" t="b">
        <v>0</v>
      </c>
      <c r="S889" s="48"/>
      <c r="T889" s="60"/>
      <c r="U889" s="170" t="b">
        <v>0</v>
      </c>
      <c r="V889" s="170"/>
      <c r="W889" s="170" t="b">
        <v>0</v>
      </c>
      <c r="X889" s="170" t="b">
        <v>0</v>
      </c>
      <c r="Y889" s="170"/>
      <c r="Z889" s="170"/>
      <c r="AA889" s="170"/>
      <c r="AB889" s="170"/>
      <c r="AC889" s="171"/>
      <c r="AD889" s="170"/>
      <c r="AE889" s="170"/>
      <c r="AF889" s="170"/>
      <c r="AG889" s="170"/>
      <c r="AH889" s="170"/>
      <c r="AI889" s="170"/>
      <c r="AJ889" s="172"/>
      <c r="AK889" s="50"/>
      <c r="AL889" s="25"/>
      <c r="AM889" s="25"/>
      <c r="AN889" s="25"/>
      <c r="AO889" s="165"/>
      <c r="AP889" s="78"/>
      <c r="AQ889" s="25"/>
      <c r="AR889" s="25"/>
      <c r="AS889" s="25"/>
      <c r="AT889" s="25"/>
      <c r="AU889" s="25"/>
      <c r="AV889" s="25"/>
      <c r="AW889" s="25"/>
      <c r="AX889" s="25"/>
      <c r="AY889" s="25"/>
      <c r="AZ889" s="25"/>
      <c r="BA889" s="25"/>
      <c r="BB889" s="25"/>
      <c r="BC889" s="25"/>
      <c r="BD889" s="25"/>
      <c r="BE889" s="25"/>
      <c r="BF889" s="25"/>
      <c r="BG889" s="25"/>
      <c r="BH889" s="25"/>
      <c r="BI889" s="25"/>
      <c r="BJ889" s="25"/>
      <c r="BK889" s="25"/>
      <c r="BL889" s="25"/>
      <c r="BM889" s="25"/>
      <c r="BN889" s="25"/>
      <c r="BO889" s="25"/>
      <c r="BP889" s="25"/>
    </row>
    <row r="890">
      <c r="A890" s="25"/>
      <c r="B890" s="168"/>
      <c r="C890" s="25"/>
      <c r="D890" s="25"/>
      <c r="E890" s="25"/>
      <c r="F890" s="25"/>
      <c r="G890" s="84"/>
      <c r="H890" s="25"/>
      <c r="I890" s="25"/>
      <c r="J890" s="25"/>
      <c r="K890" s="169"/>
      <c r="L890" s="169"/>
      <c r="M890" s="170" t="b">
        <v>0</v>
      </c>
      <c r="N890" s="170" t="b">
        <v>0</v>
      </c>
      <c r="O890" s="48"/>
      <c r="P890" s="170" t="b">
        <v>0</v>
      </c>
      <c r="Q890" s="170" t="b">
        <v>0</v>
      </c>
      <c r="R890" s="170" t="b">
        <v>0</v>
      </c>
      <c r="S890" s="48"/>
      <c r="T890" s="60"/>
      <c r="U890" s="170" t="b">
        <v>0</v>
      </c>
      <c r="V890" s="170"/>
      <c r="W890" s="170" t="b">
        <v>0</v>
      </c>
      <c r="X890" s="170" t="b">
        <v>0</v>
      </c>
      <c r="Y890" s="170"/>
      <c r="Z890" s="170"/>
      <c r="AA890" s="170"/>
      <c r="AB890" s="170"/>
      <c r="AC890" s="171"/>
      <c r="AD890" s="170"/>
      <c r="AE890" s="170"/>
      <c r="AF890" s="170"/>
      <c r="AG890" s="170"/>
      <c r="AH890" s="170"/>
      <c r="AI890" s="170"/>
      <c r="AJ890" s="172"/>
      <c r="AK890" s="50"/>
      <c r="AL890" s="25"/>
      <c r="AM890" s="25"/>
      <c r="AN890" s="25"/>
      <c r="AO890" s="165"/>
      <c r="AP890" s="78"/>
      <c r="AQ890" s="25"/>
      <c r="AR890" s="25"/>
      <c r="AS890" s="25"/>
      <c r="AT890" s="25"/>
      <c r="AU890" s="25"/>
      <c r="AV890" s="25"/>
      <c r="AW890" s="25"/>
      <c r="AX890" s="25"/>
      <c r="AY890" s="25"/>
      <c r="AZ890" s="25"/>
      <c r="BA890" s="25"/>
      <c r="BB890" s="25"/>
      <c r="BC890" s="25"/>
      <c r="BD890" s="25"/>
      <c r="BE890" s="25"/>
      <c r="BF890" s="25"/>
      <c r="BG890" s="25"/>
      <c r="BH890" s="25"/>
      <c r="BI890" s="25"/>
      <c r="BJ890" s="25"/>
      <c r="BK890" s="25"/>
      <c r="BL890" s="25"/>
      <c r="BM890" s="25"/>
      <c r="BN890" s="25"/>
      <c r="BO890" s="25"/>
      <c r="BP890" s="25"/>
    </row>
    <row r="891">
      <c r="A891" s="25"/>
      <c r="B891" s="168"/>
      <c r="C891" s="25"/>
      <c r="D891" s="25"/>
      <c r="E891" s="25"/>
      <c r="F891" s="25"/>
      <c r="G891" s="84"/>
      <c r="H891" s="25"/>
      <c r="I891" s="25"/>
      <c r="J891" s="25"/>
      <c r="K891" s="169"/>
      <c r="L891" s="169"/>
      <c r="M891" s="170" t="b">
        <v>0</v>
      </c>
      <c r="N891" s="170" t="b">
        <v>0</v>
      </c>
      <c r="O891" s="48"/>
      <c r="P891" s="170" t="b">
        <v>0</v>
      </c>
      <c r="Q891" s="170" t="b">
        <v>0</v>
      </c>
      <c r="R891" s="170" t="b">
        <v>0</v>
      </c>
      <c r="S891" s="48"/>
      <c r="T891" s="60"/>
      <c r="U891" s="170" t="b">
        <v>0</v>
      </c>
      <c r="V891" s="170"/>
      <c r="W891" s="170" t="b">
        <v>0</v>
      </c>
      <c r="X891" s="170" t="b">
        <v>0</v>
      </c>
      <c r="Y891" s="170"/>
      <c r="Z891" s="170"/>
      <c r="AA891" s="170"/>
      <c r="AB891" s="170"/>
      <c r="AC891" s="171"/>
      <c r="AD891" s="170"/>
      <c r="AE891" s="170"/>
      <c r="AF891" s="170"/>
      <c r="AG891" s="170"/>
      <c r="AH891" s="170"/>
      <c r="AI891" s="170"/>
      <c r="AJ891" s="172"/>
      <c r="AK891" s="50"/>
      <c r="AL891" s="25"/>
      <c r="AM891" s="25"/>
      <c r="AN891" s="25"/>
      <c r="AO891" s="165"/>
      <c r="AP891" s="78"/>
      <c r="AQ891" s="25"/>
      <c r="AR891" s="25"/>
      <c r="AS891" s="25"/>
      <c r="AT891" s="25"/>
      <c r="AU891" s="25"/>
      <c r="AV891" s="25"/>
      <c r="AW891" s="25"/>
      <c r="AX891" s="25"/>
      <c r="AY891" s="25"/>
      <c r="AZ891" s="25"/>
      <c r="BA891" s="25"/>
      <c r="BB891" s="25"/>
      <c r="BC891" s="25"/>
      <c r="BD891" s="25"/>
      <c r="BE891" s="25"/>
      <c r="BF891" s="25"/>
      <c r="BG891" s="25"/>
      <c r="BH891" s="25"/>
      <c r="BI891" s="25"/>
      <c r="BJ891" s="25"/>
      <c r="BK891" s="25"/>
      <c r="BL891" s="25"/>
      <c r="BM891" s="25"/>
      <c r="BN891" s="25"/>
      <c r="BO891" s="25"/>
      <c r="BP891" s="25"/>
    </row>
    <row r="892">
      <c r="A892" s="25"/>
      <c r="B892" s="168"/>
      <c r="C892" s="25"/>
      <c r="D892" s="25"/>
      <c r="E892" s="25"/>
      <c r="F892" s="25"/>
      <c r="G892" s="84"/>
      <c r="H892" s="25"/>
      <c r="I892" s="25"/>
      <c r="J892" s="25"/>
      <c r="K892" s="169"/>
      <c r="L892" s="169"/>
      <c r="M892" s="170" t="b">
        <v>0</v>
      </c>
      <c r="N892" s="170" t="b">
        <v>0</v>
      </c>
      <c r="O892" s="48"/>
      <c r="P892" s="170" t="b">
        <v>0</v>
      </c>
      <c r="Q892" s="170" t="b">
        <v>0</v>
      </c>
      <c r="R892" s="170" t="b">
        <v>0</v>
      </c>
      <c r="S892" s="48"/>
      <c r="T892" s="60"/>
      <c r="U892" s="170" t="b">
        <v>0</v>
      </c>
      <c r="V892" s="170"/>
      <c r="W892" s="170" t="b">
        <v>0</v>
      </c>
      <c r="X892" s="170" t="b">
        <v>0</v>
      </c>
      <c r="Y892" s="170"/>
      <c r="Z892" s="170"/>
      <c r="AA892" s="170"/>
      <c r="AB892" s="170"/>
      <c r="AC892" s="171"/>
      <c r="AD892" s="170"/>
      <c r="AE892" s="170"/>
      <c r="AF892" s="170"/>
      <c r="AG892" s="170"/>
      <c r="AH892" s="170"/>
      <c r="AI892" s="170"/>
      <c r="AJ892" s="172"/>
      <c r="AK892" s="50"/>
      <c r="AL892" s="25"/>
      <c r="AM892" s="25"/>
      <c r="AN892" s="25"/>
      <c r="AO892" s="165"/>
      <c r="AP892" s="78"/>
      <c r="AQ892" s="25"/>
      <c r="AR892" s="25"/>
      <c r="AS892" s="25"/>
      <c r="AT892" s="25"/>
      <c r="AU892" s="25"/>
      <c r="AV892" s="25"/>
      <c r="AW892" s="25"/>
      <c r="AX892" s="25"/>
      <c r="AY892" s="25"/>
      <c r="AZ892" s="25"/>
      <c r="BA892" s="25"/>
      <c r="BB892" s="25"/>
      <c r="BC892" s="25"/>
      <c r="BD892" s="25"/>
      <c r="BE892" s="25"/>
      <c r="BF892" s="25"/>
      <c r="BG892" s="25"/>
      <c r="BH892" s="25"/>
      <c r="BI892" s="25"/>
      <c r="BJ892" s="25"/>
      <c r="BK892" s="25"/>
      <c r="BL892" s="25"/>
      <c r="BM892" s="25"/>
      <c r="BN892" s="25"/>
      <c r="BO892" s="25"/>
      <c r="BP892" s="25"/>
    </row>
    <row r="893">
      <c r="A893" s="25"/>
      <c r="B893" s="168"/>
      <c r="C893" s="25"/>
      <c r="D893" s="25"/>
      <c r="E893" s="25"/>
      <c r="F893" s="25"/>
      <c r="G893" s="84"/>
      <c r="H893" s="25"/>
      <c r="I893" s="25"/>
      <c r="J893" s="25"/>
      <c r="K893" s="169"/>
      <c r="L893" s="169"/>
      <c r="M893" s="170" t="b">
        <v>0</v>
      </c>
      <c r="N893" s="170" t="b">
        <v>0</v>
      </c>
      <c r="O893" s="48"/>
      <c r="P893" s="170" t="b">
        <v>0</v>
      </c>
      <c r="Q893" s="170" t="b">
        <v>0</v>
      </c>
      <c r="R893" s="170" t="b">
        <v>0</v>
      </c>
      <c r="S893" s="48"/>
      <c r="T893" s="60"/>
      <c r="U893" s="170" t="b">
        <v>0</v>
      </c>
      <c r="V893" s="170"/>
      <c r="W893" s="170" t="b">
        <v>0</v>
      </c>
      <c r="X893" s="170" t="b">
        <v>0</v>
      </c>
      <c r="Y893" s="170"/>
      <c r="Z893" s="170"/>
      <c r="AA893" s="170"/>
      <c r="AB893" s="170"/>
      <c r="AC893" s="171"/>
      <c r="AD893" s="170"/>
      <c r="AE893" s="170"/>
      <c r="AF893" s="170"/>
      <c r="AG893" s="170"/>
      <c r="AH893" s="170"/>
      <c r="AI893" s="170"/>
      <c r="AJ893" s="172"/>
      <c r="AK893" s="50"/>
      <c r="AL893" s="25"/>
      <c r="AM893" s="25"/>
      <c r="AN893" s="25"/>
      <c r="AO893" s="165"/>
      <c r="AP893" s="78"/>
      <c r="AQ893" s="25"/>
      <c r="AR893" s="25"/>
      <c r="AS893" s="25"/>
      <c r="AT893" s="25"/>
      <c r="AU893" s="25"/>
      <c r="AV893" s="25"/>
      <c r="AW893" s="25"/>
      <c r="AX893" s="25"/>
      <c r="AY893" s="25"/>
      <c r="AZ893" s="25"/>
      <c r="BA893" s="25"/>
      <c r="BB893" s="25"/>
      <c r="BC893" s="25"/>
      <c r="BD893" s="25"/>
      <c r="BE893" s="25"/>
      <c r="BF893" s="25"/>
      <c r="BG893" s="25"/>
      <c r="BH893" s="25"/>
      <c r="BI893" s="25"/>
      <c r="BJ893" s="25"/>
      <c r="BK893" s="25"/>
      <c r="BL893" s="25"/>
      <c r="BM893" s="25"/>
      <c r="BN893" s="25"/>
      <c r="BO893" s="25"/>
      <c r="BP893" s="25"/>
    </row>
    <row r="894">
      <c r="A894" s="25"/>
      <c r="B894" s="168"/>
      <c r="C894" s="25"/>
      <c r="D894" s="25"/>
      <c r="E894" s="25"/>
      <c r="F894" s="25"/>
      <c r="G894" s="84"/>
      <c r="H894" s="25"/>
      <c r="I894" s="25"/>
      <c r="J894" s="25"/>
      <c r="K894" s="169"/>
      <c r="L894" s="169"/>
      <c r="M894" s="170" t="b">
        <v>0</v>
      </c>
      <c r="N894" s="170" t="b">
        <v>0</v>
      </c>
      <c r="O894" s="48"/>
      <c r="P894" s="170" t="b">
        <v>0</v>
      </c>
      <c r="Q894" s="170" t="b">
        <v>0</v>
      </c>
      <c r="R894" s="170" t="b">
        <v>0</v>
      </c>
      <c r="S894" s="48"/>
      <c r="T894" s="60"/>
      <c r="U894" s="170" t="b">
        <v>0</v>
      </c>
      <c r="V894" s="170"/>
      <c r="W894" s="170" t="b">
        <v>0</v>
      </c>
      <c r="X894" s="170" t="b">
        <v>0</v>
      </c>
      <c r="Y894" s="170"/>
      <c r="Z894" s="170"/>
      <c r="AA894" s="170"/>
      <c r="AB894" s="170"/>
      <c r="AC894" s="171"/>
      <c r="AD894" s="170"/>
      <c r="AE894" s="170"/>
      <c r="AF894" s="170"/>
      <c r="AG894" s="170"/>
      <c r="AH894" s="170"/>
      <c r="AI894" s="170"/>
      <c r="AJ894" s="172"/>
      <c r="AK894" s="50"/>
      <c r="AL894" s="25"/>
      <c r="AM894" s="25"/>
      <c r="AN894" s="25"/>
      <c r="AO894" s="165"/>
      <c r="AP894" s="78"/>
      <c r="AQ894" s="25"/>
      <c r="AR894" s="25"/>
      <c r="AS894" s="25"/>
      <c r="AT894" s="25"/>
      <c r="AU894" s="25"/>
      <c r="AV894" s="25"/>
      <c r="AW894" s="25"/>
      <c r="AX894" s="25"/>
      <c r="AY894" s="25"/>
      <c r="AZ894" s="25"/>
      <c r="BA894" s="25"/>
      <c r="BB894" s="25"/>
      <c r="BC894" s="25"/>
      <c r="BD894" s="25"/>
      <c r="BE894" s="25"/>
      <c r="BF894" s="25"/>
      <c r="BG894" s="25"/>
      <c r="BH894" s="25"/>
      <c r="BI894" s="25"/>
      <c r="BJ894" s="25"/>
      <c r="BK894" s="25"/>
      <c r="BL894" s="25"/>
      <c r="BM894" s="25"/>
      <c r="BN894" s="25"/>
      <c r="BO894" s="25"/>
      <c r="BP894" s="25"/>
    </row>
    <row r="895">
      <c r="A895" s="25"/>
      <c r="B895" s="168"/>
      <c r="C895" s="25"/>
      <c r="D895" s="25"/>
      <c r="E895" s="25"/>
      <c r="F895" s="25"/>
      <c r="G895" s="84"/>
      <c r="H895" s="25"/>
      <c r="I895" s="25"/>
      <c r="J895" s="25"/>
      <c r="K895" s="169"/>
      <c r="L895" s="169"/>
      <c r="M895" s="170" t="b">
        <v>0</v>
      </c>
      <c r="N895" s="170" t="b">
        <v>0</v>
      </c>
      <c r="O895" s="48"/>
      <c r="P895" s="170" t="b">
        <v>0</v>
      </c>
      <c r="Q895" s="170" t="b">
        <v>0</v>
      </c>
      <c r="R895" s="170" t="b">
        <v>0</v>
      </c>
      <c r="S895" s="48"/>
      <c r="T895" s="60"/>
      <c r="U895" s="170" t="b">
        <v>0</v>
      </c>
      <c r="V895" s="170"/>
      <c r="W895" s="170" t="b">
        <v>0</v>
      </c>
      <c r="X895" s="170" t="b">
        <v>0</v>
      </c>
      <c r="Y895" s="170"/>
      <c r="Z895" s="170"/>
      <c r="AA895" s="170"/>
      <c r="AB895" s="170"/>
      <c r="AC895" s="171"/>
      <c r="AD895" s="170"/>
      <c r="AE895" s="170"/>
      <c r="AF895" s="170"/>
      <c r="AG895" s="170"/>
      <c r="AH895" s="170"/>
      <c r="AI895" s="170"/>
      <c r="AJ895" s="172"/>
      <c r="AK895" s="50"/>
      <c r="AL895" s="25"/>
      <c r="AM895" s="25"/>
      <c r="AN895" s="25"/>
      <c r="AO895" s="165"/>
      <c r="AP895" s="78"/>
      <c r="AQ895" s="25"/>
      <c r="AR895" s="25"/>
      <c r="AS895" s="25"/>
      <c r="AT895" s="25"/>
      <c r="AU895" s="25"/>
      <c r="AV895" s="25"/>
      <c r="AW895" s="25"/>
      <c r="AX895" s="25"/>
      <c r="AY895" s="25"/>
      <c r="AZ895" s="25"/>
      <c r="BA895" s="25"/>
      <c r="BB895" s="25"/>
      <c r="BC895" s="25"/>
      <c r="BD895" s="25"/>
      <c r="BE895" s="25"/>
      <c r="BF895" s="25"/>
      <c r="BG895" s="25"/>
      <c r="BH895" s="25"/>
      <c r="BI895" s="25"/>
      <c r="BJ895" s="25"/>
      <c r="BK895" s="25"/>
      <c r="BL895" s="25"/>
      <c r="BM895" s="25"/>
      <c r="BN895" s="25"/>
      <c r="BO895" s="25"/>
      <c r="BP895" s="25"/>
    </row>
    <row r="896">
      <c r="A896" s="25"/>
      <c r="B896" s="168"/>
      <c r="C896" s="25"/>
      <c r="D896" s="25"/>
      <c r="E896" s="25"/>
      <c r="F896" s="25"/>
      <c r="G896" s="84"/>
      <c r="H896" s="25"/>
      <c r="I896" s="25"/>
      <c r="J896" s="25"/>
      <c r="K896" s="169"/>
      <c r="L896" s="169"/>
      <c r="M896" s="170" t="b">
        <v>0</v>
      </c>
      <c r="N896" s="170" t="b">
        <v>0</v>
      </c>
      <c r="O896" s="48"/>
      <c r="P896" s="170" t="b">
        <v>0</v>
      </c>
      <c r="Q896" s="170" t="b">
        <v>0</v>
      </c>
      <c r="R896" s="170" t="b">
        <v>0</v>
      </c>
      <c r="S896" s="48"/>
      <c r="T896" s="60"/>
      <c r="U896" s="170" t="b">
        <v>0</v>
      </c>
      <c r="V896" s="170"/>
      <c r="W896" s="170" t="b">
        <v>0</v>
      </c>
      <c r="X896" s="170" t="b">
        <v>0</v>
      </c>
      <c r="Y896" s="170"/>
      <c r="Z896" s="170"/>
      <c r="AA896" s="170"/>
      <c r="AB896" s="170"/>
      <c r="AC896" s="171"/>
      <c r="AD896" s="170"/>
      <c r="AE896" s="170"/>
      <c r="AF896" s="170"/>
      <c r="AG896" s="170"/>
      <c r="AH896" s="170"/>
      <c r="AI896" s="170"/>
      <c r="AJ896" s="172"/>
      <c r="AK896" s="50"/>
      <c r="AL896" s="25"/>
      <c r="AM896" s="25"/>
      <c r="AN896" s="25"/>
      <c r="AO896" s="165"/>
      <c r="AP896" s="78"/>
      <c r="AQ896" s="25"/>
      <c r="AR896" s="25"/>
      <c r="AS896" s="25"/>
      <c r="AT896" s="25"/>
      <c r="AU896" s="25"/>
      <c r="AV896" s="25"/>
      <c r="AW896" s="25"/>
      <c r="AX896" s="25"/>
      <c r="AY896" s="25"/>
      <c r="AZ896" s="25"/>
      <c r="BA896" s="25"/>
      <c r="BB896" s="25"/>
      <c r="BC896" s="25"/>
      <c r="BD896" s="25"/>
      <c r="BE896" s="25"/>
      <c r="BF896" s="25"/>
      <c r="BG896" s="25"/>
      <c r="BH896" s="25"/>
      <c r="BI896" s="25"/>
      <c r="BJ896" s="25"/>
      <c r="BK896" s="25"/>
      <c r="BL896" s="25"/>
      <c r="BM896" s="25"/>
      <c r="BN896" s="25"/>
      <c r="BO896" s="25"/>
      <c r="BP896" s="25"/>
    </row>
    <row r="897">
      <c r="A897" s="25"/>
      <c r="B897" s="168"/>
      <c r="C897" s="25"/>
      <c r="D897" s="25"/>
      <c r="E897" s="25"/>
      <c r="F897" s="25"/>
      <c r="G897" s="84"/>
      <c r="H897" s="25"/>
      <c r="I897" s="25"/>
      <c r="J897" s="25"/>
      <c r="K897" s="169"/>
      <c r="L897" s="169"/>
      <c r="M897" s="170" t="b">
        <v>0</v>
      </c>
      <c r="N897" s="170" t="b">
        <v>0</v>
      </c>
      <c r="O897" s="48"/>
      <c r="P897" s="170" t="b">
        <v>0</v>
      </c>
      <c r="Q897" s="170" t="b">
        <v>0</v>
      </c>
      <c r="R897" s="170" t="b">
        <v>0</v>
      </c>
      <c r="S897" s="48"/>
      <c r="T897" s="60"/>
      <c r="U897" s="170" t="b">
        <v>0</v>
      </c>
      <c r="V897" s="170"/>
      <c r="W897" s="170" t="b">
        <v>0</v>
      </c>
      <c r="X897" s="170" t="b">
        <v>0</v>
      </c>
      <c r="Y897" s="170"/>
      <c r="Z897" s="170"/>
      <c r="AA897" s="170"/>
      <c r="AB897" s="170"/>
      <c r="AC897" s="171"/>
      <c r="AD897" s="170"/>
      <c r="AE897" s="170"/>
      <c r="AF897" s="170"/>
      <c r="AG897" s="170"/>
      <c r="AH897" s="170"/>
      <c r="AI897" s="170"/>
      <c r="AJ897" s="172"/>
      <c r="AK897" s="50"/>
      <c r="AL897" s="25"/>
      <c r="AM897" s="25"/>
      <c r="AN897" s="25"/>
      <c r="AO897" s="165"/>
      <c r="AP897" s="78"/>
      <c r="AQ897" s="25"/>
      <c r="AR897" s="25"/>
      <c r="AS897" s="25"/>
      <c r="AT897" s="25"/>
      <c r="AU897" s="25"/>
      <c r="AV897" s="25"/>
      <c r="AW897" s="25"/>
      <c r="AX897" s="25"/>
      <c r="AY897" s="25"/>
      <c r="AZ897" s="25"/>
      <c r="BA897" s="25"/>
      <c r="BB897" s="25"/>
      <c r="BC897" s="25"/>
      <c r="BD897" s="25"/>
      <c r="BE897" s="25"/>
      <c r="BF897" s="25"/>
      <c r="BG897" s="25"/>
      <c r="BH897" s="25"/>
      <c r="BI897" s="25"/>
      <c r="BJ897" s="25"/>
      <c r="BK897" s="25"/>
      <c r="BL897" s="25"/>
      <c r="BM897" s="25"/>
      <c r="BN897" s="25"/>
      <c r="BO897" s="25"/>
      <c r="BP897" s="25"/>
    </row>
    <row r="898">
      <c r="A898" s="25"/>
      <c r="B898" s="168"/>
      <c r="C898" s="25"/>
      <c r="D898" s="25"/>
      <c r="E898" s="25"/>
      <c r="F898" s="25"/>
      <c r="G898" s="84"/>
      <c r="H898" s="25"/>
      <c r="I898" s="25"/>
      <c r="J898" s="25"/>
      <c r="K898" s="169"/>
      <c r="L898" s="169"/>
      <c r="M898" s="170" t="b">
        <v>0</v>
      </c>
      <c r="N898" s="170" t="b">
        <v>0</v>
      </c>
      <c r="O898" s="48"/>
      <c r="P898" s="170" t="b">
        <v>0</v>
      </c>
      <c r="Q898" s="170" t="b">
        <v>0</v>
      </c>
      <c r="R898" s="170" t="b">
        <v>0</v>
      </c>
      <c r="S898" s="48"/>
      <c r="T898" s="60"/>
      <c r="U898" s="170" t="b">
        <v>0</v>
      </c>
      <c r="V898" s="170"/>
      <c r="W898" s="170" t="b">
        <v>0</v>
      </c>
      <c r="X898" s="170" t="b">
        <v>0</v>
      </c>
      <c r="Y898" s="170"/>
      <c r="Z898" s="170"/>
      <c r="AA898" s="170"/>
      <c r="AB898" s="170"/>
      <c r="AC898" s="171"/>
      <c r="AD898" s="170"/>
      <c r="AE898" s="170"/>
      <c r="AF898" s="170"/>
      <c r="AG898" s="170"/>
      <c r="AH898" s="170"/>
      <c r="AI898" s="170"/>
      <c r="AJ898" s="172"/>
      <c r="AK898" s="50"/>
      <c r="AL898" s="25"/>
      <c r="AM898" s="25"/>
      <c r="AN898" s="25"/>
      <c r="AO898" s="165"/>
      <c r="AP898" s="78"/>
      <c r="AQ898" s="25"/>
      <c r="AR898" s="25"/>
      <c r="AS898" s="25"/>
      <c r="AT898" s="25"/>
      <c r="AU898" s="25"/>
      <c r="AV898" s="25"/>
      <c r="AW898" s="25"/>
      <c r="AX898" s="25"/>
      <c r="AY898" s="25"/>
      <c r="AZ898" s="25"/>
      <c r="BA898" s="25"/>
      <c r="BB898" s="25"/>
      <c r="BC898" s="25"/>
      <c r="BD898" s="25"/>
      <c r="BE898" s="25"/>
      <c r="BF898" s="25"/>
      <c r="BG898" s="25"/>
      <c r="BH898" s="25"/>
      <c r="BI898" s="25"/>
      <c r="BJ898" s="25"/>
      <c r="BK898" s="25"/>
      <c r="BL898" s="25"/>
      <c r="BM898" s="25"/>
      <c r="BN898" s="25"/>
      <c r="BO898" s="25"/>
      <c r="BP898" s="25"/>
    </row>
    <row r="899">
      <c r="A899" s="25"/>
      <c r="B899" s="168"/>
      <c r="C899" s="25"/>
      <c r="D899" s="25"/>
      <c r="E899" s="25"/>
      <c r="F899" s="25"/>
      <c r="G899" s="84"/>
      <c r="H899" s="25"/>
      <c r="I899" s="25"/>
      <c r="J899" s="25"/>
      <c r="K899" s="169"/>
      <c r="L899" s="169"/>
      <c r="M899" s="170" t="b">
        <v>0</v>
      </c>
      <c r="N899" s="170" t="b">
        <v>0</v>
      </c>
      <c r="O899" s="48"/>
      <c r="P899" s="170" t="b">
        <v>0</v>
      </c>
      <c r="Q899" s="170" t="b">
        <v>0</v>
      </c>
      <c r="R899" s="170" t="b">
        <v>0</v>
      </c>
      <c r="S899" s="48"/>
      <c r="T899" s="60"/>
      <c r="U899" s="170" t="b">
        <v>0</v>
      </c>
      <c r="V899" s="170"/>
      <c r="W899" s="170" t="b">
        <v>0</v>
      </c>
      <c r="X899" s="170" t="b">
        <v>0</v>
      </c>
      <c r="Y899" s="170"/>
      <c r="Z899" s="170"/>
      <c r="AA899" s="170"/>
      <c r="AB899" s="170"/>
      <c r="AC899" s="171"/>
      <c r="AD899" s="170"/>
      <c r="AE899" s="170"/>
      <c r="AF899" s="170"/>
      <c r="AG899" s="170"/>
      <c r="AH899" s="170"/>
      <c r="AI899" s="170"/>
      <c r="AJ899" s="172"/>
      <c r="AK899" s="50"/>
      <c r="AL899" s="25"/>
      <c r="AM899" s="25"/>
      <c r="AN899" s="25"/>
      <c r="AO899" s="165"/>
      <c r="AP899" s="78"/>
      <c r="AQ899" s="25"/>
      <c r="AR899" s="25"/>
      <c r="AS899" s="25"/>
      <c r="AT899" s="25"/>
      <c r="AU899" s="25"/>
      <c r="AV899" s="25"/>
      <c r="AW899" s="25"/>
      <c r="AX899" s="25"/>
      <c r="AY899" s="25"/>
      <c r="AZ899" s="25"/>
      <c r="BA899" s="25"/>
      <c r="BB899" s="25"/>
      <c r="BC899" s="25"/>
      <c r="BD899" s="25"/>
      <c r="BE899" s="25"/>
      <c r="BF899" s="25"/>
      <c r="BG899" s="25"/>
      <c r="BH899" s="25"/>
      <c r="BI899" s="25"/>
      <c r="BJ899" s="25"/>
      <c r="BK899" s="25"/>
      <c r="BL899" s="25"/>
      <c r="BM899" s="25"/>
      <c r="BN899" s="25"/>
      <c r="BO899" s="25"/>
      <c r="BP899" s="25"/>
    </row>
    <row r="900">
      <c r="A900" s="25"/>
      <c r="B900" s="168"/>
      <c r="C900" s="25"/>
      <c r="D900" s="25"/>
      <c r="E900" s="25"/>
      <c r="F900" s="25"/>
      <c r="G900" s="84"/>
      <c r="H900" s="25"/>
      <c r="I900" s="25"/>
      <c r="J900" s="25"/>
      <c r="K900" s="169"/>
      <c r="L900" s="169"/>
      <c r="M900" s="170" t="b">
        <v>0</v>
      </c>
      <c r="N900" s="170" t="b">
        <v>0</v>
      </c>
      <c r="O900" s="48"/>
      <c r="P900" s="170" t="b">
        <v>0</v>
      </c>
      <c r="Q900" s="170" t="b">
        <v>0</v>
      </c>
      <c r="R900" s="170" t="b">
        <v>0</v>
      </c>
      <c r="S900" s="48"/>
      <c r="T900" s="60"/>
      <c r="U900" s="170" t="b">
        <v>0</v>
      </c>
      <c r="V900" s="170"/>
      <c r="W900" s="170" t="b">
        <v>0</v>
      </c>
      <c r="X900" s="170" t="b">
        <v>0</v>
      </c>
      <c r="Y900" s="170"/>
      <c r="Z900" s="170"/>
      <c r="AA900" s="170"/>
      <c r="AB900" s="170"/>
      <c r="AC900" s="171"/>
      <c r="AD900" s="170"/>
      <c r="AE900" s="170"/>
      <c r="AF900" s="170"/>
      <c r="AG900" s="170"/>
      <c r="AH900" s="170"/>
      <c r="AI900" s="170"/>
      <c r="AJ900" s="172"/>
      <c r="AK900" s="50"/>
      <c r="AL900" s="25"/>
      <c r="AM900" s="25"/>
      <c r="AN900" s="25"/>
      <c r="AO900" s="165"/>
      <c r="AP900" s="78"/>
      <c r="AQ900" s="25"/>
      <c r="AR900" s="25"/>
      <c r="AS900" s="25"/>
      <c r="AT900" s="25"/>
      <c r="AU900" s="25"/>
      <c r="AV900" s="25"/>
      <c r="AW900" s="25"/>
      <c r="AX900" s="25"/>
      <c r="AY900" s="25"/>
      <c r="AZ900" s="25"/>
      <c r="BA900" s="25"/>
      <c r="BB900" s="25"/>
      <c r="BC900" s="25"/>
      <c r="BD900" s="25"/>
      <c r="BE900" s="25"/>
      <c r="BF900" s="25"/>
      <c r="BG900" s="25"/>
      <c r="BH900" s="25"/>
      <c r="BI900" s="25"/>
      <c r="BJ900" s="25"/>
      <c r="BK900" s="25"/>
      <c r="BL900" s="25"/>
      <c r="BM900" s="25"/>
      <c r="BN900" s="25"/>
      <c r="BO900" s="25"/>
      <c r="BP900" s="25"/>
    </row>
    <row r="901">
      <c r="A901" s="25"/>
      <c r="B901" s="168"/>
      <c r="C901" s="25"/>
      <c r="D901" s="25"/>
      <c r="E901" s="25"/>
      <c r="F901" s="25"/>
      <c r="G901" s="84"/>
      <c r="H901" s="25"/>
      <c r="I901" s="25"/>
      <c r="J901" s="25"/>
      <c r="K901" s="169"/>
      <c r="L901" s="169"/>
      <c r="M901" s="170" t="b">
        <v>0</v>
      </c>
      <c r="N901" s="170" t="b">
        <v>0</v>
      </c>
      <c r="O901" s="48"/>
      <c r="P901" s="170" t="b">
        <v>0</v>
      </c>
      <c r="Q901" s="170" t="b">
        <v>0</v>
      </c>
      <c r="R901" s="170" t="b">
        <v>0</v>
      </c>
      <c r="S901" s="48"/>
      <c r="T901" s="60"/>
      <c r="U901" s="170" t="b">
        <v>0</v>
      </c>
      <c r="V901" s="170"/>
      <c r="W901" s="170" t="b">
        <v>0</v>
      </c>
      <c r="X901" s="170" t="b">
        <v>0</v>
      </c>
      <c r="Y901" s="170"/>
      <c r="Z901" s="170"/>
      <c r="AA901" s="170"/>
      <c r="AB901" s="170"/>
      <c r="AC901" s="171"/>
      <c r="AD901" s="170"/>
      <c r="AE901" s="170"/>
      <c r="AF901" s="170"/>
      <c r="AG901" s="170"/>
      <c r="AH901" s="170"/>
      <c r="AI901" s="170"/>
      <c r="AJ901" s="172"/>
      <c r="AK901" s="50"/>
      <c r="AL901" s="25"/>
      <c r="AM901" s="25"/>
      <c r="AN901" s="25"/>
      <c r="AO901" s="165"/>
      <c r="AP901" s="78"/>
      <c r="AQ901" s="25"/>
      <c r="AR901" s="25"/>
      <c r="AS901" s="25"/>
      <c r="AT901" s="25"/>
      <c r="AU901" s="25"/>
      <c r="AV901" s="25"/>
      <c r="AW901" s="25"/>
      <c r="AX901" s="25"/>
      <c r="AY901" s="25"/>
      <c r="AZ901" s="25"/>
      <c r="BA901" s="25"/>
      <c r="BB901" s="25"/>
      <c r="BC901" s="25"/>
      <c r="BD901" s="25"/>
      <c r="BE901" s="25"/>
      <c r="BF901" s="25"/>
      <c r="BG901" s="25"/>
      <c r="BH901" s="25"/>
      <c r="BI901" s="25"/>
      <c r="BJ901" s="25"/>
      <c r="BK901" s="25"/>
      <c r="BL901" s="25"/>
      <c r="BM901" s="25"/>
      <c r="BN901" s="25"/>
      <c r="BO901" s="25"/>
      <c r="BP901" s="25"/>
    </row>
    <row r="902">
      <c r="A902" s="25"/>
      <c r="B902" s="168"/>
      <c r="C902" s="25"/>
      <c r="D902" s="25"/>
      <c r="E902" s="25"/>
      <c r="F902" s="25"/>
      <c r="G902" s="84"/>
      <c r="H902" s="25"/>
      <c r="I902" s="25"/>
      <c r="J902" s="25"/>
      <c r="K902" s="169"/>
      <c r="L902" s="169"/>
      <c r="M902" s="170" t="b">
        <v>0</v>
      </c>
      <c r="N902" s="170" t="b">
        <v>0</v>
      </c>
      <c r="O902" s="48"/>
      <c r="P902" s="170" t="b">
        <v>0</v>
      </c>
      <c r="Q902" s="170" t="b">
        <v>0</v>
      </c>
      <c r="R902" s="170" t="b">
        <v>0</v>
      </c>
      <c r="S902" s="48"/>
      <c r="T902" s="60"/>
      <c r="U902" s="170" t="b">
        <v>0</v>
      </c>
      <c r="V902" s="170"/>
      <c r="W902" s="170" t="b">
        <v>0</v>
      </c>
      <c r="X902" s="170" t="b">
        <v>0</v>
      </c>
      <c r="Y902" s="170"/>
      <c r="Z902" s="170"/>
      <c r="AA902" s="170"/>
      <c r="AB902" s="170"/>
      <c r="AC902" s="171"/>
      <c r="AD902" s="170"/>
      <c r="AE902" s="170"/>
      <c r="AF902" s="170"/>
      <c r="AG902" s="170"/>
      <c r="AH902" s="170"/>
      <c r="AI902" s="170"/>
      <c r="AJ902" s="172"/>
      <c r="AK902" s="50"/>
      <c r="AL902" s="25"/>
      <c r="AM902" s="25"/>
      <c r="AN902" s="25"/>
      <c r="AO902" s="165"/>
      <c r="AP902" s="78"/>
      <c r="AQ902" s="25"/>
      <c r="AR902" s="25"/>
      <c r="AS902" s="25"/>
      <c r="AT902" s="25"/>
      <c r="AU902" s="25"/>
      <c r="AV902" s="25"/>
      <c r="AW902" s="25"/>
      <c r="AX902" s="25"/>
      <c r="AY902" s="25"/>
      <c r="AZ902" s="25"/>
      <c r="BA902" s="25"/>
      <c r="BB902" s="25"/>
      <c r="BC902" s="25"/>
      <c r="BD902" s="25"/>
      <c r="BE902" s="25"/>
      <c r="BF902" s="25"/>
      <c r="BG902" s="25"/>
      <c r="BH902" s="25"/>
      <c r="BI902" s="25"/>
      <c r="BJ902" s="25"/>
      <c r="BK902" s="25"/>
      <c r="BL902" s="25"/>
      <c r="BM902" s="25"/>
      <c r="BN902" s="25"/>
      <c r="BO902" s="25"/>
      <c r="BP902" s="25"/>
    </row>
    <row r="903">
      <c r="A903" s="25"/>
      <c r="B903" s="168"/>
      <c r="C903" s="25"/>
      <c r="D903" s="25"/>
      <c r="E903" s="25"/>
      <c r="F903" s="25"/>
      <c r="G903" s="84"/>
      <c r="H903" s="25"/>
      <c r="I903" s="25"/>
      <c r="J903" s="25"/>
      <c r="K903" s="169"/>
      <c r="L903" s="169"/>
      <c r="M903" s="170" t="b">
        <v>0</v>
      </c>
      <c r="N903" s="170" t="b">
        <v>0</v>
      </c>
      <c r="O903" s="48"/>
      <c r="P903" s="170" t="b">
        <v>0</v>
      </c>
      <c r="Q903" s="170" t="b">
        <v>0</v>
      </c>
      <c r="R903" s="170" t="b">
        <v>0</v>
      </c>
      <c r="S903" s="48"/>
      <c r="T903" s="60"/>
      <c r="U903" s="170" t="b">
        <v>0</v>
      </c>
      <c r="V903" s="170"/>
      <c r="W903" s="170" t="b">
        <v>0</v>
      </c>
      <c r="X903" s="170" t="b">
        <v>0</v>
      </c>
      <c r="Y903" s="170"/>
      <c r="Z903" s="170"/>
      <c r="AA903" s="170"/>
      <c r="AB903" s="170"/>
      <c r="AC903" s="171"/>
      <c r="AD903" s="170"/>
      <c r="AE903" s="170"/>
      <c r="AF903" s="170"/>
      <c r="AG903" s="170"/>
      <c r="AH903" s="170"/>
      <c r="AI903" s="170"/>
      <c r="AJ903" s="172"/>
      <c r="AK903" s="50"/>
      <c r="AL903" s="25"/>
      <c r="AM903" s="25"/>
      <c r="AN903" s="25"/>
      <c r="AO903" s="165"/>
      <c r="AP903" s="78"/>
      <c r="AQ903" s="25"/>
      <c r="AR903" s="25"/>
      <c r="AS903" s="25"/>
      <c r="AT903" s="25"/>
      <c r="AU903" s="25"/>
      <c r="AV903" s="25"/>
      <c r="AW903" s="25"/>
      <c r="AX903" s="25"/>
      <c r="AY903" s="25"/>
      <c r="AZ903" s="25"/>
      <c r="BA903" s="25"/>
      <c r="BB903" s="25"/>
      <c r="BC903" s="25"/>
      <c r="BD903" s="25"/>
      <c r="BE903" s="25"/>
      <c r="BF903" s="25"/>
      <c r="BG903" s="25"/>
      <c r="BH903" s="25"/>
      <c r="BI903" s="25"/>
      <c r="BJ903" s="25"/>
      <c r="BK903" s="25"/>
      <c r="BL903" s="25"/>
      <c r="BM903" s="25"/>
      <c r="BN903" s="25"/>
      <c r="BO903" s="25"/>
      <c r="BP903" s="25"/>
    </row>
    <row r="904">
      <c r="A904" s="25"/>
      <c r="B904" s="168"/>
      <c r="C904" s="25"/>
      <c r="D904" s="25"/>
      <c r="E904" s="25"/>
      <c r="F904" s="25"/>
      <c r="G904" s="84"/>
      <c r="H904" s="25"/>
      <c r="I904" s="25"/>
      <c r="J904" s="25"/>
      <c r="K904" s="169"/>
      <c r="L904" s="169"/>
      <c r="M904" s="170" t="b">
        <v>0</v>
      </c>
      <c r="N904" s="170" t="b">
        <v>0</v>
      </c>
      <c r="O904" s="48"/>
      <c r="P904" s="170" t="b">
        <v>0</v>
      </c>
      <c r="Q904" s="170" t="b">
        <v>0</v>
      </c>
      <c r="R904" s="170" t="b">
        <v>0</v>
      </c>
      <c r="S904" s="48"/>
      <c r="T904" s="60"/>
      <c r="U904" s="170" t="b">
        <v>0</v>
      </c>
      <c r="V904" s="170"/>
      <c r="W904" s="170" t="b">
        <v>0</v>
      </c>
      <c r="X904" s="170" t="b">
        <v>0</v>
      </c>
      <c r="Y904" s="170"/>
      <c r="Z904" s="170"/>
      <c r="AA904" s="170"/>
      <c r="AB904" s="170"/>
      <c r="AC904" s="171"/>
      <c r="AD904" s="170"/>
      <c r="AE904" s="170"/>
      <c r="AF904" s="170"/>
      <c r="AG904" s="170"/>
      <c r="AH904" s="170"/>
      <c r="AI904" s="170"/>
      <c r="AJ904" s="172"/>
      <c r="AK904" s="50"/>
      <c r="AL904" s="25"/>
      <c r="AM904" s="25"/>
      <c r="AN904" s="25"/>
      <c r="AO904" s="165"/>
      <c r="AP904" s="78"/>
      <c r="AQ904" s="25"/>
      <c r="AR904" s="25"/>
      <c r="AS904" s="25"/>
      <c r="AT904" s="25"/>
      <c r="AU904" s="25"/>
      <c r="AV904" s="25"/>
      <c r="AW904" s="25"/>
      <c r="AX904" s="25"/>
      <c r="AY904" s="25"/>
      <c r="AZ904" s="25"/>
      <c r="BA904" s="25"/>
      <c r="BB904" s="25"/>
      <c r="BC904" s="25"/>
      <c r="BD904" s="25"/>
      <c r="BE904" s="25"/>
      <c r="BF904" s="25"/>
      <c r="BG904" s="25"/>
      <c r="BH904" s="25"/>
      <c r="BI904" s="25"/>
      <c r="BJ904" s="25"/>
      <c r="BK904" s="25"/>
      <c r="BL904" s="25"/>
      <c r="BM904" s="25"/>
      <c r="BN904" s="25"/>
      <c r="BO904" s="25"/>
      <c r="BP904" s="25"/>
    </row>
    <row r="905">
      <c r="A905" s="25"/>
      <c r="B905" s="168"/>
      <c r="C905" s="25"/>
      <c r="D905" s="25"/>
      <c r="E905" s="25"/>
      <c r="F905" s="25"/>
      <c r="G905" s="84"/>
      <c r="H905" s="25"/>
      <c r="I905" s="25"/>
      <c r="J905" s="25"/>
      <c r="K905" s="169"/>
      <c r="L905" s="169"/>
      <c r="M905" s="170" t="b">
        <v>0</v>
      </c>
      <c r="N905" s="170" t="b">
        <v>0</v>
      </c>
      <c r="O905" s="48"/>
      <c r="P905" s="170" t="b">
        <v>0</v>
      </c>
      <c r="Q905" s="170" t="b">
        <v>0</v>
      </c>
      <c r="R905" s="170" t="b">
        <v>0</v>
      </c>
      <c r="S905" s="48"/>
      <c r="T905" s="60"/>
      <c r="U905" s="170" t="b">
        <v>0</v>
      </c>
      <c r="V905" s="170"/>
      <c r="W905" s="170" t="b">
        <v>0</v>
      </c>
      <c r="X905" s="170" t="b">
        <v>0</v>
      </c>
      <c r="Y905" s="170"/>
      <c r="Z905" s="170"/>
      <c r="AA905" s="170"/>
      <c r="AB905" s="170"/>
      <c r="AC905" s="171"/>
      <c r="AD905" s="170"/>
      <c r="AE905" s="170"/>
      <c r="AF905" s="170"/>
      <c r="AG905" s="170"/>
      <c r="AH905" s="170"/>
      <c r="AI905" s="170"/>
      <c r="AJ905" s="172"/>
      <c r="AK905" s="50"/>
      <c r="AL905" s="25"/>
      <c r="AM905" s="25"/>
      <c r="AN905" s="25"/>
      <c r="AO905" s="165"/>
      <c r="AP905" s="78"/>
      <c r="AQ905" s="25"/>
      <c r="AR905" s="25"/>
      <c r="AS905" s="25"/>
      <c r="AT905" s="25"/>
      <c r="AU905" s="25"/>
      <c r="AV905" s="25"/>
      <c r="AW905" s="25"/>
      <c r="AX905" s="25"/>
      <c r="AY905" s="25"/>
      <c r="AZ905" s="25"/>
      <c r="BA905" s="25"/>
      <c r="BB905" s="25"/>
      <c r="BC905" s="25"/>
      <c r="BD905" s="25"/>
      <c r="BE905" s="25"/>
      <c r="BF905" s="25"/>
      <c r="BG905" s="25"/>
      <c r="BH905" s="25"/>
      <c r="BI905" s="25"/>
      <c r="BJ905" s="25"/>
      <c r="BK905" s="25"/>
      <c r="BL905" s="25"/>
      <c r="BM905" s="25"/>
      <c r="BN905" s="25"/>
      <c r="BO905" s="25"/>
      <c r="BP905" s="25"/>
    </row>
    <row r="906">
      <c r="A906" s="25"/>
      <c r="B906" s="168"/>
      <c r="C906" s="25"/>
      <c r="D906" s="25"/>
      <c r="E906" s="25"/>
      <c r="F906" s="25"/>
      <c r="G906" s="84"/>
      <c r="H906" s="25"/>
      <c r="I906" s="25"/>
      <c r="J906" s="25"/>
      <c r="K906" s="169"/>
      <c r="L906" s="169"/>
      <c r="M906" s="170" t="b">
        <v>0</v>
      </c>
      <c r="N906" s="170" t="b">
        <v>0</v>
      </c>
      <c r="O906" s="48"/>
      <c r="P906" s="170" t="b">
        <v>0</v>
      </c>
      <c r="Q906" s="170" t="b">
        <v>0</v>
      </c>
      <c r="R906" s="170" t="b">
        <v>0</v>
      </c>
      <c r="S906" s="48"/>
      <c r="T906" s="60"/>
      <c r="U906" s="170" t="b">
        <v>0</v>
      </c>
      <c r="V906" s="170"/>
      <c r="W906" s="170" t="b">
        <v>0</v>
      </c>
      <c r="X906" s="170" t="b">
        <v>0</v>
      </c>
      <c r="Y906" s="170"/>
      <c r="Z906" s="170"/>
      <c r="AA906" s="170"/>
      <c r="AB906" s="170"/>
      <c r="AC906" s="171"/>
      <c r="AD906" s="170"/>
      <c r="AE906" s="170"/>
      <c r="AF906" s="170"/>
      <c r="AG906" s="170"/>
      <c r="AH906" s="170"/>
      <c r="AI906" s="170"/>
      <c r="AJ906" s="172"/>
      <c r="AK906" s="50"/>
      <c r="AL906" s="25"/>
      <c r="AM906" s="25"/>
      <c r="AN906" s="25"/>
      <c r="AO906" s="165"/>
      <c r="AP906" s="78"/>
      <c r="AQ906" s="25"/>
      <c r="AR906" s="25"/>
      <c r="AS906" s="25"/>
      <c r="AT906" s="25"/>
      <c r="AU906" s="25"/>
      <c r="AV906" s="25"/>
      <c r="AW906" s="25"/>
      <c r="AX906" s="25"/>
      <c r="AY906" s="25"/>
      <c r="AZ906" s="25"/>
      <c r="BA906" s="25"/>
      <c r="BB906" s="25"/>
      <c r="BC906" s="25"/>
      <c r="BD906" s="25"/>
      <c r="BE906" s="25"/>
      <c r="BF906" s="25"/>
      <c r="BG906" s="25"/>
      <c r="BH906" s="25"/>
      <c r="BI906" s="25"/>
      <c r="BJ906" s="25"/>
      <c r="BK906" s="25"/>
      <c r="BL906" s="25"/>
      <c r="BM906" s="25"/>
      <c r="BN906" s="25"/>
      <c r="BO906" s="25"/>
      <c r="BP906" s="25"/>
    </row>
    <row r="907">
      <c r="A907" s="25"/>
      <c r="B907" s="168"/>
      <c r="C907" s="25"/>
      <c r="D907" s="25"/>
      <c r="E907" s="25"/>
      <c r="F907" s="25"/>
      <c r="G907" s="84"/>
      <c r="H907" s="25"/>
      <c r="I907" s="25"/>
      <c r="J907" s="25"/>
      <c r="K907" s="169"/>
      <c r="L907" s="169"/>
      <c r="M907" s="170" t="b">
        <v>0</v>
      </c>
      <c r="N907" s="170" t="b">
        <v>0</v>
      </c>
      <c r="O907" s="48"/>
      <c r="P907" s="170" t="b">
        <v>0</v>
      </c>
      <c r="Q907" s="170" t="b">
        <v>0</v>
      </c>
      <c r="R907" s="170" t="b">
        <v>0</v>
      </c>
      <c r="S907" s="48"/>
      <c r="T907" s="60"/>
      <c r="U907" s="170" t="b">
        <v>0</v>
      </c>
      <c r="V907" s="170"/>
      <c r="W907" s="170" t="b">
        <v>0</v>
      </c>
      <c r="X907" s="170" t="b">
        <v>0</v>
      </c>
      <c r="Y907" s="170"/>
      <c r="Z907" s="170"/>
      <c r="AA907" s="170"/>
      <c r="AB907" s="170"/>
      <c r="AC907" s="171"/>
      <c r="AD907" s="170"/>
      <c r="AE907" s="170"/>
      <c r="AF907" s="170"/>
      <c r="AG907" s="170"/>
      <c r="AH907" s="170"/>
      <c r="AI907" s="170"/>
      <c r="AJ907" s="172"/>
      <c r="AK907" s="50"/>
      <c r="AL907" s="25"/>
      <c r="AM907" s="25"/>
      <c r="AN907" s="25"/>
      <c r="AO907" s="165"/>
      <c r="AP907" s="78"/>
      <c r="AQ907" s="25"/>
      <c r="AR907" s="25"/>
      <c r="AS907" s="25"/>
      <c r="AT907" s="25"/>
      <c r="AU907" s="25"/>
      <c r="AV907" s="25"/>
      <c r="AW907" s="25"/>
      <c r="AX907" s="25"/>
      <c r="AY907" s="25"/>
      <c r="AZ907" s="25"/>
      <c r="BA907" s="25"/>
      <c r="BB907" s="25"/>
      <c r="BC907" s="25"/>
      <c r="BD907" s="25"/>
      <c r="BE907" s="25"/>
      <c r="BF907" s="25"/>
      <c r="BG907" s="25"/>
      <c r="BH907" s="25"/>
      <c r="BI907" s="25"/>
      <c r="BJ907" s="25"/>
      <c r="BK907" s="25"/>
      <c r="BL907" s="25"/>
      <c r="BM907" s="25"/>
      <c r="BN907" s="25"/>
      <c r="BO907" s="25"/>
      <c r="BP907" s="25"/>
    </row>
    <row r="908">
      <c r="A908" s="25"/>
      <c r="B908" s="168"/>
      <c r="C908" s="25"/>
      <c r="D908" s="25"/>
      <c r="E908" s="25"/>
      <c r="F908" s="25"/>
      <c r="G908" s="84"/>
      <c r="H908" s="25"/>
      <c r="I908" s="25"/>
      <c r="J908" s="25"/>
      <c r="K908" s="169"/>
      <c r="L908" s="169"/>
      <c r="M908" s="170" t="b">
        <v>0</v>
      </c>
      <c r="N908" s="170" t="b">
        <v>0</v>
      </c>
      <c r="O908" s="48"/>
      <c r="P908" s="170" t="b">
        <v>0</v>
      </c>
      <c r="Q908" s="170" t="b">
        <v>0</v>
      </c>
      <c r="R908" s="170" t="b">
        <v>0</v>
      </c>
      <c r="S908" s="48"/>
      <c r="T908" s="60"/>
      <c r="U908" s="170" t="b">
        <v>0</v>
      </c>
      <c r="V908" s="170"/>
      <c r="W908" s="170" t="b">
        <v>0</v>
      </c>
      <c r="X908" s="170" t="b">
        <v>0</v>
      </c>
      <c r="Y908" s="170"/>
      <c r="Z908" s="170"/>
      <c r="AA908" s="170"/>
      <c r="AB908" s="170"/>
      <c r="AC908" s="171"/>
      <c r="AD908" s="170"/>
      <c r="AE908" s="170"/>
      <c r="AF908" s="170"/>
      <c r="AG908" s="170"/>
      <c r="AH908" s="170"/>
      <c r="AI908" s="170"/>
      <c r="AJ908" s="172"/>
      <c r="AK908" s="50"/>
      <c r="AL908" s="25"/>
      <c r="AM908" s="25"/>
      <c r="AN908" s="25"/>
      <c r="AO908" s="165"/>
      <c r="AP908" s="78"/>
      <c r="AQ908" s="25"/>
      <c r="AR908" s="25"/>
      <c r="AS908" s="25"/>
      <c r="AT908" s="25"/>
      <c r="AU908" s="25"/>
      <c r="AV908" s="25"/>
      <c r="AW908" s="25"/>
      <c r="AX908" s="25"/>
      <c r="AY908" s="25"/>
      <c r="AZ908" s="25"/>
      <c r="BA908" s="25"/>
      <c r="BB908" s="25"/>
      <c r="BC908" s="25"/>
      <c r="BD908" s="25"/>
      <c r="BE908" s="25"/>
      <c r="BF908" s="25"/>
      <c r="BG908" s="25"/>
      <c r="BH908" s="25"/>
      <c r="BI908" s="25"/>
      <c r="BJ908" s="25"/>
      <c r="BK908" s="25"/>
      <c r="BL908" s="25"/>
      <c r="BM908" s="25"/>
      <c r="BN908" s="25"/>
      <c r="BO908" s="25"/>
      <c r="BP908" s="25"/>
    </row>
    <row r="909">
      <c r="A909" s="25"/>
      <c r="B909" s="168"/>
      <c r="C909" s="25"/>
      <c r="D909" s="25"/>
      <c r="E909" s="25"/>
      <c r="F909" s="25"/>
      <c r="G909" s="84"/>
      <c r="H909" s="25"/>
      <c r="I909" s="25"/>
      <c r="J909" s="25"/>
      <c r="K909" s="169"/>
      <c r="L909" s="169"/>
      <c r="M909" s="170" t="b">
        <v>0</v>
      </c>
      <c r="N909" s="170" t="b">
        <v>0</v>
      </c>
      <c r="O909" s="48"/>
      <c r="P909" s="170" t="b">
        <v>0</v>
      </c>
      <c r="Q909" s="170" t="b">
        <v>0</v>
      </c>
      <c r="R909" s="170" t="b">
        <v>0</v>
      </c>
      <c r="S909" s="48"/>
      <c r="T909" s="60"/>
      <c r="U909" s="170" t="b">
        <v>0</v>
      </c>
      <c r="V909" s="170"/>
      <c r="W909" s="170" t="b">
        <v>0</v>
      </c>
      <c r="X909" s="170" t="b">
        <v>0</v>
      </c>
      <c r="Y909" s="170"/>
      <c r="Z909" s="170"/>
      <c r="AA909" s="170"/>
      <c r="AB909" s="170"/>
      <c r="AC909" s="171"/>
      <c r="AD909" s="170"/>
      <c r="AE909" s="170"/>
      <c r="AF909" s="170"/>
      <c r="AG909" s="170"/>
      <c r="AH909" s="170"/>
      <c r="AI909" s="170"/>
      <c r="AJ909" s="172"/>
      <c r="AK909" s="50"/>
      <c r="AL909" s="25"/>
      <c r="AM909" s="25"/>
      <c r="AN909" s="25"/>
      <c r="AO909" s="165"/>
      <c r="AP909" s="78"/>
      <c r="AQ909" s="25"/>
      <c r="AR909" s="25"/>
      <c r="AS909" s="25"/>
      <c r="AT909" s="25"/>
      <c r="AU909" s="25"/>
      <c r="AV909" s="25"/>
      <c r="AW909" s="25"/>
      <c r="AX909" s="25"/>
      <c r="AY909" s="25"/>
      <c r="AZ909" s="25"/>
      <c r="BA909" s="25"/>
      <c r="BB909" s="25"/>
      <c r="BC909" s="25"/>
      <c r="BD909" s="25"/>
      <c r="BE909" s="25"/>
      <c r="BF909" s="25"/>
      <c r="BG909" s="25"/>
      <c r="BH909" s="25"/>
      <c r="BI909" s="25"/>
      <c r="BJ909" s="25"/>
      <c r="BK909" s="25"/>
      <c r="BL909" s="25"/>
      <c r="BM909" s="25"/>
      <c r="BN909" s="25"/>
      <c r="BO909" s="25"/>
      <c r="BP909" s="25"/>
    </row>
    <row r="910">
      <c r="A910" s="25"/>
      <c r="B910" s="168"/>
      <c r="C910" s="25"/>
      <c r="D910" s="25"/>
      <c r="E910" s="25"/>
      <c r="F910" s="25"/>
      <c r="G910" s="84"/>
      <c r="H910" s="25"/>
      <c r="I910" s="25"/>
      <c r="J910" s="25"/>
      <c r="K910" s="169"/>
      <c r="L910" s="169"/>
      <c r="M910" s="170" t="b">
        <v>0</v>
      </c>
      <c r="N910" s="170" t="b">
        <v>0</v>
      </c>
      <c r="O910" s="48"/>
      <c r="P910" s="170" t="b">
        <v>0</v>
      </c>
      <c r="Q910" s="170" t="b">
        <v>0</v>
      </c>
      <c r="R910" s="170" t="b">
        <v>0</v>
      </c>
      <c r="S910" s="48"/>
      <c r="T910" s="60"/>
      <c r="U910" s="170" t="b">
        <v>0</v>
      </c>
      <c r="V910" s="170"/>
      <c r="W910" s="170" t="b">
        <v>0</v>
      </c>
      <c r="X910" s="170" t="b">
        <v>0</v>
      </c>
      <c r="Y910" s="170"/>
      <c r="Z910" s="170"/>
      <c r="AA910" s="170"/>
      <c r="AB910" s="170"/>
      <c r="AC910" s="171"/>
      <c r="AD910" s="170"/>
      <c r="AE910" s="170"/>
      <c r="AF910" s="170"/>
      <c r="AG910" s="170"/>
      <c r="AH910" s="170"/>
      <c r="AI910" s="170"/>
      <c r="AJ910" s="172"/>
      <c r="AK910" s="50"/>
      <c r="AL910" s="25"/>
      <c r="AM910" s="25"/>
      <c r="AN910" s="25"/>
      <c r="AO910" s="165"/>
      <c r="AP910" s="78"/>
      <c r="AQ910" s="25"/>
      <c r="AR910" s="25"/>
      <c r="AS910" s="25"/>
      <c r="AT910" s="25"/>
      <c r="AU910" s="25"/>
      <c r="AV910" s="25"/>
      <c r="AW910" s="25"/>
      <c r="AX910" s="25"/>
      <c r="AY910" s="25"/>
      <c r="AZ910" s="25"/>
      <c r="BA910" s="25"/>
      <c r="BB910" s="25"/>
      <c r="BC910" s="25"/>
      <c r="BD910" s="25"/>
      <c r="BE910" s="25"/>
      <c r="BF910" s="25"/>
      <c r="BG910" s="25"/>
      <c r="BH910" s="25"/>
      <c r="BI910" s="25"/>
      <c r="BJ910" s="25"/>
      <c r="BK910" s="25"/>
      <c r="BL910" s="25"/>
      <c r="BM910" s="25"/>
      <c r="BN910" s="25"/>
      <c r="BO910" s="25"/>
      <c r="BP910" s="25"/>
    </row>
    <row r="911">
      <c r="A911" s="25"/>
      <c r="B911" s="168"/>
      <c r="C911" s="25"/>
      <c r="D911" s="25"/>
      <c r="E911" s="25"/>
      <c r="F911" s="25"/>
      <c r="G911" s="84"/>
      <c r="H911" s="25"/>
      <c r="I911" s="25"/>
      <c r="J911" s="25"/>
      <c r="K911" s="169"/>
      <c r="L911" s="169"/>
      <c r="M911" s="170" t="b">
        <v>0</v>
      </c>
      <c r="N911" s="170" t="b">
        <v>0</v>
      </c>
      <c r="O911" s="48"/>
      <c r="P911" s="170" t="b">
        <v>0</v>
      </c>
      <c r="Q911" s="170" t="b">
        <v>0</v>
      </c>
      <c r="R911" s="170" t="b">
        <v>0</v>
      </c>
      <c r="S911" s="48"/>
      <c r="T911" s="60"/>
      <c r="U911" s="170" t="b">
        <v>0</v>
      </c>
      <c r="V911" s="170"/>
      <c r="W911" s="170" t="b">
        <v>0</v>
      </c>
      <c r="X911" s="170" t="b">
        <v>0</v>
      </c>
      <c r="Y911" s="170"/>
      <c r="Z911" s="170"/>
      <c r="AA911" s="170"/>
      <c r="AB911" s="170"/>
      <c r="AC911" s="171"/>
      <c r="AD911" s="170"/>
      <c r="AE911" s="170"/>
      <c r="AF911" s="170"/>
      <c r="AG911" s="170"/>
      <c r="AH911" s="170"/>
      <c r="AI911" s="170"/>
      <c r="AJ911" s="172"/>
      <c r="AK911" s="50"/>
      <c r="AL911" s="25"/>
      <c r="AM911" s="25"/>
      <c r="AN911" s="25"/>
      <c r="AO911" s="165"/>
      <c r="AP911" s="78"/>
      <c r="AQ911" s="25"/>
      <c r="AR911" s="25"/>
      <c r="AS911" s="25"/>
      <c r="AT911" s="25"/>
      <c r="AU911" s="25"/>
      <c r="AV911" s="25"/>
      <c r="AW911" s="25"/>
      <c r="AX911" s="25"/>
      <c r="AY911" s="25"/>
      <c r="AZ911" s="25"/>
      <c r="BA911" s="25"/>
      <c r="BB911" s="25"/>
      <c r="BC911" s="25"/>
      <c r="BD911" s="25"/>
      <c r="BE911" s="25"/>
      <c r="BF911" s="25"/>
      <c r="BG911" s="25"/>
      <c r="BH911" s="25"/>
      <c r="BI911" s="25"/>
      <c r="BJ911" s="25"/>
      <c r="BK911" s="25"/>
      <c r="BL911" s="25"/>
      <c r="BM911" s="25"/>
      <c r="BN911" s="25"/>
      <c r="BO911" s="25"/>
      <c r="BP911" s="25"/>
    </row>
    <row r="912">
      <c r="A912" s="25"/>
      <c r="B912" s="168"/>
      <c r="C912" s="25"/>
      <c r="D912" s="25"/>
      <c r="E912" s="25"/>
      <c r="F912" s="25"/>
      <c r="G912" s="84"/>
      <c r="H912" s="25"/>
      <c r="I912" s="25"/>
      <c r="J912" s="25"/>
      <c r="K912" s="169"/>
      <c r="L912" s="169"/>
      <c r="M912" s="170" t="b">
        <v>0</v>
      </c>
      <c r="N912" s="170" t="b">
        <v>0</v>
      </c>
      <c r="O912" s="48"/>
      <c r="P912" s="170" t="b">
        <v>0</v>
      </c>
      <c r="Q912" s="170" t="b">
        <v>0</v>
      </c>
      <c r="R912" s="170" t="b">
        <v>0</v>
      </c>
      <c r="S912" s="48"/>
      <c r="T912" s="60"/>
      <c r="U912" s="170" t="b">
        <v>0</v>
      </c>
      <c r="V912" s="170"/>
      <c r="W912" s="170" t="b">
        <v>0</v>
      </c>
      <c r="X912" s="170" t="b">
        <v>0</v>
      </c>
      <c r="Y912" s="170"/>
      <c r="Z912" s="170"/>
      <c r="AA912" s="170"/>
      <c r="AB912" s="170"/>
      <c r="AC912" s="171"/>
      <c r="AD912" s="170"/>
      <c r="AE912" s="170"/>
      <c r="AF912" s="170"/>
      <c r="AG912" s="170"/>
      <c r="AH912" s="170"/>
      <c r="AI912" s="170"/>
      <c r="AJ912" s="172"/>
      <c r="AK912" s="50"/>
      <c r="AL912" s="25"/>
      <c r="AM912" s="25"/>
      <c r="AN912" s="25"/>
      <c r="AO912" s="165"/>
      <c r="AP912" s="78"/>
      <c r="AQ912" s="25"/>
      <c r="AR912" s="25"/>
      <c r="AS912" s="25"/>
      <c r="AT912" s="25"/>
      <c r="AU912" s="25"/>
      <c r="AV912" s="25"/>
      <c r="AW912" s="25"/>
      <c r="AX912" s="25"/>
      <c r="AY912" s="25"/>
      <c r="AZ912" s="25"/>
      <c r="BA912" s="25"/>
      <c r="BB912" s="25"/>
      <c r="BC912" s="25"/>
      <c r="BD912" s="25"/>
      <c r="BE912" s="25"/>
      <c r="BF912" s="25"/>
      <c r="BG912" s="25"/>
      <c r="BH912" s="25"/>
      <c r="BI912" s="25"/>
      <c r="BJ912" s="25"/>
      <c r="BK912" s="25"/>
      <c r="BL912" s="25"/>
      <c r="BM912" s="25"/>
      <c r="BN912" s="25"/>
      <c r="BO912" s="25"/>
      <c r="BP912" s="25"/>
    </row>
    <row r="913">
      <c r="A913" s="25"/>
      <c r="B913" s="168"/>
      <c r="C913" s="25"/>
      <c r="D913" s="25"/>
      <c r="E913" s="25"/>
      <c r="F913" s="25"/>
      <c r="G913" s="84"/>
      <c r="H913" s="25"/>
      <c r="I913" s="25"/>
      <c r="J913" s="25"/>
      <c r="K913" s="169"/>
      <c r="L913" s="169"/>
      <c r="M913" s="170" t="b">
        <v>0</v>
      </c>
      <c r="N913" s="170" t="b">
        <v>0</v>
      </c>
      <c r="O913" s="48"/>
      <c r="P913" s="170" t="b">
        <v>0</v>
      </c>
      <c r="Q913" s="170" t="b">
        <v>0</v>
      </c>
      <c r="R913" s="170" t="b">
        <v>0</v>
      </c>
      <c r="S913" s="48"/>
      <c r="T913" s="60"/>
      <c r="U913" s="170" t="b">
        <v>0</v>
      </c>
      <c r="V913" s="170"/>
      <c r="W913" s="170" t="b">
        <v>0</v>
      </c>
      <c r="X913" s="170" t="b">
        <v>0</v>
      </c>
      <c r="Y913" s="170"/>
      <c r="Z913" s="170"/>
      <c r="AA913" s="170"/>
      <c r="AB913" s="170"/>
      <c r="AC913" s="171"/>
      <c r="AD913" s="170"/>
      <c r="AE913" s="170"/>
      <c r="AF913" s="170"/>
      <c r="AG913" s="170"/>
      <c r="AH913" s="170"/>
      <c r="AI913" s="170"/>
      <c r="AJ913" s="172"/>
      <c r="AK913" s="50"/>
      <c r="AL913" s="25"/>
      <c r="AM913" s="25"/>
      <c r="AN913" s="25"/>
      <c r="AO913" s="165"/>
      <c r="AP913" s="78"/>
      <c r="AQ913" s="25"/>
      <c r="AR913" s="25"/>
      <c r="AS913" s="25"/>
      <c r="AT913" s="25"/>
      <c r="AU913" s="25"/>
      <c r="AV913" s="25"/>
      <c r="AW913" s="25"/>
      <c r="AX913" s="25"/>
      <c r="AY913" s="25"/>
      <c r="AZ913" s="25"/>
      <c r="BA913" s="25"/>
      <c r="BB913" s="25"/>
      <c r="BC913" s="25"/>
      <c r="BD913" s="25"/>
      <c r="BE913" s="25"/>
      <c r="BF913" s="25"/>
      <c r="BG913" s="25"/>
      <c r="BH913" s="25"/>
      <c r="BI913" s="25"/>
      <c r="BJ913" s="25"/>
      <c r="BK913" s="25"/>
      <c r="BL913" s="25"/>
      <c r="BM913" s="25"/>
      <c r="BN913" s="25"/>
      <c r="BO913" s="25"/>
      <c r="BP913" s="25"/>
    </row>
    <row r="914">
      <c r="A914" s="25"/>
      <c r="B914" s="168"/>
      <c r="C914" s="25"/>
      <c r="D914" s="25"/>
      <c r="E914" s="25"/>
      <c r="F914" s="25"/>
      <c r="G914" s="84"/>
      <c r="H914" s="25"/>
      <c r="I914" s="25"/>
      <c r="J914" s="25"/>
      <c r="K914" s="169"/>
      <c r="L914" s="169"/>
      <c r="M914" s="170" t="b">
        <v>0</v>
      </c>
      <c r="N914" s="170" t="b">
        <v>0</v>
      </c>
      <c r="O914" s="48"/>
      <c r="P914" s="170" t="b">
        <v>0</v>
      </c>
      <c r="Q914" s="170" t="b">
        <v>0</v>
      </c>
      <c r="R914" s="170" t="b">
        <v>0</v>
      </c>
      <c r="S914" s="48"/>
      <c r="T914" s="60"/>
      <c r="U914" s="170" t="b">
        <v>0</v>
      </c>
      <c r="V914" s="170"/>
      <c r="W914" s="170" t="b">
        <v>0</v>
      </c>
      <c r="X914" s="170" t="b">
        <v>0</v>
      </c>
      <c r="Y914" s="170"/>
      <c r="Z914" s="170"/>
      <c r="AA914" s="170"/>
      <c r="AB914" s="170"/>
      <c r="AC914" s="171"/>
      <c r="AD914" s="170"/>
      <c r="AE914" s="170"/>
      <c r="AF914" s="170"/>
      <c r="AG914" s="170"/>
      <c r="AH914" s="170"/>
      <c r="AI914" s="170"/>
      <c r="AJ914" s="172"/>
      <c r="AK914" s="50"/>
      <c r="AL914" s="25"/>
      <c r="AM914" s="25"/>
      <c r="AN914" s="25"/>
      <c r="AO914" s="165"/>
      <c r="AP914" s="78"/>
      <c r="AQ914" s="25"/>
      <c r="AR914" s="25"/>
      <c r="AS914" s="25"/>
      <c r="AT914" s="25"/>
      <c r="AU914" s="25"/>
      <c r="AV914" s="25"/>
      <c r="AW914" s="25"/>
      <c r="AX914" s="25"/>
      <c r="AY914" s="25"/>
      <c r="AZ914" s="25"/>
      <c r="BA914" s="25"/>
      <c r="BB914" s="25"/>
      <c r="BC914" s="25"/>
      <c r="BD914" s="25"/>
      <c r="BE914" s="25"/>
      <c r="BF914" s="25"/>
      <c r="BG914" s="25"/>
      <c r="BH914" s="25"/>
      <c r="BI914" s="25"/>
      <c r="BJ914" s="25"/>
      <c r="BK914" s="25"/>
      <c r="BL914" s="25"/>
      <c r="BM914" s="25"/>
      <c r="BN914" s="25"/>
      <c r="BO914" s="25"/>
      <c r="BP914" s="25"/>
    </row>
    <row r="915">
      <c r="A915" s="25"/>
      <c r="B915" s="168"/>
      <c r="C915" s="25"/>
      <c r="D915" s="25"/>
      <c r="E915" s="25"/>
      <c r="F915" s="25"/>
      <c r="G915" s="84"/>
      <c r="H915" s="25"/>
      <c r="I915" s="25"/>
      <c r="J915" s="25"/>
      <c r="K915" s="169"/>
      <c r="L915" s="169"/>
      <c r="M915" s="170" t="b">
        <v>0</v>
      </c>
      <c r="N915" s="170" t="b">
        <v>0</v>
      </c>
      <c r="O915" s="48"/>
      <c r="P915" s="170" t="b">
        <v>0</v>
      </c>
      <c r="Q915" s="170" t="b">
        <v>0</v>
      </c>
      <c r="R915" s="170" t="b">
        <v>0</v>
      </c>
      <c r="S915" s="48"/>
      <c r="T915" s="60"/>
      <c r="U915" s="170" t="b">
        <v>0</v>
      </c>
      <c r="V915" s="170"/>
      <c r="W915" s="170" t="b">
        <v>0</v>
      </c>
      <c r="X915" s="170" t="b">
        <v>0</v>
      </c>
      <c r="Y915" s="170"/>
      <c r="Z915" s="170"/>
      <c r="AA915" s="170"/>
      <c r="AB915" s="170"/>
      <c r="AC915" s="171"/>
      <c r="AD915" s="170"/>
      <c r="AE915" s="170"/>
      <c r="AF915" s="170"/>
      <c r="AG915" s="170"/>
      <c r="AH915" s="170"/>
      <c r="AI915" s="170"/>
      <c r="AJ915" s="172"/>
      <c r="AK915" s="50"/>
      <c r="AL915" s="25"/>
      <c r="AM915" s="25"/>
      <c r="AN915" s="25"/>
      <c r="AO915" s="165"/>
      <c r="AP915" s="78"/>
      <c r="AQ915" s="25"/>
      <c r="AR915" s="25"/>
      <c r="AS915" s="25"/>
      <c r="AT915" s="25"/>
      <c r="AU915" s="25"/>
      <c r="AV915" s="25"/>
      <c r="AW915" s="25"/>
      <c r="AX915" s="25"/>
      <c r="AY915" s="25"/>
      <c r="AZ915" s="25"/>
      <c r="BA915" s="25"/>
      <c r="BB915" s="25"/>
      <c r="BC915" s="25"/>
      <c r="BD915" s="25"/>
      <c r="BE915" s="25"/>
      <c r="BF915" s="25"/>
      <c r="BG915" s="25"/>
      <c r="BH915" s="25"/>
      <c r="BI915" s="25"/>
      <c r="BJ915" s="25"/>
      <c r="BK915" s="25"/>
      <c r="BL915" s="25"/>
      <c r="BM915" s="25"/>
      <c r="BN915" s="25"/>
      <c r="BO915" s="25"/>
      <c r="BP915" s="25"/>
    </row>
    <row r="916">
      <c r="A916" s="25"/>
      <c r="B916" s="168"/>
      <c r="C916" s="25"/>
      <c r="D916" s="25"/>
      <c r="E916" s="25"/>
      <c r="F916" s="25"/>
      <c r="G916" s="84"/>
      <c r="H916" s="25"/>
      <c r="I916" s="25"/>
      <c r="J916" s="25"/>
      <c r="K916" s="169"/>
      <c r="L916" s="169"/>
      <c r="M916" s="170" t="b">
        <v>0</v>
      </c>
      <c r="N916" s="170" t="b">
        <v>0</v>
      </c>
      <c r="O916" s="48"/>
      <c r="P916" s="170" t="b">
        <v>0</v>
      </c>
      <c r="Q916" s="170" t="b">
        <v>0</v>
      </c>
      <c r="R916" s="170" t="b">
        <v>0</v>
      </c>
      <c r="S916" s="48"/>
      <c r="T916" s="60"/>
      <c r="U916" s="170" t="b">
        <v>0</v>
      </c>
      <c r="V916" s="170"/>
      <c r="W916" s="170" t="b">
        <v>0</v>
      </c>
      <c r="X916" s="170" t="b">
        <v>0</v>
      </c>
      <c r="Y916" s="170"/>
      <c r="Z916" s="170"/>
      <c r="AA916" s="170"/>
      <c r="AB916" s="170"/>
      <c r="AC916" s="171"/>
      <c r="AD916" s="170"/>
      <c r="AE916" s="170"/>
      <c r="AF916" s="170"/>
      <c r="AG916" s="170"/>
      <c r="AH916" s="170"/>
      <c r="AI916" s="170"/>
      <c r="AJ916" s="172"/>
      <c r="AK916" s="50"/>
      <c r="AL916" s="25"/>
      <c r="AM916" s="25"/>
      <c r="AN916" s="25"/>
      <c r="AO916" s="165"/>
      <c r="AP916" s="78"/>
      <c r="AQ916" s="25"/>
      <c r="AR916" s="25"/>
      <c r="AS916" s="25"/>
      <c r="AT916" s="25"/>
      <c r="AU916" s="25"/>
      <c r="AV916" s="25"/>
      <c r="AW916" s="25"/>
      <c r="AX916" s="25"/>
      <c r="AY916" s="25"/>
      <c r="AZ916" s="25"/>
      <c r="BA916" s="25"/>
      <c r="BB916" s="25"/>
      <c r="BC916" s="25"/>
      <c r="BD916" s="25"/>
      <c r="BE916" s="25"/>
      <c r="BF916" s="25"/>
      <c r="BG916" s="25"/>
      <c r="BH916" s="25"/>
      <c r="BI916" s="25"/>
      <c r="BJ916" s="25"/>
      <c r="BK916" s="25"/>
      <c r="BL916" s="25"/>
      <c r="BM916" s="25"/>
      <c r="BN916" s="25"/>
      <c r="BO916" s="25"/>
      <c r="BP916" s="25"/>
    </row>
    <row r="917">
      <c r="A917" s="25"/>
      <c r="B917" s="168"/>
      <c r="C917" s="25"/>
      <c r="D917" s="25"/>
      <c r="E917" s="25"/>
      <c r="F917" s="25"/>
      <c r="G917" s="84"/>
      <c r="H917" s="25"/>
      <c r="I917" s="25"/>
      <c r="J917" s="25"/>
      <c r="K917" s="169"/>
      <c r="L917" s="169"/>
      <c r="M917" s="170" t="b">
        <v>0</v>
      </c>
      <c r="N917" s="170" t="b">
        <v>0</v>
      </c>
      <c r="O917" s="48"/>
      <c r="P917" s="170" t="b">
        <v>0</v>
      </c>
      <c r="Q917" s="170" t="b">
        <v>0</v>
      </c>
      <c r="R917" s="170" t="b">
        <v>0</v>
      </c>
      <c r="S917" s="48"/>
      <c r="T917" s="60"/>
      <c r="U917" s="170" t="b">
        <v>0</v>
      </c>
      <c r="V917" s="170"/>
      <c r="W917" s="170" t="b">
        <v>0</v>
      </c>
      <c r="X917" s="170" t="b">
        <v>0</v>
      </c>
      <c r="Y917" s="170"/>
      <c r="Z917" s="170"/>
      <c r="AA917" s="170"/>
      <c r="AB917" s="170"/>
      <c r="AC917" s="171"/>
      <c r="AD917" s="170"/>
      <c r="AE917" s="170"/>
      <c r="AF917" s="170"/>
      <c r="AG917" s="170"/>
      <c r="AH917" s="170"/>
      <c r="AI917" s="170"/>
      <c r="AJ917" s="172"/>
      <c r="AK917" s="50"/>
      <c r="AL917" s="25"/>
      <c r="AM917" s="25"/>
      <c r="AN917" s="25"/>
      <c r="AO917" s="165"/>
      <c r="AP917" s="78"/>
      <c r="AQ917" s="25"/>
      <c r="AR917" s="25"/>
      <c r="AS917" s="25"/>
      <c r="AT917" s="25"/>
      <c r="AU917" s="25"/>
      <c r="AV917" s="25"/>
      <c r="AW917" s="25"/>
      <c r="AX917" s="25"/>
      <c r="AY917" s="25"/>
      <c r="AZ917" s="25"/>
      <c r="BA917" s="25"/>
      <c r="BB917" s="25"/>
      <c r="BC917" s="25"/>
      <c r="BD917" s="25"/>
      <c r="BE917" s="25"/>
      <c r="BF917" s="25"/>
      <c r="BG917" s="25"/>
      <c r="BH917" s="25"/>
      <c r="BI917" s="25"/>
      <c r="BJ917" s="25"/>
      <c r="BK917" s="25"/>
      <c r="BL917" s="25"/>
      <c r="BM917" s="25"/>
      <c r="BN917" s="25"/>
      <c r="BO917" s="25"/>
      <c r="BP917" s="25"/>
    </row>
    <row r="918">
      <c r="A918" s="25"/>
      <c r="B918" s="168"/>
      <c r="C918" s="25"/>
      <c r="D918" s="25"/>
      <c r="E918" s="25"/>
      <c r="F918" s="25"/>
      <c r="G918" s="84"/>
      <c r="H918" s="25"/>
      <c r="I918" s="25"/>
      <c r="J918" s="25"/>
      <c r="K918" s="169"/>
      <c r="L918" s="169"/>
      <c r="M918" s="170" t="b">
        <v>0</v>
      </c>
      <c r="N918" s="170" t="b">
        <v>0</v>
      </c>
      <c r="O918" s="48"/>
      <c r="P918" s="170" t="b">
        <v>0</v>
      </c>
      <c r="Q918" s="170" t="b">
        <v>0</v>
      </c>
      <c r="R918" s="170" t="b">
        <v>0</v>
      </c>
      <c r="S918" s="48"/>
      <c r="T918" s="60"/>
      <c r="U918" s="170" t="b">
        <v>0</v>
      </c>
      <c r="V918" s="170"/>
      <c r="W918" s="170" t="b">
        <v>0</v>
      </c>
      <c r="X918" s="170" t="b">
        <v>0</v>
      </c>
      <c r="Y918" s="170"/>
      <c r="Z918" s="170"/>
      <c r="AA918" s="170"/>
      <c r="AB918" s="170"/>
      <c r="AC918" s="171"/>
      <c r="AD918" s="170"/>
      <c r="AE918" s="170"/>
      <c r="AF918" s="170"/>
      <c r="AG918" s="170"/>
      <c r="AH918" s="170"/>
      <c r="AI918" s="170"/>
      <c r="AJ918" s="172"/>
      <c r="AK918" s="50"/>
      <c r="AL918" s="25"/>
      <c r="AM918" s="25"/>
      <c r="AN918" s="25"/>
      <c r="AO918" s="165"/>
      <c r="AP918" s="78"/>
      <c r="AQ918" s="25"/>
      <c r="AR918" s="25"/>
      <c r="AS918" s="25"/>
      <c r="AT918" s="25"/>
      <c r="AU918" s="25"/>
      <c r="AV918" s="25"/>
      <c r="AW918" s="25"/>
      <c r="AX918" s="25"/>
      <c r="AY918" s="25"/>
      <c r="AZ918" s="25"/>
      <c r="BA918" s="25"/>
      <c r="BB918" s="25"/>
      <c r="BC918" s="25"/>
      <c r="BD918" s="25"/>
      <c r="BE918" s="25"/>
      <c r="BF918" s="25"/>
      <c r="BG918" s="25"/>
      <c r="BH918" s="25"/>
      <c r="BI918" s="25"/>
      <c r="BJ918" s="25"/>
      <c r="BK918" s="25"/>
      <c r="BL918" s="25"/>
      <c r="BM918" s="25"/>
      <c r="BN918" s="25"/>
      <c r="BO918" s="25"/>
      <c r="BP918" s="25"/>
    </row>
    <row r="919">
      <c r="A919" s="25"/>
      <c r="B919" s="168"/>
      <c r="C919" s="25"/>
      <c r="D919" s="25"/>
      <c r="E919" s="25"/>
      <c r="F919" s="25"/>
      <c r="G919" s="84"/>
      <c r="H919" s="25"/>
      <c r="I919" s="25"/>
      <c r="J919" s="25"/>
      <c r="K919" s="169"/>
      <c r="L919" s="169"/>
      <c r="M919" s="170" t="b">
        <v>0</v>
      </c>
      <c r="N919" s="170" t="b">
        <v>0</v>
      </c>
      <c r="O919" s="48"/>
      <c r="P919" s="170" t="b">
        <v>0</v>
      </c>
      <c r="Q919" s="170" t="b">
        <v>0</v>
      </c>
      <c r="R919" s="170" t="b">
        <v>0</v>
      </c>
      <c r="S919" s="48"/>
      <c r="T919" s="60"/>
      <c r="U919" s="170" t="b">
        <v>0</v>
      </c>
      <c r="V919" s="170"/>
      <c r="W919" s="170" t="b">
        <v>0</v>
      </c>
      <c r="X919" s="170" t="b">
        <v>0</v>
      </c>
      <c r="Y919" s="170"/>
      <c r="Z919" s="170"/>
      <c r="AA919" s="170"/>
      <c r="AB919" s="170"/>
      <c r="AC919" s="171"/>
      <c r="AD919" s="170"/>
      <c r="AE919" s="170"/>
      <c r="AF919" s="170"/>
      <c r="AG919" s="170"/>
      <c r="AH919" s="170"/>
      <c r="AI919" s="170"/>
      <c r="AJ919" s="172"/>
      <c r="AK919" s="50"/>
      <c r="AL919" s="25"/>
      <c r="AM919" s="25"/>
      <c r="AN919" s="25"/>
      <c r="AO919" s="165"/>
      <c r="AP919" s="78"/>
      <c r="AQ919" s="25"/>
      <c r="AR919" s="25"/>
      <c r="AS919" s="25"/>
      <c r="AT919" s="25"/>
      <c r="AU919" s="25"/>
      <c r="AV919" s="25"/>
      <c r="AW919" s="25"/>
      <c r="AX919" s="25"/>
      <c r="AY919" s="25"/>
      <c r="AZ919" s="25"/>
      <c r="BA919" s="25"/>
      <c r="BB919" s="25"/>
      <c r="BC919" s="25"/>
      <c r="BD919" s="25"/>
      <c r="BE919" s="25"/>
      <c r="BF919" s="25"/>
      <c r="BG919" s="25"/>
      <c r="BH919" s="25"/>
      <c r="BI919" s="25"/>
      <c r="BJ919" s="25"/>
      <c r="BK919" s="25"/>
      <c r="BL919" s="25"/>
      <c r="BM919" s="25"/>
      <c r="BN919" s="25"/>
      <c r="BO919" s="25"/>
      <c r="BP919" s="25"/>
    </row>
    <row r="920">
      <c r="A920" s="25"/>
      <c r="B920" s="168"/>
      <c r="C920" s="25"/>
      <c r="D920" s="25"/>
      <c r="E920" s="25"/>
      <c r="F920" s="25"/>
      <c r="G920" s="84"/>
      <c r="H920" s="25"/>
      <c r="I920" s="25"/>
      <c r="J920" s="25"/>
      <c r="K920" s="169"/>
      <c r="L920" s="169"/>
      <c r="M920" s="170" t="b">
        <v>0</v>
      </c>
      <c r="N920" s="170" t="b">
        <v>0</v>
      </c>
      <c r="O920" s="48"/>
      <c r="P920" s="170" t="b">
        <v>0</v>
      </c>
      <c r="Q920" s="170" t="b">
        <v>0</v>
      </c>
      <c r="R920" s="170" t="b">
        <v>0</v>
      </c>
      <c r="S920" s="48"/>
      <c r="T920" s="60"/>
      <c r="U920" s="170" t="b">
        <v>0</v>
      </c>
      <c r="V920" s="170"/>
      <c r="W920" s="170" t="b">
        <v>0</v>
      </c>
      <c r="X920" s="170" t="b">
        <v>0</v>
      </c>
      <c r="Y920" s="170"/>
      <c r="Z920" s="170"/>
      <c r="AA920" s="170"/>
      <c r="AB920" s="170"/>
      <c r="AC920" s="171"/>
      <c r="AD920" s="170"/>
      <c r="AE920" s="170"/>
      <c r="AF920" s="170"/>
      <c r="AG920" s="170"/>
      <c r="AH920" s="170"/>
      <c r="AI920" s="170"/>
      <c r="AJ920" s="172"/>
      <c r="AK920" s="50"/>
      <c r="AL920" s="25"/>
      <c r="AM920" s="25"/>
      <c r="AN920" s="25"/>
      <c r="AO920" s="165"/>
      <c r="AP920" s="78"/>
      <c r="AQ920" s="25"/>
      <c r="AR920" s="25"/>
      <c r="AS920" s="25"/>
      <c r="AT920" s="25"/>
      <c r="AU920" s="25"/>
      <c r="AV920" s="25"/>
      <c r="AW920" s="25"/>
      <c r="AX920" s="25"/>
      <c r="AY920" s="25"/>
      <c r="AZ920" s="25"/>
      <c r="BA920" s="25"/>
      <c r="BB920" s="25"/>
      <c r="BC920" s="25"/>
      <c r="BD920" s="25"/>
      <c r="BE920" s="25"/>
      <c r="BF920" s="25"/>
      <c r="BG920" s="25"/>
      <c r="BH920" s="25"/>
      <c r="BI920" s="25"/>
      <c r="BJ920" s="25"/>
      <c r="BK920" s="25"/>
      <c r="BL920" s="25"/>
      <c r="BM920" s="25"/>
      <c r="BN920" s="25"/>
      <c r="BO920" s="25"/>
      <c r="BP920" s="25"/>
    </row>
    <row r="921">
      <c r="A921" s="25"/>
      <c r="B921" s="168"/>
      <c r="C921" s="25"/>
      <c r="D921" s="25"/>
      <c r="E921" s="25"/>
      <c r="F921" s="25"/>
      <c r="G921" s="84"/>
      <c r="H921" s="25"/>
      <c r="I921" s="25"/>
      <c r="J921" s="25"/>
      <c r="K921" s="169"/>
      <c r="L921" s="169"/>
      <c r="M921" s="170" t="b">
        <v>0</v>
      </c>
      <c r="N921" s="170" t="b">
        <v>0</v>
      </c>
      <c r="O921" s="48"/>
      <c r="P921" s="170" t="b">
        <v>0</v>
      </c>
      <c r="Q921" s="170" t="b">
        <v>0</v>
      </c>
      <c r="R921" s="170" t="b">
        <v>0</v>
      </c>
      <c r="S921" s="48"/>
      <c r="T921" s="60"/>
      <c r="U921" s="170" t="b">
        <v>0</v>
      </c>
      <c r="V921" s="170"/>
      <c r="W921" s="170" t="b">
        <v>0</v>
      </c>
      <c r="X921" s="170" t="b">
        <v>0</v>
      </c>
      <c r="Y921" s="170"/>
      <c r="Z921" s="170"/>
      <c r="AA921" s="170"/>
      <c r="AB921" s="170"/>
      <c r="AC921" s="171"/>
      <c r="AD921" s="170"/>
      <c r="AE921" s="170"/>
      <c r="AF921" s="170"/>
      <c r="AG921" s="170"/>
      <c r="AH921" s="170"/>
      <c r="AI921" s="170"/>
      <c r="AJ921" s="172"/>
      <c r="AK921" s="50"/>
      <c r="AL921" s="25"/>
      <c r="AM921" s="25"/>
      <c r="AN921" s="25"/>
      <c r="AO921" s="165"/>
      <c r="AP921" s="78"/>
      <c r="AQ921" s="25"/>
      <c r="AR921" s="25"/>
      <c r="AS921" s="25"/>
      <c r="AT921" s="25"/>
      <c r="AU921" s="25"/>
      <c r="AV921" s="25"/>
      <c r="AW921" s="25"/>
      <c r="AX921" s="25"/>
      <c r="AY921" s="25"/>
      <c r="AZ921" s="25"/>
      <c r="BA921" s="25"/>
      <c r="BB921" s="25"/>
      <c r="BC921" s="25"/>
      <c r="BD921" s="25"/>
      <c r="BE921" s="25"/>
      <c r="BF921" s="25"/>
      <c r="BG921" s="25"/>
      <c r="BH921" s="25"/>
      <c r="BI921" s="25"/>
      <c r="BJ921" s="25"/>
      <c r="BK921" s="25"/>
      <c r="BL921" s="25"/>
      <c r="BM921" s="25"/>
      <c r="BN921" s="25"/>
      <c r="BO921" s="25"/>
      <c r="BP921" s="25"/>
    </row>
    <row r="922">
      <c r="A922" s="25"/>
      <c r="B922" s="168"/>
      <c r="C922" s="25"/>
      <c r="D922" s="25"/>
      <c r="E922" s="25"/>
      <c r="F922" s="25"/>
      <c r="G922" s="84"/>
      <c r="H922" s="25"/>
      <c r="I922" s="25"/>
      <c r="J922" s="25"/>
      <c r="K922" s="169"/>
      <c r="L922" s="169"/>
      <c r="M922" s="170" t="b">
        <v>0</v>
      </c>
      <c r="N922" s="170" t="b">
        <v>0</v>
      </c>
      <c r="O922" s="48"/>
      <c r="P922" s="170" t="b">
        <v>0</v>
      </c>
      <c r="Q922" s="170" t="b">
        <v>0</v>
      </c>
      <c r="R922" s="170" t="b">
        <v>0</v>
      </c>
      <c r="S922" s="48"/>
      <c r="T922" s="60"/>
      <c r="U922" s="170" t="b">
        <v>0</v>
      </c>
      <c r="V922" s="170"/>
      <c r="W922" s="170" t="b">
        <v>0</v>
      </c>
      <c r="X922" s="170" t="b">
        <v>0</v>
      </c>
      <c r="Y922" s="170"/>
      <c r="Z922" s="170"/>
      <c r="AA922" s="170"/>
      <c r="AB922" s="170"/>
      <c r="AC922" s="171"/>
      <c r="AD922" s="170"/>
      <c r="AE922" s="170"/>
      <c r="AF922" s="170"/>
      <c r="AG922" s="170"/>
      <c r="AH922" s="170"/>
      <c r="AI922" s="170"/>
      <c r="AJ922" s="172"/>
      <c r="AK922" s="50"/>
      <c r="AL922" s="25"/>
      <c r="AM922" s="25"/>
      <c r="AN922" s="25"/>
      <c r="AO922" s="165"/>
      <c r="AP922" s="78"/>
      <c r="AQ922" s="25"/>
      <c r="AR922" s="25"/>
      <c r="AS922" s="25"/>
      <c r="AT922" s="25"/>
      <c r="AU922" s="25"/>
      <c r="AV922" s="25"/>
      <c r="AW922" s="25"/>
      <c r="AX922" s="25"/>
      <c r="AY922" s="25"/>
      <c r="AZ922" s="25"/>
      <c r="BA922" s="25"/>
      <c r="BB922" s="25"/>
      <c r="BC922" s="25"/>
      <c r="BD922" s="25"/>
      <c r="BE922" s="25"/>
      <c r="BF922" s="25"/>
      <c r="BG922" s="25"/>
      <c r="BH922" s="25"/>
      <c r="BI922" s="25"/>
      <c r="BJ922" s="25"/>
      <c r="BK922" s="25"/>
      <c r="BL922" s="25"/>
      <c r="BM922" s="25"/>
      <c r="BN922" s="25"/>
      <c r="BO922" s="25"/>
      <c r="BP922" s="25"/>
    </row>
    <row r="923">
      <c r="A923" s="25"/>
      <c r="B923" s="168"/>
      <c r="C923" s="25"/>
      <c r="D923" s="25"/>
      <c r="E923" s="25"/>
      <c r="F923" s="25"/>
      <c r="G923" s="84"/>
      <c r="H923" s="25"/>
      <c r="I923" s="25"/>
      <c r="J923" s="25"/>
      <c r="K923" s="169"/>
      <c r="L923" s="169"/>
      <c r="M923" s="170" t="b">
        <v>0</v>
      </c>
      <c r="N923" s="170" t="b">
        <v>0</v>
      </c>
      <c r="O923" s="48"/>
      <c r="P923" s="170" t="b">
        <v>0</v>
      </c>
      <c r="Q923" s="170" t="b">
        <v>0</v>
      </c>
      <c r="R923" s="170" t="b">
        <v>0</v>
      </c>
      <c r="S923" s="48"/>
      <c r="T923" s="60"/>
      <c r="U923" s="170" t="b">
        <v>0</v>
      </c>
      <c r="V923" s="170"/>
      <c r="W923" s="170" t="b">
        <v>0</v>
      </c>
      <c r="X923" s="170" t="b">
        <v>0</v>
      </c>
      <c r="Y923" s="170"/>
      <c r="Z923" s="170"/>
      <c r="AA923" s="170"/>
      <c r="AB923" s="170"/>
      <c r="AC923" s="171"/>
      <c r="AD923" s="170"/>
      <c r="AE923" s="170"/>
      <c r="AF923" s="170"/>
      <c r="AG923" s="170"/>
      <c r="AH923" s="170"/>
      <c r="AI923" s="170"/>
      <c r="AJ923" s="172"/>
      <c r="AK923" s="50"/>
      <c r="AL923" s="25"/>
      <c r="AM923" s="25"/>
      <c r="AN923" s="25"/>
      <c r="AO923" s="165"/>
      <c r="AP923" s="78"/>
      <c r="AQ923" s="25"/>
      <c r="AR923" s="25"/>
      <c r="AS923" s="25"/>
      <c r="AT923" s="25"/>
      <c r="AU923" s="25"/>
      <c r="AV923" s="25"/>
      <c r="AW923" s="25"/>
      <c r="AX923" s="25"/>
      <c r="AY923" s="25"/>
      <c r="AZ923" s="25"/>
      <c r="BA923" s="25"/>
      <c r="BB923" s="25"/>
      <c r="BC923" s="25"/>
      <c r="BD923" s="25"/>
      <c r="BE923" s="25"/>
      <c r="BF923" s="25"/>
      <c r="BG923" s="25"/>
      <c r="BH923" s="25"/>
      <c r="BI923" s="25"/>
      <c r="BJ923" s="25"/>
      <c r="BK923" s="25"/>
      <c r="BL923" s="25"/>
      <c r="BM923" s="25"/>
      <c r="BN923" s="25"/>
      <c r="BO923" s="25"/>
      <c r="BP923" s="25"/>
    </row>
    <row r="924">
      <c r="A924" s="25"/>
      <c r="B924" s="168"/>
      <c r="C924" s="25"/>
      <c r="D924" s="25"/>
      <c r="E924" s="25"/>
      <c r="F924" s="25"/>
      <c r="G924" s="84"/>
      <c r="H924" s="25"/>
      <c r="I924" s="25"/>
      <c r="J924" s="25"/>
      <c r="K924" s="169"/>
      <c r="L924" s="169"/>
      <c r="M924" s="170" t="b">
        <v>0</v>
      </c>
      <c r="N924" s="170" t="b">
        <v>0</v>
      </c>
      <c r="O924" s="48"/>
      <c r="P924" s="170" t="b">
        <v>0</v>
      </c>
      <c r="Q924" s="170" t="b">
        <v>0</v>
      </c>
      <c r="R924" s="170" t="b">
        <v>0</v>
      </c>
      <c r="S924" s="48"/>
      <c r="T924" s="60"/>
      <c r="U924" s="170" t="b">
        <v>0</v>
      </c>
      <c r="V924" s="170"/>
      <c r="W924" s="170" t="b">
        <v>0</v>
      </c>
      <c r="X924" s="170" t="b">
        <v>0</v>
      </c>
      <c r="Y924" s="170"/>
      <c r="Z924" s="170"/>
      <c r="AA924" s="170"/>
      <c r="AB924" s="170"/>
      <c r="AC924" s="171"/>
      <c r="AD924" s="170"/>
      <c r="AE924" s="170"/>
      <c r="AF924" s="170"/>
      <c r="AG924" s="170"/>
      <c r="AH924" s="170"/>
      <c r="AI924" s="170"/>
      <c r="AJ924" s="172"/>
      <c r="AK924" s="50"/>
      <c r="AL924" s="25"/>
      <c r="AM924" s="25"/>
      <c r="AN924" s="25"/>
      <c r="AO924" s="165"/>
      <c r="AP924" s="78"/>
      <c r="AQ924" s="25"/>
      <c r="AR924" s="25"/>
      <c r="AS924" s="25"/>
      <c r="AT924" s="25"/>
      <c r="AU924" s="25"/>
      <c r="AV924" s="25"/>
      <c r="AW924" s="25"/>
      <c r="AX924" s="25"/>
      <c r="AY924" s="25"/>
      <c r="AZ924" s="25"/>
      <c r="BA924" s="25"/>
      <c r="BB924" s="25"/>
      <c r="BC924" s="25"/>
      <c r="BD924" s="25"/>
      <c r="BE924" s="25"/>
      <c r="BF924" s="25"/>
      <c r="BG924" s="25"/>
      <c r="BH924" s="25"/>
      <c r="BI924" s="25"/>
      <c r="BJ924" s="25"/>
      <c r="BK924" s="25"/>
      <c r="BL924" s="25"/>
      <c r="BM924" s="25"/>
      <c r="BN924" s="25"/>
      <c r="BO924" s="25"/>
      <c r="BP924" s="25"/>
    </row>
    <row r="925">
      <c r="A925" s="25"/>
      <c r="B925" s="168"/>
      <c r="C925" s="25"/>
      <c r="D925" s="25"/>
      <c r="E925" s="25"/>
      <c r="F925" s="25"/>
      <c r="G925" s="84"/>
      <c r="H925" s="25"/>
      <c r="I925" s="25"/>
      <c r="J925" s="25"/>
      <c r="K925" s="169"/>
      <c r="L925" s="169"/>
      <c r="M925" s="170" t="b">
        <v>0</v>
      </c>
      <c r="N925" s="170" t="b">
        <v>0</v>
      </c>
      <c r="O925" s="48"/>
      <c r="P925" s="170" t="b">
        <v>0</v>
      </c>
      <c r="Q925" s="170" t="b">
        <v>0</v>
      </c>
      <c r="R925" s="170" t="b">
        <v>0</v>
      </c>
      <c r="S925" s="48"/>
      <c r="T925" s="60"/>
      <c r="U925" s="170" t="b">
        <v>0</v>
      </c>
      <c r="V925" s="170"/>
      <c r="W925" s="170" t="b">
        <v>0</v>
      </c>
      <c r="X925" s="170" t="b">
        <v>0</v>
      </c>
      <c r="Y925" s="170"/>
      <c r="Z925" s="170"/>
      <c r="AA925" s="170"/>
      <c r="AB925" s="170"/>
      <c r="AC925" s="171"/>
      <c r="AD925" s="170"/>
      <c r="AE925" s="170"/>
      <c r="AF925" s="170"/>
      <c r="AG925" s="170"/>
      <c r="AH925" s="170"/>
      <c r="AI925" s="170"/>
      <c r="AJ925" s="172"/>
      <c r="AK925" s="50"/>
      <c r="AL925" s="25"/>
      <c r="AM925" s="25"/>
      <c r="AN925" s="25"/>
      <c r="AO925" s="165"/>
      <c r="AP925" s="78"/>
      <c r="AQ925" s="25"/>
      <c r="AR925" s="25"/>
      <c r="AS925" s="25"/>
      <c r="AT925" s="25"/>
      <c r="AU925" s="25"/>
      <c r="AV925" s="25"/>
      <c r="AW925" s="25"/>
      <c r="AX925" s="25"/>
      <c r="AY925" s="25"/>
      <c r="AZ925" s="25"/>
      <c r="BA925" s="25"/>
      <c r="BB925" s="25"/>
      <c r="BC925" s="25"/>
      <c r="BD925" s="25"/>
      <c r="BE925" s="25"/>
      <c r="BF925" s="25"/>
      <c r="BG925" s="25"/>
      <c r="BH925" s="25"/>
      <c r="BI925" s="25"/>
      <c r="BJ925" s="25"/>
      <c r="BK925" s="25"/>
      <c r="BL925" s="25"/>
      <c r="BM925" s="25"/>
      <c r="BN925" s="25"/>
      <c r="BO925" s="25"/>
      <c r="BP925" s="25"/>
    </row>
    <row r="926">
      <c r="A926" s="25"/>
      <c r="B926" s="168"/>
      <c r="C926" s="25"/>
      <c r="D926" s="25"/>
      <c r="E926" s="25"/>
      <c r="F926" s="25"/>
      <c r="G926" s="84"/>
      <c r="H926" s="25"/>
      <c r="I926" s="25"/>
      <c r="J926" s="25"/>
      <c r="K926" s="169"/>
      <c r="L926" s="169"/>
      <c r="M926" s="170" t="b">
        <v>0</v>
      </c>
      <c r="N926" s="170" t="b">
        <v>0</v>
      </c>
      <c r="O926" s="48"/>
      <c r="P926" s="170" t="b">
        <v>0</v>
      </c>
      <c r="Q926" s="170" t="b">
        <v>0</v>
      </c>
      <c r="R926" s="170" t="b">
        <v>0</v>
      </c>
      <c r="S926" s="48"/>
      <c r="T926" s="60"/>
      <c r="U926" s="170" t="b">
        <v>0</v>
      </c>
      <c r="V926" s="170"/>
      <c r="W926" s="170" t="b">
        <v>0</v>
      </c>
      <c r="X926" s="170" t="b">
        <v>0</v>
      </c>
      <c r="Y926" s="170"/>
      <c r="Z926" s="170"/>
      <c r="AA926" s="170"/>
      <c r="AB926" s="170"/>
      <c r="AC926" s="171"/>
      <c r="AD926" s="170"/>
      <c r="AE926" s="170"/>
      <c r="AF926" s="170"/>
      <c r="AG926" s="170"/>
      <c r="AH926" s="170"/>
      <c r="AI926" s="170"/>
      <c r="AJ926" s="172"/>
      <c r="AK926" s="50"/>
      <c r="AL926" s="25"/>
      <c r="AM926" s="25"/>
      <c r="AN926" s="25"/>
      <c r="AO926" s="165"/>
      <c r="AP926" s="78"/>
      <c r="AQ926" s="25"/>
      <c r="AR926" s="25"/>
      <c r="AS926" s="25"/>
      <c r="AT926" s="25"/>
      <c r="AU926" s="25"/>
      <c r="AV926" s="25"/>
      <c r="AW926" s="25"/>
      <c r="AX926" s="25"/>
      <c r="AY926" s="25"/>
      <c r="AZ926" s="25"/>
      <c r="BA926" s="25"/>
      <c r="BB926" s="25"/>
      <c r="BC926" s="25"/>
      <c r="BD926" s="25"/>
      <c r="BE926" s="25"/>
      <c r="BF926" s="25"/>
      <c r="BG926" s="25"/>
      <c r="BH926" s="25"/>
      <c r="BI926" s="25"/>
      <c r="BJ926" s="25"/>
      <c r="BK926" s="25"/>
      <c r="BL926" s="25"/>
      <c r="BM926" s="25"/>
      <c r="BN926" s="25"/>
      <c r="BO926" s="25"/>
      <c r="BP926" s="25"/>
    </row>
    <row r="927">
      <c r="A927" s="25"/>
      <c r="B927" s="168"/>
      <c r="C927" s="25"/>
      <c r="D927" s="25"/>
      <c r="E927" s="25"/>
      <c r="F927" s="25"/>
      <c r="G927" s="84"/>
      <c r="H927" s="25"/>
      <c r="I927" s="25"/>
      <c r="J927" s="25"/>
      <c r="K927" s="169"/>
      <c r="L927" s="169"/>
      <c r="M927" s="170" t="b">
        <v>0</v>
      </c>
      <c r="N927" s="170" t="b">
        <v>0</v>
      </c>
      <c r="O927" s="48"/>
      <c r="P927" s="170" t="b">
        <v>0</v>
      </c>
      <c r="Q927" s="170" t="b">
        <v>0</v>
      </c>
      <c r="R927" s="170" t="b">
        <v>0</v>
      </c>
      <c r="S927" s="48"/>
      <c r="T927" s="60"/>
      <c r="U927" s="170" t="b">
        <v>0</v>
      </c>
      <c r="V927" s="170"/>
      <c r="W927" s="170" t="b">
        <v>0</v>
      </c>
      <c r="X927" s="170" t="b">
        <v>0</v>
      </c>
      <c r="Y927" s="170"/>
      <c r="Z927" s="170"/>
      <c r="AA927" s="170"/>
      <c r="AB927" s="170"/>
      <c r="AC927" s="171"/>
      <c r="AD927" s="170"/>
      <c r="AE927" s="170"/>
      <c r="AF927" s="170"/>
      <c r="AG927" s="170"/>
      <c r="AH927" s="170"/>
      <c r="AI927" s="170"/>
      <c r="AJ927" s="172"/>
      <c r="AK927" s="50"/>
      <c r="AL927" s="25"/>
      <c r="AM927" s="25"/>
      <c r="AN927" s="25"/>
      <c r="AO927" s="165"/>
      <c r="AP927" s="78"/>
      <c r="AQ927" s="25"/>
      <c r="AR927" s="25"/>
      <c r="AS927" s="25"/>
      <c r="AT927" s="25"/>
      <c r="AU927" s="25"/>
      <c r="AV927" s="25"/>
      <c r="AW927" s="25"/>
      <c r="AX927" s="25"/>
      <c r="AY927" s="25"/>
      <c r="AZ927" s="25"/>
      <c r="BA927" s="25"/>
      <c r="BB927" s="25"/>
      <c r="BC927" s="25"/>
      <c r="BD927" s="25"/>
      <c r="BE927" s="25"/>
      <c r="BF927" s="25"/>
      <c r="BG927" s="25"/>
      <c r="BH927" s="25"/>
      <c r="BI927" s="25"/>
      <c r="BJ927" s="25"/>
      <c r="BK927" s="25"/>
      <c r="BL927" s="25"/>
      <c r="BM927" s="25"/>
      <c r="BN927" s="25"/>
      <c r="BO927" s="25"/>
      <c r="BP927" s="25"/>
    </row>
    <row r="928">
      <c r="A928" s="25"/>
      <c r="B928" s="168"/>
      <c r="C928" s="25"/>
      <c r="D928" s="25"/>
      <c r="E928" s="25"/>
      <c r="F928" s="25"/>
      <c r="G928" s="84"/>
      <c r="H928" s="25"/>
      <c r="I928" s="25"/>
      <c r="J928" s="25"/>
      <c r="K928" s="169"/>
      <c r="L928" s="169"/>
      <c r="M928" s="170" t="b">
        <v>0</v>
      </c>
      <c r="N928" s="170" t="b">
        <v>0</v>
      </c>
      <c r="O928" s="48"/>
      <c r="P928" s="170" t="b">
        <v>0</v>
      </c>
      <c r="Q928" s="170" t="b">
        <v>0</v>
      </c>
      <c r="R928" s="170" t="b">
        <v>0</v>
      </c>
      <c r="S928" s="48"/>
      <c r="T928" s="60"/>
      <c r="U928" s="170" t="b">
        <v>0</v>
      </c>
      <c r="V928" s="170"/>
      <c r="W928" s="170" t="b">
        <v>0</v>
      </c>
      <c r="X928" s="170" t="b">
        <v>0</v>
      </c>
      <c r="Y928" s="170"/>
      <c r="Z928" s="170"/>
      <c r="AA928" s="170"/>
      <c r="AB928" s="170"/>
      <c r="AC928" s="171"/>
      <c r="AD928" s="170"/>
      <c r="AE928" s="170"/>
      <c r="AF928" s="170"/>
      <c r="AG928" s="170"/>
      <c r="AH928" s="170"/>
      <c r="AI928" s="170"/>
      <c r="AJ928" s="172"/>
      <c r="AK928" s="50"/>
      <c r="AL928" s="25"/>
      <c r="AM928" s="25"/>
      <c r="AN928" s="25"/>
      <c r="AO928" s="165"/>
      <c r="AP928" s="78"/>
      <c r="AQ928" s="25"/>
      <c r="AR928" s="25"/>
      <c r="AS928" s="25"/>
      <c r="AT928" s="25"/>
      <c r="AU928" s="25"/>
      <c r="AV928" s="25"/>
      <c r="AW928" s="25"/>
      <c r="AX928" s="25"/>
      <c r="AY928" s="25"/>
      <c r="AZ928" s="25"/>
      <c r="BA928" s="25"/>
      <c r="BB928" s="25"/>
      <c r="BC928" s="25"/>
      <c r="BD928" s="25"/>
      <c r="BE928" s="25"/>
      <c r="BF928" s="25"/>
      <c r="BG928" s="25"/>
      <c r="BH928" s="25"/>
      <c r="BI928" s="25"/>
      <c r="BJ928" s="25"/>
      <c r="BK928" s="25"/>
      <c r="BL928" s="25"/>
      <c r="BM928" s="25"/>
      <c r="BN928" s="25"/>
      <c r="BO928" s="25"/>
      <c r="BP928" s="25"/>
    </row>
    <row r="929">
      <c r="A929" s="25"/>
      <c r="B929" s="168"/>
      <c r="C929" s="25"/>
      <c r="D929" s="25"/>
      <c r="E929" s="25"/>
      <c r="F929" s="25"/>
      <c r="G929" s="84"/>
      <c r="H929" s="25"/>
      <c r="I929" s="25"/>
      <c r="J929" s="25"/>
      <c r="K929" s="169"/>
      <c r="L929" s="169"/>
      <c r="M929" s="170" t="b">
        <v>0</v>
      </c>
      <c r="N929" s="170" t="b">
        <v>0</v>
      </c>
      <c r="O929" s="48"/>
      <c r="P929" s="170" t="b">
        <v>0</v>
      </c>
      <c r="Q929" s="170" t="b">
        <v>0</v>
      </c>
      <c r="R929" s="170" t="b">
        <v>0</v>
      </c>
      <c r="S929" s="48"/>
      <c r="T929" s="60"/>
      <c r="U929" s="170" t="b">
        <v>0</v>
      </c>
      <c r="V929" s="170"/>
      <c r="W929" s="170" t="b">
        <v>0</v>
      </c>
      <c r="X929" s="170" t="b">
        <v>0</v>
      </c>
      <c r="Y929" s="170"/>
      <c r="Z929" s="170"/>
      <c r="AA929" s="170"/>
      <c r="AB929" s="170"/>
      <c r="AC929" s="171"/>
      <c r="AD929" s="170"/>
      <c r="AE929" s="170"/>
      <c r="AF929" s="170"/>
      <c r="AG929" s="170"/>
      <c r="AH929" s="170"/>
      <c r="AI929" s="170"/>
      <c r="AJ929" s="172"/>
      <c r="AK929" s="50"/>
      <c r="AL929" s="25"/>
      <c r="AM929" s="25"/>
      <c r="AN929" s="25"/>
      <c r="AO929" s="165"/>
      <c r="AP929" s="78"/>
      <c r="AQ929" s="25"/>
      <c r="AR929" s="25"/>
      <c r="AS929" s="25"/>
      <c r="AT929" s="25"/>
      <c r="AU929" s="25"/>
      <c r="AV929" s="25"/>
      <c r="AW929" s="25"/>
      <c r="AX929" s="25"/>
      <c r="AY929" s="25"/>
      <c r="AZ929" s="25"/>
      <c r="BA929" s="25"/>
      <c r="BB929" s="25"/>
      <c r="BC929" s="25"/>
      <c r="BD929" s="25"/>
      <c r="BE929" s="25"/>
      <c r="BF929" s="25"/>
      <c r="BG929" s="25"/>
      <c r="BH929" s="25"/>
      <c r="BI929" s="25"/>
      <c r="BJ929" s="25"/>
      <c r="BK929" s="25"/>
      <c r="BL929" s="25"/>
      <c r="BM929" s="25"/>
      <c r="BN929" s="25"/>
      <c r="BO929" s="25"/>
      <c r="BP929" s="25"/>
    </row>
    <row r="930">
      <c r="A930" s="25"/>
      <c r="B930" s="168"/>
      <c r="C930" s="25"/>
      <c r="D930" s="25"/>
      <c r="E930" s="25"/>
      <c r="F930" s="25"/>
      <c r="G930" s="84"/>
      <c r="H930" s="25"/>
      <c r="I930" s="25"/>
      <c r="J930" s="25"/>
      <c r="K930" s="169"/>
      <c r="L930" s="169"/>
      <c r="M930" s="170" t="b">
        <v>0</v>
      </c>
      <c r="N930" s="170" t="b">
        <v>0</v>
      </c>
      <c r="O930" s="48"/>
      <c r="P930" s="170" t="b">
        <v>0</v>
      </c>
      <c r="Q930" s="170" t="b">
        <v>0</v>
      </c>
      <c r="R930" s="170" t="b">
        <v>0</v>
      </c>
      <c r="S930" s="48"/>
      <c r="T930" s="60"/>
      <c r="U930" s="170" t="b">
        <v>0</v>
      </c>
      <c r="V930" s="170"/>
      <c r="W930" s="170" t="b">
        <v>0</v>
      </c>
      <c r="X930" s="170" t="b">
        <v>0</v>
      </c>
      <c r="Y930" s="170"/>
      <c r="Z930" s="170"/>
      <c r="AA930" s="170"/>
      <c r="AB930" s="170"/>
      <c r="AC930" s="171"/>
      <c r="AD930" s="170"/>
      <c r="AE930" s="170"/>
      <c r="AF930" s="170"/>
      <c r="AG930" s="170"/>
      <c r="AH930" s="170"/>
      <c r="AI930" s="170"/>
      <c r="AJ930" s="172"/>
      <c r="AK930" s="50"/>
      <c r="AL930" s="25"/>
      <c r="AM930" s="25"/>
      <c r="AN930" s="25"/>
      <c r="AO930" s="165"/>
      <c r="AP930" s="78"/>
      <c r="AQ930" s="25"/>
      <c r="AR930" s="25"/>
      <c r="AS930" s="25"/>
      <c r="AT930" s="25"/>
      <c r="AU930" s="25"/>
      <c r="AV930" s="25"/>
      <c r="AW930" s="25"/>
      <c r="AX930" s="25"/>
      <c r="AY930" s="25"/>
      <c r="AZ930" s="25"/>
      <c r="BA930" s="25"/>
      <c r="BB930" s="25"/>
      <c r="BC930" s="25"/>
      <c r="BD930" s="25"/>
      <c r="BE930" s="25"/>
      <c r="BF930" s="25"/>
      <c r="BG930" s="25"/>
      <c r="BH930" s="25"/>
      <c r="BI930" s="25"/>
      <c r="BJ930" s="25"/>
      <c r="BK930" s="25"/>
      <c r="BL930" s="25"/>
      <c r="BM930" s="25"/>
      <c r="BN930" s="25"/>
      <c r="BO930" s="25"/>
      <c r="BP930" s="25"/>
    </row>
    <row r="931">
      <c r="A931" s="25"/>
      <c r="B931" s="168"/>
      <c r="C931" s="25"/>
      <c r="D931" s="25"/>
      <c r="E931" s="25"/>
      <c r="F931" s="25"/>
      <c r="G931" s="84"/>
      <c r="H931" s="25"/>
      <c r="I931" s="25"/>
      <c r="J931" s="25"/>
      <c r="K931" s="169"/>
      <c r="L931" s="169"/>
      <c r="M931" s="170" t="b">
        <v>0</v>
      </c>
      <c r="N931" s="170" t="b">
        <v>0</v>
      </c>
      <c r="O931" s="48"/>
      <c r="P931" s="170" t="b">
        <v>0</v>
      </c>
      <c r="Q931" s="170" t="b">
        <v>0</v>
      </c>
      <c r="R931" s="170" t="b">
        <v>0</v>
      </c>
      <c r="S931" s="48"/>
      <c r="T931" s="60"/>
      <c r="U931" s="170" t="b">
        <v>0</v>
      </c>
      <c r="V931" s="170"/>
      <c r="W931" s="170" t="b">
        <v>0</v>
      </c>
      <c r="X931" s="170" t="b">
        <v>0</v>
      </c>
      <c r="Y931" s="170"/>
      <c r="Z931" s="170"/>
      <c r="AA931" s="170"/>
      <c r="AB931" s="170"/>
      <c r="AC931" s="171"/>
      <c r="AD931" s="170"/>
      <c r="AE931" s="170"/>
      <c r="AF931" s="170"/>
      <c r="AG931" s="170"/>
      <c r="AH931" s="170"/>
      <c r="AI931" s="170"/>
      <c r="AJ931" s="172"/>
      <c r="AK931" s="50"/>
      <c r="AL931" s="25"/>
      <c r="AM931" s="25"/>
      <c r="AN931" s="25"/>
      <c r="AO931" s="165"/>
      <c r="AP931" s="78"/>
      <c r="AQ931" s="25"/>
      <c r="AR931" s="25"/>
      <c r="AS931" s="25"/>
      <c r="AT931" s="25"/>
      <c r="AU931" s="25"/>
      <c r="AV931" s="25"/>
      <c r="AW931" s="25"/>
      <c r="AX931" s="25"/>
      <c r="AY931" s="25"/>
      <c r="AZ931" s="25"/>
      <c r="BA931" s="25"/>
      <c r="BB931" s="25"/>
      <c r="BC931" s="25"/>
      <c r="BD931" s="25"/>
      <c r="BE931" s="25"/>
      <c r="BF931" s="25"/>
      <c r="BG931" s="25"/>
      <c r="BH931" s="25"/>
      <c r="BI931" s="25"/>
      <c r="BJ931" s="25"/>
      <c r="BK931" s="25"/>
      <c r="BL931" s="25"/>
      <c r="BM931" s="25"/>
      <c r="BN931" s="25"/>
      <c r="BO931" s="25"/>
      <c r="BP931" s="25"/>
    </row>
    <row r="932">
      <c r="A932" s="25"/>
      <c r="B932" s="168"/>
      <c r="C932" s="25"/>
      <c r="D932" s="25"/>
      <c r="E932" s="25"/>
      <c r="F932" s="25"/>
      <c r="G932" s="84"/>
      <c r="H932" s="25"/>
      <c r="I932" s="25"/>
      <c r="J932" s="25"/>
      <c r="K932" s="169"/>
      <c r="L932" s="169"/>
      <c r="M932" s="170" t="b">
        <v>0</v>
      </c>
      <c r="N932" s="170" t="b">
        <v>0</v>
      </c>
      <c r="O932" s="48"/>
      <c r="P932" s="170" t="b">
        <v>0</v>
      </c>
      <c r="Q932" s="170" t="b">
        <v>0</v>
      </c>
      <c r="R932" s="170" t="b">
        <v>0</v>
      </c>
      <c r="S932" s="48"/>
      <c r="T932" s="60"/>
      <c r="U932" s="170" t="b">
        <v>0</v>
      </c>
      <c r="V932" s="170"/>
      <c r="W932" s="170" t="b">
        <v>0</v>
      </c>
      <c r="X932" s="170" t="b">
        <v>0</v>
      </c>
      <c r="Y932" s="170"/>
      <c r="Z932" s="170"/>
      <c r="AA932" s="170"/>
      <c r="AB932" s="170"/>
      <c r="AC932" s="171"/>
      <c r="AD932" s="170"/>
      <c r="AE932" s="170"/>
      <c r="AF932" s="170"/>
      <c r="AG932" s="170"/>
      <c r="AH932" s="170"/>
      <c r="AI932" s="170"/>
      <c r="AJ932" s="172"/>
      <c r="AK932" s="50"/>
      <c r="AL932" s="25"/>
      <c r="AM932" s="25"/>
      <c r="AN932" s="25"/>
      <c r="AO932" s="165"/>
      <c r="AP932" s="78"/>
      <c r="AQ932" s="25"/>
      <c r="AR932" s="25"/>
      <c r="AS932" s="25"/>
      <c r="AT932" s="25"/>
      <c r="AU932" s="25"/>
      <c r="AV932" s="25"/>
      <c r="AW932" s="25"/>
      <c r="AX932" s="25"/>
      <c r="AY932" s="25"/>
      <c r="AZ932" s="25"/>
      <c r="BA932" s="25"/>
      <c r="BB932" s="25"/>
      <c r="BC932" s="25"/>
      <c r="BD932" s="25"/>
      <c r="BE932" s="25"/>
      <c r="BF932" s="25"/>
      <c r="BG932" s="25"/>
      <c r="BH932" s="25"/>
      <c r="BI932" s="25"/>
      <c r="BJ932" s="25"/>
      <c r="BK932" s="25"/>
      <c r="BL932" s="25"/>
      <c r="BM932" s="25"/>
      <c r="BN932" s="25"/>
      <c r="BO932" s="25"/>
      <c r="BP932" s="25"/>
    </row>
    <row r="933">
      <c r="A933" s="25"/>
      <c r="B933" s="168"/>
      <c r="C933" s="25"/>
      <c r="D933" s="25"/>
      <c r="E933" s="25"/>
      <c r="F933" s="25"/>
      <c r="G933" s="84"/>
      <c r="H933" s="25"/>
      <c r="I933" s="25"/>
      <c r="J933" s="25"/>
      <c r="K933" s="169"/>
      <c r="L933" s="169"/>
      <c r="M933" s="170" t="b">
        <v>0</v>
      </c>
      <c r="N933" s="170" t="b">
        <v>0</v>
      </c>
      <c r="O933" s="48"/>
      <c r="P933" s="170" t="b">
        <v>0</v>
      </c>
      <c r="Q933" s="170" t="b">
        <v>0</v>
      </c>
      <c r="R933" s="170" t="b">
        <v>0</v>
      </c>
      <c r="S933" s="48"/>
      <c r="T933" s="60"/>
      <c r="U933" s="170" t="b">
        <v>0</v>
      </c>
      <c r="V933" s="170"/>
      <c r="W933" s="170" t="b">
        <v>0</v>
      </c>
      <c r="X933" s="170" t="b">
        <v>0</v>
      </c>
      <c r="Y933" s="170"/>
      <c r="Z933" s="170"/>
      <c r="AA933" s="170"/>
      <c r="AB933" s="170"/>
      <c r="AC933" s="171"/>
      <c r="AD933" s="170"/>
      <c r="AE933" s="170"/>
      <c r="AF933" s="170"/>
      <c r="AG933" s="170"/>
      <c r="AH933" s="170"/>
      <c r="AI933" s="170"/>
      <c r="AJ933" s="172"/>
      <c r="AK933" s="50"/>
      <c r="AL933" s="25"/>
      <c r="AM933" s="25"/>
      <c r="AN933" s="25"/>
      <c r="AO933" s="165"/>
      <c r="AP933" s="78"/>
      <c r="AQ933" s="25"/>
      <c r="AR933" s="25"/>
      <c r="AS933" s="25"/>
      <c r="AT933" s="25"/>
      <c r="AU933" s="25"/>
      <c r="AV933" s="25"/>
      <c r="AW933" s="25"/>
      <c r="AX933" s="25"/>
      <c r="AY933" s="25"/>
      <c r="AZ933" s="25"/>
      <c r="BA933" s="25"/>
      <c r="BB933" s="25"/>
      <c r="BC933" s="25"/>
      <c r="BD933" s="25"/>
      <c r="BE933" s="25"/>
      <c r="BF933" s="25"/>
      <c r="BG933" s="25"/>
      <c r="BH933" s="25"/>
      <c r="BI933" s="25"/>
      <c r="BJ933" s="25"/>
      <c r="BK933" s="25"/>
      <c r="BL933" s="25"/>
      <c r="BM933" s="25"/>
      <c r="BN933" s="25"/>
      <c r="BO933" s="25"/>
      <c r="BP933" s="25"/>
    </row>
    <row r="934">
      <c r="A934" s="25"/>
      <c r="B934" s="168"/>
      <c r="C934" s="25"/>
      <c r="D934" s="25"/>
      <c r="E934" s="25"/>
      <c r="F934" s="25"/>
      <c r="G934" s="84"/>
      <c r="H934" s="25"/>
      <c r="I934" s="25"/>
      <c r="J934" s="25"/>
      <c r="K934" s="169"/>
      <c r="L934" s="169"/>
      <c r="M934" s="170" t="b">
        <v>0</v>
      </c>
      <c r="N934" s="170" t="b">
        <v>0</v>
      </c>
      <c r="O934" s="48"/>
      <c r="P934" s="170" t="b">
        <v>0</v>
      </c>
      <c r="Q934" s="170" t="b">
        <v>0</v>
      </c>
      <c r="R934" s="170" t="b">
        <v>0</v>
      </c>
      <c r="S934" s="48"/>
      <c r="T934" s="60"/>
      <c r="U934" s="170" t="b">
        <v>0</v>
      </c>
      <c r="V934" s="170"/>
      <c r="W934" s="170" t="b">
        <v>0</v>
      </c>
      <c r="X934" s="170" t="b">
        <v>0</v>
      </c>
      <c r="Y934" s="170"/>
      <c r="Z934" s="170"/>
      <c r="AA934" s="170"/>
      <c r="AB934" s="170"/>
      <c r="AC934" s="171"/>
      <c r="AD934" s="170"/>
      <c r="AE934" s="170"/>
      <c r="AF934" s="170"/>
      <c r="AG934" s="170"/>
      <c r="AH934" s="170"/>
      <c r="AI934" s="170"/>
      <c r="AJ934" s="172"/>
      <c r="AK934" s="50"/>
      <c r="AL934" s="25"/>
      <c r="AM934" s="25"/>
      <c r="AN934" s="25"/>
      <c r="AO934" s="165"/>
      <c r="AP934" s="78"/>
      <c r="AQ934" s="25"/>
      <c r="AR934" s="25"/>
      <c r="AS934" s="25"/>
      <c r="AT934" s="25"/>
      <c r="AU934" s="25"/>
      <c r="AV934" s="25"/>
      <c r="AW934" s="25"/>
      <c r="AX934" s="25"/>
      <c r="AY934" s="25"/>
      <c r="AZ934" s="25"/>
      <c r="BA934" s="25"/>
      <c r="BB934" s="25"/>
      <c r="BC934" s="25"/>
      <c r="BD934" s="25"/>
      <c r="BE934" s="25"/>
      <c r="BF934" s="25"/>
      <c r="BG934" s="25"/>
      <c r="BH934" s="25"/>
      <c r="BI934" s="25"/>
      <c r="BJ934" s="25"/>
      <c r="BK934" s="25"/>
      <c r="BL934" s="25"/>
      <c r="BM934" s="25"/>
      <c r="BN934" s="25"/>
      <c r="BO934" s="25"/>
      <c r="BP934" s="25"/>
    </row>
    <row r="935">
      <c r="A935" s="25"/>
      <c r="B935" s="168"/>
      <c r="C935" s="25"/>
      <c r="D935" s="25"/>
      <c r="E935" s="25"/>
      <c r="F935" s="25"/>
      <c r="G935" s="84"/>
      <c r="H935" s="25"/>
      <c r="I935" s="25"/>
      <c r="J935" s="25"/>
      <c r="K935" s="169"/>
      <c r="L935" s="169"/>
      <c r="M935" s="170" t="b">
        <v>0</v>
      </c>
      <c r="N935" s="170" t="b">
        <v>0</v>
      </c>
      <c r="O935" s="48"/>
      <c r="P935" s="170" t="b">
        <v>0</v>
      </c>
      <c r="Q935" s="170" t="b">
        <v>0</v>
      </c>
      <c r="R935" s="170" t="b">
        <v>0</v>
      </c>
      <c r="S935" s="48"/>
      <c r="T935" s="60"/>
      <c r="U935" s="170" t="b">
        <v>0</v>
      </c>
      <c r="V935" s="170"/>
      <c r="W935" s="170" t="b">
        <v>0</v>
      </c>
      <c r="X935" s="170" t="b">
        <v>0</v>
      </c>
      <c r="Y935" s="170"/>
      <c r="Z935" s="170"/>
      <c r="AA935" s="170"/>
      <c r="AB935" s="170"/>
      <c r="AC935" s="171"/>
      <c r="AD935" s="170"/>
      <c r="AE935" s="170"/>
      <c r="AF935" s="170"/>
      <c r="AG935" s="170"/>
      <c r="AH935" s="170"/>
      <c r="AI935" s="170"/>
      <c r="AJ935" s="172"/>
      <c r="AK935" s="50"/>
      <c r="AL935" s="25"/>
      <c r="AM935" s="25"/>
      <c r="AN935" s="25"/>
      <c r="AO935" s="165"/>
      <c r="AP935" s="78"/>
      <c r="AQ935" s="25"/>
      <c r="AR935" s="25"/>
      <c r="AS935" s="25"/>
      <c r="AT935" s="25"/>
      <c r="AU935" s="25"/>
      <c r="AV935" s="25"/>
      <c r="AW935" s="25"/>
      <c r="AX935" s="25"/>
      <c r="AY935" s="25"/>
      <c r="AZ935" s="25"/>
      <c r="BA935" s="25"/>
      <c r="BB935" s="25"/>
      <c r="BC935" s="25"/>
      <c r="BD935" s="25"/>
      <c r="BE935" s="25"/>
      <c r="BF935" s="25"/>
      <c r="BG935" s="25"/>
      <c r="BH935" s="25"/>
      <c r="BI935" s="25"/>
      <c r="BJ935" s="25"/>
      <c r="BK935" s="25"/>
      <c r="BL935" s="25"/>
      <c r="BM935" s="25"/>
      <c r="BN935" s="25"/>
      <c r="BO935" s="25"/>
      <c r="BP935" s="25"/>
    </row>
    <row r="936">
      <c r="A936" s="25"/>
      <c r="B936" s="168"/>
      <c r="C936" s="25"/>
      <c r="D936" s="25"/>
      <c r="E936" s="25"/>
      <c r="F936" s="25"/>
      <c r="G936" s="84"/>
      <c r="H936" s="25"/>
      <c r="I936" s="25"/>
      <c r="J936" s="25"/>
      <c r="K936" s="169"/>
      <c r="L936" s="169"/>
      <c r="M936" s="170" t="b">
        <v>0</v>
      </c>
      <c r="N936" s="170" t="b">
        <v>0</v>
      </c>
      <c r="O936" s="48"/>
      <c r="P936" s="170" t="b">
        <v>0</v>
      </c>
      <c r="Q936" s="170" t="b">
        <v>0</v>
      </c>
      <c r="R936" s="170" t="b">
        <v>0</v>
      </c>
      <c r="S936" s="48"/>
      <c r="T936" s="60"/>
      <c r="U936" s="170" t="b">
        <v>0</v>
      </c>
      <c r="V936" s="170"/>
      <c r="W936" s="170" t="b">
        <v>0</v>
      </c>
      <c r="X936" s="170" t="b">
        <v>0</v>
      </c>
      <c r="Y936" s="170"/>
      <c r="Z936" s="170"/>
      <c r="AA936" s="170"/>
      <c r="AB936" s="170"/>
      <c r="AC936" s="171"/>
      <c r="AD936" s="170"/>
      <c r="AE936" s="170"/>
      <c r="AF936" s="170"/>
      <c r="AG936" s="170"/>
      <c r="AH936" s="170"/>
      <c r="AI936" s="170"/>
      <c r="AJ936" s="172"/>
      <c r="AK936" s="50"/>
      <c r="AL936" s="25"/>
      <c r="AM936" s="25"/>
      <c r="AN936" s="25"/>
      <c r="AO936" s="165"/>
      <c r="AP936" s="78"/>
      <c r="AQ936" s="25"/>
      <c r="AR936" s="25"/>
      <c r="AS936" s="25"/>
      <c r="AT936" s="25"/>
      <c r="AU936" s="25"/>
      <c r="AV936" s="25"/>
      <c r="AW936" s="25"/>
      <c r="AX936" s="25"/>
      <c r="AY936" s="25"/>
      <c r="AZ936" s="25"/>
      <c r="BA936" s="25"/>
      <c r="BB936" s="25"/>
      <c r="BC936" s="25"/>
      <c r="BD936" s="25"/>
      <c r="BE936" s="25"/>
      <c r="BF936" s="25"/>
      <c r="BG936" s="25"/>
      <c r="BH936" s="25"/>
      <c r="BI936" s="25"/>
      <c r="BJ936" s="25"/>
      <c r="BK936" s="25"/>
      <c r="BL936" s="25"/>
      <c r="BM936" s="25"/>
      <c r="BN936" s="25"/>
      <c r="BO936" s="25"/>
      <c r="BP936" s="25"/>
    </row>
    <row r="937">
      <c r="A937" s="25"/>
      <c r="B937" s="168"/>
      <c r="C937" s="25"/>
      <c r="D937" s="25"/>
      <c r="E937" s="25"/>
      <c r="F937" s="25"/>
      <c r="G937" s="84"/>
      <c r="H937" s="25"/>
      <c r="I937" s="25"/>
      <c r="J937" s="25"/>
      <c r="K937" s="169"/>
      <c r="L937" s="169"/>
      <c r="M937" s="170" t="b">
        <v>0</v>
      </c>
      <c r="N937" s="170" t="b">
        <v>0</v>
      </c>
      <c r="O937" s="48"/>
      <c r="P937" s="170" t="b">
        <v>0</v>
      </c>
      <c r="Q937" s="170" t="b">
        <v>0</v>
      </c>
      <c r="R937" s="170" t="b">
        <v>0</v>
      </c>
      <c r="S937" s="48"/>
      <c r="T937" s="60"/>
      <c r="U937" s="170" t="b">
        <v>0</v>
      </c>
      <c r="V937" s="170"/>
      <c r="W937" s="170" t="b">
        <v>0</v>
      </c>
      <c r="X937" s="170" t="b">
        <v>0</v>
      </c>
      <c r="Y937" s="170"/>
      <c r="Z937" s="170"/>
      <c r="AA937" s="170"/>
      <c r="AB937" s="170"/>
      <c r="AC937" s="171"/>
      <c r="AD937" s="170"/>
      <c r="AE937" s="170"/>
      <c r="AF937" s="170"/>
      <c r="AG937" s="170"/>
      <c r="AH937" s="170"/>
      <c r="AI937" s="170"/>
      <c r="AJ937" s="172"/>
      <c r="AK937" s="50"/>
      <c r="AL937" s="25"/>
      <c r="AM937" s="25"/>
      <c r="AN937" s="25"/>
      <c r="AO937" s="165"/>
      <c r="AP937" s="78"/>
      <c r="AQ937" s="25"/>
      <c r="AR937" s="25"/>
      <c r="AS937" s="25"/>
      <c r="AT937" s="25"/>
      <c r="AU937" s="25"/>
      <c r="AV937" s="25"/>
      <c r="AW937" s="25"/>
      <c r="AX937" s="25"/>
      <c r="AY937" s="25"/>
      <c r="AZ937" s="25"/>
      <c r="BA937" s="25"/>
      <c r="BB937" s="25"/>
      <c r="BC937" s="25"/>
      <c r="BD937" s="25"/>
      <c r="BE937" s="25"/>
      <c r="BF937" s="25"/>
      <c r="BG937" s="25"/>
      <c r="BH937" s="25"/>
      <c r="BI937" s="25"/>
      <c r="BJ937" s="25"/>
      <c r="BK937" s="25"/>
      <c r="BL937" s="25"/>
      <c r="BM937" s="25"/>
      <c r="BN937" s="25"/>
      <c r="BO937" s="25"/>
      <c r="BP937" s="25"/>
    </row>
    <row r="938">
      <c r="A938" s="25"/>
      <c r="B938" s="168"/>
      <c r="C938" s="25"/>
      <c r="D938" s="25"/>
      <c r="E938" s="25"/>
      <c r="F938" s="25"/>
      <c r="G938" s="84"/>
      <c r="H938" s="25"/>
      <c r="I938" s="25"/>
      <c r="J938" s="25"/>
      <c r="K938" s="169"/>
      <c r="L938" s="169"/>
      <c r="M938" s="170" t="b">
        <v>0</v>
      </c>
      <c r="N938" s="170" t="b">
        <v>0</v>
      </c>
      <c r="O938" s="48"/>
      <c r="P938" s="170" t="b">
        <v>0</v>
      </c>
      <c r="Q938" s="170" t="b">
        <v>0</v>
      </c>
      <c r="R938" s="170" t="b">
        <v>0</v>
      </c>
      <c r="S938" s="48"/>
      <c r="T938" s="60"/>
      <c r="U938" s="170" t="b">
        <v>0</v>
      </c>
      <c r="V938" s="170"/>
      <c r="W938" s="170" t="b">
        <v>0</v>
      </c>
      <c r="X938" s="170" t="b">
        <v>0</v>
      </c>
      <c r="Y938" s="170"/>
      <c r="Z938" s="170"/>
      <c r="AA938" s="170"/>
      <c r="AB938" s="170"/>
      <c r="AC938" s="171"/>
      <c r="AD938" s="170"/>
      <c r="AE938" s="170"/>
      <c r="AF938" s="170"/>
      <c r="AG938" s="170"/>
      <c r="AH938" s="170"/>
      <c r="AI938" s="170"/>
      <c r="AJ938" s="172"/>
      <c r="AK938" s="50"/>
      <c r="AL938" s="25"/>
      <c r="AM938" s="25"/>
      <c r="AN938" s="25"/>
      <c r="AO938" s="165"/>
      <c r="AP938" s="78"/>
      <c r="AQ938" s="25"/>
      <c r="AR938" s="25"/>
      <c r="AS938" s="25"/>
      <c r="AT938" s="25"/>
      <c r="AU938" s="25"/>
      <c r="AV938" s="25"/>
      <c r="AW938" s="25"/>
      <c r="AX938" s="25"/>
      <c r="AY938" s="25"/>
      <c r="AZ938" s="25"/>
      <c r="BA938" s="25"/>
      <c r="BB938" s="25"/>
      <c r="BC938" s="25"/>
      <c r="BD938" s="25"/>
      <c r="BE938" s="25"/>
      <c r="BF938" s="25"/>
      <c r="BG938" s="25"/>
      <c r="BH938" s="25"/>
      <c r="BI938" s="25"/>
      <c r="BJ938" s="25"/>
      <c r="BK938" s="25"/>
      <c r="BL938" s="25"/>
      <c r="BM938" s="25"/>
      <c r="BN938" s="25"/>
      <c r="BO938" s="25"/>
      <c r="BP938" s="25"/>
    </row>
    <row r="939">
      <c r="A939" s="25"/>
      <c r="B939" s="168"/>
      <c r="C939" s="25"/>
      <c r="D939" s="25"/>
      <c r="E939" s="25"/>
      <c r="F939" s="25"/>
      <c r="G939" s="84"/>
      <c r="H939" s="25"/>
      <c r="I939" s="25"/>
      <c r="J939" s="25"/>
      <c r="K939" s="169"/>
      <c r="L939" s="169"/>
      <c r="M939" s="170" t="b">
        <v>0</v>
      </c>
      <c r="N939" s="170" t="b">
        <v>0</v>
      </c>
      <c r="O939" s="48"/>
      <c r="P939" s="170" t="b">
        <v>0</v>
      </c>
      <c r="Q939" s="170" t="b">
        <v>0</v>
      </c>
      <c r="R939" s="170" t="b">
        <v>0</v>
      </c>
      <c r="S939" s="48"/>
      <c r="T939" s="60"/>
      <c r="U939" s="170" t="b">
        <v>0</v>
      </c>
      <c r="V939" s="170"/>
      <c r="W939" s="170" t="b">
        <v>0</v>
      </c>
      <c r="X939" s="170" t="b">
        <v>0</v>
      </c>
      <c r="Y939" s="170"/>
      <c r="Z939" s="170"/>
      <c r="AA939" s="170"/>
      <c r="AB939" s="170"/>
      <c r="AC939" s="171"/>
      <c r="AD939" s="170"/>
      <c r="AE939" s="170"/>
      <c r="AF939" s="170"/>
      <c r="AG939" s="170"/>
      <c r="AH939" s="170"/>
      <c r="AI939" s="170"/>
      <c r="AJ939" s="172"/>
      <c r="AK939" s="50"/>
      <c r="AL939" s="25"/>
      <c r="AM939" s="25"/>
      <c r="AN939" s="25"/>
      <c r="AO939" s="165"/>
      <c r="AP939" s="78"/>
      <c r="AQ939" s="25"/>
      <c r="AR939" s="25"/>
      <c r="AS939" s="25"/>
      <c r="AT939" s="25"/>
      <c r="AU939" s="25"/>
      <c r="AV939" s="25"/>
      <c r="AW939" s="25"/>
      <c r="AX939" s="25"/>
      <c r="AY939" s="25"/>
      <c r="AZ939" s="25"/>
      <c r="BA939" s="25"/>
      <c r="BB939" s="25"/>
      <c r="BC939" s="25"/>
      <c r="BD939" s="25"/>
      <c r="BE939" s="25"/>
      <c r="BF939" s="25"/>
      <c r="BG939" s="25"/>
      <c r="BH939" s="25"/>
      <c r="BI939" s="25"/>
      <c r="BJ939" s="25"/>
      <c r="BK939" s="25"/>
      <c r="BL939" s="25"/>
      <c r="BM939" s="25"/>
      <c r="BN939" s="25"/>
      <c r="BO939" s="25"/>
      <c r="BP939" s="25"/>
    </row>
    <row r="940">
      <c r="A940" s="25"/>
      <c r="B940" s="168"/>
      <c r="C940" s="25"/>
      <c r="D940" s="25"/>
      <c r="E940" s="25"/>
      <c r="F940" s="25"/>
      <c r="G940" s="84"/>
      <c r="H940" s="25"/>
      <c r="I940" s="25"/>
      <c r="J940" s="25"/>
      <c r="K940" s="169"/>
      <c r="L940" s="169"/>
      <c r="M940" s="170" t="b">
        <v>0</v>
      </c>
      <c r="N940" s="170" t="b">
        <v>0</v>
      </c>
      <c r="O940" s="48"/>
      <c r="P940" s="170" t="b">
        <v>0</v>
      </c>
      <c r="Q940" s="170" t="b">
        <v>0</v>
      </c>
      <c r="R940" s="170" t="b">
        <v>0</v>
      </c>
      <c r="S940" s="48"/>
      <c r="T940" s="60"/>
      <c r="U940" s="170" t="b">
        <v>0</v>
      </c>
      <c r="V940" s="170"/>
      <c r="W940" s="170" t="b">
        <v>0</v>
      </c>
      <c r="X940" s="170" t="b">
        <v>0</v>
      </c>
      <c r="Y940" s="170"/>
      <c r="Z940" s="170"/>
      <c r="AA940" s="170"/>
      <c r="AB940" s="170"/>
      <c r="AC940" s="171"/>
      <c r="AD940" s="170"/>
      <c r="AE940" s="170"/>
      <c r="AF940" s="170"/>
      <c r="AG940" s="170"/>
      <c r="AH940" s="170"/>
      <c r="AI940" s="170"/>
      <c r="AJ940" s="172"/>
      <c r="AK940" s="50"/>
      <c r="AL940" s="25"/>
      <c r="AM940" s="25"/>
      <c r="AN940" s="25"/>
      <c r="AO940" s="165"/>
      <c r="AP940" s="78"/>
      <c r="AQ940" s="25"/>
      <c r="AR940" s="25"/>
      <c r="AS940" s="25"/>
      <c r="AT940" s="25"/>
      <c r="AU940" s="25"/>
      <c r="AV940" s="25"/>
      <c r="AW940" s="25"/>
      <c r="AX940" s="25"/>
      <c r="AY940" s="25"/>
      <c r="AZ940" s="25"/>
      <c r="BA940" s="25"/>
      <c r="BB940" s="25"/>
      <c r="BC940" s="25"/>
      <c r="BD940" s="25"/>
      <c r="BE940" s="25"/>
      <c r="BF940" s="25"/>
      <c r="BG940" s="25"/>
      <c r="BH940" s="25"/>
      <c r="BI940" s="25"/>
      <c r="BJ940" s="25"/>
      <c r="BK940" s="25"/>
      <c r="BL940" s="25"/>
      <c r="BM940" s="25"/>
      <c r="BN940" s="25"/>
      <c r="BO940" s="25"/>
      <c r="BP940" s="25"/>
    </row>
    <row r="941">
      <c r="A941" s="25"/>
      <c r="B941" s="168"/>
      <c r="C941" s="25"/>
      <c r="D941" s="25"/>
      <c r="E941" s="25"/>
      <c r="F941" s="25"/>
      <c r="G941" s="84"/>
      <c r="H941" s="25"/>
      <c r="I941" s="25"/>
      <c r="J941" s="25"/>
      <c r="K941" s="169"/>
      <c r="L941" s="169"/>
      <c r="M941" s="170" t="b">
        <v>0</v>
      </c>
      <c r="N941" s="170" t="b">
        <v>0</v>
      </c>
      <c r="O941" s="48"/>
      <c r="P941" s="170" t="b">
        <v>0</v>
      </c>
      <c r="Q941" s="170" t="b">
        <v>0</v>
      </c>
      <c r="R941" s="170" t="b">
        <v>0</v>
      </c>
      <c r="S941" s="48"/>
      <c r="T941" s="60"/>
      <c r="U941" s="170" t="b">
        <v>0</v>
      </c>
      <c r="V941" s="170"/>
      <c r="W941" s="170" t="b">
        <v>0</v>
      </c>
      <c r="X941" s="170" t="b">
        <v>0</v>
      </c>
      <c r="Y941" s="170"/>
      <c r="Z941" s="170"/>
      <c r="AA941" s="170"/>
      <c r="AB941" s="170"/>
      <c r="AC941" s="171"/>
      <c r="AD941" s="170"/>
      <c r="AE941" s="170"/>
      <c r="AF941" s="170"/>
      <c r="AG941" s="170"/>
      <c r="AH941" s="170"/>
      <c r="AI941" s="170"/>
      <c r="AJ941" s="172"/>
      <c r="AK941" s="50"/>
      <c r="AL941" s="25"/>
      <c r="AM941" s="25"/>
      <c r="AN941" s="25"/>
      <c r="AO941" s="165"/>
      <c r="AP941" s="78"/>
      <c r="AQ941" s="25"/>
      <c r="AR941" s="25"/>
      <c r="AS941" s="25"/>
      <c r="AT941" s="25"/>
      <c r="AU941" s="25"/>
      <c r="AV941" s="25"/>
      <c r="AW941" s="25"/>
      <c r="AX941" s="25"/>
      <c r="AY941" s="25"/>
      <c r="AZ941" s="25"/>
      <c r="BA941" s="25"/>
      <c r="BB941" s="25"/>
      <c r="BC941" s="25"/>
      <c r="BD941" s="25"/>
      <c r="BE941" s="25"/>
      <c r="BF941" s="25"/>
      <c r="BG941" s="25"/>
      <c r="BH941" s="25"/>
      <c r="BI941" s="25"/>
      <c r="BJ941" s="25"/>
      <c r="BK941" s="25"/>
      <c r="BL941" s="25"/>
      <c r="BM941" s="25"/>
      <c r="BN941" s="25"/>
      <c r="BO941" s="25"/>
      <c r="BP941" s="25"/>
    </row>
    <row r="942">
      <c r="A942" s="25"/>
      <c r="B942" s="168"/>
      <c r="C942" s="25"/>
      <c r="D942" s="25"/>
      <c r="E942" s="25"/>
      <c r="F942" s="25"/>
      <c r="G942" s="84"/>
      <c r="H942" s="25"/>
      <c r="I942" s="25"/>
      <c r="J942" s="25"/>
      <c r="K942" s="169"/>
      <c r="L942" s="169"/>
      <c r="M942" s="170" t="b">
        <v>0</v>
      </c>
      <c r="N942" s="170" t="b">
        <v>0</v>
      </c>
      <c r="O942" s="48"/>
      <c r="P942" s="170" t="b">
        <v>0</v>
      </c>
      <c r="Q942" s="170" t="b">
        <v>0</v>
      </c>
      <c r="R942" s="170" t="b">
        <v>0</v>
      </c>
      <c r="S942" s="48"/>
      <c r="T942" s="60"/>
      <c r="U942" s="170" t="b">
        <v>0</v>
      </c>
      <c r="V942" s="170"/>
      <c r="W942" s="170" t="b">
        <v>0</v>
      </c>
      <c r="X942" s="170" t="b">
        <v>0</v>
      </c>
      <c r="Y942" s="170"/>
      <c r="Z942" s="170"/>
      <c r="AA942" s="170"/>
      <c r="AB942" s="170"/>
      <c r="AC942" s="171"/>
      <c r="AD942" s="170"/>
      <c r="AE942" s="170"/>
      <c r="AF942" s="170"/>
      <c r="AG942" s="170"/>
      <c r="AH942" s="170"/>
      <c r="AI942" s="170"/>
      <c r="AJ942" s="172"/>
      <c r="AK942" s="50"/>
      <c r="AL942" s="25"/>
      <c r="AM942" s="25"/>
      <c r="AN942" s="25"/>
      <c r="AO942" s="165"/>
      <c r="AP942" s="78"/>
      <c r="AQ942" s="25"/>
      <c r="AR942" s="25"/>
      <c r="AS942" s="25"/>
      <c r="AT942" s="25"/>
      <c r="AU942" s="25"/>
      <c r="AV942" s="25"/>
      <c r="AW942" s="25"/>
      <c r="AX942" s="25"/>
      <c r="AY942" s="25"/>
      <c r="AZ942" s="25"/>
      <c r="BA942" s="25"/>
      <c r="BB942" s="25"/>
      <c r="BC942" s="25"/>
      <c r="BD942" s="25"/>
      <c r="BE942" s="25"/>
      <c r="BF942" s="25"/>
      <c r="BG942" s="25"/>
      <c r="BH942" s="25"/>
      <c r="BI942" s="25"/>
      <c r="BJ942" s="25"/>
      <c r="BK942" s="25"/>
      <c r="BL942" s="25"/>
      <c r="BM942" s="25"/>
      <c r="BN942" s="25"/>
      <c r="BO942" s="25"/>
      <c r="BP942" s="25"/>
    </row>
    <row r="943">
      <c r="A943" s="25"/>
      <c r="B943" s="168"/>
      <c r="C943" s="25"/>
      <c r="D943" s="25"/>
      <c r="E943" s="25"/>
      <c r="F943" s="25"/>
      <c r="G943" s="84"/>
      <c r="H943" s="25"/>
      <c r="I943" s="25"/>
      <c r="J943" s="25"/>
      <c r="K943" s="169"/>
      <c r="L943" s="169"/>
      <c r="M943" s="170" t="b">
        <v>0</v>
      </c>
      <c r="N943" s="170" t="b">
        <v>0</v>
      </c>
      <c r="O943" s="48"/>
      <c r="P943" s="170" t="b">
        <v>0</v>
      </c>
      <c r="Q943" s="170" t="b">
        <v>0</v>
      </c>
      <c r="R943" s="170" t="b">
        <v>0</v>
      </c>
      <c r="S943" s="48"/>
      <c r="T943" s="60"/>
      <c r="U943" s="170" t="b">
        <v>0</v>
      </c>
      <c r="V943" s="170"/>
      <c r="W943" s="170" t="b">
        <v>0</v>
      </c>
      <c r="X943" s="170" t="b">
        <v>0</v>
      </c>
      <c r="Y943" s="170"/>
      <c r="Z943" s="170"/>
      <c r="AA943" s="170"/>
      <c r="AB943" s="170"/>
      <c r="AC943" s="171"/>
      <c r="AD943" s="170"/>
      <c r="AE943" s="170"/>
      <c r="AF943" s="170"/>
      <c r="AG943" s="170"/>
      <c r="AH943" s="170"/>
      <c r="AI943" s="170"/>
      <c r="AJ943" s="172"/>
      <c r="AK943" s="50"/>
      <c r="AL943" s="25"/>
      <c r="AM943" s="25"/>
      <c r="AN943" s="25"/>
      <c r="AO943" s="165"/>
      <c r="AP943" s="78"/>
      <c r="AQ943" s="25"/>
      <c r="AR943" s="25"/>
      <c r="AS943" s="25"/>
      <c r="AT943" s="25"/>
      <c r="AU943" s="25"/>
      <c r="AV943" s="25"/>
      <c r="AW943" s="25"/>
      <c r="AX943" s="25"/>
      <c r="AY943" s="25"/>
      <c r="AZ943" s="25"/>
      <c r="BA943" s="25"/>
      <c r="BB943" s="25"/>
      <c r="BC943" s="25"/>
      <c r="BD943" s="25"/>
      <c r="BE943" s="25"/>
      <c r="BF943" s="25"/>
      <c r="BG943" s="25"/>
      <c r="BH943" s="25"/>
      <c r="BI943" s="25"/>
      <c r="BJ943" s="25"/>
      <c r="BK943" s="25"/>
      <c r="BL943" s="25"/>
      <c r="BM943" s="25"/>
      <c r="BN943" s="25"/>
      <c r="BO943" s="25"/>
      <c r="BP943" s="25"/>
    </row>
    <row r="944">
      <c r="A944" s="25"/>
      <c r="B944" s="168"/>
      <c r="C944" s="25"/>
      <c r="D944" s="25"/>
      <c r="E944" s="25"/>
      <c r="F944" s="25"/>
      <c r="G944" s="84"/>
      <c r="H944" s="25"/>
      <c r="I944" s="25"/>
      <c r="J944" s="25"/>
      <c r="K944" s="169"/>
      <c r="L944" s="169"/>
      <c r="M944" s="170" t="b">
        <v>0</v>
      </c>
      <c r="N944" s="170" t="b">
        <v>0</v>
      </c>
      <c r="O944" s="48"/>
      <c r="P944" s="170" t="b">
        <v>0</v>
      </c>
      <c r="Q944" s="170" t="b">
        <v>0</v>
      </c>
      <c r="R944" s="170" t="b">
        <v>0</v>
      </c>
      <c r="S944" s="48"/>
      <c r="T944" s="60"/>
      <c r="U944" s="170" t="b">
        <v>0</v>
      </c>
      <c r="V944" s="170"/>
      <c r="W944" s="170" t="b">
        <v>0</v>
      </c>
      <c r="X944" s="170" t="b">
        <v>0</v>
      </c>
      <c r="Y944" s="170"/>
      <c r="Z944" s="170"/>
      <c r="AA944" s="170"/>
      <c r="AB944" s="170"/>
      <c r="AC944" s="171"/>
      <c r="AD944" s="170"/>
      <c r="AE944" s="170"/>
      <c r="AF944" s="170"/>
      <c r="AG944" s="170"/>
      <c r="AH944" s="170"/>
      <c r="AI944" s="170"/>
      <c r="AJ944" s="172"/>
      <c r="AK944" s="50"/>
      <c r="AL944" s="25"/>
      <c r="AM944" s="25"/>
      <c r="AN944" s="25"/>
      <c r="AO944" s="165"/>
      <c r="AP944" s="78"/>
      <c r="AQ944" s="25"/>
      <c r="AR944" s="25"/>
      <c r="AS944" s="25"/>
      <c r="AT944" s="25"/>
      <c r="AU944" s="25"/>
      <c r="AV944" s="25"/>
      <c r="AW944" s="25"/>
      <c r="AX944" s="25"/>
      <c r="AY944" s="25"/>
      <c r="AZ944" s="25"/>
      <c r="BA944" s="25"/>
      <c r="BB944" s="25"/>
      <c r="BC944" s="25"/>
      <c r="BD944" s="25"/>
      <c r="BE944" s="25"/>
      <c r="BF944" s="25"/>
      <c r="BG944" s="25"/>
      <c r="BH944" s="25"/>
      <c r="BI944" s="25"/>
      <c r="BJ944" s="25"/>
      <c r="BK944" s="25"/>
      <c r="BL944" s="25"/>
      <c r="BM944" s="25"/>
      <c r="BN944" s="25"/>
      <c r="BO944" s="25"/>
      <c r="BP944" s="25"/>
    </row>
    <row r="945">
      <c r="A945" s="25"/>
      <c r="B945" s="168"/>
      <c r="C945" s="25"/>
      <c r="D945" s="25"/>
      <c r="E945" s="25"/>
      <c r="F945" s="25"/>
      <c r="G945" s="84"/>
      <c r="H945" s="25"/>
      <c r="I945" s="25"/>
      <c r="J945" s="25"/>
      <c r="K945" s="169"/>
      <c r="L945" s="169"/>
      <c r="M945" s="170" t="b">
        <v>0</v>
      </c>
      <c r="N945" s="170" t="b">
        <v>0</v>
      </c>
      <c r="O945" s="48"/>
      <c r="P945" s="170" t="b">
        <v>0</v>
      </c>
      <c r="Q945" s="170" t="b">
        <v>0</v>
      </c>
      <c r="R945" s="170" t="b">
        <v>0</v>
      </c>
      <c r="S945" s="48"/>
      <c r="T945" s="60"/>
      <c r="U945" s="170" t="b">
        <v>0</v>
      </c>
      <c r="V945" s="170"/>
      <c r="W945" s="170" t="b">
        <v>0</v>
      </c>
      <c r="X945" s="170" t="b">
        <v>0</v>
      </c>
      <c r="Y945" s="170"/>
      <c r="Z945" s="170"/>
      <c r="AA945" s="170"/>
      <c r="AB945" s="170"/>
      <c r="AC945" s="171"/>
      <c r="AD945" s="170"/>
      <c r="AE945" s="170"/>
      <c r="AF945" s="170"/>
      <c r="AG945" s="170"/>
      <c r="AH945" s="170"/>
      <c r="AI945" s="170"/>
      <c r="AJ945" s="172"/>
      <c r="AK945" s="50"/>
      <c r="AL945" s="25"/>
      <c r="AM945" s="25"/>
      <c r="AN945" s="25"/>
      <c r="AO945" s="165"/>
      <c r="AP945" s="78"/>
      <c r="AQ945" s="25"/>
      <c r="AR945" s="25"/>
      <c r="AS945" s="25"/>
      <c r="AT945" s="25"/>
      <c r="AU945" s="25"/>
      <c r="AV945" s="25"/>
      <c r="AW945" s="25"/>
      <c r="AX945" s="25"/>
      <c r="AY945" s="25"/>
      <c r="AZ945" s="25"/>
      <c r="BA945" s="25"/>
      <c r="BB945" s="25"/>
      <c r="BC945" s="25"/>
      <c r="BD945" s="25"/>
      <c r="BE945" s="25"/>
      <c r="BF945" s="25"/>
      <c r="BG945" s="25"/>
      <c r="BH945" s="25"/>
      <c r="BI945" s="25"/>
      <c r="BJ945" s="25"/>
      <c r="BK945" s="25"/>
      <c r="BL945" s="25"/>
      <c r="BM945" s="25"/>
      <c r="BN945" s="25"/>
      <c r="BO945" s="25"/>
      <c r="BP945" s="25"/>
    </row>
    <row r="946">
      <c r="A946" s="25"/>
      <c r="B946" s="168"/>
      <c r="C946" s="25"/>
      <c r="D946" s="25"/>
      <c r="E946" s="25"/>
      <c r="F946" s="25"/>
      <c r="G946" s="84"/>
      <c r="H946" s="25"/>
      <c r="I946" s="25"/>
      <c r="J946" s="25"/>
      <c r="K946" s="169"/>
      <c r="L946" s="169"/>
      <c r="M946" s="170" t="b">
        <v>0</v>
      </c>
      <c r="N946" s="170" t="b">
        <v>0</v>
      </c>
      <c r="O946" s="48"/>
      <c r="P946" s="170" t="b">
        <v>0</v>
      </c>
      <c r="Q946" s="170" t="b">
        <v>0</v>
      </c>
      <c r="R946" s="170" t="b">
        <v>0</v>
      </c>
      <c r="S946" s="48"/>
      <c r="T946" s="60"/>
      <c r="U946" s="170" t="b">
        <v>0</v>
      </c>
      <c r="V946" s="170"/>
      <c r="W946" s="170" t="b">
        <v>0</v>
      </c>
      <c r="X946" s="170" t="b">
        <v>0</v>
      </c>
      <c r="Y946" s="170"/>
      <c r="Z946" s="170"/>
      <c r="AA946" s="170"/>
      <c r="AB946" s="170"/>
      <c r="AC946" s="171"/>
      <c r="AD946" s="170"/>
      <c r="AE946" s="170"/>
      <c r="AF946" s="170"/>
      <c r="AG946" s="170"/>
      <c r="AH946" s="170"/>
      <c r="AI946" s="170"/>
      <c r="AJ946" s="172"/>
      <c r="AK946" s="50"/>
      <c r="AL946" s="25"/>
      <c r="AM946" s="25"/>
      <c r="AN946" s="25"/>
      <c r="AO946" s="165"/>
      <c r="AP946" s="78"/>
      <c r="AQ946" s="25"/>
      <c r="AR946" s="25"/>
      <c r="AS946" s="25"/>
      <c r="AT946" s="25"/>
      <c r="AU946" s="25"/>
      <c r="AV946" s="25"/>
      <c r="AW946" s="25"/>
      <c r="AX946" s="25"/>
      <c r="AY946" s="25"/>
      <c r="AZ946" s="25"/>
      <c r="BA946" s="25"/>
      <c r="BB946" s="25"/>
      <c r="BC946" s="25"/>
      <c r="BD946" s="25"/>
      <c r="BE946" s="25"/>
      <c r="BF946" s="25"/>
      <c r="BG946" s="25"/>
      <c r="BH946" s="25"/>
      <c r="BI946" s="25"/>
      <c r="BJ946" s="25"/>
      <c r="BK946" s="25"/>
      <c r="BL946" s="25"/>
      <c r="BM946" s="25"/>
      <c r="BN946" s="25"/>
      <c r="BO946" s="25"/>
      <c r="BP946" s="25"/>
    </row>
    <row r="947">
      <c r="A947" s="25"/>
      <c r="B947" s="168"/>
      <c r="C947" s="25"/>
      <c r="D947" s="25"/>
      <c r="E947" s="25"/>
      <c r="F947" s="25"/>
      <c r="G947" s="84"/>
      <c r="H947" s="25"/>
      <c r="I947" s="25"/>
      <c r="J947" s="25"/>
      <c r="K947" s="169"/>
      <c r="L947" s="169"/>
      <c r="M947" s="170" t="b">
        <v>0</v>
      </c>
      <c r="N947" s="170" t="b">
        <v>0</v>
      </c>
      <c r="O947" s="48"/>
      <c r="P947" s="170" t="b">
        <v>0</v>
      </c>
      <c r="Q947" s="170" t="b">
        <v>0</v>
      </c>
      <c r="R947" s="170" t="b">
        <v>0</v>
      </c>
      <c r="S947" s="48"/>
      <c r="T947" s="60"/>
      <c r="U947" s="170" t="b">
        <v>0</v>
      </c>
      <c r="V947" s="170"/>
      <c r="W947" s="170" t="b">
        <v>0</v>
      </c>
      <c r="X947" s="170" t="b">
        <v>0</v>
      </c>
      <c r="Y947" s="170"/>
      <c r="Z947" s="170"/>
      <c r="AA947" s="170"/>
      <c r="AB947" s="170"/>
      <c r="AC947" s="171"/>
      <c r="AD947" s="170"/>
      <c r="AE947" s="170"/>
      <c r="AF947" s="170"/>
      <c r="AG947" s="170"/>
      <c r="AH947" s="170"/>
      <c r="AI947" s="170"/>
      <c r="AJ947" s="172"/>
      <c r="AK947" s="50"/>
      <c r="AL947" s="25"/>
      <c r="AM947" s="25"/>
      <c r="AN947" s="25"/>
      <c r="AO947" s="165"/>
      <c r="AP947" s="78"/>
      <c r="AQ947" s="25"/>
      <c r="AR947" s="25"/>
      <c r="AS947" s="25"/>
      <c r="AT947" s="25"/>
      <c r="AU947" s="25"/>
      <c r="AV947" s="25"/>
      <c r="AW947" s="25"/>
      <c r="AX947" s="25"/>
      <c r="AY947" s="25"/>
      <c r="AZ947" s="25"/>
      <c r="BA947" s="25"/>
      <c r="BB947" s="25"/>
      <c r="BC947" s="25"/>
      <c r="BD947" s="25"/>
      <c r="BE947" s="25"/>
      <c r="BF947" s="25"/>
      <c r="BG947" s="25"/>
      <c r="BH947" s="25"/>
      <c r="BI947" s="25"/>
      <c r="BJ947" s="25"/>
      <c r="BK947" s="25"/>
      <c r="BL947" s="25"/>
      <c r="BM947" s="25"/>
      <c r="BN947" s="25"/>
      <c r="BO947" s="25"/>
      <c r="BP947" s="25"/>
    </row>
    <row r="948">
      <c r="A948" s="25"/>
      <c r="B948" s="168"/>
      <c r="C948" s="25"/>
      <c r="D948" s="25"/>
      <c r="E948" s="25"/>
      <c r="F948" s="25"/>
      <c r="G948" s="84"/>
      <c r="H948" s="25"/>
      <c r="I948" s="25"/>
      <c r="J948" s="25"/>
      <c r="K948" s="169"/>
      <c r="L948" s="169"/>
      <c r="M948" s="170" t="b">
        <v>0</v>
      </c>
      <c r="N948" s="170" t="b">
        <v>0</v>
      </c>
      <c r="O948" s="48"/>
      <c r="P948" s="170" t="b">
        <v>0</v>
      </c>
      <c r="Q948" s="170" t="b">
        <v>0</v>
      </c>
      <c r="R948" s="170" t="b">
        <v>0</v>
      </c>
      <c r="S948" s="48"/>
      <c r="T948" s="60"/>
      <c r="U948" s="170" t="b">
        <v>0</v>
      </c>
      <c r="V948" s="170"/>
      <c r="W948" s="170" t="b">
        <v>0</v>
      </c>
      <c r="X948" s="170" t="b">
        <v>0</v>
      </c>
      <c r="Y948" s="170"/>
      <c r="Z948" s="170"/>
      <c r="AA948" s="170"/>
      <c r="AB948" s="170"/>
      <c r="AC948" s="171"/>
      <c r="AD948" s="170"/>
      <c r="AE948" s="170"/>
      <c r="AF948" s="170"/>
      <c r="AG948" s="170"/>
      <c r="AH948" s="170"/>
      <c r="AI948" s="170"/>
      <c r="AJ948" s="172"/>
      <c r="AK948" s="50"/>
      <c r="AL948" s="25"/>
      <c r="AM948" s="25"/>
      <c r="AN948" s="25"/>
      <c r="AO948" s="165"/>
      <c r="AP948" s="78"/>
      <c r="AQ948" s="25"/>
      <c r="AR948" s="25"/>
      <c r="AS948" s="25"/>
      <c r="AT948" s="25"/>
      <c r="AU948" s="25"/>
      <c r="AV948" s="25"/>
      <c r="AW948" s="25"/>
      <c r="AX948" s="25"/>
      <c r="AY948" s="25"/>
      <c r="AZ948" s="25"/>
      <c r="BA948" s="25"/>
      <c r="BB948" s="25"/>
      <c r="BC948" s="25"/>
      <c r="BD948" s="25"/>
      <c r="BE948" s="25"/>
      <c r="BF948" s="25"/>
      <c r="BG948" s="25"/>
      <c r="BH948" s="25"/>
      <c r="BI948" s="25"/>
      <c r="BJ948" s="25"/>
      <c r="BK948" s="25"/>
      <c r="BL948" s="25"/>
      <c r="BM948" s="25"/>
      <c r="BN948" s="25"/>
      <c r="BO948" s="25"/>
      <c r="BP948" s="25"/>
    </row>
    <row r="949">
      <c r="A949" s="25"/>
      <c r="B949" s="168"/>
      <c r="C949" s="25"/>
      <c r="D949" s="25"/>
      <c r="E949" s="25"/>
      <c r="F949" s="25"/>
      <c r="G949" s="84"/>
      <c r="H949" s="25"/>
      <c r="I949" s="25"/>
      <c r="J949" s="25"/>
      <c r="K949" s="169"/>
      <c r="L949" s="169"/>
      <c r="M949" s="170" t="b">
        <v>0</v>
      </c>
      <c r="N949" s="170" t="b">
        <v>0</v>
      </c>
      <c r="O949" s="48"/>
      <c r="P949" s="170" t="b">
        <v>0</v>
      </c>
      <c r="Q949" s="170" t="b">
        <v>0</v>
      </c>
      <c r="R949" s="170" t="b">
        <v>0</v>
      </c>
      <c r="S949" s="48"/>
      <c r="T949" s="60"/>
      <c r="U949" s="170" t="b">
        <v>0</v>
      </c>
      <c r="V949" s="170"/>
      <c r="W949" s="170" t="b">
        <v>0</v>
      </c>
      <c r="X949" s="170" t="b">
        <v>0</v>
      </c>
      <c r="Y949" s="170"/>
      <c r="Z949" s="170"/>
      <c r="AA949" s="170"/>
      <c r="AB949" s="170"/>
      <c r="AC949" s="171"/>
      <c r="AD949" s="170"/>
      <c r="AE949" s="170"/>
      <c r="AF949" s="170"/>
      <c r="AG949" s="170"/>
      <c r="AH949" s="170"/>
      <c r="AI949" s="170"/>
      <c r="AJ949" s="172"/>
      <c r="AK949" s="50"/>
      <c r="AL949" s="25"/>
      <c r="AM949" s="25"/>
      <c r="AN949" s="25"/>
      <c r="AO949" s="165"/>
      <c r="AP949" s="78"/>
      <c r="AQ949" s="25"/>
      <c r="AR949" s="25"/>
      <c r="AS949" s="25"/>
      <c r="AT949" s="25"/>
      <c r="AU949" s="25"/>
      <c r="AV949" s="25"/>
      <c r="AW949" s="25"/>
      <c r="AX949" s="25"/>
      <c r="AY949" s="25"/>
      <c r="AZ949" s="25"/>
      <c r="BA949" s="25"/>
      <c r="BB949" s="25"/>
      <c r="BC949" s="25"/>
      <c r="BD949" s="25"/>
      <c r="BE949" s="25"/>
      <c r="BF949" s="25"/>
      <c r="BG949" s="25"/>
      <c r="BH949" s="25"/>
      <c r="BI949" s="25"/>
      <c r="BJ949" s="25"/>
      <c r="BK949" s="25"/>
      <c r="BL949" s="25"/>
      <c r="BM949" s="25"/>
      <c r="BN949" s="25"/>
      <c r="BO949" s="25"/>
      <c r="BP949" s="25"/>
    </row>
    <row r="950">
      <c r="A950" s="25"/>
      <c r="B950" s="168"/>
      <c r="C950" s="25"/>
      <c r="D950" s="25"/>
      <c r="E950" s="25"/>
      <c r="F950" s="25"/>
      <c r="G950" s="84"/>
      <c r="H950" s="25"/>
      <c r="I950" s="25"/>
      <c r="J950" s="25"/>
      <c r="K950" s="169"/>
      <c r="L950" s="169"/>
      <c r="M950" s="170" t="b">
        <v>0</v>
      </c>
      <c r="N950" s="170" t="b">
        <v>0</v>
      </c>
      <c r="O950" s="48"/>
      <c r="P950" s="170" t="b">
        <v>0</v>
      </c>
      <c r="Q950" s="170" t="b">
        <v>0</v>
      </c>
      <c r="R950" s="170" t="b">
        <v>0</v>
      </c>
      <c r="S950" s="48"/>
      <c r="T950" s="60"/>
      <c r="U950" s="170" t="b">
        <v>0</v>
      </c>
      <c r="V950" s="170"/>
      <c r="W950" s="170" t="b">
        <v>0</v>
      </c>
      <c r="X950" s="170" t="b">
        <v>0</v>
      </c>
      <c r="Y950" s="170"/>
      <c r="Z950" s="170"/>
      <c r="AA950" s="170"/>
      <c r="AB950" s="170"/>
      <c r="AC950" s="171"/>
      <c r="AD950" s="170"/>
      <c r="AE950" s="170"/>
      <c r="AF950" s="170"/>
      <c r="AG950" s="170"/>
      <c r="AH950" s="170"/>
      <c r="AI950" s="170"/>
      <c r="AJ950" s="172"/>
      <c r="AK950" s="50"/>
      <c r="AL950" s="25"/>
      <c r="AM950" s="25"/>
      <c r="AN950" s="25"/>
      <c r="AO950" s="165"/>
      <c r="AP950" s="78"/>
      <c r="AQ950" s="25"/>
      <c r="AR950" s="25"/>
      <c r="AS950" s="25"/>
      <c r="AT950" s="25"/>
      <c r="AU950" s="25"/>
      <c r="AV950" s="25"/>
      <c r="AW950" s="25"/>
      <c r="AX950" s="25"/>
      <c r="AY950" s="25"/>
      <c r="AZ950" s="25"/>
      <c r="BA950" s="25"/>
      <c r="BB950" s="25"/>
      <c r="BC950" s="25"/>
      <c r="BD950" s="25"/>
      <c r="BE950" s="25"/>
      <c r="BF950" s="25"/>
      <c r="BG950" s="25"/>
      <c r="BH950" s="25"/>
      <c r="BI950" s="25"/>
      <c r="BJ950" s="25"/>
      <c r="BK950" s="25"/>
      <c r="BL950" s="25"/>
      <c r="BM950" s="25"/>
      <c r="BN950" s="25"/>
      <c r="BO950" s="25"/>
      <c r="BP950" s="25"/>
    </row>
    <row r="951">
      <c r="A951" s="25"/>
      <c r="B951" s="168"/>
      <c r="C951" s="25"/>
      <c r="D951" s="25"/>
      <c r="E951" s="25"/>
      <c r="F951" s="25"/>
      <c r="G951" s="84"/>
      <c r="H951" s="25"/>
      <c r="I951" s="25"/>
      <c r="J951" s="25"/>
      <c r="K951" s="169"/>
      <c r="L951" s="169"/>
      <c r="M951" s="170" t="b">
        <v>0</v>
      </c>
      <c r="N951" s="170" t="b">
        <v>0</v>
      </c>
      <c r="O951" s="48"/>
      <c r="P951" s="170" t="b">
        <v>0</v>
      </c>
      <c r="Q951" s="170" t="b">
        <v>0</v>
      </c>
      <c r="R951" s="170" t="b">
        <v>0</v>
      </c>
      <c r="S951" s="48"/>
      <c r="T951" s="60"/>
      <c r="U951" s="170" t="b">
        <v>0</v>
      </c>
      <c r="V951" s="170"/>
      <c r="W951" s="170" t="b">
        <v>0</v>
      </c>
      <c r="X951" s="170" t="b">
        <v>0</v>
      </c>
      <c r="Y951" s="170"/>
      <c r="Z951" s="170"/>
      <c r="AA951" s="170"/>
      <c r="AB951" s="170"/>
      <c r="AC951" s="171"/>
      <c r="AD951" s="170"/>
      <c r="AE951" s="170"/>
      <c r="AF951" s="170"/>
      <c r="AG951" s="170"/>
      <c r="AH951" s="170"/>
      <c r="AI951" s="170"/>
      <c r="AJ951" s="172"/>
      <c r="AK951" s="50"/>
      <c r="AL951" s="25"/>
      <c r="AM951" s="25"/>
      <c r="AN951" s="25"/>
      <c r="AO951" s="165"/>
      <c r="AP951" s="78"/>
      <c r="AQ951" s="25"/>
      <c r="AR951" s="25"/>
      <c r="AS951" s="25"/>
      <c r="AT951" s="25"/>
      <c r="AU951" s="25"/>
      <c r="AV951" s="25"/>
      <c r="AW951" s="25"/>
      <c r="AX951" s="25"/>
      <c r="AY951" s="25"/>
      <c r="AZ951" s="25"/>
      <c r="BA951" s="25"/>
      <c r="BB951" s="25"/>
      <c r="BC951" s="25"/>
      <c r="BD951" s="25"/>
      <c r="BE951" s="25"/>
      <c r="BF951" s="25"/>
      <c r="BG951" s="25"/>
      <c r="BH951" s="25"/>
      <c r="BI951" s="25"/>
      <c r="BJ951" s="25"/>
      <c r="BK951" s="25"/>
      <c r="BL951" s="25"/>
      <c r="BM951" s="25"/>
      <c r="BN951" s="25"/>
      <c r="BO951" s="25"/>
      <c r="BP951" s="25"/>
    </row>
    <row r="952">
      <c r="A952" s="25"/>
      <c r="B952" s="168"/>
      <c r="C952" s="25"/>
      <c r="D952" s="25"/>
      <c r="E952" s="25"/>
      <c r="F952" s="25"/>
      <c r="G952" s="84"/>
      <c r="H952" s="25"/>
      <c r="I952" s="25"/>
      <c r="J952" s="25"/>
      <c r="K952" s="169"/>
      <c r="L952" s="169"/>
      <c r="M952" s="170" t="b">
        <v>0</v>
      </c>
      <c r="N952" s="170" t="b">
        <v>0</v>
      </c>
      <c r="O952" s="48"/>
      <c r="P952" s="170" t="b">
        <v>0</v>
      </c>
      <c r="Q952" s="170" t="b">
        <v>0</v>
      </c>
      <c r="R952" s="170" t="b">
        <v>0</v>
      </c>
      <c r="S952" s="48"/>
      <c r="T952" s="60"/>
      <c r="U952" s="170" t="b">
        <v>0</v>
      </c>
      <c r="V952" s="170"/>
      <c r="W952" s="170" t="b">
        <v>0</v>
      </c>
      <c r="X952" s="170" t="b">
        <v>0</v>
      </c>
      <c r="Y952" s="170"/>
      <c r="Z952" s="170"/>
      <c r="AA952" s="170"/>
      <c r="AB952" s="170"/>
      <c r="AC952" s="171"/>
      <c r="AD952" s="170"/>
      <c r="AE952" s="170"/>
      <c r="AF952" s="170"/>
      <c r="AG952" s="170"/>
      <c r="AH952" s="170"/>
      <c r="AI952" s="170"/>
      <c r="AJ952" s="172"/>
      <c r="AK952" s="50"/>
      <c r="AL952" s="25"/>
      <c r="AM952" s="25"/>
      <c r="AN952" s="25"/>
      <c r="AO952" s="165"/>
      <c r="AP952" s="78"/>
      <c r="AQ952" s="25"/>
      <c r="AR952" s="25"/>
      <c r="AS952" s="25"/>
      <c r="AT952" s="25"/>
      <c r="AU952" s="25"/>
      <c r="AV952" s="25"/>
      <c r="AW952" s="25"/>
      <c r="AX952" s="25"/>
      <c r="AY952" s="25"/>
      <c r="AZ952" s="25"/>
      <c r="BA952" s="25"/>
      <c r="BB952" s="25"/>
      <c r="BC952" s="25"/>
      <c r="BD952" s="25"/>
      <c r="BE952" s="25"/>
      <c r="BF952" s="25"/>
      <c r="BG952" s="25"/>
      <c r="BH952" s="25"/>
      <c r="BI952" s="25"/>
      <c r="BJ952" s="25"/>
      <c r="BK952" s="25"/>
      <c r="BL952" s="25"/>
      <c r="BM952" s="25"/>
      <c r="BN952" s="25"/>
      <c r="BO952" s="25"/>
      <c r="BP952" s="25"/>
    </row>
    <row r="953">
      <c r="A953" s="25"/>
      <c r="B953" s="168"/>
      <c r="C953" s="25"/>
      <c r="D953" s="25"/>
      <c r="E953" s="25"/>
      <c r="F953" s="25"/>
      <c r="G953" s="84"/>
      <c r="H953" s="25"/>
      <c r="I953" s="25"/>
      <c r="J953" s="25"/>
      <c r="K953" s="169"/>
      <c r="L953" s="169"/>
      <c r="M953" s="170" t="b">
        <v>0</v>
      </c>
      <c r="N953" s="170" t="b">
        <v>0</v>
      </c>
      <c r="O953" s="48"/>
      <c r="P953" s="170" t="b">
        <v>0</v>
      </c>
      <c r="Q953" s="170" t="b">
        <v>0</v>
      </c>
      <c r="R953" s="170" t="b">
        <v>0</v>
      </c>
      <c r="S953" s="48"/>
      <c r="T953" s="60"/>
      <c r="U953" s="170" t="b">
        <v>0</v>
      </c>
      <c r="V953" s="170"/>
      <c r="W953" s="170" t="b">
        <v>0</v>
      </c>
      <c r="X953" s="170" t="b">
        <v>0</v>
      </c>
      <c r="Y953" s="170"/>
      <c r="Z953" s="170"/>
      <c r="AA953" s="170"/>
      <c r="AB953" s="170"/>
      <c r="AC953" s="171"/>
      <c r="AD953" s="170"/>
      <c r="AE953" s="170"/>
      <c r="AF953" s="170"/>
      <c r="AG953" s="170"/>
      <c r="AH953" s="170"/>
      <c r="AI953" s="170"/>
      <c r="AJ953" s="172"/>
      <c r="AK953" s="50"/>
      <c r="AL953" s="25"/>
      <c r="AM953" s="25"/>
      <c r="AN953" s="25"/>
      <c r="AO953" s="165"/>
      <c r="AP953" s="78"/>
      <c r="AQ953" s="25"/>
      <c r="AR953" s="25"/>
      <c r="AS953" s="25"/>
      <c r="AT953" s="25"/>
      <c r="AU953" s="25"/>
      <c r="AV953" s="25"/>
      <c r="AW953" s="25"/>
      <c r="AX953" s="25"/>
      <c r="AY953" s="25"/>
      <c r="AZ953" s="25"/>
      <c r="BA953" s="25"/>
      <c r="BB953" s="25"/>
      <c r="BC953" s="25"/>
      <c r="BD953" s="25"/>
      <c r="BE953" s="25"/>
      <c r="BF953" s="25"/>
      <c r="BG953" s="25"/>
      <c r="BH953" s="25"/>
      <c r="BI953" s="25"/>
      <c r="BJ953" s="25"/>
      <c r="BK953" s="25"/>
      <c r="BL953" s="25"/>
      <c r="BM953" s="25"/>
      <c r="BN953" s="25"/>
      <c r="BO953" s="25"/>
      <c r="BP953" s="25"/>
    </row>
    <row r="954">
      <c r="A954" s="25"/>
      <c r="B954" s="168"/>
      <c r="C954" s="25"/>
      <c r="D954" s="25"/>
      <c r="E954" s="25"/>
      <c r="F954" s="25"/>
      <c r="G954" s="84"/>
      <c r="H954" s="25"/>
      <c r="I954" s="25"/>
      <c r="J954" s="25"/>
      <c r="K954" s="169"/>
      <c r="L954" s="169"/>
      <c r="M954" s="170" t="b">
        <v>0</v>
      </c>
      <c r="N954" s="170" t="b">
        <v>0</v>
      </c>
      <c r="O954" s="48"/>
      <c r="P954" s="170" t="b">
        <v>0</v>
      </c>
      <c r="Q954" s="170" t="b">
        <v>0</v>
      </c>
      <c r="R954" s="170" t="b">
        <v>0</v>
      </c>
      <c r="S954" s="48"/>
      <c r="T954" s="60"/>
      <c r="U954" s="170" t="b">
        <v>0</v>
      </c>
      <c r="V954" s="170"/>
      <c r="W954" s="170" t="b">
        <v>0</v>
      </c>
      <c r="X954" s="170" t="b">
        <v>0</v>
      </c>
      <c r="Y954" s="170"/>
      <c r="Z954" s="170"/>
      <c r="AA954" s="170"/>
      <c r="AB954" s="170"/>
      <c r="AC954" s="171"/>
      <c r="AD954" s="170"/>
      <c r="AE954" s="170"/>
      <c r="AF954" s="170"/>
      <c r="AG954" s="170"/>
      <c r="AH954" s="170"/>
      <c r="AI954" s="170"/>
      <c r="AJ954" s="172"/>
      <c r="AK954" s="50"/>
      <c r="AL954" s="25"/>
      <c r="AM954" s="25"/>
      <c r="AN954" s="25"/>
      <c r="AO954" s="165"/>
      <c r="AP954" s="78"/>
      <c r="AQ954" s="25"/>
      <c r="AR954" s="25"/>
      <c r="AS954" s="25"/>
      <c r="AT954" s="25"/>
      <c r="AU954" s="25"/>
      <c r="AV954" s="25"/>
      <c r="AW954" s="25"/>
      <c r="AX954" s="25"/>
      <c r="AY954" s="25"/>
      <c r="AZ954" s="25"/>
      <c r="BA954" s="25"/>
      <c r="BB954" s="25"/>
      <c r="BC954" s="25"/>
      <c r="BD954" s="25"/>
      <c r="BE954" s="25"/>
      <c r="BF954" s="25"/>
      <c r="BG954" s="25"/>
      <c r="BH954" s="25"/>
      <c r="BI954" s="25"/>
      <c r="BJ954" s="25"/>
      <c r="BK954" s="25"/>
      <c r="BL954" s="25"/>
      <c r="BM954" s="25"/>
      <c r="BN954" s="25"/>
      <c r="BO954" s="25"/>
      <c r="BP954" s="25"/>
    </row>
    <row r="955">
      <c r="A955" s="25"/>
      <c r="B955" s="168"/>
      <c r="C955" s="25"/>
      <c r="D955" s="25"/>
      <c r="E955" s="25"/>
      <c r="F955" s="25"/>
      <c r="G955" s="84"/>
      <c r="H955" s="25"/>
      <c r="I955" s="25"/>
      <c r="J955" s="25"/>
      <c r="K955" s="169"/>
      <c r="L955" s="169"/>
      <c r="M955" s="170" t="b">
        <v>0</v>
      </c>
      <c r="N955" s="170" t="b">
        <v>0</v>
      </c>
      <c r="O955" s="48"/>
      <c r="P955" s="170" t="b">
        <v>0</v>
      </c>
      <c r="Q955" s="170" t="b">
        <v>0</v>
      </c>
      <c r="R955" s="170" t="b">
        <v>0</v>
      </c>
      <c r="S955" s="48"/>
      <c r="T955" s="60"/>
      <c r="U955" s="170" t="b">
        <v>0</v>
      </c>
      <c r="V955" s="170"/>
      <c r="W955" s="170" t="b">
        <v>0</v>
      </c>
      <c r="X955" s="170" t="b">
        <v>0</v>
      </c>
      <c r="Y955" s="170"/>
      <c r="Z955" s="170"/>
      <c r="AA955" s="170"/>
      <c r="AB955" s="170"/>
      <c r="AC955" s="171"/>
      <c r="AD955" s="170"/>
      <c r="AE955" s="170"/>
      <c r="AF955" s="170"/>
      <c r="AG955" s="170"/>
      <c r="AH955" s="170"/>
      <c r="AI955" s="170"/>
      <c r="AJ955" s="172"/>
      <c r="AK955" s="50"/>
      <c r="AL955" s="25"/>
      <c r="AM955" s="25"/>
      <c r="AN955" s="25"/>
      <c r="AO955" s="165"/>
      <c r="AP955" s="78"/>
      <c r="AQ955" s="25"/>
      <c r="AR955" s="25"/>
      <c r="AS955" s="25"/>
      <c r="AT955" s="25"/>
      <c r="AU955" s="25"/>
      <c r="AV955" s="25"/>
      <c r="AW955" s="25"/>
      <c r="AX955" s="25"/>
      <c r="AY955" s="25"/>
      <c r="AZ955" s="25"/>
      <c r="BA955" s="25"/>
      <c r="BB955" s="25"/>
      <c r="BC955" s="25"/>
      <c r="BD955" s="25"/>
      <c r="BE955" s="25"/>
      <c r="BF955" s="25"/>
      <c r="BG955" s="25"/>
      <c r="BH955" s="25"/>
      <c r="BI955" s="25"/>
      <c r="BJ955" s="25"/>
      <c r="BK955" s="25"/>
      <c r="BL955" s="25"/>
      <c r="BM955" s="25"/>
      <c r="BN955" s="25"/>
      <c r="BO955" s="25"/>
      <c r="BP955" s="25"/>
    </row>
    <row r="956">
      <c r="A956" s="25"/>
      <c r="B956" s="168"/>
      <c r="C956" s="25"/>
      <c r="D956" s="25"/>
      <c r="E956" s="25"/>
      <c r="F956" s="25"/>
      <c r="G956" s="84"/>
      <c r="H956" s="25"/>
      <c r="I956" s="25"/>
      <c r="J956" s="25"/>
      <c r="K956" s="169"/>
      <c r="L956" s="169"/>
      <c r="M956" s="170" t="b">
        <v>0</v>
      </c>
      <c r="N956" s="170" t="b">
        <v>0</v>
      </c>
      <c r="O956" s="48"/>
      <c r="P956" s="170" t="b">
        <v>0</v>
      </c>
      <c r="Q956" s="170" t="b">
        <v>0</v>
      </c>
      <c r="R956" s="170" t="b">
        <v>0</v>
      </c>
      <c r="S956" s="48"/>
      <c r="T956" s="60"/>
      <c r="U956" s="170" t="b">
        <v>0</v>
      </c>
      <c r="V956" s="170"/>
      <c r="W956" s="170" t="b">
        <v>0</v>
      </c>
      <c r="X956" s="170" t="b">
        <v>0</v>
      </c>
      <c r="Y956" s="170"/>
      <c r="Z956" s="170"/>
      <c r="AA956" s="170"/>
      <c r="AB956" s="170"/>
      <c r="AC956" s="171"/>
      <c r="AD956" s="170"/>
      <c r="AE956" s="170"/>
      <c r="AF956" s="170"/>
      <c r="AG956" s="170"/>
      <c r="AH956" s="170"/>
      <c r="AI956" s="170"/>
      <c r="AJ956" s="172"/>
      <c r="AK956" s="50"/>
      <c r="AL956" s="25"/>
      <c r="AM956" s="25"/>
      <c r="AN956" s="25"/>
      <c r="AO956" s="165"/>
      <c r="AP956" s="78"/>
      <c r="AQ956" s="25"/>
      <c r="AR956" s="25"/>
      <c r="AS956" s="25"/>
      <c r="AT956" s="25"/>
      <c r="AU956" s="25"/>
      <c r="AV956" s="25"/>
      <c r="AW956" s="25"/>
      <c r="AX956" s="25"/>
      <c r="AY956" s="25"/>
      <c r="AZ956" s="25"/>
      <c r="BA956" s="25"/>
      <c r="BB956" s="25"/>
      <c r="BC956" s="25"/>
      <c r="BD956" s="25"/>
      <c r="BE956" s="25"/>
      <c r="BF956" s="25"/>
      <c r="BG956" s="25"/>
      <c r="BH956" s="25"/>
      <c r="BI956" s="25"/>
      <c r="BJ956" s="25"/>
      <c r="BK956" s="25"/>
      <c r="BL956" s="25"/>
      <c r="BM956" s="25"/>
      <c r="BN956" s="25"/>
      <c r="BO956" s="25"/>
      <c r="BP956" s="25"/>
    </row>
    <row r="957">
      <c r="A957" s="25"/>
      <c r="B957" s="168"/>
      <c r="C957" s="25"/>
      <c r="D957" s="25"/>
      <c r="E957" s="25"/>
      <c r="F957" s="25"/>
      <c r="G957" s="84"/>
      <c r="H957" s="25"/>
      <c r="I957" s="25"/>
      <c r="J957" s="25"/>
      <c r="K957" s="169"/>
      <c r="L957" s="169"/>
      <c r="M957" s="170" t="b">
        <v>0</v>
      </c>
      <c r="N957" s="170" t="b">
        <v>0</v>
      </c>
      <c r="O957" s="48"/>
      <c r="P957" s="170" t="b">
        <v>0</v>
      </c>
      <c r="Q957" s="170" t="b">
        <v>0</v>
      </c>
      <c r="R957" s="170" t="b">
        <v>0</v>
      </c>
      <c r="S957" s="48"/>
      <c r="T957" s="60"/>
      <c r="U957" s="170" t="b">
        <v>0</v>
      </c>
      <c r="V957" s="170"/>
      <c r="W957" s="170" t="b">
        <v>0</v>
      </c>
      <c r="X957" s="170" t="b">
        <v>0</v>
      </c>
      <c r="Y957" s="170"/>
      <c r="Z957" s="170"/>
      <c r="AA957" s="170"/>
      <c r="AB957" s="170"/>
      <c r="AC957" s="171"/>
      <c r="AD957" s="170"/>
      <c r="AE957" s="170"/>
      <c r="AF957" s="170"/>
      <c r="AG957" s="170"/>
      <c r="AH957" s="170"/>
      <c r="AI957" s="170"/>
      <c r="AJ957" s="172"/>
      <c r="AK957" s="50"/>
      <c r="AL957" s="25"/>
      <c r="AM957" s="25"/>
      <c r="AN957" s="25"/>
      <c r="AO957" s="165"/>
      <c r="AP957" s="78"/>
      <c r="AQ957" s="25"/>
      <c r="AR957" s="25"/>
      <c r="AS957" s="25"/>
      <c r="AT957" s="25"/>
      <c r="AU957" s="25"/>
      <c r="AV957" s="25"/>
      <c r="AW957" s="25"/>
      <c r="AX957" s="25"/>
      <c r="AY957" s="25"/>
      <c r="AZ957" s="25"/>
      <c r="BA957" s="25"/>
      <c r="BB957" s="25"/>
      <c r="BC957" s="25"/>
      <c r="BD957" s="25"/>
      <c r="BE957" s="25"/>
      <c r="BF957" s="25"/>
      <c r="BG957" s="25"/>
      <c r="BH957" s="25"/>
      <c r="BI957" s="25"/>
      <c r="BJ957" s="25"/>
      <c r="BK957" s="25"/>
      <c r="BL957" s="25"/>
      <c r="BM957" s="25"/>
      <c r="BN957" s="25"/>
      <c r="BO957" s="25"/>
      <c r="BP957" s="25"/>
    </row>
    <row r="958">
      <c r="A958" s="25"/>
      <c r="B958" s="168"/>
      <c r="C958" s="25"/>
      <c r="D958" s="25"/>
      <c r="E958" s="25"/>
      <c r="F958" s="25"/>
      <c r="G958" s="84"/>
      <c r="H958" s="25"/>
      <c r="I958" s="25"/>
      <c r="J958" s="25"/>
      <c r="K958" s="169"/>
      <c r="L958" s="169"/>
      <c r="M958" s="170" t="b">
        <v>0</v>
      </c>
      <c r="N958" s="170" t="b">
        <v>0</v>
      </c>
      <c r="O958" s="48"/>
      <c r="P958" s="170" t="b">
        <v>0</v>
      </c>
      <c r="Q958" s="170" t="b">
        <v>0</v>
      </c>
      <c r="R958" s="170" t="b">
        <v>0</v>
      </c>
      <c r="S958" s="48"/>
      <c r="T958" s="60"/>
      <c r="U958" s="170" t="b">
        <v>0</v>
      </c>
      <c r="V958" s="170"/>
      <c r="W958" s="170" t="b">
        <v>0</v>
      </c>
      <c r="X958" s="170" t="b">
        <v>0</v>
      </c>
      <c r="Y958" s="170"/>
      <c r="Z958" s="170"/>
      <c r="AA958" s="170"/>
      <c r="AB958" s="170"/>
      <c r="AC958" s="171"/>
      <c r="AD958" s="170"/>
      <c r="AE958" s="170"/>
      <c r="AF958" s="170"/>
      <c r="AG958" s="170"/>
      <c r="AH958" s="170"/>
      <c r="AI958" s="170"/>
      <c r="AJ958" s="172"/>
      <c r="AK958" s="50"/>
      <c r="AL958" s="25"/>
      <c r="AM958" s="25"/>
      <c r="AN958" s="25"/>
      <c r="AO958" s="165"/>
      <c r="AP958" s="78"/>
      <c r="AQ958" s="25"/>
      <c r="AR958" s="25"/>
      <c r="AS958" s="25"/>
      <c r="AT958" s="25"/>
      <c r="AU958" s="25"/>
      <c r="AV958" s="25"/>
      <c r="AW958" s="25"/>
      <c r="AX958" s="25"/>
      <c r="AY958" s="25"/>
      <c r="AZ958" s="25"/>
      <c r="BA958" s="25"/>
      <c r="BB958" s="25"/>
      <c r="BC958" s="25"/>
      <c r="BD958" s="25"/>
      <c r="BE958" s="25"/>
      <c r="BF958" s="25"/>
      <c r="BG958" s="25"/>
      <c r="BH958" s="25"/>
      <c r="BI958" s="25"/>
      <c r="BJ958" s="25"/>
      <c r="BK958" s="25"/>
      <c r="BL958" s="25"/>
      <c r="BM958" s="25"/>
      <c r="BN958" s="25"/>
      <c r="BO958" s="25"/>
      <c r="BP958" s="25"/>
    </row>
    <row r="959">
      <c r="A959" s="25"/>
      <c r="B959" s="168"/>
      <c r="C959" s="25"/>
      <c r="D959" s="25"/>
      <c r="E959" s="25"/>
      <c r="F959" s="25"/>
      <c r="G959" s="84"/>
      <c r="H959" s="25"/>
      <c r="I959" s="25"/>
      <c r="J959" s="25"/>
      <c r="K959" s="169"/>
      <c r="L959" s="169"/>
      <c r="M959" s="170" t="b">
        <v>0</v>
      </c>
      <c r="N959" s="170" t="b">
        <v>0</v>
      </c>
      <c r="O959" s="48"/>
      <c r="P959" s="170" t="b">
        <v>0</v>
      </c>
      <c r="Q959" s="170" t="b">
        <v>0</v>
      </c>
      <c r="R959" s="170" t="b">
        <v>0</v>
      </c>
      <c r="S959" s="48"/>
      <c r="T959" s="60"/>
      <c r="U959" s="170" t="b">
        <v>0</v>
      </c>
      <c r="V959" s="170"/>
      <c r="W959" s="170" t="b">
        <v>0</v>
      </c>
      <c r="X959" s="170" t="b">
        <v>0</v>
      </c>
      <c r="Y959" s="170"/>
      <c r="Z959" s="170"/>
      <c r="AA959" s="170"/>
      <c r="AB959" s="170"/>
      <c r="AC959" s="171"/>
      <c r="AD959" s="170"/>
      <c r="AE959" s="170"/>
      <c r="AF959" s="170"/>
      <c r="AG959" s="170"/>
      <c r="AH959" s="170"/>
      <c r="AI959" s="170"/>
      <c r="AJ959" s="172"/>
      <c r="AK959" s="50"/>
      <c r="AL959" s="25"/>
      <c r="AM959" s="25"/>
      <c r="AN959" s="25"/>
      <c r="AO959" s="165"/>
      <c r="AP959" s="78"/>
      <c r="AQ959" s="25"/>
      <c r="AR959" s="25"/>
      <c r="AS959" s="25"/>
      <c r="AT959" s="25"/>
      <c r="AU959" s="25"/>
      <c r="AV959" s="25"/>
      <c r="AW959" s="25"/>
      <c r="AX959" s="25"/>
      <c r="AY959" s="25"/>
      <c r="AZ959" s="25"/>
      <c r="BA959" s="25"/>
      <c r="BB959" s="25"/>
      <c r="BC959" s="25"/>
      <c r="BD959" s="25"/>
      <c r="BE959" s="25"/>
      <c r="BF959" s="25"/>
      <c r="BG959" s="25"/>
      <c r="BH959" s="25"/>
      <c r="BI959" s="25"/>
      <c r="BJ959" s="25"/>
      <c r="BK959" s="25"/>
      <c r="BL959" s="25"/>
      <c r="BM959" s="25"/>
      <c r="BN959" s="25"/>
      <c r="BO959" s="25"/>
      <c r="BP959" s="25"/>
    </row>
    <row r="960">
      <c r="A960" s="25"/>
      <c r="B960" s="168"/>
      <c r="C960" s="25"/>
      <c r="D960" s="25"/>
      <c r="E960" s="25"/>
      <c r="F960" s="25"/>
      <c r="G960" s="84"/>
      <c r="H960" s="25"/>
      <c r="I960" s="25"/>
      <c r="J960" s="25"/>
      <c r="K960" s="169"/>
      <c r="L960" s="169"/>
      <c r="M960" s="170" t="b">
        <v>0</v>
      </c>
      <c r="N960" s="170" t="b">
        <v>0</v>
      </c>
      <c r="O960" s="48"/>
      <c r="P960" s="170" t="b">
        <v>0</v>
      </c>
      <c r="Q960" s="170" t="b">
        <v>0</v>
      </c>
      <c r="R960" s="170" t="b">
        <v>0</v>
      </c>
      <c r="S960" s="48"/>
      <c r="T960" s="60"/>
      <c r="U960" s="170" t="b">
        <v>0</v>
      </c>
      <c r="V960" s="170"/>
      <c r="W960" s="170" t="b">
        <v>0</v>
      </c>
      <c r="X960" s="170" t="b">
        <v>0</v>
      </c>
      <c r="Y960" s="170"/>
      <c r="Z960" s="170"/>
      <c r="AA960" s="170"/>
      <c r="AB960" s="170"/>
      <c r="AC960" s="171"/>
      <c r="AD960" s="170"/>
      <c r="AE960" s="170"/>
      <c r="AF960" s="170"/>
      <c r="AG960" s="170"/>
      <c r="AH960" s="170"/>
      <c r="AI960" s="170"/>
      <c r="AJ960" s="172"/>
      <c r="AK960" s="50"/>
      <c r="AL960" s="25"/>
      <c r="AM960" s="25"/>
      <c r="AN960" s="25"/>
      <c r="AO960" s="165"/>
      <c r="AP960" s="78"/>
      <c r="AQ960" s="25"/>
      <c r="AR960" s="25"/>
      <c r="AS960" s="25"/>
      <c r="AT960" s="25"/>
      <c r="AU960" s="25"/>
      <c r="AV960" s="25"/>
      <c r="AW960" s="25"/>
      <c r="AX960" s="25"/>
      <c r="AY960" s="25"/>
      <c r="AZ960" s="25"/>
      <c r="BA960" s="25"/>
      <c r="BB960" s="25"/>
      <c r="BC960" s="25"/>
      <c r="BD960" s="25"/>
      <c r="BE960" s="25"/>
      <c r="BF960" s="25"/>
      <c r="BG960" s="25"/>
      <c r="BH960" s="25"/>
      <c r="BI960" s="25"/>
      <c r="BJ960" s="25"/>
      <c r="BK960" s="25"/>
      <c r="BL960" s="25"/>
      <c r="BM960" s="25"/>
      <c r="BN960" s="25"/>
      <c r="BO960" s="25"/>
      <c r="BP960" s="25"/>
    </row>
    <row r="961">
      <c r="A961" s="25"/>
      <c r="B961" s="168"/>
      <c r="C961" s="25"/>
      <c r="D961" s="25"/>
      <c r="E961" s="25"/>
      <c r="F961" s="25"/>
      <c r="G961" s="84"/>
      <c r="H961" s="25"/>
      <c r="I961" s="25"/>
      <c r="J961" s="25"/>
      <c r="K961" s="169"/>
      <c r="L961" s="169"/>
      <c r="M961" s="170" t="b">
        <v>0</v>
      </c>
      <c r="N961" s="170" t="b">
        <v>0</v>
      </c>
      <c r="O961" s="48"/>
      <c r="P961" s="170" t="b">
        <v>0</v>
      </c>
      <c r="Q961" s="170" t="b">
        <v>0</v>
      </c>
      <c r="R961" s="170" t="b">
        <v>0</v>
      </c>
      <c r="S961" s="48"/>
      <c r="T961" s="60"/>
      <c r="U961" s="170" t="b">
        <v>0</v>
      </c>
      <c r="V961" s="170"/>
      <c r="W961" s="170" t="b">
        <v>0</v>
      </c>
      <c r="X961" s="170" t="b">
        <v>0</v>
      </c>
      <c r="Y961" s="170"/>
      <c r="Z961" s="170"/>
      <c r="AA961" s="170"/>
      <c r="AB961" s="170"/>
      <c r="AC961" s="171"/>
      <c r="AD961" s="170"/>
      <c r="AE961" s="170"/>
      <c r="AF961" s="170"/>
      <c r="AG961" s="170"/>
      <c r="AH961" s="170"/>
      <c r="AI961" s="170"/>
      <c r="AJ961" s="172"/>
      <c r="AK961" s="50"/>
      <c r="AL961" s="25"/>
      <c r="AM961" s="25"/>
      <c r="AN961" s="25"/>
      <c r="AO961" s="165"/>
      <c r="AP961" s="78"/>
      <c r="AQ961" s="25"/>
      <c r="AR961" s="25"/>
      <c r="AS961" s="25"/>
      <c r="AT961" s="25"/>
      <c r="AU961" s="25"/>
      <c r="AV961" s="25"/>
      <c r="AW961" s="25"/>
      <c r="AX961" s="25"/>
      <c r="AY961" s="25"/>
      <c r="AZ961" s="25"/>
      <c r="BA961" s="25"/>
      <c r="BB961" s="25"/>
      <c r="BC961" s="25"/>
      <c r="BD961" s="25"/>
      <c r="BE961" s="25"/>
      <c r="BF961" s="25"/>
      <c r="BG961" s="25"/>
      <c r="BH961" s="25"/>
      <c r="BI961" s="25"/>
      <c r="BJ961" s="25"/>
      <c r="BK961" s="25"/>
      <c r="BL961" s="25"/>
      <c r="BM961" s="25"/>
      <c r="BN961" s="25"/>
      <c r="BO961" s="25"/>
      <c r="BP961" s="25"/>
    </row>
    <row r="962">
      <c r="A962" s="25"/>
      <c r="B962" s="168"/>
      <c r="C962" s="25"/>
      <c r="D962" s="25"/>
      <c r="E962" s="25"/>
      <c r="F962" s="25"/>
      <c r="G962" s="84"/>
      <c r="H962" s="25"/>
      <c r="I962" s="25"/>
      <c r="J962" s="25"/>
      <c r="K962" s="169"/>
      <c r="L962" s="169"/>
      <c r="M962" s="170" t="b">
        <v>0</v>
      </c>
      <c r="N962" s="170" t="b">
        <v>0</v>
      </c>
      <c r="O962" s="48"/>
      <c r="P962" s="170" t="b">
        <v>0</v>
      </c>
      <c r="Q962" s="170" t="b">
        <v>0</v>
      </c>
      <c r="R962" s="170" t="b">
        <v>0</v>
      </c>
      <c r="S962" s="48"/>
      <c r="T962" s="60"/>
      <c r="U962" s="170" t="b">
        <v>0</v>
      </c>
      <c r="V962" s="170"/>
      <c r="W962" s="170" t="b">
        <v>0</v>
      </c>
      <c r="X962" s="170" t="b">
        <v>0</v>
      </c>
      <c r="Y962" s="170"/>
      <c r="Z962" s="170"/>
      <c r="AA962" s="170"/>
      <c r="AB962" s="170"/>
      <c r="AC962" s="171"/>
      <c r="AD962" s="170"/>
      <c r="AE962" s="170"/>
      <c r="AF962" s="170"/>
      <c r="AG962" s="170"/>
      <c r="AH962" s="170"/>
      <c r="AI962" s="170"/>
      <c r="AJ962" s="172"/>
      <c r="AK962" s="50"/>
      <c r="AL962" s="25"/>
      <c r="AM962" s="25"/>
      <c r="AN962" s="25"/>
      <c r="AO962" s="165"/>
      <c r="AP962" s="78"/>
      <c r="AQ962" s="25"/>
      <c r="AR962" s="25"/>
      <c r="AS962" s="25"/>
      <c r="AT962" s="25"/>
      <c r="AU962" s="25"/>
      <c r="AV962" s="25"/>
      <c r="AW962" s="25"/>
      <c r="AX962" s="25"/>
      <c r="AY962" s="25"/>
      <c r="AZ962" s="25"/>
      <c r="BA962" s="25"/>
      <c r="BB962" s="25"/>
      <c r="BC962" s="25"/>
      <c r="BD962" s="25"/>
      <c r="BE962" s="25"/>
      <c r="BF962" s="25"/>
      <c r="BG962" s="25"/>
      <c r="BH962" s="25"/>
      <c r="BI962" s="25"/>
      <c r="BJ962" s="25"/>
      <c r="BK962" s="25"/>
      <c r="BL962" s="25"/>
      <c r="BM962" s="25"/>
      <c r="BN962" s="25"/>
      <c r="BO962" s="25"/>
      <c r="BP962" s="25"/>
    </row>
    <row r="963">
      <c r="A963" s="25"/>
      <c r="B963" s="168"/>
      <c r="C963" s="25"/>
      <c r="D963" s="25"/>
      <c r="E963" s="25"/>
      <c r="F963" s="25"/>
      <c r="G963" s="84"/>
      <c r="H963" s="25"/>
      <c r="I963" s="25"/>
      <c r="J963" s="25"/>
      <c r="K963" s="169"/>
      <c r="L963" s="169"/>
      <c r="M963" s="170" t="b">
        <v>0</v>
      </c>
      <c r="N963" s="170" t="b">
        <v>0</v>
      </c>
      <c r="O963" s="48"/>
      <c r="P963" s="170" t="b">
        <v>0</v>
      </c>
      <c r="Q963" s="170" t="b">
        <v>0</v>
      </c>
      <c r="R963" s="170" t="b">
        <v>0</v>
      </c>
      <c r="S963" s="48"/>
      <c r="T963" s="60"/>
      <c r="U963" s="170" t="b">
        <v>0</v>
      </c>
      <c r="V963" s="170"/>
      <c r="W963" s="170" t="b">
        <v>0</v>
      </c>
      <c r="X963" s="170" t="b">
        <v>0</v>
      </c>
      <c r="Y963" s="170"/>
      <c r="Z963" s="170"/>
      <c r="AA963" s="170"/>
      <c r="AB963" s="170"/>
      <c r="AC963" s="171"/>
      <c r="AD963" s="170"/>
      <c r="AE963" s="170"/>
      <c r="AF963" s="170"/>
      <c r="AG963" s="170"/>
      <c r="AH963" s="170"/>
      <c r="AI963" s="170"/>
      <c r="AJ963" s="172"/>
      <c r="AK963" s="50"/>
      <c r="AL963" s="25"/>
      <c r="AM963" s="25"/>
      <c r="AN963" s="25"/>
      <c r="AO963" s="165"/>
      <c r="AP963" s="78"/>
      <c r="AQ963" s="25"/>
      <c r="AR963" s="25"/>
      <c r="AS963" s="25"/>
      <c r="AT963" s="25"/>
      <c r="AU963" s="25"/>
      <c r="AV963" s="25"/>
      <c r="AW963" s="25"/>
      <c r="AX963" s="25"/>
      <c r="AY963" s="25"/>
      <c r="AZ963" s="25"/>
      <c r="BA963" s="25"/>
      <c r="BB963" s="25"/>
      <c r="BC963" s="25"/>
      <c r="BD963" s="25"/>
      <c r="BE963" s="25"/>
      <c r="BF963" s="25"/>
      <c r="BG963" s="25"/>
      <c r="BH963" s="25"/>
      <c r="BI963" s="25"/>
      <c r="BJ963" s="25"/>
      <c r="BK963" s="25"/>
      <c r="BL963" s="25"/>
      <c r="BM963" s="25"/>
      <c r="BN963" s="25"/>
      <c r="BO963" s="25"/>
      <c r="BP963" s="25"/>
    </row>
    <row r="964">
      <c r="A964" s="25"/>
      <c r="B964" s="168"/>
      <c r="C964" s="25"/>
      <c r="D964" s="25"/>
      <c r="E964" s="25"/>
      <c r="F964" s="25"/>
      <c r="G964" s="84"/>
      <c r="H964" s="25"/>
      <c r="I964" s="25"/>
      <c r="J964" s="25"/>
      <c r="K964" s="169"/>
      <c r="L964" s="169"/>
      <c r="M964" s="170" t="b">
        <v>0</v>
      </c>
      <c r="N964" s="170" t="b">
        <v>0</v>
      </c>
      <c r="O964" s="48"/>
      <c r="P964" s="170" t="b">
        <v>0</v>
      </c>
      <c r="Q964" s="170" t="b">
        <v>0</v>
      </c>
      <c r="R964" s="170" t="b">
        <v>0</v>
      </c>
      <c r="S964" s="48"/>
      <c r="T964" s="60"/>
      <c r="U964" s="170" t="b">
        <v>0</v>
      </c>
      <c r="V964" s="170"/>
      <c r="W964" s="170" t="b">
        <v>0</v>
      </c>
      <c r="X964" s="170" t="b">
        <v>0</v>
      </c>
      <c r="Y964" s="170"/>
      <c r="Z964" s="170"/>
      <c r="AA964" s="170"/>
      <c r="AB964" s="170"/>
      <c r="AC964" s="171"/>
      <c r="AD964" s="170"/>
      <c r="AE964" s="170"/>
      <c r="AF964" s="170"/>
      <c r="AG964" s="170"/>
      <c r="AH964" s="170"/>
      <c r="AI964" s="170"/>
      <c r="AJ964" s="172"/>
      <c r="AK964" s="50"/>
      <c r="AL964" s="25"/>
      <c r="AM964" s="25"/>
      <c r="AN964" s="25"/>
      <c r="AO964" s="165"/>
      <c r="AP964" s="78"/>
      <c r="AQ964" s="25"/>
      <c r="AR964" s="25"/>
      <c r="AS964" s="25"/>
      <c r="AT964" s="25"/>
      <c r="AU964" s="25"/>
      <c r="AV964" s="25"/>
      <c r="AW964" s="25"/>
      <c r="AX964" s="25"/>
      <c r="AY964" s="25"/>
      <c r="AZ964" s="25"/>
      <c r="BA964" s="25"/>
      <c r="BB964" s="25"/>
      <c r="BC964" s="25"/>
      <c r="BD964" s="25"/>
      <c r="BE964" s="25"/>
      <c r="BF964" s="25"/>
      <c r="BG964" s="25"/>
      <c r="BH964" s="25"/>
      <c r="BI964" s="25"/>
      <c r="BJ964" s="25"/>
      <c r="BK964" s="25"/>
      <c r="BL964" s="25"/>
      <c r="BM964" s="25"/>
      <c r="BN964" s="25"/>
      <c r="BO964" s="25"/>
      <c r="BP964" s="25"/>
    </row>
    <row r="965">
      <c r="A965" s="25"/>
      <c r="B965" s="168"/>
      <c r="C965" s="25"/>
      <c r="D965" s="25"/>
      <c r="E965" s="25"/>
      <c r="F965" s="25"/>
      <c r="G965" s="84"/>
      <c r="H965" s="25"/>
      <c r="I965" s="25"/>
      <c r="J965" s="25"/>
      <c r="K965" s="169"/>
      <c r="L965" s="169"/>
      <c r="M965" s="170" t="b">
        <v>0</v>
      </c>
      <c r="N965" s="170" t="b">
        <v>0</v>
      </c>
      <c r="O965" s="48"/>
      <c r="P965" s="170" t="b">
        <v>0</v>
      </c>
      <c r="Q965" s="170" t="b">
        <v>0</v>
      </c>
      <c r="R965" s="170" t="b">
        <v>0</v>
      </c>
      <c r="S965" s="48"/>
      <c r="T965" s="60"/>
      <c r="U965" s="170" t="b">
        <v>0</v>
      </c>
      <c r="V965" s="170"/>
      <c r="W965" s="170" t="b">
        <v>0</v>
      </c>
      <c r="X965" s="170" t="b">
        <v>0</v>
      </c>
      <c r="Y965" s="170"/>
      <c r="Z965" s="170"/>
      <c r="AA965" s="170"/>
      <c r="AB965" s="170"/>
      <c r="AC965" s="171"/>
      <c r="AD965" s="170"/>
      <c r="AE965" s="170"/>
      <c r="AF965" s="170"/>
      <c r="AG965" s="170"/>
      <c r="AH965" s="170"/>
      <c r="AI965" s="170"/>
      <c r="AJ965" s="172"/>
      <c r="AK965" s="50"/>
      <c r="AL965" s="25"/>
      <c r="AM965" s="25"/>
      <c r="AN965" s="25"/>
      <c r="AO965" s="165"/>
      <c r="AP965" s="78"/>
      <c r="AQ965" s="25"/>
      <c r="AR965" s="25"/>
      <c r="AS965" s="25"/>
      <c r="AT965" s="25"/>
      <c r="AU965" s="25"/>
      <c r="AV965" s="25"/>
      <c r="AW965" s="25"/>
      <c r="AX965" s="25"/>
      <c r="AY965" s="25"/>
      <c r="AZ965" s="25"/>
      <c r="BA965" s="25"/>
      <c r="BB965" s="25"/>
      <c r="BC965" s="25"/>
      <c r="BD965" s="25"/>
      <c r="BE965" s="25"/>
      <c r="BF965" s="25"/>
      <c r="BG965" s="25"/>
      <c r="BH965" s="25"/>
      <c r="BI965" s="25"/>
      <c r="BJ965" s="25"/>
      <c r="BK965" s="25"/>
      <c r="BL965" s="25"/>
      <c r="BM965" s="25"/>
      <c r="BN965" s="25"/>
      <c r="BO965" s="25"/>
      <c r="BP965" s="25"/>
    </row>
    <row r="966">
      <c r="A966" s="25"/>
      <c r="B966" s="168"/>
      <c r="C966" s="25"/>
      <c r="D966" s="25"/>
      <c r="E966" s="25"/>
      <c r="F966" s="25"/>
      <c r="G966" s="84"/>
      <c r="H966" s="25"/>
      <c r="I966" s="25"/>
      <c r="J966" s="25"/>
      <c r="K966" s="169"/>
      <c r="L966" s="169"/>
      <c r="M966" s="170" t="b">
        <v>0</v>
      </c>
      <c r="N966" s="170" t="b">
        <v>0</v>
      </c>
      <c r="O966" s="48"/>
      <c r="P966" s="170" t="b">
        <v>0</v>
      </c>
      <c r="Q966" s="170" t="b">
        <v>0</v>
      </c>
      <c r="R966" s="170" t="b">
        <v>0</v>
      </c>
      <c r="S966" s="48"/>
      <c r="T966" s="60"/>
      <c r="U966" s="170" t="b">
        <v>0</v>
      </c>
      <c r="V966" s="170"/>
      <c r="W966" s="170" t="b">
        <v>0</v>
      </c>
      <c r="X966" s="170" t="b">
        <v>0</v>
      </c>
      <c r="Y966" s="170"/>
      <c r="Z966" s="170"/>
      <c r="AA966" s="170"/>
      <c r="AB966" s="170"/>
      <c r="AC966" s="171"/>
      <c r="AD966" s="170"/>
      <c r="AE966" s="170"/>
      <c r="AF966" s="170"/>
      <c r="AG966" s="170"/>
      <c r="AH966" s="170"/>
      <c r="AI966" s="170"/>
      <c r="AJ966" s="172"/>
      <c r="AK966" s="50"/>
      <c r="AL966" s="25"/>
      <c r="AM966" s="25"/>
      <c r="AN966" s="25"/>
      <c r="AO966" s="165"/>
      <c r="AP966" s="78"/>
      <c r="AQ966" s="25"/>
      <c r="AR966" s="25"/>
      <c r="AS966" s="25"/>
      <c r="AT966" s="25"/>
      <c r="AU966" s="25"/>
      <c r="AV966" s="25"/>
      <c r="AW966" s="25"/>
      <c r="AX966" s="25"/>
      <c r="AY966" s="25"/>
      <c r="AZ966" s="25"/>
      <c r="BA966" s="25"/>
      <c r="BB966" s="25"/>
      <c r="BC966" s="25"/>
      <c r="BD966" s="25"/>
      <c r="BE966" s="25"/>
      <c r="BF966" s="25"/>
      <c r="BG966" s="25"/>
      <c r="BH966" s="25"/>
      <c r="BI966" s="25"/>
      <c r="BJ966" s="25"/>
      <c r="BK966" s="25"/>
      <c r="BL966" s="25"/>
      <c r="BM966" s="25"/>
      <c r="BN966" s="25"/>
      <c r="BO966" s="25"/>
      <c r="BP966" s="25"/>
    </row>
    <row r="967">
      <c r="A967" s="25"/>
      <c r="B967" s="168"/>
      <c r="C967" s="25"/>
      <c r="D967" s="25"/>
      <c r="E967" s="25"/>
      <c r="F967" s="25"/>
      <c r="G967" s="84"/>
      <c r="H967" s="25"/>
      <c r="I967" s="25"/>
      <c r="J967" s="25"/>
      <c r="K967" s="169"/>
      <c r="L967" s="169"/>
      <c r="M967" s="170" t="b">
        <v>0</v>
      </c>
      <c r="N967" s="170" t="b">
        <v>0</v>
      </c>
      <c r="O967" s="48"/>
      <c r="P967" s="170" t="b">
        <v>0</v>
      </c>
      <c r="Q967" s="170" t="b">
        <v>0</v>
      </c>
      <c r="R967" s="170" t="b">
        <v>0</v>
      </c>
      <c r="S967" s="48"/>
      <c r="T967" s="60"/>
      <c r="U967" s="170" t="b">
        <v>0</v>
      </c>
      <c r="V967" s="170"/>
      <c r="W967" s="170" t="b">
        <v>0</v>
      </c>
      <c r="X967" s="170" t="b">
        <v>0</v>
      </c>
      <c r="Y967" s="170"/>
      <c r="Z967" s="170"/>
      <c r="AA967" s="170"/>
      <c r="AB967" s="170"/>
      <c r="AC967" s="171"/>
      <c r="AD967" s="170"/>
      <c r="AE967" s="170"/>
      <c r="AF967" s="170"/>
      <c r="AG967" s="170"/>
      <c r="AH967" s="170"/>
      <c r="AI967" s="170"/>
      <c r="AJ967" s="172"/>
      <c r="AK967" s="50"/>
      <c r="AL967" s="25"/>
      <c r="AM967" s="25"/>
      <c r="AN967" s="25"/>
      <c r="AO967" s="165"/>
      <c r="AP967" s="78"/>
      <c r="AQ967" s="25"/>
      <c r="AR967" s="25"/>
      <c r="AS967" s="25"/>
      <c r="AT967" s="25"/>
      <c r="AU967" s="25"/>
      <c r="AV967" s="25"/>
      <c r="AW967" s="25"/>
      <c r="AX967" s="25"/>
      <c r="AY967" s="25"/>
      <c r="AZ967" s="25"/>
      <c r="BA967" s="25"/>
      <c r="BB967" s="25"/>
      <c r="BC967" s="25"/>
      <c r="BD967" s="25"/>
      <c r="BE967" s="25"/>
      <c r="BF967" s="25"/>
      <c r="BG967" s="25"/>
      <c r="BH967" s="25"/>
      <c r="BI967" s="25"/>
      <c r="BJ967" s="25"/>
      <c r="BK967" s="25"/>
      <c r="BL967" s="25"/>
      <c r="BM967" s="25"/>
      <c r="BN967" s="25"/>
      <c r="BO967" s="25"/>
      <c r="BP967" s="25"/>
    </row>
    <row r="968">
      <c r="A968" s="25"/>
      <c r="B968" s="168"/>
      <c r="C968" s="25"/>
      <c r="D968" s="25"/>
      <c r="E968" s="25"/>
      <c r="F968" s="25"/>
      <c r="G968" s="84"/>
      <c r="H968" s="25"/>
      <c r="I968" s="25"/>
      <c r="J968" s="25"/>
      <c r="K968" s="169"/>
      <c r="L968" s="169"/>
      <c r="M968" s="170" t="b">
        <v>0</v>
      </c>
      <c r="N968" s="170" t="b">
        <v>0</v>
      </c>
      <c r="O968" s="48"/>
      <c r="P968" s="170" t="b">
        <v>0</v>
      </c>
      <c r="Q968" s="170" t="b">
        <v>0</v>
      </c>
      <c r="R968" s="170" t="b">
        <v>0</v>
      </c>
      <c r="S968" s="48"/>
      <c r="T968" s="60"/>
      <c r="U968" s="170" t="b">
        <v>0</v>
      </c>
      <c r="V968" s="170"/>
      <c r="W968" s="170" t="b">
        <v>0</v>
      </c>
      <c r="X968" s="170" t="b">
        <v>0</v>
      </c>
      <c r="Y968" s="170"/>
      <c r="Z968" s="170"/>
      <c r="AA968" s="170"/>
      <c r="AB968" s="170"/>
      <c r="AC968" s="171"/>
      <c r="AD968" s="170"/>
      <c r="AE968" s="170"/>
      <c r="AF968" s="170"/>
      <c r="AG968" s="170"/>
      <c r="AH968" s="170"/>
      <c r="AI968" s="170"/>
      <c r="AJ968" s="172"/>
      <c r="AK968" s="50"/>
      <c r="AL968" s="25"/>
      <c r="AM968" s="25"/>
      <c r="AN968" s="25"/>
      <c r="AO968" s="165"/>
      <c r="AP968" s="78"/>
      <c r="AQ968" s="25"/>
      <c r="AR968" s="25"/>
      <c r="AS968" s="25"/>
      <c r="AT968" s="25"/>
      <c r="AU968" s="25"/>
      <c r="AV968" s="25"/>
      <c r="AW968" s="25"/>
      <c r="AX968" s="25"/>
      <c r="AY968" s="25"/>
      <c r="AZ968" s="25"/>
      <c r="BA968" s="25"/>
      <c r="BB968" s="25"/>
      <c r="BC968" s="25"/>
      <c r="BD968" s="25"/>
      <c r="BE968" s="25"/>
      <c r="BF968" s="25"/>
      <c r="BG968" s="25"/>
      <c r="BH968" s="25"/>
      <c r="BI968" s="25"/>
      <c r="BJ968" s="25"/>
      <c r="BK968" s="25"/>
      <c r="BL968" s="25"/>
      <c r="BM968" s="25"/>
      <c r="BN968" s="25"/>
      <c r="BO968" s="25"/>
      <c r="BP968" s="25"/>
    </row>
    <row r="969">
      <c r="A969" s="25"/>
      <c r="B969" s="168"/>
      <c r="C969" s="25"/>
      <c r="D969" s="25"/>
      <c r="E969" s="25"/>
      <c r="F969" s="25"/>
      <c r="G969" s="84"/>
      <c r="H969" s="25"/>
      <c r="I969" s="25"/>
      <c r="J969" s="25"/>
      <c r="K969" s="169"/>
      <c r="L969" s="169"/>
      <c r="M969" s="170" t="b">
        <v>0</v>
      </c>
      <c r="N969" s="170" t="b">
        <v>0</v>
      </c>
      <c r="O969" s="48"/>
      <c r="P969" s="170" t="b">
        <v>0</v>
      </c>
      <c r="Q969" s="170" t="b">
        <v>0</v>
      </c>
      <c r="R969" s="170" t="b">
        <v>0</v>
      </c>
      <c r="S969" s="48"/>
      <c r="T969" s="60"/>
      <c r="U969" s="170" t="b">
        <v>0</v>
      </c>
      <c r="V969" s="170"/>
      <c r="W969" s="170" t="b">
        <v>0</v>
      </c>
      <c r="X969" s="170" t="b">
        <v>0</v>
      </c>
      <c r="Y969" s="170"/>
      <c r="Z969" s="170"/>
      <c r="AA969" s="170"/>
      <c r="AB969" s="170"/>
      <c r="AC969" s="171"/>
      <c r="AD969" s="170"/>
      <c r="AE969" s="170"/>
      <c r="AF969" s="170"/>
      <c r="AG969" s="170"/>
      <c r="AH969" s="170"/>
      <c r="AI969" s="170"/>
      <c r="AJ969" s="172"/>
      <c r="AK969" s="50"/>
      <c r="AL969" s="25"/>
      <c r="AM969" s="25"/>
      <c r="AN969" s="25"/>
      <c r="AO969" s="165"/>
      <c r="AP969" s="78"/>
      <c r="AQ969" s="25"/>
      <c r="AR969" s="25"/>
      <c r="AS969" s="25"/>
      <c r="AT969" s="25"/>
      <c r="AU969" s="25"/>
      <c r="AV969" s="25"/>
      <c r="AW969" s="25"/>
      <c r="AX969" s="25"/>
      <c r="AY969" s="25"/>
      <c r="AZ969" s="25"/>
      <c r="BA969" s="25"/>
      <c r="BB969" s="25"/>
      <c r="BC969" s="25"/>
      <c r="BD969" s="25"/>
      <c r="BE969" s="25"/>
      <c r="BF969" s="25"/>
      <c r="BG969" s="25"/>
      <c r="BH969" s="25"/>
      <c r="BI969" s="25"/>
      <c r="BJ969" s="25"/>
      <c r="BK969" s="25"/>
      <c r="BL969" s="25"/>
      <c r="BM969" s="25"/>
      <c r="BN969" s="25"/>
      <c r="BO969" s="25"/>
      <c r="BP969" s="25"/>
    </row>
    <row r="970">
      <c r="A970" s="25"/>
      <c r="B970" s="168"/>
      <c r="C970" s="25"/>
      <c r="D970" s="25"/>
      <c r="E970" s="25"/>
      <c r="F970" s="25"/>
      <c r="G970" s="84"/>
      <c r="H970" s="25"/>
      <c r="I970" s="25"/>
      <c r="J970" s="25"/>
      <c r="K970" s="169"/>
      <c r="L970" s="169"/>
      <c r="M970" s="170" t="b">
        <v>0</v>
      </c>
      <c r="N970" s="170" t="b">
        <v>0</v>
      </c>
      <c r="O970" s="48"/>
      <c r="P970" s="170" t="b">
        <v>0</v>
      </c>
      <c r="Q970" s="170" t="b">
        <v>0</v>
      </c>
      <c r="R970" s="170" t="b">
        <v>0</v>
      </c>
      <c r="S970" s="48"/>
      <c r="T970" s="60"/>
      <c r="U970" s="170" t="b">
        <v>0</v>
      </c>
      <c r="V970" s="170"/>
      <c r="W970" s="170" t="b">
        <v>0</v>
      </c>
      <c r="X970" s="170" t="b">
        <v>0</v>
      </c>
      <c r="Y970" s="170"/>
      <c r="Z970" s="170"/>
      <c r="AA970" s="170"/>
      <c r="AB970" s="170"/>
      <c r="AC970" s="171"/>
      <c r="AD970" s="170"/>
      <c r="AE970" s="170"/>
      <c r="AF970" s="170"/>
      <c r="AG970" s="170"/>
      <c r="AH970" s="170"/>
      <c r="AI970" s="170"/>
      <c r="AJ970" s="172"/>
      <c r="AK970" s="50"/>
      <c r="AL970" s="25"/>
      <c r="AM970" s="25"/>
      <c r="AN970" s="25"/>
      <c r="AO970" s="165"/>
      <c r="AP970" s="78"/>
      <c r="AQ970" s="25"/>
      <c r="AR970" s="25"/>
      <c r="AS970" s="25"/>
      <c r="AT970" s="25"/>
      <c r="AU970" s="25"/>
      <c r="AV970" s="25"/>
      <c r="AW970" s="25"/>
      <c r="AX970" s="25"/>
      <c r="AY970" s="25"/>
      <c r="AZ970" s="25"/>
      <c r="BA970" s="25"/>
      <c r="BB970" s="25"/>
      <c r="BC970" s="25"/>
      <c r="BD970" s="25"/>
      <c r="BE970" s="25"/>
      <c r="BF970" s="25"/>
      <c r="BG970" s="25"/>
      <c r="BH970" s="25"/>
      <c r="BI970" s="25"/>
      <c r="BJ970" s="25"/>
      <c r="BK970" s="25"/>
      <c r="BL970" s="25"/>
      <c r="BM970" s="25"/>
      <c r="BN970" s="25"/>
      <c r="BO970" s="25"/>
      <c r="BP970" s="25"/>
    </row>
    <row r="971">
      <c r="A971" s="25"/>
      <c r="B971" s="168"/>
      <c r="C971" s="25"/>
      <c r="D971" s="25"/>
      <c r="E971" s="25"/>
      <c r="F971" s="25"/>
      <c r="G971" s="84"/>
      <c r="H971" s="25"/>
      <c r="I971" s="25"/>
      <c r="J971" s="25"/>
      <c r="K971" s="169"/>
      <c r="L971" s="169"/>
      <c r="M971" s="170" t="b">
        <v>0</v>
      </c>
      <c r="N971" s="170" t="b">
        <v>0</v>
      </c>
      <c r="O971" s="48"/>
      <c r="P971" s="170" t="b">
        <v>0</v>
      </c>
      <c r="Q971" s="170" t="b">
        <v>0</v>
      </c>
      <c r="R971" s="170" t="b">
        <v>0</v>
      </c>
      <c r="S971" s="48"/>
      <c r="T971" s="60"/>
      <c r="U971" s="170" t="b">
        <v>0</v>
      </c>
      <c r="V971" s="170"/>
      <c r="W971" s="170" t="b">
        <v>0</v>
      </c>
      <c r="X971" s="170" t="b">
        <v>0</v>
      </c>
      <c r="Y971" s="170"/>
      <c r="Z971" s="170"/>
      <c r="AA971" s="170"/>
      <c r="AB971" s="170"/>
      <c r="AC971" s="171"/>
      <c r="AD971" s="170"/>
      <c r="AE971" s="170"/>
      <c r="AF971" s="170"/>
      <c r="AG971" s="170"/>
      <c r="AH971" s="170"/>
      <c r="AI971" s="170"/>
      <c r="AJ971" s="172"/>
      <c r="AK971" s="50"/>
      <c r="AL971" s="25"/>
      <c r="AM971" s="25"/>
      <c r="AN971" s="25"/>
      <c r="AO971" s="165"/>
      <c r="AP971" s="78"/>
      <c r="AQ971" s="25"/>
      <c r="AR971" s="25"/>
      <c r="AS971" s="25"/>
      <c r="AT971" s="25"/>
      <c r="AU971" s="25"/>
      <c r="AV971" s="25"/>
      <c r="AW971" s="25"/>
      <c r="AX971" s="25"/>
      <c r="AY971" s="25"/>
      <c r="AZ971" s="25"/>
      <c r="BA971" s="25"/>
      <c r="BB971" s="25"/>
      <c r="BC971" s="25"/>
      <c r="BD971" s="25"/>
      <c r="BE971" s="25"/>
      <c r="BF971" s="25"/>
      <c r="BG971" s="25"/>
      <c r="BH971" s="25"/>
      <c r="BI971" s="25"/>
      <c r="BJ971" s="25"/>
      <c r="BK971" s="25"/>
      <c r="BL971" s="25"/>
      <c r="BM971" s="25"/>
      <c r="BN971" s="25"/>
      <c r="BO971" s="25"/>
      <c r="BP971" s="25"/>
    </row>
    <row r="972">
      <c r="A972" s="25"/>
      <c r="B972" s="168"/>
      <c r="C972" s="25"/>
      <c r="D972" s="25"/>
      <c r="E972" s="25"/>
      <c r="F972" s="25"/>
      <c r="G972" s="84"/>
      <c r="H972" s="25"/>
      <c r="I972" s="25"/>
      <c r="J972" s="25"/>
      <c r="K972" s="169"/>
      <c r="L972" s="169"/>
      <c r="M972" s="170" t="b">
        <v>0</v>
      </c>
      <c r="N972" s="170" t="b">
        <v>0</v>
      </c>
      <c r="O972" s="48"/>
      <c r="P972" s="170" t="b">
        <v>0</v>
      </c>
      <c r="Q972" s="170" t="b">
        <v>0</v>
      </c>
      <c r="R972" s="170" t="b">
        <v>0</v>
      </c>
      <c r="S972" s="48"/>
      <c r="T972" s="60"/>
      <c r="U972" s="170" t="b">
        <v>0</v>
      </c>
      <c r="V972" s="170"/>
      <c r="W972" s="170" t="b">
        <v>0</v>
      </c>
      <c r="X972" s="170" t="b">
        <v>0</v>
      </c>
      <c r="Y972" s="170"/>
      <c r="Z972" s="170"/>
      <c r="AA972" s="170"/>
      <c r="AB972" s="170"/>
      <c r="AC972" s="171"/>
      <c r="AD972" s="170"/>
      <c r="AE972" s="170"/>
      <c r="AF972" s="170"/>
      <c r="AG972" s="170"/>
      <c r="AH972" s="170"/>
      <c r="AI972" s="170"/>
      <c r="AJ972" s="172"/>
      <c r="AK972" s="50"/>
      <c r="AL972" s="25"/>
      <c r="AM972" s="25"/>
      <c r="AN972" s="25"/>
      <c r="AO972" s="165"/>
      <c r="AP972" s="78"/>
      <c r="AQ972" s="25"/>
      <c r="AR972" s="25"/>
      <c r="AS972" s="25"/>
      <c r="AT972" s="25"/>
      <c r="AU972" s="25"/>
      <c r="AV972" s="25"/>
      <c r="AW972" s="25"/>
      <c r="AX972" s="25"/>
      <c r="AY972" s="25"/>
      <c r="AZ972" s="25"/>
      <c r="BA972" s="25"/>
      <c r="BB972" s="25"/>
      <c r="BC972" s="25"/>
      <c r="BD972" s="25"/>
      <c r="BE972" s="25"/>
      <c r="BF972" s="25"/>
      <c r="BG972" s="25"/>
      <c r="BH972" s="25"/>
      <c r="BI972" s="25"/>
      <c r="BJ972" s="25"/>
      <c r="BK972" s="25"/>
      <c r="BL972" s="25"/>
      <c r="BM972" s="25"/>
      <c r="BN972" s="25"/>
      <c r="BO972" s="25"/>
      <c r="BP972" s="25"/>
    </row>
    <row r="973">
      <c r="A973" s="25"/>
      <c r="B973" s="168"/>
      <c r="C973" s="25"/>
      <c r="D973" s="25"/>
      <c r="E973" s="25"/>
      <c r="F973" s="25"/>
      <c r="G973" s="84"/>
      <c r="H973" s="25"/>
      <c r="I973" s="25"/>
      <c r="J973" s="25"/>
      <c r="K973" s="169"/>
      <c r="L973" s="169"/>
      <c r="M973" s="170" t="b">
        <v>0</v>
      </c>
      <c r="N973" s="170" t="b">
        <v>0</v>
      </c>
      <c r="O973" s="48"/>
      <c r="P973" s="170" t="b">
        <v>0</v>
      </c>
      <c r="Q973" s="170" t="b">
        <v>0</v>
      </c>
      <c r="R973" s="170" t="b">
        <v>0</v>
      </c>
      <c r="S973" s="48"/>
      <c r="T973" s="60"/>
      <c r="U973" s="170" t="b">
        <v>0</v>
      </c>
      <c r="V973" s="170"/>
      <c r="W973" s="170" t="b">
        <v>0</v>
      </c>
      <c r="X973" s="170" t="b">
        <v>0</v>
      </c>
      <c r="Y973" s="170"/>
      <c r="Z973" s="170"/>
      <c r="AA973" s="170"/>
      <c r="AB973" s="170"/>
      <c r="AC973" s="171"/>
      <c r="AD973" s="170"/>
      <c r="AE973" s="170"/>
      <c r="AF973" s="170"/>
      <c r="AG973" s="170"/>
      <c r="AH973" s="170"/>
      <c r="AI973" s="170"/>
      <c r="AJ973" s="172"/>
      <c r="AK973" s="50"/>
      <c r="AL973" s="25"/>
      <c r="AM973" s="25"/>
      <c r="AN973" s="25"/>
      <c r="AO973" s="165"/>
      <c r="AP973" s="78"/>
      <c r="AQ973" s="25"/>
      <c r="AR973" s="25"/>
      <c r="AS973" s="25"/>
      <c r="AT973" s="25"/>
      <c r="AU973" s="25"/>
      <c r="AV973" s="25"/>
      <c r="AW973" s="25"/>
      <c r="AX973" s="25"/>
      <c r="AY973" s="25"/>
      <c r="AZ973" s="25"/>
      <c r="BA973" s="25"/>
      <c r="BB973" s="25"/>
      <c r="BC973" s="25"/>
      <c r="BD973" s="25"/>
      <c r="BE973" s="25"/>
      <c r="BF973" s="25"/>
      <c r="BG973" s="25"/>
      <c r="BH973" s="25"/>
      <c r="BI973" s="25"/>
      <c r="BJ973" s="25"/>
      <c r="BK973" s="25"/>
      <c r="BL973" s="25"/>
      <c r="BM973" s="25"/>
      <c r="BN973" s="25"/>
      <c r="BO973" s="25"/>
      <c r="BP973" s="25"/>
    </row>
    <row r="974">
      <c r="A974" s="25"/>
      <c r="B974" s="168"/>
      <c r="C974" s="25"/>
      <c r="D974" s="25"/>
      <c r="E974" s="25"/>
      <c r="F974" s="25"/>
      <c r="G974" s="84"/>
      <c r="H974" s="25"/>
      <c r="I974" s="25"/>
      <c r="J974" s="25"/>
      <c r="K974" s="169"/>
      <c r="L974" s="169"/>
      <c r="M974" s="170" t="b">
        <v>0</v>
      </c>
      <c r="N974" s="170" t="b">
        <v>0</v>
      </c>
      <c r="O974" s="48"/>
      <c r="P974" s="170" t="b">
        <v>0</v>
      </c>
      <c r="Q974" s="170" t="b">
        <v>0</v>
      </c>
      <c r="R974" s="170" t="b">
        <v>0</v>
      </c>
      <c r="S974" s="48"/>
      <c r="T974" s="60"/>
      <c r="U974" s="170" t="b">
        <v>0</v>
      </c>
      <c r="V974" s="170"/>
      <c r="W974" s="170" t="b">
        <v>0</v>
      </c>
      <c r="X974" s="170" t="b">
        <v>0</v>
      </c>
      <c r="Y974" s="170"/>
      <c r="Z974" s="170"/>
      <c r="AA974" s="170"/>
      <c r="AB974" s="170"/>
      <c r="AC974" s="171"/>
      <c r="AD974" s="170"/>
      <c r="AE974" s="170"/>
      <c r="AF974" s="170"/>
      <c r="AG974" s="170"/>
      <c r="AH974" s="170"/>
      <c r="AI974" s="170"/>
      <c r="AJ974" s="172"/>
      <c r="AK974" s="50"/>
      <c r="AL974" s="25"/>
      <c r="AM974" s="25"/>
      <c r="AN974" s="25"/>
      <c r="AO974" s="165"/>
      <c r="AP974" s="78"/>
      <c r="AQ974" s="25"/>
      <c r="AR974" s="25"/>
      <c r="AS974" s="25"/>
      <c r="AT974" s="25"/>
      <c r="AU974" s="25"/>
      <c r="AV974" s="25"/>
      <c r="AW974" s="25"/>
      <c r="AX974" s="25"/>
      <c r="AY974" s="25"/>
      <c r="AZ974" s="25"/>
      <c r="BA974" s="25"/>
      <c r="BB974" s="25"/>
      <c r="BC974" s="25"/>
      <c r="BD974" s="25"/>
      <c r="BE974" s="25"/>
      <c r="BF974" s="25"/>
      <c r="BG974" s="25"/>
      <c r="BH974" s="25"/>
      <c r="BI974" s="25"/>
      <c r="BJ974" s="25"/>
      <c r="BK974" s="25"/>
      <c r="BL974" s="25"/>
      <c r="BM974" s="25"/>
      <c r="BN974" s="25"/>
      <c r="BO974" s="25"/>
      <c r="BP974" s="25"/>
    </row>
    <row r="975">
      <c r="A975" s="25"/>
      <c r="B975" s="168"/>
      <c r="C975" s="25"/>
      <c r="D975" s="25"/>
      <c r="E975" s="25"/>
      <c r="F975" s="25"/>
      <c r="G975" s="84"/>
      <c r="H975" s="25"/>
      <c r="I975" s="25"/>
      <c r="J975" s="25"/>
      <c r="K975" s="169"/>
      <c r="L975" s="169"/>
      <c r="M975" s="170" t="b">
        <v>0</v>
      </c>
      <c r="N975" s="170" t="b">
        <v>0</v>
      </c>
      <c r="O975" s="48"/>
      <c r="P975" s="170" t="b">
        <v>0</v>
      </c>
      <c r="Q975" s="170" t="b">
        <v>0</v>
      </c>
      <c r="R975" s="170" t="b">
        <v>0</v>
      </c>
      <c r="S975" s="48"/>
      <c r="T975" s="60"/>
      <c r="U975" s="170" t="b">
        <v>0</v>
      </c>
      <c r="V975" s="170"/>
      <c r="W975" s="170" t="b">
        <v>0</v>
      </c>
      <c r="X975" s="170" t="b">
        <v>0</v>
      </c>
      <c r="Y975" s="170"/>
      <c r="Z975" s="170"/>
      <c r="AA975" s="170"/>
      <c r="AB975" s="170"/>
      <c r="AC975" s="171"/>
      <c r="AD975" s="170"/>
      <c r="AE975" s="170"/>
      <c r="AF975" s="170"/>
      <c r="AG975" s="170"/>
      <c r="AH975" s="170"/>
      <c r="AI975" s="170"/>
      <c r="AJ975" s="172"/>
      <c r="AK975" s="50"/>
      <c r="AL975" s="25"/>
      <c r="AM975" s="25"/>
      <c r="AN975" s="25"/>
      <c r="AO975" s="165"/>
      <c r="AP975" s="78"/>
      <c r="AQ975" s="25"/>
      <c r="AR975" s="25"/>
      <c r="AS975" s="25"/>
      <c r="AT975" s="25"/>
      <c r="AU975" s="25"/>
      <c r="AV975" s="25"/>
      <c r="AW975" s="25"/>
      <c r="AX975" s="25"/>
      <c r="AY975" s="25"/>
      <c r="AZ975" s="25"/>
      <c r="BA975" s="25"/>
      <c r="BB975" s="25"/>
      <c r="BC975" s="25"/>
      <c r="BD975" s="25"/>
      <c r="BE975" s="25"/>
      <c r="BF975" s="25"/>
      <c r="BG975" s="25"/>
      <c r="BH975" s="25"/>
      <c r="BI975" s="25"/>
      <c r="BJ975" s="25"/>
      <c r="BK975" s="25"/>
      <c r="BL975" s="25"/>
      <c r="BM975" s="25"/>
      <c r="BN975" s="25"/>
      <c r="BO975" s="25"/>
      <c r="BP975" s="25"/>
    </row>
    <row r="976">
      <c r="A976" s="25"/>
      <c r="B976" s="168"/>
      <c r="C976" s="25"/>
      <c r="D976" s="25"/>
      <c r="E976" s="25"/>
      <c r="F976" s="25"/>
      <c r="G976" s="84"/>
      <c r="H976" s="25"/>
      <c r="I976" s="25"/>
      <c r="J976" s="25"/>
      <c r="K976" s="169"/>
      <c r="L976" s="169"/>
      <c r="M976" s="170" t="b">
        <v>0</v>
      </c>
      <c r="N976" s="170" t="b">
        <v>0</v>
      </c>
      <c r="O976" s="48"/>
      <c r="P976" s="170" t="b">
        <v>0</v>
      </c>
      <c r="Q976" s="170" t="b">
        <v>0</v>
      </c>
      <c r="R976" s="170" t="b">
        <v>0</v>
      </c>
      <c r="S976" s="48"/>
      <c r="T976" s="60"/>
      <c r="U976" s="170" t="b">
        <v>0</v>
      </c>
      <c r="V976" s="170"/>
      <c r="W976" s="170" t="b">
        <v>0</v>
      </c>
      <c r="X976" s="170" t="b">
        <v>0</v>
      </c>
      <c r="Y976" s="170"/>
      <c r="Z976" s="170"/>
      <c r="AA976" s="170"/>
      <c r="AB976" s="170"/>
      <c r="AC976" s="171"/>
      <c r="AD976" s="170"/>
      <c r="AE976" s="170"/>
      <c r="AF976" s="170"/>
      <c r="AG976" s="170"/>
      <c r="AH976" s="170"/>
      <c r="AI976" s="170"/>
      <c r="AJ976" s="172"/>
      <c r="AK976" s="50"/>
      <c r="AL976" s="25"/>
      <c r="AM976" s="25"/>
      <c r="AN976" s="25"/>
      <c r="AO976" s="165"/>
      <c r="AP976" s="78"/>
      <c r="AQ976" s="25"/>
      <c r="AR976" s="25"/>
      <c r="AS976" s="25"/>
      <c r="AT976" s="25"/>
      <c r="AU976" s="25"/>
      <c r="AV976" s="25"/>
      <c r="AW976" s="25"/>
      <c r="AX976" s="25"/>
      <c r="AY976" s="25"/>
      <c r="AZ976" s="25"/>
      <c r="BA976" s="25"/>
      <c r="BB976" s="25"/>
      <c r="BC976" s="25"/>
      <c r="BD976" s="25"/>
      <c r="BE976" s="25"/>
      <c r="BF976" s="25"/>
      <c r="BG976" s="25"/>
      <c r="BH976" s="25"/>
      <c r="BI976" s="25"/>
      <c r="BJ976" s="25"/>
      <c r="BK976" s="25"/>
      <c r="BL976" s="25"/>
      <c r="BM976" s="25"/>
      <c r="BN976" s="25"/>
      <c r="BO976" s="25"/>
      <c r="BP976" s="25"/>
    </row>
    <row r="977">
      <c r="A977" s="25"/>
      <c r="B977" s="168"/>
      <c r="C977" s="25"/>
      <c r="D977" s="25"/>
      <c r="E977" s="25"/>
      <c r="F977" s="25"/>
      <c r="G977" s="84"/>
      <c r="H977" s="25"/>
      <c r="I977" s="25"/>
      <c r="J977" s="25"/>
      <c r="K977" s="169"/>
      <c r="L977" s="169"/>
      <c r="M977" s="170" t="b">
        <v>0</v>
      </c>
      <c r="N977" s="170" t="b">
        <v>0</v>
      </c>
      <c r="O977" s="48"/>
      <c r="P977" s="170" t="b">
        <v>0</v>
      </c>
      <c r="Q977" s="170" t="b">
        <v>0</v>
      </c>
      <c r="R977" s="170" t="b">
        <v>0</v>
      </c>
      <c r="S977" s="48"/>
      <c r="T977" s="60"/>
      <c r="U977" s="170" t="b">
        <v>0</v>
      </c>
      <c r="V977" s="170"/>
      <c r="W977" s="170" t="b">
        <v>0</v>
      </c>
      <c r="X977" s="170" t="b">
        <v>0</v>
      </c>
      <c r="Y977" s="170"/>
      <c r="Z977" s="170"/>
      <c r="AA977" s="170"/>
      <c r="AB977" s="170"/>
      <c r="AC977" s="171"/>
      <c r="AD977" s="170"/>
      <c r="AE977" s="170"/>
      <c r="AF977" s="170"/>
      <c r="AG977" s="170"/>
      <c r="AH977" s="170"/>
      <c r="AI977" s="170"/>
      <c r="AJ977" s="172"/>
      <c r="AK977" s="50"/>
      <c r="AL977" s="25"/>
      <c r="AM977" s="25"/>
      <c r="AN977" s="25"/>
      <c r="AO977" s="165"/>
      <c r="AP977" s="78"/>
      <c r="AQ977" s="25"/>
      <c r="AR977" s="25"/>
      <c r="AS977" s="25"/>
      <c r="AT977" s="25"/>
      <c r="AU977" s="25"/>
      <c r="AV977" s="25"/>
      <c r="AW977" s="25"/>
      <c r="AX977" s="25"/>
      <c r="AY977" s="25"/>
      <c r="AZ977" s="25"/>
      <c r="BA977" s="25"/>
      <c r="BB977" s="25"/>
      <c r="BC977" s="25"/>
      <c r="BD977" s="25"/>
      <c r="BE977" s="25"/>
      <c r="BF977" s="25"/>
      <c r="BG977" s="25"/>
      <c r="BH977" s="25"/>
      <c r="BI977" s="25"/>
      <c r="BJ977" s="25"/>
      <c r="BK977" s="25"/>
      <c r="BL977" s="25"/>
      <c r="BM977" s="25"/>
      <c r="BN977" s="25"/>
      <c r="BO977" s="25"/>
      <c r="BP977" s="25"/>
    </row>
    <row r="978">
      <c r="A978" s="25"/>
      <c r="B978" s="168"/>
      <c r="C978" s="25"/>
      <c r="D978" s="25"/>
      <c r="E978" s="25"/>
      <c r="F978" s="25"/>
      <c r="G978" s="84"/>
      <c r="H978" s="25"/>
      <c r="I978" s="25"/>
      <c r="J978" s="25"/>
      <c r="K978" s="169"/>
      <c r="L978" s="169"/>
      <c r="M978" s="170" t="b">
        <v>0</v>
      </c>
      <c r="N978" s="170" t="b">
        <v>0</v>
      </c>
      <c r="O978" s="48"/>
      <c r="P978" s="170" t="b">
        <v>0</v>
      </c>
      <c r="Q978" s="170" t="b">
        <v>0</v>
      </c>
      <c r="R978" s="170" t="b">
        <v>0</v>
      </c>
      <c r="S978" s="48"/>
      <c r="T978" s="60"/>
      <c r="U978" s="170" t="b">
        <v>0</v>
      </c>
      <c r="V978" s="170"/>
      <c r="W978" s="170" t="b">
        <v>0</v>
      </c>
      <c r="X978" s="170" t="b">
        <v>0</v>
      </c>
      <c r="Y978" s="170"/>
      <c r="Z978" s="170"/>
      <c r="AA978" s="170"/>
      <c r="AB978" s="170"/>
      <c r="AC978" s="171"/>
      <c r="AD978" s="170"/>
      <c r="AE978" s="170"/>
      <c r="AF978" s="170"/>
      <c r="AG978" s="170"/>
      <c r="AH978" s="170"/>
      <c r="AI978" s="170"/>
      <c r="AJ978" s="172"/>
      <c r="AK978" s="50"/>
      <c r="AL978" s="25"/>
      <c r="AM978" s="25"/>
      <c r="AN978" s="25"/>
      <c r="AO978" s="165"/>
      <c r="AP978" s="78"/>
      <c r="AQ978" s="25"/>
      <c r="AR978" s="25"/>
      <c r="AS978" s="25"/>
      <c r="AT978" s="25"/>
      <c r="AU978" s="25"/>
      <c r="AV978" s="25"/>
      <c r="AW978" s="25"/>
      <c r="AX978" s="25"/>
      <c r="AY978" s="25"/>
      <c r="AZ978" s="25"/>
      <c r="BA978" s="25"/>
      <c r="BB978" s="25"/>
      <c r="BC978" s="25"/>
      <c r="BD978" s="25"/>
      <c r="BE978" s="25"/>
      <c r="BF978" s="25"/>
      <c r="BG978" s="25"/>
      <c r="BH978" s="25"/>
      <c r="BI978" s="25"/>
      <c r="BJ978" s="25"/>
      <c r="BK978" s="25"/>
      <c r="BL978" s="25"/>
      <c r="BM978" s="25"/>
      <c r="BN978" s="25"/>
      <c r="BO978" s="25"/>
      <c r="BP978" s="25"/>
    </row>
    <row r="979">
      <c r="A979" s="25"/>
      <c r="B979" s="168"/>
      <c r="C979" s="25"/>
      <c r="D979" s="25"/>
      <c r="E979" s="25"/>
      <c r="F979" s="25"/>
      <c r="G979" s="84"/>
      <c r="H979" s="25"/>
      <c r="I979" s="25"/>
      <c r="J979" s="25"/>
      <c r="K979" s="169"/>
      <c r="L979" s="169"/>
      <c r="M979" s="170" t="b">
        <v>0</v>
      </c>
      <c r="N979" s="170" t="b">
        <v>0</v>
      </c>
      <c r="O979" s="48"/>
      <c r="P979" s="170" t="b">
        <v>0</v>
      </c>
      <c r="Q979" s="170" t="b">
        <v>0</v>
      </c>
      <c r="R979" s="170" t="b">
        <v>0</v>
      </c>
      <c r="S979" s="48"/>
      <c r="T979" s="60"/>
      <c r="U979" s="170" t="b">
        <v>0</v>
      </c>
      <c r="V979" s="170"/>
      <c r="W979" s="170" t="b">
        <v>0</v>
      </c>
      <c r="X979" s="170" t="b">
        <v>0</v>
      </c>
      <c r="Y979" s="170"/>
      <c r="Z979" s="170"/>
      <c r="AA979" s="170"/>
      <c r="AB979" s="170"/>
      <c r="AC979" s="171"/>
      <c r="AD979" s="170"/>
      <c r="AE979" s="170"/>
      <c r="AF979" s="170"/>
      <c r="AG979" s="170"/>
      <c r="AH979" s="170"/>
      <c r="AI979" s="170"/>
      <c r="AJ979" s="172"/>
      <c r="AK979" s="50"/>
      <c r="AL979" s="25"/>
      <c r="AM979" s="25"/>
      <c r="AN979" s="25"/>
      <c r="AO979" s="165"/>
      <c r="AP979" s="78"/>
      <c r="AQ979" s="25"/>
      <c r="AR979" s="25"/>
      <c r="AS979" s="25"/>
      <c r="AT979" s="25"/>
      <c r="AU979" s="25"/>
      <c r="AV979" s="25"/>
      <c r="AW979" s="25"/>
      <c r="AX979" s="25"/>
      <c r="AY979" s="25"/>
      <c r="AZ979" s="25"/>
      <c r="BA979" s="25"/>
      <c r="BB979" s="25"/>
      <c r="BC979" s="25"/>
      <c r="BD979" s="25"/>
      <c r="BE979" s="25"/>
      <c r="BF979" s="25"/>
      <c r="BG979" s="25"/>
      <c r="BH979" s="25"/>
      <c r="BI979" s="25"/>
      <c r="BJ979" s="25"/>
      <c r="BK979" s="25"/>
      <c r="BL979" s="25"/>
      <c r="BM979" s="25"/>
      <c r="BN979" s="25"/>
      <c r="BO979" s="25"/>
      <c r="BP979" s="25"/>
    </row>
    <row r="980">
      <c r="A980" s="25"/>
      <c r="B980" s="168"/>
      <c r="C980" s="25"/>
      <c r="D980" s="25"/>
      <c r="E980" s="25"/>
      <c r="F980" s="25"/>
      <c r="G980" s="84"/>
      <c r="H980" s="25"/>
      <c r="I980" s="25"/>
      <c r="J980" s="25"/>
      <c r="K980" s="169"/>
      <c r="L980" s="169"/>
      <c r="M980" s="170" t="b">
        <v>0</v>
      </c>
      <c r="N980" s="170" t="b">
        <v>0</v>
      </c>
      <c r="O980" s="48"/>
      <c r="P980" s="170" t="b">
        <v>0</v>
      </c>
      <c r="Q980" s="170" t="b">
        <v>0</v>
      </c>
      <c r="R980" s="170" t="b">
        <v>0</v>
      </c>
      <c r="S980" s="48"/>
      <c r="T980" s="60"/>
      <c r="U980" s="170" t="b">
        <v>0</v>
      </c>
      <c r="V980" s="170"/>
      <c r="W980" s="170" t="b">
        <v>0</v>
      </c>
      <c r="X980" s="170" t="b">
        <v>0</v>
      </c>
      <c r="Y980" s="170"/>
      <c r="Z980" s="170"/>
      <c r="AA980" s="170"/>
      <c r="AB980" s="170"/>
      <c r="AC980" s="171"/>
      <c r="AD980" s="170"/>
      <c r="AE980" s="170"/>
      <c r="AF980" s="170"/>
      <c r="AG980" s="170"/>
      <c r="AH980" s="170"/>
      <c r="AI980" s="170"/>
      <c r="AJ980" s="172"/>
      <c r="AK980" s="50"/>
      <c r="AL980" s="25"/>
      <c r="AM980" s="25"/>
      <c r="AN980" s="25"/>
      <c r="AO980" s="165"/>
      <c r="AP980" s="78"/>
      <c r="AQ980" s="25"/>
      <c r="AR980" s="25"/>
      <c r="AS980" s="25"/>
      <c r="AT980" s="25"/>
      <c r="AU980" s="25"/>
      <c r="AV980" s="25"/>
      <c r="AW980" s="25"/>
      <c r="AX980" s="25"/>
      <c r="AY980" s="25"/>
      <c r="AZ980" s="25"/>
      <c r="BA980" s="25"/>
      <c r="BB980" s="25"/>
      <c r="BC980" s="25"/>
      <c r="BD980" s="25"/>
      <c r="BE980" s="25"/>
      <c r="BF980" s="25"/>
      <c r="BG980" s="25"/>
      <c r="BH980" s="25"/>
      <c r="BI980" s="25"/>
      <c r="BJ980" s="25"/>
      <c r="BK980" s="25"/>
      <c r="BL980" s="25"/>
      <c r="BM980" s="25"/>
      <c r="BN980" s="25"/>
      <c r="BO980" s="25"/>
      <c r="BP980" s="25"/>
    </row>
    <row r="981">
      <c r="A981" s="25"/>
      <c r="B981" s="168"/>
      <c r="C981" s="25"/>
      <c r="D981" s="25"/>
      <c r="E981" s="25"/>
      <c r="F981" s="25"/>
      <c r="G981" s="84"/>
      <c r="H981" s="25"/>
      <c r="I981" s="25"/>
      <c r="J981" s="25"/>
      <c r="K981" s="169"/>
      <c r="L981" s="169"/>
      <c r="M981" s="170" t="b">
        <v>0</v>
      </c>
      <c r="N981" s="170" t="b">
        <v>0</v>
      </c>
      <c r="O981" s="48"/>
      <c r="P981" s="170" t="b">
        <v>0</v>
      </c>
      <c r="Q981" s="170" t="b">
        <v>0</v>
      </c>
      <c r="R981" s="170" t="b">
        <v>0</v>
      </c>
      <c r="S981" s="48"/>
      <c r="T981" s="60"/>
      <c r="U981" s="170" t="b">
        <v>0</v>
      </c>
      <c r="V981" s="170"/>
      <c r="W981" s="170" t="b">
        <v>0</v>
      </c>
      <c r="X981" s="170" t="b">
        <v>0</v>
      </c>
      <c r="Y981" s="170"/>
      <c r="Z981" s="170"/>
      <c r="AA981" s="170"/>
      <c r="AB981" s="170"/>
      <c r="AC981" s="171"/>
      <c r="AD981" s="170"/>
      <c r="AE981" s="170"/>
      <c r="AF981" s="170"/>
      <c r="AG981" s="170"/>
      <c r="AH981" s="170"/>
      <c r="AI981" s="170"/>
      <c r="AJ981" s="172"/>
      <c r="AK981" s="50"/>
      <c r="AL981" s="25"/>
      <c r="AM981" s="25"/>
      <c r="AN981" s="25"/>
      <c r="AO981" s="165"/>
      <c r="AP981" s="78"/>
      <c r="AQ981" s="25"/>
      <c r="AR981" s="25"/>
      <c r="AS981" s="25"/>
      <c r="AT981" s="25"/>
      <c r="AU981" s="25"/>
      <c r="AV981" s="25"/>
      <c r="AW981" s="25"/>
      <c r="AX981" s="25"/>
      <c r="AY981" s="25"/>
      <c r="AZ981" s="25"/>
      <c r="BA981" s="25"/>
      <c r="BB981" s="25"/>
      <c r="BC981" s="25"/>
      <c r="BD981" s="25"/>
      <c r="BE981" s="25"/>
      <c r="BF981" s="25"/>
      <c r="BG981" s="25"/>
      <c r="BH981" s="25"/>
      <c r="BI981" s="25"/>
      <c r="BJ981" s="25"/>
      <c r="BK981" s="25"/>
      <c r="BL981" s="25"/>
      <c r="BM981" s="25"/>
      <c r="BN981" s="25"/>
      <c r="BO981" s="25"/>
      <c r="BP981" s="25"/>
    </row>
    <row r="982">
      <c r="A982" s="25"/>
      <c r="B982" s="168"/>
      <c r="C982" s="25"/>
      <c r="D982" s="25"/>
      <c r="E982" s="25"/>
      <c r="F982" s="25"/>
      <c r="G982" s="84"/>
      <c r="H982" s="25"/>
      <c r="I982" s="25"/>
      <c r="J982" s="25"/>
      <c r="K982" s="169"/>
      <c r="L982" s="169"/>
      <c r="M982" s="170" t="b">
        <v>0</v>
      </c>
      <c r="N982" s="170" t="b">
        <v>0</v>
      </c>
      <c r="O982" s="48"/>
      <c r="P982" s="170" t="b">
        <v>0</v>
      </c>
      <c r="Q982" s="170" t="b">
        <v>0</v>
      </c>
      <c r="R982" s="170" t="b">
        <v>0</v>
      </c>
      <c r="S982" s="48"/>
      <c r="T982" s="60"/>
      <c r="U982" s="170" t="b">
        <v>0</v>
      </c>
      <c r="V982" s="170"/>
      <c r="W982" s="170" t="b">
        <v>0</v>
      </c>
      <c r="X982" s="170" t="b">
        <v>0</v>
      </c>
      <c r="Y982" s="170"/>
      <c r="Z982" s="170"/>
      <c r="AA982" s="170"/>
      <c r="AB982" s="170"/>
      <c r="AC982" s="171"/>
      <c r="AD982" s="170"/>
      <c r="AE982" s="170"/>
      <c r="AF982" s="170"/>
      <c r="AG982" s="170"/>
      <c r="AH982" s="170"/>
      <c r="AI982" s="170"/>
      <c r="AJ982" s="172"/>
      <c r="AK982" s="50"/>
      <c r="AL982" s="25"/>
      <c r="AM982" s="25"/>
      <c r="AN982" s="25"/>
      <c r="AO982" s="165"/>
      <c r="AP982" s="78"/>
      <c r="AQ982" s="25"/>
      <c r="AR982" s="25"/>
      <c r="AS982" s="25"/>
      <c r="AT982" s="25"/>
      <c r="AU982" s="25"/>
      <c r="AV982" s="25"/>
      <c r="AW982" s="25"/>
      <c r="AX982" s="25"/>
      <c r="AY982" s="25"/>
      <c r="AZ982" s="25"/>
      <c r="BA982" s="25"/>
      <c r="BB982" s="25"/>
      <c r="BC982" s="25"/>
      <c r="BD982" s="25"/>
      <c r="BE982" s="25"/>
      <c r="BF982" s="25"/>
      <c r="BG982" s="25"/>
      <c r="BH982" s="25"/>
      <c r="BI982" s="25"/>
      <c r="BJ982" s="25"/>
      <c r="BK982" s="25"/>
      <c r="BL982" s="25"/>
      <c r="BM982" s="25"/>
      <c r="BN982" s="25"/>
      <c r="BO982" s="25"/>
      <c r="BP982" s="25"/>
    </row>
    <row r="983">
      <c r="A983" s="25"/>
      <c r="B983" s="168"/>
      <c r="C983" s="25"/>
      <c r="D983" s="25"/>
      <c r="E983" s="25"/>
      <c r="F983" s="25"/>
      <c r="G983" s="84"/>
      <c r="H983" s="25"/>
      <c r="I983" s="25"/>
      <c r="J983" s="25"/>
      <c r="K983" s="169"/>
      <c r="L983" s="169"/>
      <c r="M983" s="170" t="b">
        <v>0</v>
      </c>
      <c r="N983" s="170" t="b">
        <v>0</v>
      </c>
      <c r="O983" s="48"/>
      <c r="P983" s="170" t="b">
        <v>0</v>
      </c>
      <c r="Q983" s="170" t="b">
        <v>0</v>
      </c>
      <c r="R983" s="170" t="b">
        <v>0</v>
      </c>
      <c r="S983" s="48"/>
      <c r="T983" s="60"/>
      <c r="U983" s="170" t="b">
        <v>0</v>
      </c>
      <c r="V983" s="170"/>
      <c r="W983" s="170" t="b">
        <v>0</v>
      </c>
      <c r="X983" s="170" t="b">
        <v>0</v>
      </c>
      <c r="Y983" s="170"/>
      <c r="Z983" s="170"/>
      <c r="AA983" s="170"/>
      <c r="AB983" s="170"/>
      <c r="AC983" s="171"/>
      <c r="AD983" s="170"/>
      <c r="AE983" s="170"/>
      <c r="AF983" s="170"/>
      <c r="AG983" s="170"/>
      <c r="AH983" s="170"/>
      <c r="AI983" s="170"/>
      <c r="AJ983" s="172"/>
      <c r="AK983" s="50"/>
      <c r="AL983" s="25"/>
      <c r="AM983" s="25"/>
      <c r="AN983" s="25"/>
      <c r="AO983" s="165"/>
      <c r="AP983" s="78"/>
      <c r="AQ983" s="25"/>
      <c r="AR983" s="25"/>
      <c r="AS983" s="25"/>
      <c r="AT983" s="25"/>
      <c r="AU983" s="25"/>
      <c r="AV983" s="25"/>
      <c r="AW983" s="25"/>
      <c r="AX983" s="25"/>
      <c r="AY983" s="25"/>
      <c r="AZ983" s="25"/>
      <c r="BA983" s="25"/>
      <c r="BB983" s="25"/>
      <c r="BC983" s="25"/>
      <c r="BD983" s="25"/>
      <c r="BE983" s="25"/>
      <c r="BF983" s="25"/>
      <c r="BG983" s="25"/>
      <c r="BH983" s="25"/>
      <c r="BI983" s="25"/>
      <c r="BJ983" s="25"/>
      <c r="BK983" s="25"/>
      <c r="BL983" s="25"/>
      <c r="BM983" s="25"/>
      <c r="BN983" s="25"/>
      <c r="BO983" s="25"/>
      <c r="BP983" s="25"/>
    </row>
    <row r="984">
      <c r="A984" s="25"/>
      <c r="B984" s="168"/>
      <c r="C984" s="25"/>
      <c r="D984" s="25"/>
      <c r="E984" s="25"/>
      <c r="F984" s="25"/>
      <c r="G984" s="84"/>
      <c r="H984" s="25"/>
      <c r="I984" s="25"/>
      <c r="J984" s="25"/>
      <c r="K984" s="169"/>
      <c r="L984" s="169"/>
      <c r="M984" s="170" t="b">
        <v>0</v>
      </c>
      <c r="N984" s="170" t="b">
        <v>0</v>
      </c>
      <c r="O984" s="48"/>
      <c r="P984" s="170" t="b">
        <v>0</v>
      </c>
      <c r="Q984" s="170" t="b">
        <v>0</v>
      </c>
      <c r="R984" s="170" t="b">
        <v>0</v>
      </c>
      <c r="S984" s="48"/>
      <c r="T984" s="60"/>
      <c r="U984" s="170" t="b">
        <v>0</v>
      </c>
      <c r="V984" s="170"/>
      <c r="W984" s="170" t="b">
        <v>0</v>
      </c>
      <c r="X984" s="170" t="b">
        <v>0</v>
      </c>
      <c r="Y984" s="170"/>
      <c r="Z984" s="170"/>
      <c r="AA984" s="170"/>
      <c r="AB984" s="170"/>
      <c r="AC984" s="171"/>
      <c r="AD984" s="170"/>
      <c r="AE984" s="170"/>
      <c r="AF984" s="170"/>
      <c r="AG984" s="170"/>
      <c r="AH984" s="170"/>
      <c r="AI984" s="170"/>
      <c r="AJ984" s="172"/>
      <c r="AK984" s="50"/>
      <c r="AL984" s="25"/>
      <c r="AM984" s="25"/>
      <c r="AN984" s="25"/>
      <c r="AO984" s="165"/>
      <c r="AP984" s="78"/>
      <c r="AQ984" s="25"/>
      <c r="AR984" s="25"/>
      <c r="AS984" s="25"/>
      <c r="AT984" s="25"/>
      <c r="AU984" s="25"/>
      <c r="AV984" s="25"/>
      <c r="AW984" s="25"/>
      <c r="AX984" s="25"/>
      <c r="AY984" s="25"/>
      <c r="AZ984" s="25"/>
      <c r="BA984" s="25"/>
      <c r="BB984" s="25"/>
      <c r="BC984" s="25"/>
      <c r="BD984" s="25"/>
      <c r="BE984" s="25"/>
      <c r="BF984" s="25"/>
      <c r="BG984" s="25"/>
      <c r="BH984" s="25"/>
      <c r="BI984" s="25"/>
      <c r="BJ984" s="25"/>
      <c r="BK984" s="25"/>
      <c r="BL984" s="25"/>
      <c r="BM984" s="25"/>
      <c r="BN984" s="25"/>
      <c r="BO984" s="25"/>
      <c r="BP984" s="25"/>
    </row>
    <row r="985">
      <c r="A985" s="25"/>
      <c r="B985" s="168"/>
      <c r="C985" s="25"/>
      <c r="D985" s="25"/>
      <c r="E985" s="25"/>
      <c r="F985" s="25"/>
      <c r="G985" s="84"/>
      <c r="H985" s="25"/>
      <c r="I985" s="25"/>
      <c r="J985" s="25"/>
      <c r="K985" s="169"/>
      <c r="L985" s="169"/>
      <c r="M985" s="170" t="b">
        <v>0</v>
      </c>
      <c r="N985" s="170" t="b">
        <v>0</v>
      </c>
      <c r="O985" s="48"/>
      <c r="P985" s="170" t="b">
        <v>0</v>
      </c>
      <c r="Q985" s="170" t="b">
        <v>0</v>
      </c>
      <c r="R985" s="170" t="b">
        <v>0</v>
      </c>
      <c r="S985" s="48"/>
      <c r="T985" s="60"/>
      <c r="U985" s="170" t="b">
        <v>0</v>
      </c>
      <c r="V985" s="170"/>
      <c r="W985" s="170" t="b">
        <v>0</v>
      </c>
      <c r="X985" s="170" t="b">
        <v>0</v>
      </c>
      <c r="Y985" s="170"/>
      <c r="Z985" s="170"/>
      <c r="AA985" s="170"/>
      <c r="AB985" s="170"/>
      <c r="AC985" s="171"/>
      <c r="AD985" s="170"/>
      <c r="AE985" s="170"/>
      <c r="AF985" s="170"/>
      <c r="AG985" s="170"/>
      <c r="AH985" s="170"/>
      <c r="AI985" s="170"/>
      <c r="AJ985" s="172"/>
      <c r="AK985" s="50"/>
      <c r="AL985" s="25"/>
      <c r="AM985" s="25"/>
      <c r="AN985" s="25"/>
      <c r="AO985" s="165"/>
      <c r="AP985" s="78"/>
      <c r="AQ985" s="25"/>
      <c r="AR985" s="25"/>
      <c r="AS985" s="25"/>
      <c r="AT985" s="25"/>
      <c r="AU985" s="25"/>
      <c r="AV985" s="25"/>
      <c r="AW985" s="25"/>
      <c r="AX985" s="25"/>
      <c r="AY985" s="25"/>
      <c r="AZ985" s="25"/>
      <c r="BA985" s="25"/>
      <c r="BB985" s="25"/>
      <c r="BC985" s="25"/>
      <c r="BD985" s="25"/>
      <c r="BE985" s="25"/>
      <c r="BF985" s="25"/>
      <c r="BG985" s="25"/>
      <c r="BH985" s="25"/>
      <c r="BI985" s="25"/>
      <c r="BJ985" s="25"/>
      <c r="BK985" s="25"/>
      <c r="BL985" s="25"/>
      <c r="BM985" s="25"/>
      <c r="BN985" s="25"/>
      <c r="BO985" s="25"/>
      <c r="BP985" s="25"/>
    </row>
    <row r="986">
      <c r="A986" s="25"/>
      <c r="B986" s="168"/>
      <c r="C986" s="25"/>
      <c r="D986" s="25"/>
      <c r="E986" s="25"/>
      <c r="F986" s="25"/>
      <c r="G986" s="84"/>
      <c r="H986" s="25"/>
      <c r="I986" s="25"/>
      <c r="J986" s="25"/>
      <c r="K986" s="169"/>
      <c r="L986" s="169"/>
      <c r="M986" s="170" t="b">
        <v>0</v>
      </c>
      <c r="N986" s="170" t="b">
        <v>0</v>
      </c>
      <c r="O986" s="48"/>
      <c r="P986" s="170" t="b">
        <v>0</v>
      </c>
      <c r="Q986" s="170" t="b">
        <v>0</v>
      </c>
      <c r="R986" s="170" t="b">
        <v>0</v>
      </c>
      <c r="S986" s="48"/>
      <c r="T986" s="60"/>
      <c r="U986" s="170" t="b">
        <v>0</v>
      </c>
      <c r="V986" s="170"/>
      <c r="W986" s="170" t="b">
        <v>0</v>
      </c>
      <c r="X986" s="170" t="b">
        <v>0</v>
      </c>
      <c r="Y986" s="170"/>
      <c r="Z986" s="170"/>
      <c r="AA986" s="170"/>
      <c r="AB986" s="170"/>
      <c r="AC986" s="171"/>
      <c r="AD986" s="170"/>
      <c r="AE986" s="170"/>
      <c r="AF986" s="170"/>
      <c r="AG986" s="170"/>
      <c r="AH986" s="170"/>
      <c r="AI986" s="170"/>
      <c r="AJ986" s="172"/>
      <c r="AK986" s="50"/>
      <c r="AL986" s="25"/>
      <c r="AM986" s="25"/>
      <c r="AN986" s="25"/>
      <c r="AO986" s="165"/>
      <c r="AP986" s="78"/>
      <c r="AQ986" s="25"/>
      <c r="AR986" s="25"/>
      <c r="AS986" s="25"/>
      <c r="AT986" s="25"/>
      <c r="AU986" s="25"/>
      <c r="AV986" s="25"/>
      <c r="AW986" s="25"/>
      <c r="AX986" s="25"/>
      <c r="AY986" s="25"/>
      <c r="AZ986" s="25"/>
      <c r="BA986" s="25"/>
      <c r="BB986" s="25"/>
      <c r="BC986" s="25"/>
      <c r="BD986" s="25"/>
      <c r="BE986" s="25"/>
      <c r="BF986" s="25"/>
      <c r="BG986" s="25"/>
      <c r="BH986" s="25"/>
      <c r="BI986" s="25"/>
      <c r="BJ986" s="25"/>
      <c r="BK986" s="25"/>
      <c r="BL986" s="25"/>
      <c r="BM986" s="25"/>
      <c r="BN986" s="25"/>
      <c r="BO986" s="25"/>
      <c r="BP986" s="25"/>
    </row>
    <row r="987">
      <c r="A987" s="25"/>
      <c r="B987" s="168"/>
      <c r="C987" s="25"/>
      <c r="D987" s="25"/>
      <c r="E987" s="25"/>
      <c r="F987" s="25"/>
      <c r="G987" s="84"/>
      <c r="H987" s="25"/>
      <c r="I987" s="25"/>
      <c r="J987" s="25"/>
      <c r="K987" s="169"/>
      <c r="L987" s="169"/>
      <c r="M987" s="170" t="b">
        <v>0</v>
      </c>
      <c r="N987" s="170" t="b">
        <v>0</v>
      </c>
      <c r="O987" s="48"/>
      <c r="P987" s="170" t="b">
        <v>0</v>
      </c>
      <c r="Q987" s="170" t="b">
        <v>0</v>
      </c>
      <c r="R987" s="170" t="b">
        <v>0</v>
      </c>
      <c r="S987" s="48"/>
      <c r="T987" s="60"/>
      <c r="U987" s="170" t="b">
        <v>0</v>
      </c>
      <c r="V987" s="170"/>
      <c r="W987" s="170" t="b">
        <v>0</v>
      </c>
      <c r="X987" s="170" t="b">
        <v>0</v>
      </c>
      <c r="Y987" s="170"/>
      <c r="Z987" s="170"/>
      <c r="AA987" s="170"/>
      <c r="AB987" s="170"/>
      <c r="AC987" s="171"/>
      <c r="AD987" s="170"/>
      <c r="AE987" s="170"/>
      <c r="AF987" s="170"/>
      <c r="AG987" s="170"/>
      <c r="AH987" s="170"/>
      <c r="AI987" s="170"/>
      <c r="AJ987" s="172"/>
      <c r="AK987" s="50"/>
      <c r="AL987" s="25"/>
      <c r="AM987" s="25"/>
      <c r="AN987" s="25"/>
      <c r="AO987" s="165"/>
      <c r="AP987" s="78"/>
      <c r="AQ987" s="25"/>
      <c r="AR987" s="25"/>
      <c r="AS987" s="25"/>
      <c r="AT987" s="25"/>
      <c r="AU987" s="25"/>
      <c r="AV987" s="25"/>
      <c r="AW987" s="25"/>
      <c r="AX987" s="25"/>
      <c r="AY987" s="25"/>
      <c r="AZ987" s="25"/>
      <c r="BA987" s="25"/>
      <c r="BB987" s="25"/>
      <c r="BC987" s="25"/>
      <c r="BD987" s="25"/>
      <c r="BE987" s="25"/>
      <c r="BF987" s="25"/>
      <c r="BG987" s="25"/>
      <c r="BH987" s="25"/>
      <c r="BI987" s="25"/>
      <c r="BJ987" s="25"/>
      <c r="BK987" s="25"/>
      <c r="BL987" s="25"/>
      <c r="BM987" s="25"/>
      <c r="BN987" s="25"/>
      <c r="BO987" s="25"/>
      <c r="BP987" s="25"/>
    </row>
    <row r="988">
      <c r="A988" s="25"/>
      <c r="B988" s="168"/>
      <c r="C988" s="25"/>
      <c r="D988" s="25"/>
      <c r="E988" s="25"/>
      <c r="F988" s="25"/>
      <c r="G988" s="84"/>
      <c r="H988" s="25"/>
      <c r="I988" s="25"/>
      <c r="J988" s="25"/>
      <c r="K988" s="169"/>
      <c r="L988" s="169"/>
      <c r="M988" s="170" t="b">
        <v>0</v>
      </c>
      <c r="N988" s="170" t="b">
        <v>0</v>
      </c>
      <c r="O988" s="48"/>
      <c r="P988" s="170" t="b">
        <v>0</v>
      </c>
      <c r="Q988" s="170" t="b">
        <v>0</v>
      </c>
      <c r="R988" s="170" t="b">
        <v>0</v>
      </c>
      <c r="S988" s="48"/>
      <c r="T988" s="60"/>
      <c r="U988" s="170" t="b">
        <v>0</v>
      </c>
      <c r="V988" s="170"/>
      <c r="W988" s="170" t="b">
        <v>0</v>
      </c>
      <c r="X988" s="170" t="b">
        <v>0</v>
      </c>
      <c r="Y988" s="170"/>
      <c r="Z988" s="170"/>
      <c r="AA988" s="170"/>
      <c r="AB988" s="170"/>
      <c r="AC988" s="171"/>
      <c r="AD988" s="170"/>
      <c r="AE988" s="170"/>
      <c r="AF988" s="170"/>
      <c r="AG988" s="170"/>
      <c r="AH988" s="170"/>
      <c r="AI988" s="170"/>
      <c r="AJ988" s="172"/>
      <c r="AK988" s="50"/>
      <c r="AL988" s="25"/>
      <c r="AM988" s="25"/>
      <c r="AN988" s="25"/>
      <c r="AO988" s="165"/>
      <c r="AP988" s="78"/>
      <c r="AQ988" s="25"/>
      <c r="AR988" s="25"/>
      <c r="AS988" s="25"/>
      <c r="AT988" s="25"/>
      <c r="AU988" s="25"/>
      <c r="AV988" s="25"/>
      <c r="AW988" s="25"/>
      <c r="AX988" s="25"/>
      <c r="AY988" s="25"/>
      <c r="AZ988" s="25"/>
      <c r="BA988" s="25"/>
      <c r="BB988" s="25"/>
      <c r="BC988" s="25"/>
      <c r="BD988" s="25"/>
      <c r="BE988" s="25"/>
      <c r="BF988" s="25"/>
      <c r="BG988" s="25"/>
      <c r="BH988" s="25"/>
      <c r="BI988" s="25"/>
      <c r="BJ988" s="25"/>
      <c r="BK988" s="25"/>
      <c r="BL988" s="25"/>
      <c r="BM988" s="25"/>
      <c r="BN988" s="25"/>
      <c r="BO988" s="25"/>
      <c r="BP988" s="25"/>
    </row>
    <row r="989">
      <c r="A989" s="25"/>
      <c r="B989" s="168"/>
      <c r="C989" s="25"/>
      <c r="D989" s="25"/>
      <c r="E989" s="25"/>
      <c r="F989" s="25"/>
      <c r="G989" s="84"/>
      <c r="H989" s="25"/>
      <c r="I989" s="25"/>
      <c r="J989" s="25"/>
      <c r="K989" s="169"/>
      <c r="L989" s="169"/>
      <c r="M989" s="170" t="b">
        <v>0</v>
      </c>
      <c r="N989" s="170" t="b">
        <v>0</v>
      </c>
      <c r="O989" s="48"/>
      <c r="P989" s="170" t="b">
        <v>0</v>
      </c>
      <c r="Q989" s="170" t="b">
        <v>0</v>
      </c>
      <c r="R989" s="170" t="b">
        <v>0</v>
      </c>
      <c r="S989" s="48"/>
      <c r="T989" s="60"/>
      <c r="U989" s="170" t="b">
        <v>0</v>
      </c>
      <c r="V989" s="170"/>
      <c r="W989" s="170" t="b">
        <v>0</v>
      </c>
      <c r="X989" s="170" t="b">
        <v>0</v>
      </c>
      <c r="Y989" s="170"/>
      <c r="Z989" s="170"/>
      <c r="AA989" s="170"/>
      <c r="AB989" s="170"/>
      <c r="AC989" s="171"/>
      <c r="AD989" s="170"/>
      <c r="AE989" s="170"/>
      <c r="AF989" s="170"/>
      <c r="AG989" s="170"/>
      <c r="AH989" s="170"/>
      <c r="AI989" s="170"/>
      <c r="AJ989" s="172"/>
      <c r="AK989" s="50"/>
      <c r="AL989" s="25"/>
      <c r="AM989" s="25"/>
      <c r="AN989" s="25"/>
      <c r="AO989" s="165"/>
      <c r="AP989" s="78"/>
      <c r="AQ989" s="25"/>
      <c r="AR989" s="25"/>
      <c r="AS989" s="25"/>
      <c r="AT989" s="25"/>
      <c r="AU989" s="25"/>
      <c r="AV989" s="25"/>
      <c r="AW989" s="25"/>
      <c r="AX989" s="25"/>
      <c r="AY989" s="25"/>
      <c r="AZ989" s="25"/>
      <c r="BA989" s="25"/>
      <c r="BB989" s="25"/>
      <c r="BC989" s="25"/>
      <c r="BD989" s="25"/>
      <c r="BE989" s="25"/>
      <c r="BF989" s="25"/>
      <c r="BG989" s="25"/>
      <c r="BH989" s="25"/>
      <c r="BI989" s="25"/>
      <c r="BJ989" s="25"/>
      <c r="BK989" s="25"/>
      <c r="BL989" s="25"/>
      <c r="BM989" s="25"/>
      <c r="BN989" s="25"/>
      <c r="BO989" s="25"/>
      <c r="BP989" s="25"/>
    </row>
    <row r="990">
      <c r="A990" s="25"/>
      <c r="B990" s="168"/>
      <c r="C990" s="25"/>
      <c r="D990" s="25"/>
      <c r="E990" s="25"/>
      <c r="F990" s="25"/>
      <c r="G990" s="84"/>
      <c r="H990" s="25"/>
      <c r="I990" s="25"/>
      <c r="J990" s="25"/>
      <c r="K990" s="169"/>
      <c r="L990" s="169"/>
      <c r="M990" s="170" t="b">
        <v>0</v>
      </c>
      <c r="N990" s="170" t="b">
        <v>0</v>
      </c>
      <c r="O990" s="48"/>
      <c r="P990" s="170" t="b">
        <v>0</v>
      </c>
      <c r="Q990" s="170" t="b">
        <v>0</v>
      </c>
      <c r="R990" s="170" t="b">
        <v>0</v>
      </c>
      <c r="S990" s="48"/>
      <c r="T990" s="60"/>
      <c r="U990" s="170" t="b">
        <v>0</v>
      </c>
      <c r="V990" s="170"/>
      <c r="W990" s="170" t="b">
        <v>0</v>
      </c>
      <c r="X990" s="170" t="b">
        <v>0</v>
      </c>
      <c r="Y990" s="170"/>
      <c r="Z990" s="170"/>
      <c r="AA990" s="170"/>
      <c r="AB990" s="170"/>
      <c r="AC990" s="171"/>
      <c r="AD990" s="170"/>
      <c r="AE990" s="170"/>
      <c r="AF990" s="170"/>
      <c r="AG990" s="170"/>
      <c r="AH990" s="170"/>
      <c r="AI990" s="170"/>
      <c r="AJ990" s="172"/>
      <c r="AK990" s="50"/>
      <c r="AL990" s="25"/>
      <c r="AM990" s="25"/>
      <c r="AN990" s="25"/>
      <c r="AO990" s="165"/>
      <c r="AP990" s="78"/>
      <c r="AQ990" s="25"/>
      <c r="AR990" s="25"/>
      <c r="AS990" s="25"/>
      <c r="AT990" s="25"/>
      <c r="AU990" s="25"/>
      <c r="AV990" s="25"/>
      <c r="AW990" s="25"/>
      <c r="AX990" s="25"/>
      <c r="AY990" s="25"/>
      <c r="AZ990" s="25"/>
      <c r="BA990" s="25"/>
      <c r="BB990" s="25"/>
      <c r="BC990" s="25"/>
      <c r="BD990" s="25"/>
      <c r="BE990" s="25"/>
      <c r="BF990" s="25"/>
      <c r="BG990" s="25"/>
      <c r="BH990" s="25"/>
      <c r="BI990" s="25"/>
      <c r="BJ990" s="25"/>
      <c r="BK990" s="25"/>
      <c r="BL990" s="25"/>
      <c r="BM990" s="25"/>
      <c r="BN990" s="25"/>
      <c r="BO990" s="25"/>
      <c r="BP990" s="25"/>
    </row>
    <row r="991">
      <c r="A991" s="25"/>
      <c r="B991" s="168"/>
      <c r="C991" s="25"/>
      <c r="D991" s="25"/>
      <c r="E991" s="25"/>
      <c r="F991" s="25"/>
      <c r="G991" s="84"/>
      <c r="H991" s="25"/>
      <c r="I991" s="25"/>
      <c r="J991" s="25"/>
      <c r="K991" s="169"/>
      <c r="L991" s="169"/>
      <c r="M991" s="170" t="b">
        <v>0</v>
      </c>
      <c r="N991" s="170" t="b">
        <v>0</v>
      </c>
      <c r="O991" s="48"/>
      <c r="P991" s="170" t="b">
        <v>0</v>
      </c>
      <c r="Q991" s="170" t="b">
        <v>0</v>
      </c>
      <c r="R991" s="170" t="b">
        <v>0</v>
      </c>
      <c r="S991" s="48"/>
      <c r="T991" s="60"/>
      <c r="U991" s="170" t="b">
        <v>0</v>
      </c>
      <c r="V991" s="170"/>
      <c r="W991" s="170" t="b">
        <v>0</v>
      </c>
      <c r="X991" s="170" t="b">
        <v>0</v>
      </c>
      <c r="Y991" s="170"/>
      <c r="Z991" s="170"/>
      <c r="AA991" s="170"/>
      <c r="AB991" s="170"/>
      <c r="AC991" s="171"/>
      <c r="AD991" s="170"/>
      <c r="AE991" s="170"/>
      <c r="AF991" s="170"/>
      <c r="AG991" s="170"/>
      <c r="AH991" s="170"/>
      <c r="AI991" s="170"/>
      <c r="AJ991" s="172"/>
      <c r="AK991" s="50"/>
      <c r="AL991" s="25"/>
      <c r="AM991" s="25"/>
      <c r="AN991" s="25"/>
      <c r="AO991" s="165"/>
      <c r="AP991" s="78"/>
      <c r="AQ991" s="25"/>
      <c r="AR991" s="25"/>
      <c r="AS991" s="25"/>
      <c r="AT991" s="25"/>
      <c r="AU991" s="25"/>
      <c r="AV991" s="25"/>
      <c r="AW991" s="25"/>
      <c r="AX991" s="25"/>
      <c r="AY991" s="25"/>
      <c r="AZ991" s="25"/>
      <c r="BA991" s="25"/>
      <c r="BB991" s="25"/>
      <c r="BC991" s="25"/>
      <c r="BD991" s="25"/>
      <c r="BE991" s="25"/>
      <c r="BF991" s="25"/>
      <c r="BG991" s="25"/>
      <c r="BH991" s="25"/>
      <c r="BI991" s="25"/>
      <c r="BJ991" s="25"/>
      <c r="BK991" s="25"/>
      <c r="BL991" s="25"/>
      <c r="BM991" s="25"/>
      <c r="BN991" s="25"/>
      <c r="BO991" s="25"/>
      <c r="BP991" s="25"/>
    </row>
    <row r="992">
      <c r="A992" s="25"/>
      <c r="B992" s="168"/>
      <c r="C992" s="25"/>
      <c r="D992" s="25"/>
      <c r="E992" s="25"/>
      <c r="F992" s="25"/>
      <c r="G992" s="84"/>
      <c r="H992" s="25"/>
      <c r="I992" s="25"/>
      <c r="J992" s="25"/>
      <c r="K992" s="169"/>
      <c r="L992" s="169"/>
      <c r="M992" s="170" t="b">
        <v>0</v>
      </c>
      <c r="N992" s="170" t="b">
        <v>0</v>
      </c>
      <c r="O992" s="48"/>
      <c r="P992" s="170" t="b">
        <v>0</v>
      </c>
      <c r="Q992" s="170" t="b">
        <v>0</v>
      </c>
      <c r="R992" s="170" t="b">
        <v>0</v>
      </c>
      <c r="S992" s="48"/>
      <c r="T992" s="60"/>
      <c r="U992" s="170" t="b">
        <v>0</v>
      </c>
      <c r="V992" s="170"/>
      <c r="W992" s="170" t="b">
        <v>0</v>
      </c>
      <c r="X992" s="170" t="b">
        <v>0</v>
      </c>
      <c r="Y992" s="170"/>
      <c r="Z992" s="170"/>
      <c r="AA992" s="170"/>
      <c r="AB992" s="170"/>
      <c r="AC992" s="171"/>
      <c r="AD992" s="170"/>
      <c r="AE992" s="170"/>
      <c r="AF992" s="170"/>
      <c r="AG992" s="170"/>
      <c r="AH992" s="170"/>
      <c r="AI992" s="170"/>
      <c r="AJ992" s="172"/>
      <c r="AK992" s="50"/>
      <c r="AL992" s="25"/>
      <c r="AM992" s="25"/>
      <c r="AN992" s="25"/>
      <c r="AO992" s="165"/>
      <c r="AP992" s="78"/>
      <c r="AQ992" s="25"/>
      <c r="AR992" s="25"/>
      <c r="AS992" s="25"/>
      <c r="AT992" s="25"/>
      <c r="AU992" s="25"/>
      <c r="AV992" s="25"/>
      <c r="AW992" s="25"/>
      <c r="AX992" s="25"/>
      <c r="AY992" s="25"/>
      <c r="AZ992" s="25"/>
      <c r="BA992" s="25"/>
      <c r="BB992" s="25"/>
      <c r="BC992" s="25"/>
      <c r="BD992" s="25"/>
      <c r="BE992" s="25"/>
      <c r="BF992" s="25"/>
      <c r="BG992" s="25"/>
      <c r="BH992" s="25"/>
      <c r="BI992" s="25"/>
      <c r="BJ992" s="25"/>
      <c r="BK992" s="25"/>
      <c r="BL992" s="25"/>
      <c r="BM992" s="25"/>
      <c r="BN992" s="25"/>
      <c r="BO992" s="25"/>
      <c r="BP992" s="25"/>
    </row>
    <row r="993">
      <c r="A993" s="25"/>
      <c r="B993" s="168"/>
      <c r="C993" s="25"/>
      <c r="D993" s="25"/>
      <c r="E993" s="25"/>
      <c r="F993" s="25"/>
      <c r="G993" s="84"/>
      <c r="H993" s="25"/>
      <c r="I993" s="25"/>
      <c r="J993" s="25"/>
      <c r="K993" s="169"/>
      <c r="L993" s="169"/>
      <c r="M993" s="170" t="b">
        <v>0</v>
      </c>
      <c r="N993" s="170" t="b">
        <v>0</v>
      </c>
      <c r="O993" s="48"/>
      <c r="P993" s="170" t="b">
        <v>0</v>
      </c>
      <c r="Q993" s="170" t="b">
        <v>0</v>
      </c>
      <c r="R993" s="170" t="b">
        <v>0</v>
      </c>
      <c r="S993" s="48"/>
      <c r="T993" s="60"/>
      <c r="U993" s="170" t="b">
        <v>0</v>
      </c>
      <c r="V993" s="170"/>
      <c r="W993" s="170" t="b">
        <v>0</v>
      </c>
      <c r="X993" s="170" t="b">
        <v>0</v>
      </c>
      <c r="Y993" s="170"/>
      <c r="Z993" s="170"/>
      <c r="AA993" s="170"/>
      <c r="AB993" s="170"/>
      <c r="AC993" s="171"/>
      <c r="AD993" s="170"/>
      <c r="AE993" s="170"/>
      <c r="AF993" s="170"/>
      <c r="AG993" s="170"/>
      <c r="AH993" s="170"/>
      <c r="AI993" s="170"/>
      <c r="AJ993" s="172"/>
      <c r="AK993" s="50"/>
      <c r="AL993" s="25"/>
      <c r="AM993" s="25"/>
      <c r="AN993" s="25"/>
      <c r="AO993" s="165"/>
      <c r="AP993" s="78"/>
      <c r="AQ993" s="25"/>
      <c r="AR993" s="25"/>
      <c r="AS993" s="25"/>
      <c r="AT993" s="25"/>
      <c r="AU993" s="25"/>
      <c r="AV993" s="25"/>
      <c r="AW993" s="25"/>
      <c r="AX993" s="25"/>
      <c r="AY993" s="25"/>
      <c r="AZ993" s="25"/>
      <c r="BA993" s="25"/>
      <c r="BB993" s="25"/>
      <c r="BC993" s="25"/>
      <c r="BD993" s="25"/>
      <c r="BE993" s="25"/>
      <c r="BF993" s="25"/>
      <c r="BG993" s="25"/>
      <c r="BH993" s="25"/>
      <c r="BI993" s="25"/>
      <c r="BJ993" s="25"/>
      <c r="BK993" s="25"/>
      <c r="BL993" s="25"/>
      <c r="BM993" s="25"/>
      <c r="BN993" s="25"/>
      <c r="BO993" s="25"/>
      <c r="BP993" s="25"/>
    </row>
    <row r="994">
      <c r="A994" s="25"/>
      <c r="B994" s="168"/>
      <c r="C994" s="25"/>
      <c r="D994" s="25"/>
      <c r="E994" s="25"/>
      <c r="F994" s="25"/>
      <c r="G994" s="84"/>
      <c r="H994" s="25"/>
      <c r="I994" s="25"/>
      <c r="J994" s="25"/>
      <c r="K994" s="169"/>
      <c r="L994" s="169"/>
      <c r="M994" s="170" t="b">
        <v>0</v>
      </c>
      <c r="N994" s="170" t="b">
        <v>0</v>
      </c>
      <c r="O994" s="48"/>
      <c r="P994" s="170" t="b">
        <v>0</v>
      </c>
      <c r="Q994" s="170" t="b">
        <v>0</v>
      </c>
      <c r="R994" s="170" t="b">
        <v>0</v>
      </c>
      <c r="S994" s="48"/>
      <c r="T994" s="60"/>
      <c r="U994" s="170" t="b">
        <v>0</v>
      </c>
      <c r="V994" s="170"/>
      <c r="W994" s="170" t="b">
        <v>0</v>
      </c>
      <c r="X994" s="170" t="b">
        <v>0</v>
      </c>
      <c r="Y994" s="170"/>
      <c r="Z994" s="170"/>
      <c r="AA994" s="170"/>
      <c r="AB994" s="170"/>
      <c r="AC994" s="171"/>
      <c r="AD994" s="170"/>
      <c r="AE994" s="170"/>
      <c r="AF994" s="170"/>
      <c r="AG994" s="170"/>
      <c r="AH994" s="170"/>
      <c r="AI994" s="170"/>
      <c r="AJ994" s="172"/>
      <c r="AK994" s="50"/>
      <c r="AL994" s="25"/>
      <c r="AM994" s="25"/>
      <c r="AN994" s="25"/>
      <c r="AO994" s="165"/>
      <c r="AP994" s="78"/>
      <c r="AQ994" s="25"/>
      <c r="AR994" s="25"/>
      <c r="AS994" s="25"/>
      <c r="AT994" s="25"/>
      <c r="AU994" s="25"/>
      <c r="AV994" s="25"/>
      <c r="AW994" s="25"/>
      <c r="AX994" s="25"/>
      <c r="AY994" s="25"/>
      <c r="AZ994" s="25"/>
      <c r="BA994" s="25"/>
      <c r="BB994" s="25"/>
      <c r="BC994" s="25"/>
      <c r="BD994" s="25"/>
      <c r="BE994" s="25"/>
      <c r="BF994" s="25"/>
      <c r="BG994" s="25"/>
      <c r="BH994" s="25"/>
      <c r="BI994" s="25"/>
      <c r="BJ994" s="25"/>
      <c r="BK994" s="25"/>
      <c r="BL994" s="25"/>
      <c r="BM994" s="25"/>
      <c r="BN994" s="25"/>
      <c r="BO994" s="25"/>
      <c r="BP994" s="25"/>
    </row>
    <row r="995">
      <c r="A995" s="25"/>
      <c r="B995" s="168"/>
      <c r="C995" s="25"/>
      <c r="D995" s="25"/>
      <c r="E995" s="25"/>
      <c r="F995" s="25"/>
      <c r="G995" s="84"/>
      <c r="H995" s="25"/>
      <c r="I995" s="25"/>
      <c r="J995" s="25"/>
      <c r="K995" s="169"/>
      <c r="L995" s="169"/>
      <c r="M995" s="170" t="b">
        <v>0</v>
      </c>
      <c r="N995" s="170" t="b">
        <v>0</v>
      </c>
      <c r="O995" s="48"/>
      <c r="P995" s="170" t="b">
        <v>0</v>
      </c>
      <c r="Q995" s="170" t="b">
        <v>0</v>
      </c>
      <c r="R995" s="170" t="b">
        <v>0</v>
      </c>
      <c r="S995" s="48"/>
      <c r="T995" s="60"/>
      <c r="U995" s="170" t="b">
        <v>0</v>
      </c>
      <c r="V995" s="170"/>
      <c r="W995" s="170" t="b">
        <v>0</v>
      </c>
      <c r="X995" s="170" t="b">
        <v>0</v>
      </c>
      <c r="Y995" s="170"/>
      <c r="Z995" s="170"/>
      <c r="AA995" s="170"/>
      <c r="AB995" s="170"/>
      <c r="AC995" s="171"/>
      <c r="AD995" s="170"/>
      <c r="AE995" s="170"/>
      <c r="AF995" s="170"/>
      <c r="AG995" s="170"/>
      <c r="AH995" s="170"/>
      <c r="AI995" s="170"/>
      <c r="AJ995" s="172"/>
      <c r="AK995" s="50"/>
      <c r="AL995" s="25"/>
      <c r="AM995" s="25"/>
      <c r="AN995" s="25"/>
      <c r="AO995" s="165"/>
      <c r="AP995" s="78"/>
      <c r="AQ995" s="25"/>
      <c r="AR995" s="25"/>
      <c r="AS995" s="25"/>
      <c r="AT995" s="25"/>
      <c r="AU995" s="25"/>
      <c r="AV995" s="25"/>
      <c r="AW995" s="25"/>
      <c r="AX995" s="25"/>
      <c r="AY995" s="25"/>
      <c r="AZ995" s="25"/>
      <c r="BA995" s="25"/>
      <c r="BB995" s="25"/>
      <c r="BC995" s="25"/>
      <c r="BD995" s="25"/>
      <c r="BE995" s="25"/>
      <c r="BF995" s="25"/>
      <c r="BG995" s="25"/>
      <c r="BH995" s="25"/>
      <c r="BI995" s="25"/>
      <c r="BJ995" s="25"/>
      <c r="BK995" s="25"/>
      <c r="BL995" s="25"/>
      <c r="BM995" s="25"/>
      <c r="BN995" s="25"/>
      <c r="BO995" s="25"/>
      <c r="BP995" s="25"/>
    </row>
    <row r="996">
      <c r="A996" s="25"/>
      <c r="B996" s="168"/>
      <c r="C996" s="25"/>
      <c r="D996" s="25"/>
      <c r="E996" s="25"/>
      <c r="F996" s="25"/>
      <c r="G996" s="84"/>
      <c r="H996" s="25"/>
      <c r="I996" s="25"/>
      <c r="J996" s="25"/>
      <c r="K996" s="169"/>
      <c r="L996" s="169"/>
      <c r="M996" s="170" t="b">
        <v>0</v>
      </c>
      <c r="N996" s="170" t="b">
        <v>0</v>
      </c>
      <c r="O996" s="48"/>
      <c r="P996" s="170" t="b">
        <v>0</v>
      </c>
      <c r="Q996" s="170" t="b">
        <v>0</v>
      </c>
      <c r="R996" s="170" t="b">
        <v>0</v>
      </c>
      <c r="S996" s="48"/>
      <c r="T996" s="60"/>
      <c r="U996" s="170" t="b">
        <v>0</v>
      </c>
      <c r="V996" s="170"/>
      <c r="W996" s="170" t="b">
        <v>0</v>
      </c>
      <c r="X996" s="170" t="b">
        <v>0</v>
      </c>
      <c r="Y996" s="170"/>
      <c r="Z996" s="170"/>
      <c r="AA996" s="170"/>
      <c r="AB996" s="170"/>
      <c r="AC996" s="171"/>
      <c r="AD996" s="170"/>
      <c r="AE996" s="170"/>
      <c r="AF996" s="170"/>
      <c r="AG996" s="170"/>
      <c r="AH996" s="170"/>
      <c r="AI996" s="170"/>
      <c r="AJ996" s="172"/>
      <c r="AK996" s="50"/>
      <c r="AL996" s="25"/>
      <c r="AM996" s="25"/>
      <c r="AN996" s="25"/>
      <c r="AO996" s="165"/>
      <c r="AP996" s="78"/>
      <c r="AQ996" s="25"/>
      <c r="AR996" s="25"/>
      <c r="AS996" s="25"/>
      <c r="AT996" s="25"/>
      <c r="AU996" s="25"/>
      <c r="AV996" s="25"/>
      <c r="AW996" s="25"/>
      <c r="AX996" s="25"/>
      <c r="AY996" s="25"/>
      <c r="AZ996" s="25"/>
      <c r="BA996" s="25"/>
      <c r="BB996" s="25"/>
      <c r="BC996" s="25"/>
      <c r="BD996" s="25"/>
      <c r="BE996" s="25"/>
      <c r="BF996" s="25"/>
      <c r="BG996" s="25"/>
      <c r="BH996" s="25"/>
      <c r="BI996" s="25"/>
      <c r="BJ996" s="25"/>
      <c r="BK996" s="25"/>
      <c r="BL996" s="25"/>
      <c r="BM996" s="25"/>
      <c r="BN996" s="25"/>
      <c r="BO996" s="25"/>
      <c r="BP996" s="25"/>
    </row>
    <row r="997">
      <c r="A997" s="25"/>
      <c r="B997" s="168"/>
      <c r="C997" s="25"/>
      <c r="D997" s="25"/>
      <c r="E997" s="25"/>
      <c r="F997" s="25"/>
      <c r="G997" s="84"/>
      <c r="H997" s="25"/>
      <c r="I997" s="25"/>
      <c r="J997" s="25"/>
      <c r="K997" s="169"/>
      <c r="L997" s="169"/>
      <c r="M997" s="170" t="b">
        <v>0</v>
      </c>
      <c r="N997" s="170" t="b">
        <v>0</v>
      </c>
      <c r="O997" s="48"/>
      <c r="P997" s="170" t="b">
        <v>0</v>
      </c>
      <c r="Q997" s="170" t="b">
        <v>0</v>
      </c>
      <c r="R997" s="170" t="b">
        <v>0</v>
      </c>
      <c r="S997" s="48"/>
      <c r="T997" s="60"/>
      <c r="U997" s="170" t="b">
        <v>0</v>
      </c>
      <c r="V997" s="170"/>
      <c r="W997" s="170" t="b">
        <v>0</v>
      </c>
      <c r="X997" s="170" t="b">
        <v>0</v>
      </c>
      <c r="Y997" s="170"/>
      <c r="Z997" s="170"/>
      <c r="AA997" s="170"/>
      <c r="AB997" s="170"/>
      <c r="AC997" s="171"/>
      <c r="AD997" s="170"/>
      <c r="AE997" s="170"/>
      <c r="AF997" s="170"/>
      <c r="AG997" s="170"/>
      <c r="AH997" s="170"/>
      <c r="AI997" s="170"/>
      <c r="AJ997" s="172"/>
      <c r="AK997" s="50"/>
      <c r="AL997" s="25"/>
      <c r="AM997" s="25"/>
      <c r="AN997" s="25"/>
      <c r="AO997" s="165"/>
      <c r="AP997" s="78"/>
      <c r="AQ997" s="25"/>
      <c r="AR997" s="25"/>
      <c r="AS997" s="25"/>
      <c r="AT997" s="25"/>
      <c r="AU997" s="25"/>
      <c r="AV997" s="25"/>
      <c r="AW997" s="25"/>
      <c r="AX997" s="25"/>
      <c r="AY997" s="25"/>
      <c r="AZ997" s="25"/>
      <c r="BA997" s="25"/>
      <c r="BB997" s="25"/>
      <c r="BC997" s="25"/>
      <c r="BD997" s="25"/>
      <c r="BE997" s="25"/>
      <c r="BF997" s="25"/>
      <c r="BG997" s="25"/>
      <c r="BH997" s="25"/>
      <c r="BI997" s="25"/>
      <c r="BJ997" s="25"/>
      <c r="BK997" s="25"/>
      <c r="BL997" s="25"/>
      <c r="BM997" s="25"/>
      <c r="BN997" s="25"/>
      <c r="BO997" s="25"/>
      <c r="BP997" s="25"/>
    </row>
    <row r="998">
      <c r="A998" s="25"/>
      <c r="B998" s="168"/>
      <c r="C998" s="25"/>
      <c r="D998" s="25"/>
      <c r="E998" s="25"/>
      <c r="F998" s="25"/>
      <c r="G998" s="84"/>
      <c r="H998" s="25"/>
      <c r="I998" s="25"/>
      <c r="J998" s="25"/>
      <c r="K998" s="169"/>
      <c r="L998" s="169"/>
      <c r="M998" s="170" t="b">
        <v>0</v>
      </c>
      <c r="N998" s="170" t="b">
        <v>0</v>
      </c>
      <c r="O998" s="48"/>
      <c r="P998" s="170" t="b">
        <v>0</v>
      </c>
      <c r="Q998" s="170" t="b">
        <v>0</v>
      </c>
      <c r="R998" s="170" t="b">
        <v>0</v>
      </c>
      <c r="S998" s="48"/>
      <c r="T998" s="60"/>
      <c r="U998" s="170" t="b">
        <v>0</v>
      </c>
      <c r="V998" s="170"/>
      <c r="W998" s="170" t="b">
        <v>0</v>
      </c>
      <c r="X998" s="170" t="b">
        <v>0</v>
      </c>
      <c r="Y998" s="170"/>
      <c r="Z998" s="170"/>
      <c r="AA998" s="170"/>
      <c r="AB998" s="170"/>
      <c r="AC998" s="171"/>
      <c r="AD998" s="170"/>
      <c r="AE998" s="170"/>
      <c r="AF998" s="170"/>
      <c r="AG998" s="170"/>
      <c r="AH998" s="170"/>
      <c r="AI998" s="170"/>
      <c r="AJ998" s="172"/>
      <c r="AK998" s="50"/>
      <c r="AL998" s="25"/>
      <c r="AM998" s="25"/>
      <c r="AN998" s="25"/>
      <c r="AO998" s="165"/>
      <c r="AP998" s="78"/>
      <c r="AQ998" s="25"/>
      <c r="AR998" s="25"/>
      <c r="AS998" s="25"/>
      <c r="AT998" s="25"/>
      <c r="AU998" s="25"/>
      <c r="AV998" s="25"/>
      <c r="AW998" s="25"/>
      <c r="AX998" s="25"/>
      <c r="AY998" s="25"/>
      <c r="AZ998" s="25"/>
      <c r="BA998" s="25"/>
      <c r="BB998" s="25"/>
      <c r="BC998" s="25"/>
      <c r="BD998" s="25"/>
      <c r="BE998" s="25"/>
      <c r="BF998" s="25"/>
      <c r="BG998" s="25"/>
      <c r="BH998" s="25"/>
      <c r="BI998" s="25"/>
      <c r="BJ998" s="25"/>
      <c r="BK998" s="25"/>
      <c r="BL998" s="25"/>
      <c r="BM998" s="25"/>
      <c r="BN998" s="25"/>
      <c r="BO998" s="25"/>
      <c r="BP998" s="25"/>
    </row>
    <row r="999">
      <c r="A999" s="25"/>
      <c r="B999" s="168"/>
      <c r="C999" s="25"/>
      <c r="D999" s="25"/>
      <c r="E999" s="25"/>
      <c r="F999" s="25"/>
      <c r="G999" s="84"/>
      <c r="H999" s="25"/>
      <c r="I999" s="25"/>
      <c r="J999" s="25"/>
      <c r="K999" s="169"/>
      <c r="L999" s="169"/>
      <c r="M999" s="170" t="b">
        <v>0</v>
      </c>
      <c r="N999" s="170" t="b">
        <v>0</v>
      </c>
      <c r="O999" s="48"/>
      <c r="P999" s="170" t="b">
        <v>0</v>
      </c>
      <c r="Q999" s="170" t="b">
        <v>0</v>
      </c>
      <c r="R999" s="170" t="b">
        <v>0</v>
      </c>
      <c r="S999" s="48"/>
      <c r="T999" s="60"/>
      <c r="U999" s="170" t="b">
        <v>0</v>
      </c>
      <c r="V999" s="170"/>
      <c r="W999" s="170" t="b">
        <v>0</v>
      </c>
      <c r="X999" s="170" t="b">
        <v>0</v>
      </c>
      <c r="Y999" s="170"/>
      <c r="Z999" s="170"/>
      <c r="AA999" s="170"/>
      <c r="AB999" s="170"/>
      <c r="AC999" s="171"/>
      <c r="AD999" s="170"/>
      <c r="AE999" s="170"/>
      <c r="AF999" s="170"/>
      <c r="AG999" s="170"/>
      <c r="AH999" s="170"/>
      <c r="AI999" s="170"/>
      <c r="AJ999" s="172"/>
      <c r="AK999" s="50"/>
      <c r="AL999" s="25"/>
      <c r="AM999" s="25"/>
      <c r="AN999" s="25"/>
      <c r="AO999" s="165"/>
      <c r="AP999" s="78"/>
      <c r="AQ999" s="25"/>
      <c r="AR999" s="25"/>
      <c r="AS999" s="25"/>
      <c r="AT999" s="25"/>
      <c r="AU999" s="25"/>
      <c r="AV999" s="25"/>
      <c r="AW999" s="25"/>
      <c r="AX999" s="25"/>
      <c r="AY999" s="25"/>
      <c r="AZ999" s="25"/>
      <c r="BA999" s="25"/>
      <c r="BB999" s="25"/>
      <c r="BC999" s="25"/>
      <c r="BD999" s="25"/>
      <c r="BE999" s="25"/>
      <c r="BF999" s="25"/>
      <c r="BG999" s="25"/>
      <c r="BH999" s="25"/>
      <c r="BI999" s="25"/>
      <c r="BJ999" s="25"/>
      <c r="BK999" s="25"/>
      <c r="BL999" s="25"/>
      <c r="BM999" s="25"/>
      <c r="BN999" s="25"/>
      <c r="BO999" s="25"/>
      <c r="BP999" s="25"/>
    </row>
    <row r="1000">
      <c r="A1000" s="25"/>
      <c r="B1000" s="168"/>
      <c r="C1000" s="25"/>
      <c r="D1000" s="25"/>
      <c r="E1000" s="25"/>
      <c r="F1000" s="25"/>
      <c r="G1000" s="84"/>
      <c r="H1000" s="25"/>
      <c r="I1000" s="25"/>
      <c r="J1000" s="25"/>
      <c r="K1000" s="169"/>
      <c r="L1000" s="169"/>
      <c r="M1000" s="170" t="b">
        <v>0</v>
      </c>
      <c r="N1000" s="170" t="b">
        <v>0</v>
      </c>
      <c r="O1000" s="48"/>
      <c r="P1000" s="170" t="b">
        <v>0</v>
      </c>
      <c r="Q1000" s="170" t="b">
        <v>0</v>
      </c>
      <c r="R1000" s="170" t="b">
        <v>0</v>
      </c>
      <c r="S1000" s="48"/>
      <c r="T1000" s="60"/>
      <c r="U1000" s="170" t="b">
        <v>0</v>
      </c>
      <c r="V1000" s="170"/>
      <c r="W1000" s="170" t="b">
        <v>0</v>
      </c>
      <c r="X1000" s="170" t="b">
        <v>0</v>
      </c>
      <c r="Y1000" s="170"/>
      <c r="Z1000" s="170"/>
      <c r="AA1000" s="170"/>
      <c r="AB1000" s="170"/>
      <c r="AC1000" s="171"/>
      <c r="AD1000" s="170"/>
      <c r="AE1000" s="170"/>
      <c r="AF1000" s="170"/>
      <c r="AG1000" s="170"/>
      <c r="AH1000" s="170"/>
      <c r="AI1000" s="170"/>
      <c r="AJ1000" s="172"/>
      <c r="AK1000" s="50"/>
      <c r="AL1000" s="25"/>
      <c r="AM1000" s="25"/>
      <c r="AN1000" s="25"/>
      <c r="AO1000" s="165"/>
      <c r="AP1000" s="78"/>
      <c r="AQ1000" s="25"/>
      <c r="AR1000" s="25"/>
      <c r="AS1000" s="25"/>
      <c r="AT1000" s="25"/>
      <c r="AU1000" s="25"/>
      <c r="AV1000" s="25"/>
      <c r="AW1000" s="25"/>
      <c r="AX1000" s="25"/>
      <c r="AY1000" s="25"/>
      <c r="AZ1000" s="25"/>
      <c r="BA1000" s="25"/>
      <c r="BB1000" s="25"/>
      <c r="BC1000" s="25"/>
      <c r="BD1000" s="25"/>
      <c r="BE1000" s="25"/>
      <c r="BF1000" s="25"/>
      <c r="BG1000" s="25"/>
      <c r="BH1000" s="25"/>
      <c r="BI1000" s="25"/>
      <c r="BJ1000" s="25"/>
      <c r="BK1000" s="25"/>
      <c r="BL1000" s="25"/>
      <c r="BM1000" s="25"/>
      <c r="BN1000" s="25"/>
      <c r="BO1000" s="25"/>
      <c r="BP1000" s="25"/>
    </row>
    <row r="1001">
      <c r="A1001" s="25"/>
      <c r="B1001" s="168"/>
      <c r="C1001" s="25"/>
      <c r="D1001" s="25"/>
      <c r="E1001" s="25"/>
      <c r="F1001" s="25"/>
      <c r="G1001" s="84"/>
      <c r="H1001" s="25"/>
      <c r="I1001" s="25"/>
      <c r="J1001" s="25"/>
      <c r="K1001" s="169"/>
      <c r="L1001" s="169"/>
      <c r="M1001" s="170" t="b">
        <v>0</v>
      </c>
      <c r="N1001" s="170" t="b">
        <v>0</v>
      </c>
      <c r="O1001" s="48"/>
      <c r="P1001" s="170" t="b">
        <v>0</v>
      </c>
      <c r="Q1001" s="170" t="b">
        <v>0</v>
      </c>
      <c r="R1001" s="170" t="b">
        <v>0</v>
      </c>
      <c r="S1001" s="48"/>
      <c r="T1001" s="60"/>
      <c r="U1001" s="170" t="b">
        <v>0</v>
      </c>
      <c r="V1001" s="170"/>
      <c r="W1001" s="170" t="b">
        <v>0</v>
      </c>
      <c r="X1001" s="170" t="b">
        <v>0</v>
      </c>
      <c r="Y1001" s="170"/>
      <c r="Z1001" s="170"/>
      <c r="AA1001" s="170"/>
      <c r="AB1001" s="170"/>
      <c r="AC1001" s="171"/>
      <c r="AD1001" s="170"/>
      <c r="AE1001" s="170"/>
      <c r="AF1001" s="170"/>
      <c r="AG1001" s="170"/>
      <c r="AH1001" s="170"/>
      <c r="AI1001" s="170"/>
      <c r="AJ1001" s="172"/>
      <c r="AK1001" s="50"/>
      <c r="AL1001" s="25"/>
      <c r="AM1001" s="25"/>
      <c r="AN1001" s="25"/>
      <c r="AO1001" s="165"/>
      <c r="AP1001" s="78"/>
      <c r="AQ1001" s="25"/>
      <c r="AR1001" s="25"/>
      <c r="AS1001" s="25"/>
      <c r="AT1001" s="25"/>
      <c r="AU1001" s="25"/>
      <c r="AV1001" s="25"/>
      <c r="AW1001" s="25"/>
      <c r="AX1001" s="25"/>
      <c r="AY1001" s="25"/>
      <c r="AZ1001" s="25"/>
      <c r="BA1001" s="25"/>
      <c r="BB1001" s="25"/>
      <c r="BC1001" s="25"/>
      <c r="BD1001" s="25"/>
      <c r="BE1001" s="25"/>
      <c r="BF1001" s="25"/>
      <c r="BG1001" s="25"/>
      <c r="BH1001" s="25"/>
      <c r="BI1001" s="25"/>
      <c r="BJ1001" s="25"/>
      <c r="BK1001" s="25"/>
      <c r="BL1001" s="25"/>
      <c r="BM1001" s="25"/>
      <c r="BN1001" s="25"/>
      <c r="BO1001" s="25"/>
      <c r="BP1001" s="25"/>
    </row>
    <row r="1002">
      <c r="A1002" s="25"/>
      <c r="B1002" s="168"/>
      <c r="C1002" s="25"/>
      <c r="D1002" s="25"/>
      <c r="E1002" s="25"/>
      <c r="F1002" s="25"/>
      <c r="G1002" s="84"/>
      <c r="H1002" s="25"/>
      <c r="I1002" s="25"/>
      <c r="J1002" s="25"/>
      <c r="K1002" s="169"/>
      <c r="L1002" s="169"/>
      <c r="M1002" s="170" t="b">
        <v>0</v>
      </c>
      <c r="N1002" s="170" t="b">
        <v>0</v>
      </c>
      <c r="O1002" s="48"/>
      <c r="P1002" s="170" t="b">
        <v>0</v>
      </c>
      <c r="Q1002" s="170" t="b">
        <v>0</v>
      </c>
      <c r="R1002" s="170" t="b">
        <v>0</v>
      </c>
      <c r="S1002" s="48"/>
      <c r="T1002" s="60"/>
      <c r="U1002" s="170" t="b">
        <v>0</v>
      </c>
      <c r="V1002" s="170"/>
      <c r="W1002" s="170" t="b">
        <v>0</v>
      </c>
      <c r="X1002" s="170" t="b">
        <v>0</v>
      </c>
      <c r="Y1002" s="170"/>
      <c r="Z1002" s="170"/>
      <c r="AA1002" s="170"/>
      <c r="AB1002" s="170"/>
      <c r="AC1002" s="171"/>
      <c r="AD1002" s="170"/>
      <c r="AE1002" s="170"/>
      <c r="AF1002" s="170"/>
      <c r="AG1002" s="170"/>
      <c r="AH1002" s="170"/>
      <c r="AI1002" s="170"/>
      <c r="AJ1002" s="172"/>
      <c r="AK1002" s="50"/>
      <c r="AL1002" s="25"/>
      <c r="AM1002" s="25"/>
      <c r="AN1002" s="25"/>
      <c r="AO1002" s="165"/>
      <c r="AP1002" s="78"/>
      <c r="AQ1002" s="25"/>
      <c r="AR1002" s="25"/>
      <c r="AS1002" s="25"/>
      <c r="AT1002" s="25"/>
      <c r="AU1002" s="25"/>
      <c r="AV1002" s="25"/>
      <c r="AW1002" s="25"/>
      <c r="AX1002" s="25"/>
      <c r="AY1002" s="25"/>
      <c r="AZ1002" s="25"/>
      <c r="BA1002" s="25"/>
      <c r="BB1002" s="25"/>
      <c r="BC1002" s="25"/>
      <c r="BD1002" s="25"/>
      <c r="BE1002" s="25"/>
      <c r="BF1002" s="25"/>
      <c r="BG1002" s="25"/>
      <c r="BH1002" s="25"/>
      <c r="BI1002" s="25"/>
      <c r="BJ1002" s="25"/>
      <c r="BK1002" s="25"/>
      <c r="BL1002" s="25"/>
      <c r="BM1002" s="25"/>
      <c r="BN1002" s="25"/>
      <c r="BO1002" s="25"/>
      <c r="BP1002" s="25"/>
    </row>
    <row r="1003">
      <c r="A1003" s="25"/>
      <c r="B1003" s="168"/>
      <c r="C1003" s="25"/>
      <c r="D1003" s="25"/>
      <c r="E1003" s="25"/>
      <c r="F1003" s="25"/>
      <c r="G1003" s="84"/>
      <c r="H1003" s="25"/>
      <c r="I1003" s="25"/>
      <c r="J1003" s="25"/>
      <c r="K1003" s="169"/>
      <c r="L1003" s="169"/>
      <c r="M1003" s="170" t="b">
        <v>0</v>
      </c>
      <c r="N1003" s="170" t="b">
        <v>0</v>
      </c>
      <c r="O1003" s="48"/>
      <c r="P1003" s="170" t="b">
        <v>0</v>
      </c>
      <c r="Q1003" s="170" t="b">
        <v>0</v>
      </c>
      <c r="R1003" s="170" t="b">
        <v>0</v>
      </c>
      <c r="S1003" s="48"/>
      <c r="T1003" s="60"/>
      <c r="U1003" s="170" t="b">
        <v>0</v>
      </c>
      <c r="V1003" s="170"/>
      <c r="W1003" s="170" t="b">
        <v>0</v>
      </c>
      <c r="X1003" s="170" t="b">
        <v>0</v>
      </c>
      <c r="Y1003" s="170"/>
      <c r="Z1003" s="170"/>
      <c r="AA1003" s="170"/>
      <c r="AB1003" s="170"/>
      <c r="AC1003" s="171"/>
      <c r="AD1003" s="170"/>
      <c r="AE1003" s="170"/>
      <c r="AF1003" s="170"/>
      <c r="AG1003" s="170"/>
      <c r="AH1003" s="170"/>
      <c r="AI1003" s="170"/>
      <c r="AJ1003" s="172"/>
      <c r="AK1003" s="50"/>
      <c r="AL1003" s="25"/>
      <c r="AM1003" s="25"/>
      <c r="AN1003" s="25"/>
      <c r="AO1003" s="165"/>
      <c r="AP1003" s="78"/>
      <c r="AQ1003" s="25"/>
      <c r="AR1003" s="25"/>
      <c r="AS1003" s="25"/>
      <c r="AT1003" s="25"/>
      <c r="AU1003" s="25"/>
      <c r="AV1003" s="25"/>
      <c r="AW1003" s="25"/>
      <c r="AX1003" s="25"/>
      <c r="AY1003" s="25"/>
      <c r="AZ1003" s="25"/>
      <c r="BA1003" s="25"/>
      <c r="BB1003" s="25"/>
      <c r="BC1003" s="25"/>
      <c r="BD1003" s="25"/>
      <c r="BE1003" s="25"/>
      <c r="BF1003" s="25"/>
      <c r="BG1003" s="25"/>
      <c r="BH1003" s="25"/>
      <c r="BI1003" s="25"/>
      <c r="BJ1003" s="25"/>
      <c r="BK1003" s="25"/>
      <c r="BL1003" s="25"/>
      <c r="BM1003" s="25"/>
      <c r="BN1003" s="25"/>
      <c r="BO1003" s="25"/>
      <c r="BP1003" s="25"/>
    </row>
    <row r="1004">
      <c r="A1004" s="25"/>
      <c r="B1004" s="168"/>
      <c r="C1004" s="25"/>
      <c r="D1004" s="25"/>
      <c r="E1004" s="25"/>
      <c r="F1004" s="25"/>
      <c r="G1004" s="84"/>
      <c r="H1004" s="25"/>
      <c r="I1004" s="25"/>
      <c r="J1004" s="25"/>
      <c r="K1004" s="169"/>
      <c r="L1004" s="169"/>
      <c r="M1004" s="170" t="b">
        <v>0</v>
      </c>
      <c r="N1004" s="170" t="b">
        <v>0</v>
      </c>
      <c r="O1004" s="48"/>
      <c r="P1004" s="170" t="b">
        <v>0</v>
      </c>
      <c r="Q1004" s="170" t="b">
        <v>0</v>
      </c>
      <c r="R1004" s="170" t="b">
        <v>0</v>
      </c>
      <c r="S1004" s="48"/>
      <c r="T1004" s="60"/>
      <c r="U1004" s="170" t="b">
        <v>0</v>
      </c>
      <c r="V1004" s="170"/>
      <c r="W1004" s="170" t="b">
        <v>0</v>
      </c>
      <c r="X1004" s="170" t="b">
        <v>0</v>
      </c>
      <c r="Y1004" s="170"/>
      <c r="Z1004" s="170"/>
      <c r="AA1004" s="170"/>
      <c r="AB1004" s="170"/>
      <c r="AC1004" s="171"/>
      <c r="AD1004" s="170"/>
      <c r="AE1004" s="170"/>
      <c r="AF1004" s="170"/>
      <c r="AG1004" s="170"/>
      <c r="AH1004" s="170"/>
      <c r="AI1004" s="170"/>
      <c r="AJ1004" s="172"/>
      <c r="AK1004" s="50"/>
      <c r="AL1004" s="25"/>
      <c r="AM1004" s="25"/>
      <c r="AN1004" s="25"/>
      <c r="AO1004" s="165"/>
      <c r="AP1004" s="78"/>
      <c r="AQ1004" s="25"/>
      <c r="AR1004" s="25"/>
      <c r="AS1004" s="25"/>
      <c r="AT1004" s="25"/>
      <c r="AU1004" s="25"/>
      <c r="AV1004" s="25"/>
      <c r="AW1004" s="25"/>
      <c r="AX1004" s="25"/>
      <c r="AY1004" s="25"/>
      <c r="AZ1004" s="25"/>
      <c r="BA1004" s="25"/>
      <c r="BB1004" s="25"/>
      <c r="BC1004" s="25"/>
      <c r="BD1004" s="25"/>
      <c r="BE1004" s="25"/>
      <c r="BF1004" s="25"/>
      <c r="BG1004" s="25"/>
      <c r="BH1004" s="25"/>
      <c r="BI1004" s="25"/>
      <c r="BJ1004" s="25"/>
      <c r="BK1004" s="25"/>
      <c r="BL1004" s="25"/>
      <c r="BM1004" s="25"/>
      <c r="BN1004" s="25"/>
      <c r="BO1004" s="25"/>
      <c r="BP1004" s="25"/>
    </row>
    <row r="1005">
      <c r="A1005" s="25"/>
      <c r="B1005" s="168"/>
      <c r="C1005" s="25"/>
      <c r="D1005" s="25"/>
      <c r="E1005" s="25"/>
      <c r="F1005" s="25"/>
      <c r="G1005" s="84"/>
      <c r="H1005" s="25"/>
      <c r="I1005" s="25"/>
      <c r="J1005" s="25"/>
      <c r="K1005" s="169"/>
      <c r="L1005" s="169"/>
      <c r="M1005" s="170" t="b">
        <v>0</v>
      </c>
      <c r="N1005" s="170" t="b">
        <v>0</v>
      </c>
      <c r="O1005" s="48"/>
      <c r="P1005" s="170" t="b">
        <v>0</v>
      </c>
      <c r="Q1005" s="170" t="b">
        <v>0</v>
      </c>
      <c r="R1005" s="170" t="b">
        <v>0</v>
      </c>
      <c r="S1005" s="48"/>
      <c r="T1005" s="60"/>
      <c r="U1005" s="170" t="b">
        <v>0</v>
      </c>
      <c r="V1005" s="170"/>
      <c r="W1005" s="170" t="b">
        <v>0</v>
      </c>
      <c r="X1005" s="170" t="b">
        <v>0</v>
      </c>
      <c r="Y1005" s="170"/>
      <c r="Z1005" s="170"/>
      <c r="AA1005" s="170"/>
      <c r="AB1005" s="170"/>
      <c r="AC1005" s="171"/>
      <c r="AD1005" s="170"/>
      <c r="AE1005" s="170"/>
      <c r="AF1005" s="170"/>
      <c r="AG1005" s="170"/>
      <c r="AH1005" s="170"/>
      <c r="AI1005" s="170"/>
      <c r="AJ1005" s="172"/>
      <c r="AK1005" s="50"/>
      <c r="AL1005" s="25"/>
      <c r="AM1005" s="25"/>
      <c r="AN1005" s="25"/>
      <c r="AO1005" s="165"/>
      <c r="AP1005" s="78"/>
      <c r="AQ1005" s="25"/>
      <c r="AR1005" s="25"/>
      <c r="AS1005" s="25"/>
      <c r="AT1005" s="25"/>
      <c r="AU1005" s="25"/>
      <c r="AV1005" s="25"/>
      <c r="AW1005" s="25"/>
      <c r="AX1005" s="25"/>
      <c r="AY1005" s="25"/>
      <c r="AZ1005" s="25"/>
      <c r="BA1005" s="25"/>
      <c r="BB1005" s="25"/>
      <c r="BC1005" s="25"/>
      <c r="BD1005" s="25"/>
      <c r="BE1005" s="25"/>
      <c r="BF1005" s="25"/>
      <c r="BG1005" s="25"/>
      <c r="BH1005" s="25"/>
      <c r="BI1005" s="25"/>
      <c r="BJ1005" s="25"/>
      <c r="BK1005" s="25"/>
      <c r="BL1005" s="25"/>
      <c r="BM1005" s="25"/>
      <c r="BN1005" s="25"/>
      <c r="BO1005" s="25"/>
      <c r="BP1005" s="25"/>
    </row>
    <row r="1006">
      <c r="A1006" s="25"/>
      <c r="B1006" s="168"/>
      <c r="C1006" s="25"/>
      <c r="D1006" s="25"/>
      <c r="E1006" s="25"/>
      <c r="F1006" s="25"/>
      <c r="G1006" s="84"/>
      <c r="H1006" s="25"/>
      <c r="I1006" s="25"/>
      <c r="J1006" s="25"/>
      <c r="K1006" s="169"/>
      <c r="L1006" s="169"/>
      <c r="M1006" s="170" t="b">
        <v>0</v>
      </c>
      <c r="N1006" s="170" t="b">
        <v>0</v>
      </c>
      <c r="O1006" s="48"/>
      <c r="P1006" s="170" t="b">
        <v>0</v>
      </c>
      <c r="Q1006" s="170" t="b">
        <v>0</v>
      </c>
      <c r="R1006" s="170" t="b">
        <v>0</v>
      </c>
      <c r="S1006" s="48"/>
      <c r="T1006" s="60"/>
      <c r="U1006" s="170" t="b">
        <v>0</v>
      </c>
      <c r="V1006" s="170"/>
      <c r="W1006" s="170" t="b">
        <v>0</v>
      </c>
      <c r="X1006" s="170" t="b">
        <v>0</v>
      </c>
      <c r="Y1006" s="170"/>
      <c r="Z1006" s="170"/>
      <c r="AA1006" s="170"/>
      <c r="AB1006" s="170"/>
      <c r="AC1006" s="171"/>
      <c r="AD1006" s="170"/>
      <c r="AE1006" s="170"/>
      <c r="AF1006" s="170"/>
      <c r="AG1006" s="170"/>
      <c r="AH1006" s="170"/>
      <c r="AI1006" s="170"/>
      <c r="AJ1006" s="172"/>
      <c r="AK1006" s="50"/>
      <c r="AL1006" s="25"/>
      <c r="AM1006" s="25"/>
      <c r="AN1006" s="25"/>
      <c r="AO1006" s="165"/>
      <c r="AP1006" s="78"/>
      <c r="AQ1006" s="25"/>
      <c r="AR1006" s="25"/>
      <c r="AS1006" s="25"/>
      <c r="AT1006" s="25"/>
      <c r="AU1006" s="25"/>
      <c r="AV1006" s="25"/>
      <c r="AW1006" s="25"/>
      <c r="AX1006" s="25"/>
      <c r="AY1006" s="25"/>
      <c r="AZ1006" s="25"/>
      <c r="BA1006" s="25"/>
      <c r="BB1006" s="25"/>
      <c r="BC1006" s="25"/>
      <c r="BD1006" s="25"/>
      <c r="BE1006" s="25"/>
      <c r="BF1006" s="25"/>
      <c r="BG1006" s="25"/>
      <c r="BH1006" s="25"/>
      <c r="BI1006" s="25"/>
      <c r="BJ1006" s="25"/>
      <c r="BK1006" s="25"/>
      <c r="BL1006" s="25"/>
      <c r="BM1006" s="25"/>
      <c r="BN1006" s="25"/>
      <c r="BO1006" s="25"/>
      <c r="BP1006" s="25"/>
    </row>
    <row r="1007">
      <c r="A1007" s="25"/>
      <c r="B1007" s="168"/>
      <c r="C1007" s="25"/>
      <c r="D1007" s="25"/>
      <c r="E1007" s="25"/>
      <c r="F1007" s="25"/>
      <c r="G1007" s="84"/>
      <c r="H1007" s="25"/>
      <c r="I1007" s="25"/>
      <c r="J1007" s="25"/>
      <c r="K1007" s="169"/>
      <c r="L1007" s="169"/>
      <c r="M1007" s="170" t="b">
        <v>0</v>
      </c>
      <c r="N1007" s="170" t="b">
        <v>0</v>
      </c>
      <c r="O1007" s="48"/>
      <c r="P1007" s="170" t="b">
        <v>0</v>
      </c>
      <c r="Q1007" s="170" t="b">
        <v>0</v>
      </c>
      <c r="R1007" s="170" t="b">
        <v>0</v>
      </c>
      <c r="S1007" s="48"/>
      <c r="T1007" s="60"/>
      <c r="U1007" s="170" t="b">
        <v>0</v>
      </c>
      <c r="V1007" s="170"/>
      <c r="W1007" s="170" t="b">
        <v>0</v>
      </c>
      <c r="X1007" s="170" t="b">
        <v>0</v>
      </c>
      <c r="Y1007" s="170"/>
      <c r="Z1007" s="170"/>
      <c r="AA1007" s="170"/>
      <c r="AB1007" s="170"/>
      <c r="AC1007" s="171"/>
      <c r="AD1007" s="170"/>
      <c r="AE1007" s="170"/>
      <c r="AF1007" s="170"/>
      <c r="AG1007" s="170"/>
      <c r="AH1007" s="170"/>
      <c r="AI1007" s="170"/>
      <c r="AJ1007" s="172"/>
      <c r="AK1007" s="50"/>
      <c r="AL1007" s="25"/>
      <c r="AM1007" s="25"/>
      <c r="AN1007" s="25"/>
      <c r="AO1007" s="165"/>
      <c r="AP1007" s="78"/>
      <c r="AQ1007" s="25"/>
      <c r="AR1007" s="25"/>
      <c r="AS1007" s="25"/>
      <c r="AT1007" s="25"/>
      <c r="AU1007" s="25"/>
      <c r="AV1007" s="25"/>
      <c r="AW1007" s="25"/>
      <c r="AX1007" s="25"/>
      <c r="AY1007" s="25"/>
      <c r="AZ1007" s="25"/>
      <c r="BA1007" s="25"/>
      <c r="BB1007" s="25"/>
      <c r="BC1007" s="25"/>
      <c r="BD1007" s="25"/>
      <c r="BE1007" s="25"/>
      <c r="BF1007" s="25"/>
      <c r="BG1007" s="25"/>
      <c r="BH1007" s="25"/>
      <c r="BI1007" s="25"/>
      <c r="BJ1007" s="25"/>
      <c r="BK1007" s="25"/>
      <c r="BL1007" s="25"/>
      <c r="BM1007" s="25"/>
      <c r="BN1007" s="25"/>
      <c r="BO1007" s="25"/>
      <c r="BP1007" s="25"/>
    </row>
    <row r="1008">
      <c r="A1008" s="25"/>
      <c r="B1008" s="168"/>
      <c r="C1008" s="25"/>
      <c r="D1008" s="25"/>
      <c r="E1008" s="25"/>
      <c r="F1008" s="25"/>
      <c r="G1008" s="84"/>
      <c r="H1008" s="25"/>
      <c r="I1008" s="25"/>
      <c r="J1008" s="25"/>
      <c r="K1008" s="169"/>
      <c r="L1008" s="169"/>
      <c r="M1008" s="170" t="b">
        <v>0</v>
      </c>
      <c r="N1008" s="170" t="b">
        <v>0</v>
      </c>
      <c r="O1008" s="48"/>
      <c r="P1008" s="170" t="b">
        <v>0</v>
      </c>
      <c r="Q1008" s="170" t="b">
        <v>0</v>
      </c>
      <c r="R1008" s="170" t="b">
        <v>0</v>
      </c>
      <c r="S1008" s="48"/>
      <c r="T1008" s="60"/>
      <c r="U1008" s="170" t="b">
        <v>0</v>
      </c>
      <c r="V1008" s="170"/>
      <c r="W1008" s="170" t="b">
        <v>0</v>
      </c>
      <c r="X1008" s="170" t="b">
        <v>0</v>
      </c>
      <c r="Y1008" s="170"/>
      <c r="Z1008" s="170"/>
      <c r="AA1008" s="170"/>
      <c r="AB1008" s="170"/>
      <c r="AC1008" s="171"/>
      <c r="AD1008" s="170"/>
      <c r="AE1008" s="170"/>
      <c r="AF1008" s="170"/>
      <c r="AG1008" s="170"/>
      <c r="AH1008" s="170"/>
      <c r="AI1008" s="170"/>
      <c r="AJ1008" s="172"/>
      <c r="AK1008" s="50"/>
      <c r="AL1008" s="25"/>
      <c r="AM1008" s="25"/>
      <c r="AN1008" s="25"/>
      <c r="AO1008" s="165"/>
      <c r="AP1008" s="78"/>
      <c r="AQ1008" s="25"/>
      <c r="AR1008" s="25"/>
      <c r="AS1008" s="25"/>
      <c r="AT1008" s="25"/>
      <c r="AU1008" s="25"/>
      <c r="AV1008" s="25"/>
      <c r="AW1008" s="25"/>
      <c r="AX1008" s="25"/>
      <c r="AY1008" s="25"/>
      <c r="AZ1008" s="25"/>
      <c r="BA1008" s="25"/>
      <c r="BB1008" s="25"/>
      <c r="BC1008" s="25"/>
      <c r="BD1008" s="25"/>
      <c r="BE1008" s="25"/>
      <c r="BF1008" s="25"/>
      <c r="BG1008" s="25"/>
      <c r="BH1008" s="25"/>
      <c r="BI1008" s="25"/>
      <c r="BJ1008" s="25"/>
      <c r="BK1008" s="25"/>
      <c r="BL1008" s="25"/>
      <c r="BM1008" s="25"/>
      <c r="BN1008" s="25"/>
      <c r="BO1008" s="25"/>
      <c r="BP1008" s="25"/>
    </row>
    <row r="1009">
      <c r="A1009" s="25"/>
      <c r="B1009" s="168"/>
      <c r="C1009" s="25"/>
      <c r="D1009" s="25"/>
      <c r="E1009" s="25"/>
      <c r="F1009" s="25"/>
      <c r="G1009" s="84"/>
      <c r="H1009" s="25"/>
      <c r="I1009" s="25"/>
      <c r="J1009" s="25"/>
      <c r="K1009" s="169"/>
      <c r="L1009" s="169"/>
      <c r="M1009" s="170" t="b">
        <v>0</v>
      </c>
      <c r="N1009" s="170" t="b">
        <v>0</v>
      </c>
      <c r="O1009" s="48"/>
      <c r="P1009" s="170" t="b">
        <v>0</v>
      </c>
      <c r="Q1009" s="170" t="b">
        <v>0</v>
      </c>
      <c r="R1009" s="170" t="b">
        <v>0</v>
      </c>
      <c r="S1009" s="48"/>
      <c r="T1009" s="60"/>
      <c r="U1009" s="170" t="b">
        <v>0</v>
      </c>
      <c r="V1009" s="170"/>
      <c r="W1009" s="170" t="b">
        <v>0</v>
      </c>
      <c r="X1009" s="170" t="b">
        <v>0</v>
      </c>
      <c r="Y1009" s="170"/>
      <c r="Z1009" s="170"/>
      <c r="AA1009" s="170"/>
      <c r="AB1009" s="170"/>
      <c r="AC1009" s="171"/>
      <c r="AD1009" s="170"/>
      <c r="AE1009" s="170"/>
      <c r="AF1009" s="170"/>
      <c r="AG1009" s="170"/>
      <c r="AH1009" s="170"/>
      <c r="AI1009" s="170"/>
      <c r="AJ1009" s="172"/>
      <c r="AK1009" s="50"/>
      <c r="AL1009" s="25"/>
      <c r="AM1009" s="25"/>
      <c r="AN1009" s="25"/>
      <c r="AO1009" s="165"/>
      <c r="AP1009" s="78"/>
      <c r="AQ1009" s="25"/>
      <c r="AR1009" s="25"/>
      <c r="AS1009" s="25"/>
      <c r="AT1009" s="25"/>
      <c r="AU1009" s="25"/>
      <c r="AV1009" s="25"/>
      <c r="AW1009" s="25"/>
      <c r="AX1009" s="25"/>
      <c r="AY1009" s="25"/>
      <c r="AZ1009" s="25"/>
      <c r="BA1009" s="25"/>
      <c r="BB1009" s="25"/>
      <c r="BC1009" s="25"/>
      <c r="BD1009" s="25"/>
      <c r="BE1009" s="25"/>
      <c r="BF1009" s="25"/>
      <c r="BG1009" s="25"/>
      <c r="BH1009" s="25"/>
      <c r="BI1009" s="25"/>
      <c r="BJ1009" s="25"/>
      <c r="BK1009" s="25"/>
      <c r="BL1009" s="25"/>
      <c r="BM1009" s="25"/>
      <c r="BN1009" s="25"/>
      <c r="BO1009" s="25"/>
      <c r="BP1009" s="25"/>
    </row>
    <row r="1010">
      <c r="A1010" s="25"/>
      <c r="B1010" s="168"/>
      <c r="C1010" s="25"/>
      <c r="D1010" s="25"/>
      <c r="E1010" s="25"/>
      <c r="F1010" s="25"/>
      <c r="G1010" s="84"/>
      <c r="H1010" s="25"/>
      <c r="I1010" s="25"/>
      <c r="J1010" s="25"/>
      <c r="K1010" s="169"/>
      <c r="L1010" s="169"/>
      <c r="M1010" s="170" t="b">
        <v>0</v>
      </c>
      <c r="N1010" s="170" t="b">
        <v>0</v>
      </c>
      <c r="O1010" s="48"/>
      <c r="P1010" s="170" t="b">
        <v>0</v>
      </c>
      <c r="Q1010" s="170" t="b">
        <v>0</v>
      </c>
      <c r="R1010" s="170" t="b">
        <v>0</v>
      </c>
      <c r="S1010" s="48"/>
      <c r="T1010" s="60"/>
      <c r="U1010" s="170" t="b">
        <v>0</v>
      </c>
      <c r="V1010" s="170"/>
      <c r="W1010" s="170" t="b">
        <v>0</v>
      </c>
      <c r="X1010" s="170" t="b">
        <v>0</v>
      </c>
      <c r="Y1010" s="170"/>
      <c r="Z1010" s="170"/>
      <c r="AA1010" s="170"/>
      <c r="AB1010" s="170"/>
      <c r="AC1010" s="171"/>
      <c r="AD1010" s="170"/>
      <c r="AE1010" s="170"/>
      <c r="AF1010" s="170"/>
      <c r="AG1010" s="170"/>
      <c r="AH1010" s="170"/>
      <c r="AI1010" s="170"/>
      <c r="AJ1010" s="172"/>
      <c r="AK1010" s="50"/>
      <c r="AL1010" s="25"/>
      <c r="AM1010" s="25"/>
      <c r="AN1010" s="25"/>
      <c r="AO1010" s="165"/>
      <c r="AP1010" s="78"/>
      <c r="AQ1010" s="25"/>
      <c r="AR1010" s="25"/>
      <c r="AS1010" s="25"/>
      <c r="AT1010" s="25"/>
      <c r="AU1010" s="25"/>
      <c r="AV1010" s="25"/>
      <c r="AW1010" s="25"/>
      <c r="AX1010" s="25"/>
      <c r="AY1010" s="25"/>
      <c r="AZ1010" s="25"/>
      <c r="BA1010" s="25"/>
      <c r="BB1010" s="25"/>
      <c r="BC1010" s="25"/>
      <c r="BD1010" s="25"/>
      <c r="BE1010" s="25"/>
      <c r="BF1010" s="25"/>
      <c r="BG1010" s="25"/>
      <c r="BH1010" s="25"/>
      <c r="BI1010" s="25"/>
      <c r="BJ1010" s="25"/>
      <c r="BK1010" s="25"/>
      <c r="BL1010" s="25"/>
      <c r="BM1010" s="25"/>
      <c r="BN1010" s="25"/>
      <c r="BO1010" s="25"/>
      <c r="BP1010" s="25"/>
    </row>
    <row r="1011">
      <c r="A1011" s="25"/>
      <c r="B1011" s="168"/>
      <c r="C1011" s="25"/>
      <c r="D1011" s="25"/>
      <c r="E1011" s="25"/>
      <c r="F1011" s="25"/>
      <c r="G1011" s="84"/>
      <c r="H1011" s="25"/>
      <c r="I1011" s="25"/>
      <c r="J1011" s="25"/>
      <c r="K1011" s="169"/>
      <c r="L1011" s="169"/>
      <c r="M1011" s="170" t="b">
        <v>0</v>
      </c>
      <c r="N1011" s="170" t="b">
        <v>0</v>
      </c>
      <c r="O1011" s="48"/>
      <c r="P1011" s="170" t="b">
        <v>0</v>
      </c>
      <c r="Q1011" s="170" t="b">
        <v>0</v>
      </c>
      <c r="R1011" s="170" t="b">
        <v>0</v>
      </c>
      <c r="S1011" s="48"/>
      <c r="T1011" s="60"/>
      <c r="U1011" s="170" t="b">
        <v>0</v>
      </c>
      <c r="V1011" s="170"/>
      <c r="W1011" s="170" t="b">
        <v>0</v>
      </c>
      <c r="X1011" s="170" t="b">
        <v>0</v>
      </c>
      <c r="Y1011" s="170"/>
      <c r="Z1011" s="170"/>
      <c r="AA1011" s="170"/>
      <c r="AB1011" s="170"/>
      <c r="AC1011" s="171"/>
      <c r="AD1011" s="170"/>
      <c r="AE1011" s="170"/>
      <c r="AF1011" s="170"/>
      <c r="AG1011" s="170"/>
      <c r="AH1011" s="170"/>
      <c r="AI1011" s="170"/>
      <c r="AJ1011" s="172"/>
      <c r="AK1011" s="50"/>
      <c r="AL1011" s="25"/>
      <c r="AM1011" s="25"/>
      <c r="AN1011" s="25"/>
      <c r="AO1011" s="165"/>
      <c r="AP1011" s="78"/>
      <c r="AQ1011" s="25"/>
      <c r="AR1011" s="25"/>
      <c r="AS1011" s="25"/>
      <c r="AT1011" s="25"/>
      <c r="AU1011" s="25"/>
      <c r="AV1011" s="25"/>
      <c r="AW1011" s="25"/>
      <c r="AX1011" s="25"/>
      <c r="AY1011" s="25"/>
      <c r="AZ1011" s="25"/>
      <c r="BA1011" s="25"/>
      <c r="BB1011" s="25"/>
      <c r="BC1011" s="25"/>
      <c r="BD1011" s="25"/>
      <c r="BE1011" s="25"/>
      <c r="BF1011" s="25"/>
      <c r="BG1011" s="25"/>
      <c r="BH1011" s="25"/>
      <c r="BI1011" s="25"/>
      <c r="BJ1011" s="25"/>
      <c r="BK1011" s="25"/>
      <c r="BL1011" s="25"/>
      <c r="BM1011" s="25"/>
      <c r="BN1011" s="25"/>
      <c r="BO1011" s="25"/>
      <c r="BP1011" s="25"/>
    </row>
    <row r="1012">
      <c r="A1012" s="25"/>
      <c r="B1012" s="168"/>
      <c r="C1012" s="25"/>
      <c r="D1012" s="25"/>
      <c r="E1012" s="25"/>
      <c r="F1012" s="25"/>
      <c r="G1012" s="84"/>
      <c r="H1012" s="25"/>
      <c r="I1012" s="25"/>
      <c r="J1012" s="25"/>
      <c r="K1012" s="169"/>
      <c r="L1012" s="169"/>
      <c r="M1012" s="170" t="b">
        <v>0</v>
      </c>
      <c r="N1012" s="170" t="b">
        <v>0</v>
      </c>
      <c r="O1012" s="48"/>
      <c r="P1012" s="170" t="b">
        <v>0</v>
      </c>
      <c r="Q1012" s="170" t="b">
        <v>0</v>
      </c>
      <c r="R1012" s="170" t="b">
        <v>0</v>
      </c>
      <c r="S1012" s="48"/>
      <c r="T1012" s="60"/>
      <c r="U1012" s="170" t="b">
        <v>0</v>
      </c>
      <c r="V1012" s="170"/>
      <c r="W1012" s="170" t="b">
        <v>0</v>
      </c>
      <c r="X1012" s="170" t="b">
        <v>0</v>
      </c>
      <c r="Y1012" s="170"/>
      <c r="Z1012" s="170"/>
      <c r="AA1012" s="170"/>
      <c r="AB1012" s="170"/>
      <c r="AC1012" s="171"/>
      <c r="AD1012" s="170"/>
      <c r="AE1012" s="170"/>
      <c r="AF1012" s="170"/>
      <c r="AG1012" s="170"/>
      <c r="AH1012" s="170"/>
      <c r="AI1012" s="170"/>
      <c r="AJ1012" s="172"/>
      <c r="AK1012" s="50"/>
      <c r="AL1012" s="25"/>
      <c r="AM1012" s="25"/>
      <c r="AN1012" s="25"/>
      <c r="AO1012" s="165"/>
      <c r="AP1012" s="78"/>
      <c r="AQ1012" s="25"/>
      <c r="AR1012" s="25"/>
      <c r="AS1012" s="25"/>
      <c r="AT1012" s="25"/>
      <c r="AU1012" s="25"/>
      <c r="AV1012" s="25"/>
      <c r="AW1012" s="25"/>
      <c r="AX1012" s="25"/>
      <c r="AY1012" s="25"/>
      <c r="AZ1012" s="25"/>
      <c r="BA1012" s="25"/>
      <c r="BB1012" s="25"/>
      <c r="BC1012" s="25"/>
      <c r="BD1012" s="25"/>
      <c r="BE1012" s="25"/>
      <c r="BF1012" s="25"/>
      <c r="BG1012" s="25"/>
      <c r="BH1012" s="25"/>
      <c r="BI1012" s="25"/>
      <c r="BJ1012" s="25"/>
      <c r="BK1012" s="25"/>
      <c r="BL1012" s="25"/>
      <c r="BM1012" s="25"/>
      <c r="BN1012" s="25"/>
      <c r="BO1012" s="25"/>
      <c r="BP1012" s="25"/>
    </row>
    <row r="1013">
      <c r="A1013" s="25"/>
      <c r="B1013" s="168"/>
      <c r="C1013" s="25"/>
      <c r="D1013" s="25"/>
      <c r="E1013" s="25"/>
      <c r="F1013" s="25"/>
      <c r="G1013" s="84"/>
      <c r="H1013" s="25"/>
      <c r="I1013" s="25"/>
      <c r="J1013" s="25"/>
      <c r="K1013" s="169"/>
      <c r="L1013" s="169"/>
      <c r="M1013" s="170" t="b">
        <v>0</v>
      </c>
      <c r="N1013" s="170" t="b">
        <v>0</v>
      </c>
      <c r="O1013" s="48"/>
      <c r="P1013" s="170" t="b">
        <v>0</v>
      </c>
      <c r="Q1013" s="170" t="b">
        <v>0</v>
      </c>
      <c r="R1013" s="170" t="b">
        <v>0</v>
      </c>
      <c r="S1013" s="48"/>
      <c r="T1013" s="60"/>
      <c r="U1013" s="170" t="b">
        <v>0</v>
      </c>
      <c r="V1013" s="170"/>
      <c r="W1013" s="170" t="b">
        <v>0</v>
      </c>
      <c r="X1013" s="170" t="b">
        <v>0</v>
      </c>
      <c r="Y1013" s="170"/>
      <c r="Z1013" s="170"/>
      <c r="AA1013" s="170"/>
      <c r="AB1013" s="170"/>
      <c r="AC1013" s="171"/>
      <c r="AD1013" s="170"/>
      <c r="AE1013" s="170"/>
      <c r="AF1013" s="170"/>
      <c r="AG1013" s="170"/>
      <c r="AH1013" s="170"/>
      <c r="AI1013" s="170"/>
      <c r="AJ1013" s="172"/>
      <c r="AK1013" s="50"/>
      <c r="AL1013" s="25"/>
      <c r="AM1013" s="25"/>
      <c r="AN1013" s="25"/>
      <c r="AO1013" s="165"/>
      <c r="AP1013" s="78"/>
      <c r="AQ1013" s="25"/>
      <c r="AR1013" s="25"/>
      <c r="AS1013" s="25"/>
      <c r="AT1013" s="25"/>
      <c r="AU1013" s="25"/>
      <c r="AV1013" s="25"/>
      <c r="AW1013" s="25"/>
      <c r="AX1013" s="25"/>
      <c r="AY1013" s="25"/>
      <c r="AZ1013" s="25"/>
      <c r="BA1013" s="25"/>
      <c r="BB1013" s="25"/>
      <c r="BC1013" s="25"/>
      <c r="BD1013" s="25"/>
      <c r="BE1013" s="25"/>
      <c r="BF1013" s="25"/>
      <c r="BG1013" s="25"/>
      <c r="BH1013" s="25"/>
      <c r="BI1013" s="25"/>
      <c r="BJ1013" s="25"/>
      <c r="BK1013" s="25"/>
      <c r="BL1013" s="25"/>
      <c r="BM1013" s="25"/>
      <c r="BN1013" s="25"/>
      <c r="BO1013" s="25"/>
      <c r="BP1013" s="25"/>
    </row>
    <row r="1014">
      <c r="A1014" s="25"/>
      <c r="B1014" s="168"/>
      <c r="C1014" s="25"/>
      <c r="D1014" s="25"/>
      <c r="E1014" s="25"/>
      <c r="F1014" s="25"/>
      <c r="G1014" s="84"/>
      <c r="H1014" s="25"/>
      <c r="I1014" s="25"/>
      <c r="J1014" s="25"/>
      <c r="K1014" s="169"/>
      <c r="L1014" s="169"/>
      <c r="M1014" s="170" t="b">
        <v>0</v>
      </c>
      <c r="N1014" s="170" t="b">
        <v>0</v>
      </c>
      <c r="O1014" s="48"/>
      <c r="P1014" s="170" t="b">
        <v>0</v>
      </c>
      <c r="Q1014" s="170" t="b">
        <v>0</v>
      </c>
      <c r="R1014" s="170" t="b">
        <v>0</v>
      </c>
      <c r="S1014" s="48"/>
      <c r="T1014" s="60"/>
      <c r="U1014" s="170" t="b">
        <v>0</v>
      </c>
      <c r="V1014" s="170"/>
      <c r="W1014" s="170" t="b">
        <v>0</v>
      </c>
      <c r="X1014" s="170" t="b">
        <v>0</v>
      </c>
      <c r="Y1014" s="170"/>
      <c r="Z1014" s="170"/>
      <c r="AA1014" s="170"/>
      <c r="AB1014" s="170"/>
      <c r="AC1014" s="171"/>
      <c r="AD1014" s="170"/>
      <c r="AE1014" s="170"/>
      <c r="AF1014" s="170"/>
      <c r="AG1014" s="170"/>
      <c r="AH1014" s="170"/>
      <c r="AI1014" s="170"/>
      <c r="AJ1014" s="172"/>
      <c r="AK1014" s="50"/>
      <c r="AL1014" s="25"/>
      <c r="AM1014" s="25"/>
      <c r="AN1014" s="25"/>
      <c r="AO1014" s="165"/>
      <c r="AP1014" s="78"/>
      <c r="AQ1014" s="25"/>
      <c r="AR1014" s="25"/>
      <c r="AS1014" s="25"/>
      <c r="AT1014" s="25"/>
      <c r="AU1014" s="25"/>
      <c r="AV1014" s="25"/>
      <c r="AW1014" s="25"/>
      <c r="AX1014" s="25"/>
      <c r="AY1014" s="25"/>
      <c r="AZ1014" s="25"/>
      <c r="BA1014" s="25"/>
      <c r="BB1014" s="25"/>
      <c r="BC1014" s="25"/>
      <c r="BD1014" s="25"/>
      <c r="BE1014" s="25"/>
      <c r="BF1014" s="25"/>
      <c r="BG1014" s="25"/>
      <c r="BH1014" s="25"/>
      <c r="BI1014" s="25"/>
      <c r="BJ1014" s="25"/>
      <c r="BK1014" s="25"/>
      <c r="BL1014" s="25"/>
      <c r="BM1014" s="25"/>
      <c r="BN1014" s="25"/>
      <c r="BO1014" s="25"/>
      <c r="BP1014" s="25"/>
    </row>
    <row r="1015">
      <c r="A1015" s="25"/>
      <c r="B1015" s="168"/>
      <c r="C1015" s="25"/>
      <c r="D1015" s="25"/>
      <c r="E1015" s="25"/>
      <c r="F1015" s="25"/>
      <c r="G1015" s="84"/>
      <c r="H1015" s="25"/>
      <c r="I1015" s="25"/>
      <c r="J1015" s="25"/>
      <c r="K1015" s="169"/>
      <c r="L1015" s="169"/>
      <c r="M1015" s="170" t="b">
        <v>0</v>
      </c>
      <c r="N1015" s="170" t="b">
        <v>0</v>
      </c>
      <c r="O1015" s="48"/>
      <c r="P1015" s="170" t="b">
        <v>0</v>
      </c>
      <c r="Q1015" s="170" t="b">
        <v>0</v>
      </c>
      <c r="R1015" s="170" t="b">
        <v>0</v>
      </c>
      <c r="S1015" s="48"/>
      <c r="T1015" s="60"/>
      <c r="U1015" s="170" t="b">
        <v>0</v>
      </c>
      <c r="V1015" s="170"/>
      <c r="W1015" s="170" t="b">
        <v>0</v>
      </c>
      <c r="X1015" s="170" t="b">
        <v>0</v>
      </c>
      <c r="Y1015" s="170"/>
      <c r="Z1015" s="170"/>
      <c r="AA1015" s="170"/>
      <c r="AB1015" s="170"/>
      <c r="AC1015" s="171"/>
      <c r="AD1015" s="170"/>
      <c r="AE1015" s="170"/>
      <c r="AF1015" s="170"/>
      <c r="AG1015" s="170"/>
      <c r="AH1015" s="170"/>
      <c r="AI1015" s="170"/>
      <c r="AJ1015" s="172"/>
      <c r="AK1015" s="50"/>
      <c r="AL1015" s="25"/>
      <c r="AM1015" s="25"/>
      <c r="AN1015" s="25"/>
      <c r="AO1015" s="165"/>
      <c r="AP1015" s="78"/>
      <c r="AQ1015" s="25"/>
      <c r="AR1015" s="25"/>
      <c r="AS1015" s="25"/>
      <c r="AT1015" s="25"/>
      <c r="AU1015" s="25"/>
      <c r="AV1015" s="25"/>
      <c r="AW1015" s="25"/>
      <c r="AX1015" s="25"/>
      <c r="AY1015" s="25"/>
      <c r="AZ1015" s="25"/>
      <c r="BA1015" s="25"/>
      <c r="BB1015" s="25"/>
      <c r="BC1015" s="25"/>
      <c r="BD1015" s="25"/>
      <c r="BE1015" s="25"/>
      <c r="BF1015" s="25"/>
      <c r="BG1015" s="25"/>
      <c r="BH1015" s="25"/>
      <c r="BI1015" s="25"/>
      <c r="BJ1015" s="25"/>
      <c r="BK1015" s="25"/>
      <c r="BL1015" s="25"/>
      <c r="BM1015" s="25"/>
      <c r="BN1015" s="25"/>
      <c r="BO1015" s="25"/>
      <c r="BP1015" s="25"/>
    </row>
    <row r="1016">
      <c r="A1016" s="25"/>
      <c r="B1016" s="168"/>
      <c r="C1016" s="25"/>
      <c r="D1016" s="25"/>
      <c r="E1016" s="25"/>
      <c r="F1016" s="25"/>
      <c r="G1016" s="84"/>
      <c r="H1016" s="25"/>
      <c r="I1016" s="25"/>
      <c r="J1016" s="25"/>
      <c r="K1016" s="169"/>
      <c r="L1016" s="169"/>
      <c r="M1016" s="170" t="b">
        <v>0</v>
      </c>
      <c r="N1016" s="170" t="b">
        <v>0</v>
      </c>
      <c r="O1016" s="48"/>
      <c r="P1016" s="170" t="b">
        <v>0</v>
      </c>
      <c r="Q1016" s="170" t="b">
        <v>0</v>
      </c>
      <c r="R1016" s="170" t="b">
        <v>0</v>
      </c>
      <c r="S1016" s="48"/>
      <c r="T1016" s="60"/>
      <c r="U1016" s="170" t="b">
        <v>0</v>
      </c>
      <c r="V1016" s="170"/>
      <c r="W1016" s="170" t="b">
        <v>0</v>
      </c>
      <c r="X1016" s="170" t="b">
        <v>0</v>
      </c>
      <c r="Y1016" s="170"/>
      <c r="Z1016" s="170"/>
      <c r="AA1016" s="170"/>
      <c r="AB1016" s="170"/>
      <c r="AC1016" s="171"/>
      <c r="AD1016" s="170"/>
      <c r="AE1016" s="170"/>
      <c r="AF1016" s="170"/>
      <c r="AG1016" s="170"/>
      <c r="AH1016" s="170"/>
      <c r="AI1016" s="170"/>
      <c r="AJ1016" s="172"/>
      <c r="AK1016" s="50"/>
      <c r="AL1016" s="25"/>
      <c r="AM1016" s="25"/>
      <c r="AN1016" s="25"/>
      <c r="AO1016" s="165"/>
      <c r="AP1016" s="78"/>
      <c r="AQ1016" s="25"/>
      <c r="AR1016" s="25"/>
      <c r="AS1016" s="25"/>
      <c r="AT1016" s="25"/>
      <c r="AU1016" s="25"/>
      <c r="AV1016" s="25"/>
      <c r="AW1016" s="25"/>
      <c r="AX1016" s="25"/>
      <c r="AY1016" s="25"/>
      <c r="AZ1016" s="25"/>
      <c r="BA1016" s="25"/>
      <c r="BB1016" s="25"/>
      <c r="BC1016" s="25"/>
      <c r="BD1016" s="25"/>
      <c r="BE1016" s="25"/>
      <c r="BF1016" s="25"/>
      <c r="BG1016" s="25"/>
      <c r="BH1016" s="25"/>
      <c r="BI1016" s="25"/>
      <c r="BJ1016" s="25"/>
      <c r="BK1016" s="25"/>
      <c r="BL1016" s="25"/>
      <c r="BM1016" s="25"/>
      <c r="BN1016" s="25"/>
      <c r="BO1016" s="25"/>
      <c r="BP1016" s="25"/>
    </row>
    <row r="1017">
      <c r="A1017" s="25"/>
      <c r="B1017" s="168"/>
      <c r="C1017" s="25"/>
      <c r="D1017" s="25"/>
      <c r="E1017" s="25"/>
      <c r="F1017" s="25"/>
      <c r="G1017" s="84"/>
      <c r="H1017" s="25"/>
      <c r="I1017" s="25"/>
      <c r="J1017" s="25"/>
      <c r="K1017" s="169"/>
      <c r="L1017" s="169"/>
      <c r="M1017" s="170" t="b">
        <v>0</v>
      </c>
      <c r="N1017" s="170" t="b">
        <v>0</v>
      </c>
      <c r="O1017" s="48"/>
      <c r="P1017" s="170" t="b">
        <v>0</v>
      </c>
      <c r="Q1017" s="170" t="b">
        <v>0</v>
      </c>
      <c r="R1017" s="170" t="b">
        <v>0</v>
      </c>
      <c r="S1017" s="48"/>
      <c r="T1017" s="60"/>
      <c r="U1017" s="170" t="b">
        <v>0</v>
      </c>
      <c r="V1017" s="170"/>
      <c r="W1017" s="170" t="b">
        <v>0</v>
      </c>
      <c r="X1017" s="170" t="b">
        <v>0</v>
      </c>
      <c r="Y1017" s="170"/>
      <c r="Z1017" s="170"/>
      <c r="AA1017" s="170"/>
      <c r="AB1017" s="170"/>
      <c r="AC1017" s="171"/>
      <c r="AD1017" s="170"/>
      <c r="AE1017" s="170"/>
      <c r="AF1017" s="170"/>
      <c r="AG1017" s="170"/>
      <c r="AH1017" s="170"/>
      <c r="AI1017" s="170"/>
      <c r="AJ1017" s="172"/>
      <c r="AK1017" s="50"/>
      <c r="AL1017" s="25"/>
      <c r="AM1017" s="25"/>
      <c r="AN1017" s="25"/>
      <c r="AO1017" s="165"/>
      <c r="AP1017" s="78"/>
      <c r="AQ1017" s="25"/>
      <c r="AR1017" s="25"/>
      <c r="AS1017" s="25"/>
      <c r="AT1017" s="25"/>
      <c r="AU1017" s="25"/>
      <c r="AV1017" s="25"/>
      <c r="AW1017" s="25"/>
      <c r="AX1017" s="25"/>
      <c r="AY1017" s="25"/>
      <c r="AZ1017" s="25"/>
      <c r="BA1017" s="25"/>
      <c r="BB1017" s="25"/>
      <c r="BC1017" s="25"/>
      <c r="BD1017" s="25"/>
      <c r="BE1017" s="25"/>
      <c r="BF1017" s="25"/>
      <c r="BG1017" s="25"/>
      <c r="BH1017" s="25"/>
      <c r="BI1017" s="25"/>
      <c r="BJ1017" s="25"/>
      <c r="BK1017" s="25"/>
      <c r="BL1017" s="25"/>
      <c r="BM1017" s="25"/>
      <c r="BN1017" s="25"/>
      <c r="BO1017" s="25"/>
      <c r="BP1017" s="25"/>
    </row>
    <row r="1018">
      <c r="A1018" s="25"/>
      <c r="B1018" s="168"/>
      <c r="C1018" s="25"/>
      <c r="D1018" s="25"/>
      <c r="E1018" s="25"/>
      <c r="F1018" s="25"/>
      <c r="G1018" s="84"/>
      <c r="H1018" s="25"/>
      <c r="I1018" s="25"/>
      <c r="J1018" s="25"/>
      <c r="K1018" s="169"/>
      <c r="L1018" s="169"/>
      <c r="M1018" s="170" t="b">
        <v>0</v>
      </c>
      <c r="N1018" s="170" t="b">
        <v>0</v>
      </c>
      <c r="O1018" s="48"/>
      <c r="P1018" s="170" t="b">
        <v>0</v>
      </c>
      <c r="Q1018" s="170" t="b">
        <v>0</v>
      </c>
      <c r="R1018" s="170" t="b">
        <v>0</v>
      </c>
      <c r="S1018" s="48"/>
      <c r="T1018" s="60"/>
      <c r="U1018" s="170" t="b">
        <v>0</v>
      </c>
      <c r="V1018" s="170"/>
      <c r="W1018" s="170" t="b">
        <v>0</v>
      </c>
      <c r="X1018" s="170" t="b">
        <v>0</v>
      </c>
      <c r="Y1018" s="170"/>
      <c r="Z1018" s="170"/>
      <c r="AA1018" s="170"/>
      <c r="AB1018" s="170"/>
      <c r="AC1018" s="171"/>
      <c r="AD1018" s="170"/>
      <c r="AE1018" s="170"/>
      <c r="AF1018" s="170"/>
      <c r="AG1018" s="170"/>
      <c r="AH1018" s="170"/>
      <c r="AI1018" s="170"/>
      <c r="AJ1018" s="172"/>
      <c r="AK1018" s="50"/>
      <c r="AL1018" s="25"/>
      <c r="AM1018" s="25"/>
      <c r="AN1018" s="25"/>
      <c r="AO1018" s="165"/>
      <c r="AP1018" s="78"/>
      <c r="AQ1018" s="25"/>
      <c r="AR1018" s="25"/>
      <c r="AS1018" s="25"/>
      <c r="AT1018" s="25"/>
      <c r="AU1018" s="25"/>
      <c r="AV1018" s="25"/>
      <c r="AW1018" s="25"/>
      <c r="AX1018" s="25"/>
      <c r="AY1018" s="25"/>
      <c r="AZ1018" s="25"/>
      <c r="BA1018" s="25"/>
      <c r="BB1018" s="25"/>
      <c r="BC1018" s="25"/>
      <c r="BD1018" s="25"/>
      <c r="BE1018" s="25"/>
      <c r="BF1018" s="25"/>
      <c r="BG1018" s="25"/>
      <c r="BH1018" s="25"/>
      <c r="BI1018" s="25"/>
      <c r="BJ1018" s="25"/>
      <c r="BK1018" s="25"/>
      <c r="BL1018" s="25"/>
      <c r="BM1018" s="25"/>
      <c r="BN1018" s="25"/>
      <c r="BO1018" s="25"/>
      <c r="BP1018" s="25"/>
    </row>
    <row r="1019">
      <c r="A1019" s="25"/>
      <c r="B1019" s="168"/>
      <c r="C1019" s="25"/>
      <c r="D1019" s="25"/>
      <c r="E1019" s="25"/>
      <c r="F1019" s="25"/>
      <c r="G1019" s="84"/>
      <c r="H1019" s="25"/>
      <c r="I1019" s="25"/>
      <c r="J1019" s="25"/>
      <c r="K1019" s="169"/>
      <c r="L1019" s="169"/>
      <c r="M1019" s="170" t="b">
        <v>0</v>
      </c>
      <c r="N1019" s="170" t="b">
        <v>0</v>
      </c>
      <c r="O1019" s="48"/>
      <c r="P1019" s="170" t="b">
        <v>0</v>
      </c>
      <c r="Q1019" s="170" t="b">
        <v>0</v>
      </c>
      <c r="R1019" s="170" t="b">
        <v>0</v>
      </c>
      <c r="S1019" s="48"/>
      <c r="T1019" s="60"/>
      <c r="U1019" s="170" t="b">
        <v>0</v>
      </c>
      <c r="V1019" s="170"/>
      <c r="W1019" s="170" t="b">
        <v>0</v>
      </c>
      <c r="X1019" s="170" t="b">
        <v>0</v>
      </c>
      <c r="Y1019" s="170"/>
      <c r="Z1019" s="170"/>
      <c r="AA1019" s="170"/>
      <c r="AB1019" s="170"/>
      <c r="AC1019" s="171"/>
      <c r="AD1019" s="170"/>
      <c r="AE1019" s="170"/>
      <c r="AF1019" s="170"/>
      <c r="AG1019" s="170"/>
      <c r="AH1019" s="170"/>
      <c r="AI1019" s="170"/>
      <c r="AJ1019" s="172"/>
      <c r="AK1019" s="50"/>
      <c r="AL1019" s="25"/>
      <c r="AM1019" s="25"/>
      <c r="AN1019" s="25"/>
      <c r="AO1019" s="165"/>
      <c r="AP1019" s="78"/>
      <c r="AQ1019" s="25"/>
      <c r="AR1019" s="25"/>
      <c r="AS1019" s="25"/>
      <c r="AT1019" s="25"/>
      <c r="AU1019" s="25"/>
      <c r="AV1019" s="25"/>
      <c r="AW1019" s="25"/>
      <c r="AX1019" s="25"/>
      <c r="AY1019" s="25"/>
      <c r="AZ1019" s="25"/>
      <c r="BA1019" s="25"/>
      <c r="BB1019" s="25"/>
      <c r="BC1019" s="25"/>
      <c r="BD1019" s="25"/>
      <c r="BE1019" s="25"/>
      <c r="BF1019" s="25"/>
      <c r="BG1019" s="25"/>
      <c r="BH1019" s="25"/>
      <c r="BI1019" s="25"/>
      <c r="BJ1019" s="25"/>
      <c r="BK1019" s="25"/>
      <c r="BL1019" s="25"/>
      <c r="BM1019" s="25"/>
      <c r="BN1019" s="25"/>
      <c r="BO1019" s="25"/>
      <c r="BP1019" s="25"/>
    </row>
    <row r="1020">
      <c r="A1020" s="25"/>
      <c r="B1020" s="168"/>
      <c r="C1020" s="25"/>
      <c r="D1020" s="25"/>
      <c r="E1020" s="25"/>
      <c r="F1020" s="25"/>
      <c r="G1020" s="84"/>
      <c r="H1020" s="25"/>
      <c r="I1020" s="25"/>
      <c r="J1020" s="25"/>
      <c r="K1020" s="169"/>
      <c r="L1020" s="169"/>
      <c r="M1020" s="170" t="b">
        <v>0</v>
      </c>
      <c r="N1020" s="170" t="b">
        <v>0</v>
      </c>
      <c r="O1020" s="48"/>
      <c r="P1020" s="170" t="b">
        <v>0</v>
      </c>
      <c r="Q1020" s="170" t="b">
        <v>0</v>
      </c>
      <c r="R1020" s="170" t="b">
        <v>0</v>
      </c>
      <c r="S1020" s="48"/>
      <c r="T1020" s="60"/>
      <c r="U1020" s="170" t="b">
        <v>0</v>
      </c>
      <c r="V1020" s="170"/>
      <c r="W1020" s="170" t="b">
        <v>0</v>
      </c>
      <c r="X1020" s="170" t="b">
        <v>0</v>
      </c>
      <c r="Y1020" s="170"/>
      <c r="Z1020" s="170"/>
      <c r="AA1020" s="170"/>
      <c r="AB1020" s="170"/>
      <c r="AC1020" s="171"/>
      <c r="AD1020" s="170"/>
      <c r="AE1020" s="170"/>
      <c r="AF1020" s="170"/>
      <c r="AG1020" s="170"/>
      <c r="AH1020" s="170"/>
      <c r="AI1020" s="170"/>
      <c r="AJ1020" s="172"/>
      <c r="AK1020" s="50"/>
      <c r="AL1020" s="25"/>
      <c r="AM1020" s="25"/>
      <c r="AN1020" s="25"/>
      <c r="AO1020" s="165"/>
      <c r="AP1020" s="78"/>
      <c r="AQ1020" s="25"/>
      <c r="AR1020" s="25"/>
      <c r="AS1020" s="25"/>
      <c r="AT1020" s="25"/>
      <c r="AU1020" s="25"/>
      <c r="AV1020" s="25"/>
      <c r="AW1020" s="25"/>
      <c r="AX1020" s="25"/>
      <c r="AY1020" s="25"/>
      <c r="AZ1020" s="25"/>
      <c r="BA1020" s="25"/>
      <c r="BB1020" s="25"/>
      <c r="BC1020" s="25"/>
      <c r="BD1020" s="25"/>
      <c r="BE1020" s="25"/>
      <c r="BF1020" s="25"/>
      <c r="BG1020" s="25"/>
      <c r="BH1020" s="25"/>
      <c r="BI1020" s="25"/>
      <c r="BJ1020" s="25"/>
      <c r="BK1020" s="25"/>
      <c r="BL1020" s="25"/>
      <c r="BM1020" s="25"/>
      <c r="BN1020" s="25"/>
      <c r="BO1020" s="25"/>
      <c r="BP1020" s="25"/>
    </row>
    <row r="1021">
      <c r="A1021" s="25"/>
      <c r="B1021" s="168"/>
      <c r="C1021" s="25"/>
      <c r="D1021" s="25"/>
      <c r="E1021" s="25"/>
      <c r="F1021" s="25"/>
      <c r="G1021" s="84"/>
      <c r="H1021" s="25"/>
      <c r="I1021" s="25"/>
      <c r="J1021" s="25"/>
      <c r="K1021" s="169"/>
      <c r="L1021" s="169"/>
      <c r="M1021" s="170" t="b">
        <v>0</v>
      </c>
      <c r="N1021" s="170" t="b">
        <v>0</v>
      </c>
      <c r="O1021" s="48"/>
      <c r="P1021" s="170" t="b">
        <v>0</v>
      </c>
      <c r="Q1021" s="170" t="b">
        <v>0</v>
      </c>
      <c r="R1021" s="170" t="b">
        <v>0</v>
      </c>
      <c r="S1021" s="48"/>
      <c r="T1021" s="60"/>
      <c r="U1021" s="170" t="b">
        <v>0</v>
      </c>
      <c r="V1021" s="170"/>
      <c r="W1021" s="170" t="b">
        <v>0</v>
      </c>
      <c r="X1021" s="170" t="b">
        <v>0</v>
      </c>
      <c r="Y1021" s="170"/>
      <c r="Z1021" s="170"/>
      <c r="AA1021" s="170"/>
      <c r="AB1021" s="170"/>
      <c r="AC1021" s="171"/>
      <c r="AD1021" s="170"/>
      <c r="AE1021" s="170"/>
      <c r="AF1021" s="170"/>
      <c r="AG1021" s="170"/>
      <c r="AH1021" s="170"/>
      <c r="AI1021" s="170"/>
      <c r="AJ1021" s="172"/>
      <c r="AK1021" s="50"/>
      <c r="AL1021" s="25"/>
      <c r="AM1021" s="25"/>
      <c r="AN1021" s="25"/>
      <c r="AO1021" s="165"/>
      <c r="AP1021" s="78"/>
      <c r="AQ1021" s="25"/>
      <c r="AR1021" s="25"/>
      <c r="AS1021" s="25"/>
      <c r="AT1021" s="25"/>
      <c r="AU1021" s="25"/>
      <c r="AV1021" s="25"/>
      <c r="AW1021" s="25"/>
      <c r="AX1021" s="25"/>
      <c r="AY1021" s="25"/>
      <c r="AZ1021" s="25"/>
      <c r="BA1021" s="25"/>
      <c r="BB1021" s="25"/>
      <c r="BC1021" s="25"/>
      <c r="BD1021" s="25"/>
      <c r="BE1021" s="25"/>
      <c r="BF1021" s="25"/>
      <c r="BG1021" s="25"/>
      <c r="BH1021" s="25"/>
      <c r="BI1021" s="25"/>
      <c r="BJ1021" s="25"/>
      <c r="BK1021" s="25"/>
      <c r="BL1021" s="25"/>
      <c r="BM1021" s="25"/>
      <c r="BN1021" s="25"/>
      <c r="BO1021" s="25"/>
      <c r="BP1021" s="25"/>
    </row>
    <row r="1022">
      <c r="A1022" s="25"/>
      <c r="B1022" s="168"/>
      <c r="C1022" s="25"/>
      <c r="D1022" s="25"/>
      <c r="E1022" s="25"/>
      <c r="F1022" s="25"/>
      <c r="G1022" s="84"/>
      <c r="H1022" s="25"/>
      <c r="I1022" s="25"/>
      <c r="J1022" s="25"/>
      <c r="K1022" s="169"/>
      <c r="L1022" s="169"/>
      <c r="M1022" s="170" t="b">
        <v>0</v>
      </c>
      <c r="N1022" s="170" t="b">
        <v>0</v>
      </c>
      <c r="O1022" s="48"/>
      <c r="P1022" s="170" t="b">
        <v>0</v>
      </c>
      <c r="Q1022" s="170" t="b">
        <v>0</v>
      </c>
      <c r="R1022" s="170" t="b">
        <v>0</v>
      </c>
      <c r="S1022" s="48"/>
      <c r="T1022" s="60"/>
      <c r="U1022" s="170" t="b">
        <v>0</v>
      </c>
      <c r="V1022" s="170"/>
      <c r="W1022" s="170" t="b">
        <v>0</v>
      </c>
      <c r="X1022" s="170" t="b">
        <v>0</v>
      </c>
      <c r="Y1022" s="170"/>
      <c r="Z1022" s="170"/>
      <c r="AA1022" s="170"/>
      <c r="AB1022" s="170"/>
      <c r="AC1022" s="171"/>
      <c r="AD1022" s="170"/>
      <c r="AE1022" s="170"/>
      <c r="AF1022" s="170"/>
      <c r="AG1022" s="170"/>
      <c r="AH1022" s="170"/>
      <c r="AI1022" s="170"/>
      <c r="AJ1022" s="172"/>
      <c r="AK1022" s="50"/>
      <c r="AL1022" s="25"/>
      <c r="AM1022" s="25"/>
      <c r="AN1022" s="25"/>
      <c r="AO1022" s="165"/>
      <c r="AP1022" s="78"/>
      <c r="AQ1022" s="25"/>
      <c r="AR1022" s="25"/>
      <c r="AS1022" s="25"/>
      <c r="AT1022" s="25"/>
      <c r="AU1022" s="25"/>
      <c r="AV1022" s="25"/>
      <c r="AW1022" s="25"/>
      <c r="AX1022" s="25"/>
      <c r="AY1022" s="25"/>
      <c r="AZ1022" s="25"/>
      <c r="BA1022" s="25"/>
      <c r="BB1022" s="25"/>
      <c r="BC1022" s="25"/>
      <c r="BD1022" s="25"/>
      <c r="BE1022" s="25"/>
      <c r="BF1022" s="25"/>
      <c r="BG1022" s="25"/>
      <c r="BH1022" s="25"/>
      <c r="BI1022" s="25"/>
      <c r="BJ1022" s="25"/>
      <c r="BK1022" s="25"/>
      <c r="BL1022" s="25"/>
      <c r="BM1022" s="25"/>
      <c r="BN1022" s="25"/>
      <c r="BO1022" s="25"/>
      <c r="BP1022" s="25"/>
    </row>
    <row r="1023">
      <c r="A1023" s="25"/>
      <c r="B1023" s="168"/>
      <c r="C1023" s="25"/>
      <c r="D1023" s="25"/>
      <c r="E1023" s="25"/>
      <c r="F1023" s="25"/>
      <c r="G1023" s="84"/>
      <c r="H1023" s="25"/>
      <c r="I1023" s="25"/>
      <c r="J1023" s="25"/>
      <c r="K1023" s="169"/>
      <c r="L1023" s="169"/>
      <c r="M1023" s="170" t="b">
        <v>0</v>
      </c>
      <c r="N1023" s="170" t="b">
        <v>0</v>
      </c>
      <c r="O1023" s="48"/>
      <c r="P1023" s="170" t="b">
        <v>0</v>
      </c>
      <c r="Q1023" s="170" t="b">
        <v>0</v>
      </c>
      <c r="R1023" s="170" t="b">
        <v>0</v>
      </c>
      <c r="S1023" s="48"/>
      <c r="T1023" s="60"/>
      <c r="U1023" s="170" t="b">
        <v>0</v>
      </c>
      <c r="V1023" s="170"/>
      <c r="W1023" s="170" t="b">
        <v>0</v>
      </c>
      <c r="X1023" s="170" t="b">
        <v>0</v>
      </c>
      <c r="Y1023" s="170"/>
      <c r="Z1023" s="170"/>
      <c r="AA1023" s="170"/>
      <c r="AB1023" s="170"/>
      <c r="AC1023" s="171"/>
      <c r="AD1023" s="170"/>
      <c r="AE1023" s="170"/>
      <c r="AF1023" s="170"/>
      <c r="AG1023" s="170"/>
      <c r="AH1023" s="170"/>
      <c r="AI1023" s="170"/>
      <c r="AJ1023" s="172"/>
      <c r="AK1023" s="50"/>
      <c r="AL1023" s="25"/>
      <c r="AM1023" s="25"/>
      <c r="AN1023" s="25"/>
      <c r="AO1023" s="165"/>
      <c r="AP1023" s="78"/>
      <c r="AQ1023" s="25"/>
      <c r="AR1023" s="25"/>
      <c r="AS1023" s="25"/>
      <c r="AT1023" s="25"/>
      <c r="AU1023" s="25"/>
      <c r="AV1023" s="25"/>
      <c r="AW1023" s="25"/>
      <c r="AX1023" s="25"/>
      <c r="AY1023" s="25"/>
      <c r="AZ1023" s="25"/>
      <c r="BA1023" s="25"/>
      <c r="BB1023" s="25"/>
      <c r="BC1023" s="25"/>
      <c r="BD1023" s="25"/>
      <c r="BE1023" s="25"/>
      <c r="BF1023" s="25"/>
      <c r="BG1023" s="25"/>
      <c r="BH1023" s="25"/>
      <c r="BI1023" s="25"/>
      <c r="BJ1023" s="25"/>
      <c r="BK1023" s="25"/>
      <c r="BL1023" s="25"/>
      <c r="BM1023" s="25"/>
      <c r="BN1023" s="25"/>
      <c r="BO1023" s="25"/>
      <c r="BP1023" s="25"/>
    </row>
    <row r="1024">
      <c r="A1024" s="25"/>
      <c r="B1024" s="168"/>
      <c r="C1024" s="25"/>
      <c r="D1024" s="25"/>
      <c r="E1024" s="25"/>
      <c r="F1024" s="25"/>
      <c r="G1024" s="84"/>
      <c r="H1024" s="25"/>
      <c r="I1024" s="25"/>
      <c r="J1024" s="25"/>
      <c r="K1024" s="169"/>
      <c r="L1024" s="169"/>
      <c r="M1024" s="170" t="b">
        <v>0</v>
      </c>
      <c r="N1024" s="170" t="b">
        <v>0</v>
      </c>
      <c r="O1024" s="48"/>
      <c r="P1024" s="170" t="b">
        <v>0</v>
      </c>
      <c r="Q1024" s="170" t="b">
        <v>0</v>
      </c>
      <c r="R1024" s="170" t="b">
        <v>0</v>
      </c>
      <c r="S1024" s="48"/>
      <c r="T1024" s="60"/>
      <c r="U1024" s="170" t="b">
        <v>0</v>
      </c>
      <c r="V1024" s="170"/>
      <c r="W1024" s="170" t="b">
        <v>0</v>
      </c>
      <c r="X1024" s="170" t="b">
        <v>0</v>
      </c>
      <c r="Y1024" s="170"/>
      <c r="Z1024" s="170"/>
      <c r="AA1024" s="170"/>
      <c r="AB1024" s="170"/>
      <c r="AC1024" s="171"/>
      <c r="AD1024" s="170"/>
      <c r="AE1024" s="170"/>
      <c r="AF1024" s="170"/>
      <c r="AG1024" s="170"/>
      <c r="AH1024" s="170"/>
      <c r="AI1024" s="170"/>
      <c r="AJ1024" s="172"/>
      <c r="AK1024" s="50"/>
      <c r="AL1024" s="25"/>
      <c r="AM1024" s="25"/>
      <c r="AN1024" s="25"/>
      <c r="AO1024" s="165"/>
      <c r="AP1024" s="78"/>
      <c r="AQ1024" s="25"/>
      <c r="AR1024" s="25"/>
      <c r="AS1024" s="25"/>
      <c r="AT1024" s="25"/>
      <c r="AU1024" s="25"/>
      <c r="AV1024" s="25"/>
      <c r="AW1024" s="25"/>
      <c r="AX1024" s="25"/>
      <c r="AY1024" s="25"/>
      <c r="AZ1024" s="25"/>
      <c r="BA1024" s="25"/>
      <c r="BB1024" s="25"/>
      <c r="BC1024" s="25"/>
      <c r="BD1024" s="25"/>
      <c r="BE1024" s="25"/>
      <c r="BF1024" s="25"/>
      <c r="BG1024" s="25"/>
      <c r="BH1024" s="25"/>
      <c r="BI1024" s="25"/>
      <c r="BJ1024" s="25"/>
      <c r="BK1024" s="25"/>
      <c r="BL1024" s="25"/>
      <c r="BM1024" s="25"/>
      <c r="BN1024" s="25"/>
      <c r="BO1024" s="25"/>
      <c r="BP1024" s="25"/>
    </row>
    <row r="1025">
      <c r="A1025" s="25"/>
      <c r="B1025" s="168"/>
      <c r="C1025" s="25"/>
      <c r="D1025" s="25"/>
      <c r="E1025" s="25"/>
      <c r="F1025" s="25"/>
      <c r="G1025" s="84"/>
      <c r="H1025" s="25"/>
      <c r="I1025" s="25"/>
      <c r="J1025" s="25"/>
      <c r="K1025" s="169"/>
      <c r="L1025" s="169"/>
      <c r="M1025" s="170" t="b">
        <v>0</v>
      </c>
      <c r="N1025" s="170" t="b">
        <v>0</v>
      </c>
      <c r="O1025" s="48"/>
      <c r="P1025" s="170" t="b">
        <v>0</v>
      </c>
      <c r="Q1025" s="170" t="b">
        <v>0</v>
      </c>
      <c r="R1025" s="170" t="b">
        <v>0</v>
      </c>
      <c r="S1025" s="48"/>
      <c r="T1025" s="60"/>
      <c r="U1025" s="170" t="b">
        <v>0</v>
      </c>
      <c r="V1025" s="170"/>
      <c r="W1025" s="170" t="b">
        <v>0</v>
      </c>
      <c r="X1025" s="170" t="b">
        <v>0</v>
      </c>
      <c r="Y1025" s="170"/>
      <c r="Z1025" s="170"/>
      <c r="AA1025" s="170"/>
      <c r="AB1025" s="170"/>
      <c r="AC1025" s="171"/>
      <c r="AD1025" s="170"/>
      <c r="AE1025" s="170"/>
      <c r="AF1025" s="170"/>
      <c r="AG1025" s="170"/>
      <c r="AH1025" s="170"/>
      <c r="AI1025" s="170"/>
      <c r="AJ1025" s="172"/>
      <c r="AK1025" s="50"/>
      <c r="AL1025" s="25"/>
      <c r="AM1025" s="25"/>
      <c r="AN1025" s="25"/>
      <c r="AO1025" s="165"/>
      <c r="AP1025" s="78"/>
      <c r="AQ1025" s="25"/>
      <c r="AR1025" s="25"/>
      <c r="AS1025" s="25"/>
      <c r="AT1025" s="25"/>
      <c r="AU1025" s="25"/>
      <c r="AV1025" s="25"/>
      <c r="AW1025" s="25"/>
      <c r="AX1025" s="25"/>
      <c r="AY1025" s="25"/>
      <c r="AZ1025" s="25"/>
      <c r="BA1025" s="25"/>
      <c r="BB1025" s="25"/>
      <c r="BC1025" s="25"/>
      <c r="BD1025" s="25"/>
      <c r="BE1025" s="25"/>
      <c r="BF1025" s="25"/>
      <c r="BG1025" s="25"/>
      <c r="BH1025" s="25"/>
      <c r="BI1025" s="25"/>
      <c r="BJ1025" s="25"/>
      <c r="BK1025" s="25"/>
      <c r="BL1025" s="25"/>
      <c r="BM1025" s="25"/>
      <c r="BN1025" s="25"/>
      <c r="BO1025" s="25"/>
      <c r="BP1025" s="25"/>
    </row>
    <row r="1026">
      <c r="A1026" s="25"/>
      <c r="B1026" s="168"/>
      <c r="C1026" s="25"/>
      <c r="D1026" s="25"/>
      <c r="E1026" s="25"/>
      <c r="F1026" s="25"/>
      <c r="G1026" s="84"/>
      <c r="H1026" s="25"/>
      <c r="I1026" s="25"/>
      <c r="J1026" s="25"/>
      <c r="K1026" s="169"/>
      <c r="L1026" s="169"/>
      <c r="M1026" s="170" t="b">
        <v>0</v>
      </c>
      <c r="N1026" s="170" t="b">
        <v>0</v>
      </c>
      <c r="O1026" s="48"/>
      <c r="P1026" s="170" t="b">
        <v>0</v>
      </c>
      <c r="Q1026" s="170" t="b">
        <v>0</v>
      </c>
      <c r="R1026" s="170" t="b">
        <v>0</v>
      </c>
      <c r="S1026" s="48"/>
      <c r="T1026" s="60"/>
      <c r="U1026" s="170" t="b">
        <v>0</v>
      </c>
      <c r="V1026" s="170"/>
      <c r="W1026" s="170" t="b">
        <v>0</v>
      </c>
      <c r="X1026" s="170" t="b">
        <v>0</v>
      </c>
      <c r="Y1026" s="170"/>
      <c r="Z1026" s="170"/>
      <c r="AA1026" s="170"/>
      <c r="AB1026" s="170"/>
      <c r="AC1026" s="171"/>
      <c r="AD1026" s="170"/>
      <c r="AE1026" s="170"/>
      <c r="AF1026" s="170"/>
      <c r="AG1026" s="170"/>
      <c r="AH1026" s="170"/>
      <c r="AI1026" s="170"/>
      <c r="AJ1026" s="172"/>
      <c r="AK1026" s="50"/>
      <c r="AL1026" s="25"/>
      <c r="AM1026" s="25"/>
      <c r="AN1026" s="25"/>
      <c r="AO1026" s="165"/>
      <c r="AP1026" s="78"/>
      <c r="AQ1026" s="25"/>
      <c r="AR1026" s="25"/>
      <c r="AS1026" s="25"/>
      <c r="AT1026" s="25"/>
      <c r="AU1026" s="25"/>
      <c r="AV1026" s="25"/>
      <c r="AW1026" s="25"/>
      <c r="AX1026" s="25"/>
      <c r="AY1026" s="25"/>
      <c r="AZ1026" s="25"/>
      <c r="BA1026" s="25"/>
      <c r="BB1026" s="25"/>
      <c r="BC1026" s="25"/>
      <c r="BD1026" s="25"/>
      <c r="BE1026" s="25"/>
      <c r="BF1026" s="25"/>
      <c r="BG1026" s="25"/>
      <c r="BH1026" s="25"/>
      <c r="BI1026" s="25"/>
      <c r="BJ1026" s="25"/>
      <c r="BK1026" s="25"/>
      <c r="BL1026" s="25"/>
      <c r="BM1026" s="25"/>
      <c r="BN1026" s="25"/>
      <c r="BO1026" s="25"/>
      <c r="BP1026" s="25"/>
    </row>
    <row r="1027">
      <c r="A1027" s="25"/>
      <c r="B1027" s="168"/>
      <c r="C1027" s="25"/>
      <c r="D1027" s="25"/>
      <c r="E1027" s="25"/>
      <c r="F1027" s="25"/>
      <c r="G1027" s="84"/>
      <c r="H1027" s="25"/>
      <c r="I1027" s="25"/>
      <c r="J1027" s="25"/>
      <c r="K1027" s="169"/>
      <c r="L1027" s="169"/>
      <c r="M1027" s="170" t="b">
        <v>0</v>
      </c>
      <c r="N1027" s="170" t="b">
        <v>0</v>
      </c>
      <c r="O1027" s="48"/>
      <c r="P1027" s="170" t="b">
        <v>0</v>
      </c>
      <c r="Q1027" s="170" t="b">
        <v>0</v>
      </c>
      <c r="R1027" s="170" t="b">
        <v>0</v>
      </c>
      <c r="S1027" s="48"/>
      <c r="T1027" s="60"/>
      <c r="U1027" s="170" t="b">
        <v>0</v>
      </c>
      <c r="V1027" s="170"/>
      <c r="W1027" s="170" t="b">
        <v>0</v>
      </c>
      <c r="X1027" s="170" t="b">
        <v>0</v>
      </c>
      <c r="Y1027" s="170"/>
      <c r="Z1027" s="170"/>
      <c r="AA1027" s="170"/>
      <c r="AB1027" s="170"/>
      <c r="AC1027" s="171"/>
      <c r="AD1027" s="170"/>
      <c r="AE1027" s="170"/>
      <c r="AF1027" s="170"/>
      <c r="AG1027" s="170"/>
      <c r="AH1027" s="170"/>
      <c r="AI1027" s="170"/>
      <c r="AJ1027" s="172"/>
      <c r="AK1027" s="50"/>
      <c r="AL1027" s="25"/>
      <c r="AM1027" s="25"/>
      <c r="AN1027" s="25"/>
      <c r="AO1027" s="165"/>
      <c r="AP1027" s="78"/>
      <c r="AQ1027" s="25"/>
      <c r="AR1027" s="25"/>
      <c r="AS1027" s="25"/>
      <c r="AT1027" s="25"/>
      <c r="AU1027" s="25"/>
      <c r="AV1027" s="25"/>
      <c r="AW1027" s="25"/>
      <c r="AX1027" s="25"/>
      <c r="AY1027" s="25"/>
      <c r="AZ1027" s="25"/>
      <c r="BA1027" s="25"/>
      <c r="BB1027" s="25"/>
      <c r="BC1027" s="25"/>
      <c r="BD1027" s="25"/>
      <c r="BE1027" s="25"/>
      <c r="BF1027" s="25"/>
      <c r="BG1027" s="25"/>
      <c r="BH1027" s="25"/>
      <c r="BI1027" s="25"/>
      <c r="BJ1027" s="25"/>
      <c r="BK1027" s="25"/>
      <c r="BL1027" s="25"/>
      <c r="BM1027" s="25"/>
      <c r="BN1027" s="25"/>
      <c r="BO1027" s="25"/>
      <c r="BP1027" s="25"/>
    </row>
    <row r="1028">
      <c r="A1028" s="25"/>
      <c r="B1028" s="168"/>
      <c r="C1028" s="25"/>
      <c r="D1028" s="25"/>
      <c r="E1028" s="25"/>
      <c r="F1028" s="25"/>
      <c r="G1028" s="84"/>
      <c r="H1028" s="25"/>
      <c r="I1028" s="25"/>
      <c r="J1028" s="25"/>
      <c r="K1028" s="169"/>
      <c r="L1028" s="169"/>
      <c r="M1028" s="170" t="b">
        <v>0</v>
      </c>
      <c r="N1028" s="170" t="b">
        <v>0</v>
      </c>
      <c r="O1028" s="48"/>
      <c r="P1028" s="170" t="b">
        <v>0</v>
      </c>
      <c r="Q1028" s="170" t="b">
        <v>0</v>
      </c>
      <c r="R1028" s="170" t="b">
        <v>0</v>
      </c>
      <c r="S1028" s="48"/>
      <c r="T1028" s="60"/>
      <c r="U1028" s="170" t="b">
        <v>0</v>
      </c>
      <c r="V1028" s="170"/>
      <c r="W1028" s="170" t="b">
        <v>0</v>
      </c>
      <c r="X1028" s="170" t="b">
        <v>0</v>
      </c>
      <c r="Y1028" s="170"/>
      <c r="Z1028" s="170"/>
      <c r="AA1028" s="170"/>
      <c r="AB1028" s="170"/>
      <c r="AC1028" s="171"/>
      <c r="AD1028" s="170"/>
      <c r="AE1028" s="170"/>
      <c r="AF1028" s="170"/>
      <c r="AG1028" s="170"/>
      <c r="AH1028" s="170"/>
      <c r="AI1028" s="170"/>
      <c r="AJ1028" s="172"/>
      <c r="AK1028" s="50"/>
      <c r="AL1028" s="25"/>
      <c r="AM1028" s="25"/>
      <c r="AN1028" s="25"/>
      <c r="AO1028" s="165"/>
      <c r="AP1028" s="78"/>
      <c r="AQ1028" s="25"/>
      <c r="AR1028" s="25"/>
      <c r="AS1028" s="25"/>
      <c r="AT1028" s="25"/>
      <c r="AU1028" s="25"/>
      <c r="AV1028" s="25"/>
      <c r="AW1028" s="25"/>
      <c r="AX1028" s="25"/>
      <c r="AY1028" s="25"/>
      <c r="AZ1028" s="25"/>
      <c r="BA1028" s="25"/>
      <c r="BB1028" s="25"/>
      <c r="BC1028" s="25"/>
      <c r="BD1028" s="25"/>
      <c r="BE1028" s="25"/>
      <c r="BF1028" s="25"/>
      <c r="BG1028" s="25"/>
      <c r="BH1028" s="25"/>
      <c r="BI1028" s="25"/>
      <c r="BJ1028" s="25"/>
      <c r="BK1028" s="25"/>
      <c r="BL1028" s="25"/>
      <c r="BM1028" s="25"/>
      <c r="BN1028" s="25"/>
      <c r="BO1028" s="25"/>
      <c r="BP1028" s="25"/>
    </row>
    <row r="1029">
      <c r="A1029" s="25"/>
      <c r="B1029" s="168"/>
      <c r="C1029" s="25"/>
      <c r="D1029" s="25"/>
      <c r="E1029" s="25"/>
      <c r="F1029" s="25"/>
      <c r="G1029" s="84"/>
      <c r="H1029" s="25"/>
      <c r="I1029" s="25"/>
      <c r="J1029" s="25"/>
      <c r="K1029" s="169"/>
      <c r="L1029" s="169"/>
      <c r="M1029" s="170" t="b">
        <v>0</v>
      </c>
      <c r="N1029" s="170" t="b">
        <v>0</v>
      </c>
      <c r="O1029" s="48"/>
      <c r="P1029" s="170" t="b">
        <v>0</v>
      </c>
      <c r="Q1029" s="170" t="b">
        <v>0</v>
      </c>
      <c r="R1029" s="170" t="b">
        <v>0</v>
      </c>
      <c r="S1029" s="48"/>
      <c r="T1029" s="60"/>
      <c r="U1029" s="170" t="b">
        <v>0</v>
      </c>
      <c r="V1029" s="170"/>
      <c r="W1029" s="170" t="b">
        <v>0</v>
      </c>
      <c r="X1029" s="170" t="b">
        <v>0</v>
      </c>
      <c r="Y1029" s="170"/>
      <c r="Z1029" s="170"/>
      <c r="AA1029" s="170"/>
      <c r="AB1029" s="170"/>
      <c r="AC1029" s="171"/>
      <c r="AD1029" s="170"/>
      <c r="AE1029" s="170"/>
      <c r="AF1029" s="170"/>
      <c r="AG1029" s="170"/>
      <c r="AH1029" s="170"/>
      <c r="AI1029" s="170"/>
      <c r="AJ1029" s="172"/>
      <c r="AK1029" s="50"/>
      <c r="AL1029" s="25"/>
      <c r="AM1029" s="25"/>
      <c r="AN1029" s="25"/>
      <c r="AO1029" s="165"/>
      <c r="AP1029" s="78"/>
      <c r="AQ1029" s="25"/>
      <c r="AR1029" s="25"/>
      <c r="AS1029" s="25"/>
      <c r="AT1029" s="25"/>
      <c r="AU1029" s="25"/>
      <c r="AV1029" s="25"/>
      <c r="AW1029" s="25"/>
      <c r="AX1029" s="25"/>
      <c r="AY1029" s="25"/>
      <c r="AZ1029" s="25"/>
      <c r="BA1029" s="25"/>
      <c r="BB1029" s="25"/>
      <c r="BC1029" s="25"/>
      <c r="BD1029" s="25"/>
      <c r="BE1029" s="25"/>
      <c r="BF1029" s="25"/>
      <c r="BG1029" s="25"/>
      <c r="BH1029" s="25"/>
      <c r="BI1029" s="25"/>
      <c r="BJ1029" s="25"/>
      <c r="BK1029" s="25"/>
      <c r="BL1029" s="25"/>
      <c r="BM1029" s="25"/>
      <c r="BN1029" s="25"/>
      <c r="BO1029" s="25"/>
      <c r="BP1029" s="25"/>
    </row>
    <row r="1030">
      <c r="A1030" s="25"/>
      <c r="B1030" s="168"/>
      <c r="C1030" s="25"/>
      <c r="D1030" s="25"/>
      <c r="E1030" s="25"/>
      <c r="F1030" s="25"/>
      <c r="G1030" s="84"/>
      <c r="H1030" s="25"/>
      <c r="I1030" s="25"/>
      <c r="J1030" s="25"/>
      <c r="K1030" s="169"/>
      <c r="L1030" s="169"/>
      <c r="M1030" s="170" t="b">
        <v>0</v>
      </c>
      <c r="N1030" s="170" t="b">
        <v>0</v>
      </c>
      <c r="O1030" s="48"/>
      <c r="P1030" s="170" t="b">
        <v>0</v>
      </c>
      <c r="Q1030" s="170" t="b">
        <v>0</v>
      </c>
      <c r="R1030" s="170" t="b">
        <v>0</v>
      </c>
      <c r="S1030" s="48"/>
      <c r="T1030" s="60"/>
      <c r="U1030" s="170" t="b">
        <v>0</v>
      </c>
      <c r="V1030" s="170"/>
      <c r="W1030" s="170" t="b">
        <v>0</v>
      </c>
      <c r="X1030" s="170" t="b">
        <v>0</v>
      </c>
      <c r="Y1030" s="170"/>
      <c r="Z1030" s="170"/>
      <c r="AA1030" s="170"/>
      <c r="AB1030" s="170"/>
      <c r="AC1030" s="171"/>
      <c r="AD1030" s="170"/>
      <c r="AE1030" s="170"/>
      <c r="AF1030" s="170"/>
      <c r="AG1030" s="170"/>
      <c r="AH1030" s="170"/>
      <c r="AI1030" s="170"/>
      <c r="AJ1030" s="172"/>
      <c r="AK1030" s="50"/>
      <c r="AL1030" s="25"/>
      <c r="AM1030" s="25"/>
      <c r="AN1030" s="25"/>
      <c r="AO1030" s="165"/>
      <c r="AP1030" s="78"/>
      <c r="AQ1030" s="25"/>
      <c r="AR1030" s="25"/>
      <c r="AS1030" s="25"/>
      <c r="AT1030" s="25"/>
      <c r="AU1030" s="25"/>
      <c r="AV1030" s="25"/>
      <c r="AW1030" s="25"/>
      <c r="AX1030" s="25"/>
      <c r="AY1030" s="25"/>
      <c r="AZ1030" s="25"/>
      <c r="BA1030" s="25"/>
      <c r="BB1030" s="25"/>
      <c r="BC1030" s="25"/>
      <c r="BD1030" s="25"/>
      <c r="BE1030" s="25"/>
      <c r="BF1030" s="25"/>
      <c r="BG1030" s="25"/>
      <c r="BH1030" s="25"/>
      <c r="BI1030" s="25"/>
      <c r="BJ1030" s="25"/>
      <c r="BK1030" s="25"/>
      <c r="BL1030" s="25"/>
      <c r="BM1030" s="25"/>
      <c r="BN1030" s="25"/>
      <c r="BO1030" s="25"/>
      <c r="BP1030" s="25"/>
    </row>
    <row r="1031">
      <c r="A1031" s="25"/>
      <c r="B1031" s="168"/>
      <c r="C1031" s="25"/>
      <c r="D1031" s="25"/>
      <c r="E1031" s="25"/>
      <c r="F1031" s="25"/>
      <c r="G1031" s="84"/>
      <c r="H1031" s="25"/>
      <c r="I1031" s="25"/>
      <c r="J1031" s="25"/>
      <c r="K1031" s="169"/>
      <c r="L1031" s="169"/>
      <c r="M1031" s="170" t="b">
        <v>0</v>
      </c>
      <c r="N1031" s="170" t="b">
        <v>0</v>
      </c>
      <c r="O1031" s="48"/>
      <c r="P1031" s="170" t="b">
        <v>0</v>
      </c>
      <c r="Q1031" s="170" t="b">
        <v>0</v>
      </c>
      <c r="R1031" s="170" t="b">
        <v>0</v>
      </c>
      <c r="S1031" s="48"/>
      <c r="T1031" s="60"/>
      <c r="U1031" s="170" t="b">
        <v>0</v>
      </c>
      <c r="V1031" s="170"/>
      <c r="W1031" s="170" t="b">
        <v>0</v>
      </c>
      <c r="X1031" s="170" t="b">
        <v>0</v>
      </c>
      <c r="Y1031" s="170"/>
      <c r="Z1031" s="170"/>
      <c r="AA1031" s="170"/>
      <c r="AB1031" s="170"/>
      <c r="AC1031" s="171"/>
      <c r="AD1031" s="170"/>
      <c r="AE1031" s="170"/>
      <c r="AF1031" s="170"/>
      <c r="AG1031" s="170"/>
      <c r="AH1031" s="170"/>
      <c r="AI1031" s="170"/>
      <c r="AJ1031" s="172"/>
      <c r="AK1031" s="50"/>
      <c r="AL1031" s="25"/>
      <c r="AM1031" s="25"/>
      <c r="AN1031" s="25"/>
      <c r="AO1031" s="165"/>
      <c r="AP1031" s="78"/>
      <c r="AQ1031" s="25"/>
      <c r="AR1031" s="25"/>
      <c r="AS1031" s="25"/>
      <c r="AT1031" s="25"/>
      <c r="AU1031" s="25"/>
      <c r="AV1031" s="25"/>
      <c r="AW1031" s="25"/>
      <c r="AX1031" s="25"/>
      <c r="AY1031" s="25"/>
      <c r="AZ1031" s="25"/>
      <c r="BA1031" s="25"/>
      <c r="BB1031" s="25"/>
      <c r="BC1031" s="25"/>
      <c r="BD1031" s="25"/>
      <c r="BE1031" s="25"/>
      <c r="BF1031" s="25"/>
      <c r="BG1031" s="25"/>
      <c r="BH1031" s="25"/>
      <c r="BI1031" s="25"/>
      <c r="BJ1031" s="25"/>
      <c r="BK1031" s="25"/>
      <c r="BL1031" s="25"/>
      <c r="BM1031" s="25"/>
      <c r="BN1031" s="25"/>
      <c r="BO1031" s="25"/>
      <c r="BP1031" s="25"/>
    </row>
    <row r="1032">
      <c r="A1032" s="25"/>
      <c r="B1032" s="168"/>
      <c r="C1032" s="25"/>
      <c r="D1032" s="25"/>
      <c r="E1032" s="25"/>
      <c r="F1032" s="25"/>
      <c r="G1032" s="84"/>
      <c r="H1032" s="25"/>
      <c r="I1032" s="25"/>
      <c r="J1032" s="25"/>
      <c r="K1032" s="169"/>
      <c r="L1032" s="169"/>
      <c r="M1032" s="170" t="b">
        <v>0</v>
      </c>
      <c r="N1032" s="170" t="b">
        <v>0</v>
      </c>
      <c r="O1032" s="48"/>
      <c r="P1032" s="170" t="b">
        <v>0</v>
      </c>
      <c r="Q1032" s="170" t="b">
        <v>0</v>
      </c>
      <c r="R1032" s="170" t="b">
        <v>0</v>
      </c>
      <c r="S1032" s="48"/>
      <c r="T1032" s="60"/>
      <c r="U1032" s="170" t="b">
        <v>0</v>
      </c>
      <c r="V1032" s="170"/>
      <c r="W1032" s="170" t="b">
        <v>0</v>
      </c>
      <c r="X1032" s="170" t="b">
        <v>0</v>
      </c>
      <c r="Y1032" s="170"/>
      <c r="Z1032" s="170"/>
      <c r="AA1032" s="170"/>
      <c r="AB1032" s="170"/>
      <c r="AC1032" s="171"/>
      <c r="AD1032" s="170"/>
      <c r="AE1032" s="170"/>
      <c r="AF1032" s="170"/>
      <c r="AG1032" s="170"/>
      <c r="AH1032" s="170"/>
      <c r="AI1032" s="170"/>
      <c r="AJ1032" s="172"/>
      <c r="AK1032" s="50"/>
      <c r="AL1032" s="25"/>
      <c r="AM1032" s="25"/>
      <c r="AN1032" s="25"/>
      <c r="AO1032" s="165"/>
      <c r="AP1032" s="78"/>
      <c r="AQ1032" s="25"/>
      <c r="AR1032" s="25"/>
      <c r="AS1032" s="25"/>
      <c r="AT1032" s="25"/>
      <c r="AU1032" s="25"/>
      <c r="AV1032" s="25"/>
      <c r="AW1032" s="25"/>
      <c r="AX1032" s="25"/>
      <c r="AY1032" s="25"/>
      <c r="AZ1032" s="25"/>
      <c r="BA1032" s="25"/>
      <c r="BB1032" s="25"/>
      <c r="BC1032" s="25"/>
      <c r="BD1032" s="25"/>
      <c r="BE1032" s="25"/>
      <c r="BF1032" s="25"/>
      <c r="BG1032" s="25"/>
      <c r="BH1032" s="25"/>
      <c r="BI1032" s="25"/>
      <c r="BJ1032" s="25"/>
      <c r="BK1032" s="25"/>
      <c r="BL1032" s="25"/>
      <c r="BM1032" s="25"/>
      <c r="BN1032" s="25"/>
      <c r="BO1032" s="25"/>
      <c r="BP1032" s="25"/>
    </row>
    <row r="1033">
      <c r="A1033" s="25"/>
      <c r="B1033" s="168"/>
      <c r="C1033" s="25"/>
      <c r="D1033" s="25"/>
      <c r="E1033" s="25"/>
      <c r="F1033" s="25"/>
      <c r="G1033" s="84"/>
      <c r="H1033" s="25"/>
      <c r="I1033" s="25"/>
      <c r="J1033" s="25"/>
      <c r="K1033" s="169"/>
      <c r="L1033" s="169"/>
      <c r="M1033" s="170" t="b">
        <v>0</v>
      </c>
      <c r="N1033" s="170" t="b">
        <v>0</v>
      </c>
      <c r="O1033" s="48"/>
      <c r="P1033" s="170" t="b">
        <v>0</v>
      </c>
      <c r="Q1033" s="170" t="b">
        <v>0</v>
      </c>
      <c r="R1033" s="170" t="b">
        <v>0</v>
      </c>
      <c r="S1033" s="48"/>
      <c r="T1033" s="60"/>
      <c r="U1033" s="170" t="b">
        <v>0</v>
      </c>
      <c r="V1033" s="170"/>
      <c r="W1033" s="170" t="b">
        <v>0</v>
      </c>
      <c r="X1033" s="170" t="b">
        <v>0</v>
      </c>
      <c r="Y1033" s="170"/>
      <c r="Z1033" s="170"/>
      <c r="AA1033" s="170"/>
      <c r="AB1033" s="170"/>
      <c r="AC1033" s="171"/>
      <c r="AD1033" s="170"/>
      <c r="AE1033" s="170"/>
      <c r="AF1033" s="170"/>
      <c r="AG1033" s="170"/>
      <c r="AH1033" s="170"/>
      <c r="AI1033" s="170"/>
      <c r="AJ1033" s="172"/>
      <c r="AK1033" s="50"/>
      <c r="AL1033" s="25"/>
      <c r="AM1033" s="25"/>
      <c r="AN1033" s="25"/>
      <c r="AO1033" s="165"/>
      <c r="AP1033" s="78"/>
      <c r="AQ1033" s="25"/>
      <c r="AR1033" s="25"/>
      <c r="AS1033" s="25"/>
      <c r="AT1033" s="25"/>
      <c r="AU1033" s="25"/>
      <c r="AV1033" s="25"/>
      <c r="AW1033" s="25"/>
      <c r="AX1033" s="25"/>
      <c r="AY1033" s="25"/>
      <c r="AZ1033" s="25"/>
      <c r="BA1033" s="25"/>
      <c r="BB1033" s="25"/>
      <c r="BC1033" s="25"/>
      <c r="BD1033" s="25"/>
      <c r="BE1033" s="25"/>
      <c r="BF1033" s="25"/>
      <c r="BG1033" s="25"/>
      <c r="BH1033" s="25"/>
      <c r="BI1033" s="25"/>
      <c r="BJ1033" s="25"/>
      <c r="BK1033" s="25"/>
      <c r="BL1033" s="25"/>
      <c r="BM1033" s="25"/>
      <c r="BN1033" s="25"/>
      <c r="BO1033" s="25"/>
      <c r="BP1033" s="25"/>
    </row>
    <row r="1034">
      <c r="A1034" s="25"/>
      <c r="B1034" s="168"/>
      <c r="C1034" s="25"/>
      <c r="D1034" s="25"/>
      <c r="E1034" s="25"/>
      <c r="F1034" s="25"/>
      <c r="G1034" s="84"/>
      <c r="H1034" s="25"/>
      <c r="I1034" s="25"/>
      <c r="J1034" s="25"/>
      <c r="K1034" s="169"/>
      <c r="L1034" s="169"/>
      <c r="M1034" s="170" t="b">
        <v>0</v>
      </c>
      <c r="N1034" s="170" t="b">
        <v>0</v>
      </c>
      <c r="O1034" s="48"/>
      <c r="P1034" s="170" t="b">
        <v>0</v>
      </c>
      <c r="Q1034" s="170" t="b">
        <v>0</v>
      </c>
      <c r="R1034" s="170" t="b">
        <v>0</v>
      </c>
      <c r="S1034" s="48"/>
      <c r="T1034" s="60"/>
      <c r="U1034" s="170" t="b">
        <v>0</v>
      </c>
      <c r="V1034" s="170"/>
      <c r="W1034" s="170" t="b">
        <v>0</v>
      </c>
      <c r="X1034" s="170" t="b">
        <v>0</v>
      </c>
      <c r="Y1034" s="170"/>
      <c r="Z1034" s="170"/>
      <c r="AA1034" s="170"/>
      <c r="AB1034" s="170"/>
      <c r="AC1034" s="171"/>
      <c r="AD1034" s="170"/>
      <c r="AE1034" s="170"/>
      <c r="AF1034" s="170"/>
      <c r="AG1034" s="170"/>
      <c r="AH1034" s="170"/>
      <c r="AI1034" s="170"/>
      <c r="AJ1034" s="172"/>
      <c r="AK1034" s="50"/>
      <c r="AL1034" s="25"/>
      <c r="AM1034" s="25"/>
      <c r="AN1034" s="25"/>
      <c r="AO1034" s="165"/>
      <c r="AP1034" s="78"/>
      <c r="AQ1034" s="25"/>
      <c r="AR1034" s="25"/>
      <c r="AS1034" s="25"/>
      <c r="AT1034" s="25"/>
      <c r="AU1034" s="25"/>
      <c r="AV1034" s="25"/>
      <c r="AW1034" s="25"/>
      <c r="AX1034" s="25"/>
      <c r="AY1034" s="25"/>
      <c r="AZ1034" s="25"/>
      <c r="BA1034" s="25"/>
      <c r="BB1034" s="25"/>
      <c r="BC1034" s="25"/>
      <c r="BD1034" s="25"/>
      <c r="BE1034" s="25"/>
      <c r="BF1034" s="25"/>
      <c r="BG1034" s="25"/>
      <c r="BH1034" s="25"/>
      <c r="BI1034" s="25"/>
      <c r="BJ1034" s="25"/>
      <c r="BK1034" s="25"/>
      <c r="BL1034" s="25"/>
      <c r="BM1034" s="25"/>
      <c r="BN1034" s="25"/>
      <c r="BO1034" s="25"/>
      <c r="BP1034" s="25"/>
    </row>
    <row r="1035">
      <c r="A1035" s="25"/>
      <c r="B1035" s="168"/>
      <c r="C1035" s="25"/>
      <c r="D1035" s="25"/>
      <c r="E1035" s="25"/>
      <c r="F1035" s="25"/>
      <c r="G1035" s="84"/>
      <c r="H1035" s="25"/>
      <c r="I1035" s="25"/>
      <c r="J1035" s="25"/>
      <c r="K1035" s="169"/>
      <c r="L1035" s="169"/>
      <c r="M1035" s="170" t="b">
        <v>0</v>
      </c>
      <c r="N1035" s="170" t="b">
        <v>0</v>
      </c>
      <c r="O1035" s="48"/>
      <c r="P1035" s="170" t="b">
        <v>0</v>
      </c>
      <c r="Q1035" s="170" t="b">
        <v>0</v>
      </c>
      <c r="R1035" s="170" t="b">
        <v>0</v>
      </c>
      <c r="S1035" s="48"/>
      <c r="T1035" s="60"/>
      <c r="U1035" s="170" t="b">
        <v>0</v>
      </c>
      <c r="V1035" s="170"/>
      <c r="W1035" s="170" t="b">
        <v>0</v>
      </c>
      <c r="X1035" s="170" t="b">
        <v>0</v>
      </c>
      <c r="Y1035" s="170"/>
      <c r="Z1035" s="170"/>
      <c r="AA1035" s="170"/>
      <c r="AB1035" s="170"/>
      <c r="AC1035" s="171"/>
      <c r="AD1035" s="170"/>
      <c r="AE1035" s="170"/>
      <c r="AF1035" s="170"/>
      <c r="AG1035" s="170"/>
      <c r="AH1035" s="170"/>
      <c r="AI1035" s="170"/>
      <c r="AJ1035" s="172"/>
      <c r="AK1035" s="50"/>
      <c r="AL1035" s="25"/>
      <c r="AM1035" s="25"/>
      <c r="AN1035" s="25"/>
      <c r="AO1035" s="165"/>
      <c r="AP1035" s="78"/>
      <c r="AQ1035" s="25"/>
      <c r="AR1035" s="25"/>
      <c r="AS1035" s="25"/>
      <c r="AT1035" s="25"/>
      <c r="AU1035" s="25"/>
      <c r="AV1035" s="25"/>
      <c r="AW1035" s="25"/>
      <c r="AX1035" s="25"/>
      <c r="AY1035" s="25"/>
      <c r="AZ1035" s="25"/>
      <c r="BA1035" s="25"/>
      <c r="BB1035" s="25"/>
      <c r="BC1035" s="25"/>
      <c r="BD1035" s="25"/>
      <c r="BE1035" s="25"/>
      <c r="BF1035" s="25"/>
      <c r="BG1035" s="25"/>
      <c r="BH1035" s="25"/>
      <c r="BI1035" s="25"/>
      <c r="BJ1035" s="25"/>
      <c r="BK1035" s="25"/>
      <c r="BL1035" s="25"/>
      <c r="BM1035" s="25"/>
      <c r="BN1035" s="25"/>
      <c r="BO1035" s="25"/>
      <c r="BP1035" s="25"/>
    </row>
    <row r="1036">
      <c r="A1036" s="25"/>
      <c r="B1036" s="168"/>
      <c r="C1036" s="25"/>
      <c r="D1036" s="25"/>
      <c r="E1036" s="25"/>
      <c r="F1036" s="25"/>
      <c r="G1036" s="84"/>
      <c r="H1036" s="25"/>
      <c r="I1036" s="25"/>
      <c r="J1036" s="25"/>
      <c r="K1036" s="169"/>
      <c r="L1036" s="169"/>
      <c r="M1036" s="170" t="b">
        <v>0</v>
      </c>
      <c r="N1036" s="170" t="b">
        <v>0</v>
      </c>
      <c r="O1036" s="48"/>
      <c r="P1036" s="170" t="b">
        <v>0</v>
      </c>
      <c r="Q1036" s="170" t="b">
        <v>0</v>
      </c>
      <c r="R1036" s="170" t="b">
        <v>0</v>
      </c>
      <c r="S1036" s="48"/>
      <c r="T1036" s="60"/>
      <c r="U1036" s="170" t="b">
        <v>0</v>
      </c>
      <c r="V1036" s="170"/>
      <c r="W1036" s="170" t="b">
        <v>0</v>
      </c>
      <c r="X1036" s="170" t="b">
        <v>0</v>
      </c>
      <c r="Y1036" s="170"/>
      <c r="Z1036" s="170"/>
      <c r="AA1036" s="170"/>
      <c r="AB1036" s="170"/>
      <c r="AC1036" s="171"/>
      <c r="AD1036" s="170"/>
      <c r="AE1036" s="170"/>
      <c r="AF1036" s="170"/>
      <c r="AG1036" s="170"/>
      <c r="AH1036" s="170"/>
      <c r="AI1036" s="170"/>
      <c r="AJ1036" s="172"/>
      <c r="AK1036" s="50"/>
      <c r="AL1036" s="25"/>
      <c r="AM1036" s="25"/>
      <c r="AN1036" s="25"/>
      <c r="AO1036" s="165"/>
      <c r="AP1036" s="78"/>
      <c r="AQ1036" s="25"/>
      <c r="AR1036" s="25"/>
      <c r="AS1036" s="25"/>
      <c r="AT1036" s="25"/>
      <c r="AU1036" s="25"/>
      <c r="AV1036" s="25"/>
      <c r="AW1036" s="25"/>
      <c r="AX1036" s="25"/>
      <c r="AY1036" s="25"/>
      <c r="AZ1036" s="25"/>
      <c r="BA1036" s="25"/>
      <c r="BB1036" s="25"/>
      <c r="BC1036" s="25"/>
      <c r="BD1036" s="25"/>
      <c r="BE1036" s="25"/>
      <c r="BF1036" s="25"/>
      <c r="BG1036" s="25"/>
      <c r="BH1036" s="25"/>
      <c r="BI1036" s="25"/>
      <c r="BJ1036" s="25"/>
      <c r="BK1036" s="25"/>
      <c r="BL1036" s="25"/>
      <c r="BM1036" s="25"/>
      <c r="BN1036" s="25"/>
      <c r="BO1036" s="25"/>
      <c r="BP1036" s="25"/>
    </row>
    <row r="1037">
      <c r="A1037" s="25"/>
      <c r="B1037" s="168"/>
      <c r="C1037" s="25"/>
      <c r="D1037" s="25"/>
      <c r="E1037" s="25"/>
      <c r="F1037" s="25"/>
      <c r="G1037" s="84"/>
      <c r="H1037" s="25"/>
      <c r="I1037" s="25"/>
      <c r="J1037" s="25"/>
      <c r="K1037" s="169"/>
      <c r="L1037" s="169"/>
      <c r="M1037" s="170" t="b">
        <v>0</v>
      </c>
      <c r="N1037" s="170" t="b">
        <v>0</v>
      </c>
      <c r="O1037" s="48"/>
      <c r="P1037" s="170" t="b">
        <v>0</v>
      </c>
      <c r="Q1037" s="170" t="b">
        <v>0</v>
      </c>
      <c r="R1037" s="170" t="b">
        <v>0</v>
      </c>
      <c r="S1037" s="48"/>
      <c r="T1037" s="60"/>
      <c r="U1037" s="170" t="b">
        <v>0</v>
      </c>
      <c r="V1037" s="170"/>
      <c r="W1037" s="170" t="b">
        <v>0</v>
      </c>
      <c r="X1037" s="170" t="b">
        <v>0</v>
      </c>
      <c r="Y1037" s="170"/>
      <c r="Z1037" s="170"/>
      <c r="AA1037" s="170"/>
      <c r="AB1037" s="170"/>
      <c r="AC1037" s="171"/>
      <c r="AD1037" s="170"/>
      <c r="AE1037" s="170"/>
      <c r="AF1037" s="170"/>
      <c r="AG1037" s="170"/>
      <c r="AH1037" s="170"/>
      <c r="AI1037" s="170"/>
      <c r="AJ1037" s="172"/>
      <c r="AK1037" s="50"/>
      <c r="AL1037" s="25"/>
      <c r="AM1037" s="25"/>
      <c r="AN1037" s="25"/>
      <c r="AO1037" s="165"/>
      <c r="AP1037" s="78"/>
      <c r="AQ1037" s="25"/>
      <c r="AR1037" s="25"/>
      <c r="AS1037" s="25"/>
      <c r="AT1037" s="25"/>
      <c r="AU1037" s="25"/>
      <c r="AV1037" s="25"/>
      <c r="AW1037" s="25"/>
      <c r="AX1037" s="25"/>
      <c r="AY1037" s="25"/>
      <c r="AZ1037" s="25"/>
      <c r="BA1037" s="25"/>
      <c r="BB1037" s="25"/>
      <c r="BC1037" s="25"/>
      <c r="BD1037" s="25"/>
      <c r="BE1037" s="25"/>
      <c r="BF1037" s="25"/>
      <c r="BG1037" s="25"/>
      <c r="BH1037" s="25"/>
      <c r="BI1037" s="25"/>
      <c r="BJ1037" s="25"/>
      <c r="BK1037" s="25"/>
      <c r="BL1037" s="25"/>
      <c r="BM1037" s="25"/>
      <c r="BN1037" s="25"/>
      <c r="BO1037" s="25"/>
      <c r="BP1037" s="25"/>
    </row>
    <row r="1038">
      <c r="A1038" s="25"/>
      <c r="B1038" s="168"/>
      <c r="C1038" s="25"/>
      <c r="D1038" s="25"/>
      <c r="E1038" s="25"/>
      <c r="F1038" s="25"/>
      <c r="G1038" s="84"/>
      <c r="H1038" s="25"/>
      <c r="I1038" s="25"/>
      <c r="J1038" s="25"/>
      <c r="K1038" s="169"/>
      <c r="L1038" s="169"/>
      <c r="M1038" s="170" t="b">
        <v>0</v>
      </c>
      <c r="N1038" s="170" t="b">
        <v>0</v>
      </c>
      <c r="O1038" s="48"/>
      <c r="P1038" s="170" t="b">
        <v>0</v>
      </c>
      <c r="Q1038" s="170" t="b">
        <v>0</v>
      </c>
      <c r="R1038" s="170" t="b">
        <v>0</v>
      </c>
      <c r="S1038" s="48"/>
      <c r="T1038" s="60"/>
      <c r="U1038" s="170" t="b">
        <v>0</v>
      </c>
      <c r="V1038" s="170"/>
      <c r="W1038" s="170" t="b">
        <v>0</v>
      </c>
      <c r="X1038" s="170" t="b">
        <v>0</v>
      </c>
      <c r="Y1038" s="170"/>
      <c r="Z1038" s="170"/>
      <c r="AA1038" s="170"/>
      <c r="AB1038" s="170"/>
      <c r="AC1038" s="171"/>
      <c r="AD1038" s="170"/>
      <c r="AE1038" s="170"/>
      <c r="AF1038" s="170"/>
      <c r="AG1038" s="170"/>
      <c r="AH1038" s="170"/>
      <c r="AI1038" s="170"/>
      <c r="AJ1038" s="172"/>
      <c r="AK1038" s="50"/>
      <c r="AL1038" s="25"/>
      <c r="AM1038" s="25"/>
      <c r="AN1038" s="25"/>
      <c r="AO1038" s="165"/>
      <c r="AP1038" s="78"/>
      <c r="AQ1038" s="25"/>
      <c r="AR1038" s="25"/>
      <c r="AS1038" s="25"/>
      <c r="AT1038" s="25"/>
      <c r="AU1038" s="25"/>
      <c r="AV1038" s="25"/>
      <c r="AW1038" s="25"/>
      <c r="AX1038" s="25"/>
      <c r="AY1038" s="25"/>
      <c r="AZ1038" s="25"/>
      <c r="BA1038" s="25"/>
      <c r="BB1038" s="25"/>
      <c r="BC1038" s="25"/>
      <c r="BD1038" s="25"/>
      <c r="BE1038" s="25"/>
      <c r="BF1038" s="25"/>
      <c r="BG1038" s="25"/>
      <c r="BH1038" s="25"/>
      <c r="BI1038" s="25"/>
      <c r="BJ1038" s="25"/>
      <c r="BK1038" s="25"/>
      <c r="BL1038" s="25"/>
      <c r="BM1038" s="25"/>
      <c r="BN1038" s="25"/>
      <c r="BO1038" s="25"/>
      <c r="BP1038" s="25"/>
    </row>
    <row r="1039">
      <c r="A1039" s="25"/>
      <c r="B1039" s="168"/>
      <c r="C1039" s="25"/>
      <c r="D1039" s="25"/>
      <c r="E1039" s="25"/>
      <c r="F1039" s="25"/>
      <c r="G1039" s="84"/>
      <c r="H1039" s="25"/>
      <c r="I1039" s="25"/>
      <c r="J1039" s="25"/>
      <c r="K1039" s="169"/>
      <c r="L1039" s="169"/>
      <c r="M1039" s="170" t="b">
        <v>0</v>
      </c>
      <c r="N1039" s="170" t="b">
        <v>0</v>
      </c>
      <c r="O1039" s="48"/>
      <c r="P1039" s="170" t="b">
        <v>0</v>
      </c>
      <c r="Q1039" s="170" t="b">
        <v>0</v>
      </c>
      <c r="R1039" s="170" t="b">
        <v>0</v>
      </c>
      <c r="S1039" s="48"/>
      <c r="T1039" s="60"/>
      <c r="U1039" s="170" t="b">
        <v>0</v>
      </c>
      <c r="V1039" s="170"/>
      <c r="W1039" s="170" t="b">
        <v>0</v>
      </c>
      <c r="X1039" s="170" t="b">
        <v>0</v>
      </c>
      <c r="Y1039" s="170"/>
      <c r="Z1039" s="170"/>
      <c r="AA1039" s="170"/>
      <c r="AB1039" s="170"/>
      <c r="AC1039" s="171"/>
      <c r="AD1039" s="170"/>
      <c r="AE1039" s="170"/>
      <c r="AF1039" s="170"/>
      <c r="AG1039" s="170"/>
      <c r="AH1039" s="170"/>
      <c r="AI1039" s="170"/>
      <c r="AJ1039" s="172"/>
      <c r="AK1039" s="50"/>
      <c r="AL1039" s="25"/>
      <c r="AM1039" s="25"/>
      <c r="AN1039" s="25"/>
      <c r="AO1039" s="165"/>
      <c r="AP1039" s="78"/>
      <c r="AQ1039" s="25"/>
      <c r="AR1039" s="25"/>
      <c r="AS1039" s="25"/>
      <c r="AT1039" s="25"/>
      <c r="AU1039" s="25"/>
      <c r="AV1039" s="25"/>
      <c r="AW1039" s="25"/>
      <c r="AX1039" s="25"/>
      <c r="AY1039" s="25"/>
      <c r="AZ1039" s="25"/>
      <c r="BA1039" s="25"/>
      <c r="BB1039" s="25"/>
      <c r="BC1039" s="25"/>
      <c r="BD1039" s="25"/>
      <c r="BE1039" s="25"/>
      <c r="BF1039" s="25"/>
      <c r="BG1039" s="25"/>
      <c r="BH1039" s="25"/>
      <c r="BI1039" s="25"/>
      <c r="BJ1039" s="25"/>
      <c r="BK1039" s="25"/>
      <c r="BL1039" s="25"/>
      <c r="BM1039" s="25"/>
      <c r="BN1039" s="25"/>
      <c r="BO1039" s="25"/>
      <c r="BP1039" s="25"/>
    </row>
    <row r="1040">
      <c r="A1040" s="25"/>
      <c r="B1040" s="168"/>
      <c r="C1040" s="25"/>
      <c r="D1040" s="25"/>
      <c r="E1040" s="25"/>
      <c r="F1040" s="25"/>
      <c r="G1040" s="84"/>
      <c r="H1040" s="25"/>
      <c r="I1040" s="25"/>
      <c r="J1040" s="25"/>
      <c r="K1040" s="169"/>
      <c r="L1040" s="169"/>
      <c r="M1040" s="170" t="b">
        <v>0</v>
      </c>
      <c r="N1040" s="170" t="b">
        <v>0</v>
      </c>
      <c r="O1040" s="48"/>
      <c r="P1040" s="170" t="b">
        <v>0</v>
      </c>
      <c r="Q1040" s="170" t="b">
        <v>0</v>
      </c>
      <c r="R1040" s="170" t="b">
        <v>0</v>
      </c>
      <c r="S1040" s="48"/>
      <c r="T1040" s="60"/>
      <c r="U1040" s="170" t="b">
        <v>0</v>
      </c>
      <c r="V1040" s="170"/>
      <c r="W1040" s="170" t="b">
        <v>0</v>
      </c>
      <c r="X1040" s="170" t="b">
        <v>0</v>
      </c>
      <c r="Y1040" s="170"/>
      <c r="Z1040" s="170"/>
      <c r="AA1040" s="170"/>
      <c r="AB1040" s="170"/>
      <c r="AC1040" s="171"/>
      <c r="AD1040" s="170"/>
      <c r="AE1040" s="170"/>
      <c r="AF1040" s="170"/>
      <c r="AG1040" s="170"/>
      <c r="AH1040" s="170"/>
      <c r="AI1040" s="170"/>
      <c r="AJ1040" s="172"/>
      <c r="AK1040" s="50"/>
      <c r="AL1040" s="25"/>
      <c r="AM1040" s="25"/>
      <c r="AN1040" s="25"/>
      <c r="AO1040" s="165"/>
      <c r="AP1040" s="78"/>
      <c r="AQ1040" s="25"/>
      <c r="AR1040" s="25"/>
      <c r="AS1040" s="25"/>
      <c r="AT1040" s="25"/>
      <c r="AU1040" s="25"/>
      <c r="AV1040" s="25"/>
      <c r="AW1040" s="25"/>
      <c r="AX1040" s="25"/>
      <c r="AY1040" s="25"/>
      <c r="AZ1040" s="25"/>
      <c r="BA1040" s="25"/>
      <c r="BB1040" s="25"/>
      <c r="BC1040" s="25"/>
      <c r="BD1040" s="25"/>
      <c r="BE1040" s="25"/>
      <c r="BF1040" s="25"/>
      <c r="BG1040" s="25"/>
      <c r="BH1040" s="25"/>
      <c r="BI1040" s="25"/>
      <c r="BJ1040" s="25"/>
      <c r="BK1040" s="25"/>
      <c r="BL1040" s="25"/>
      <c r="BM1040" s="25"/>
      <c r="BN1040" s="25"/>
      <c r="BO1040" s="25"/>
      <c r="BP1040" s="25"/>
    </row>
    <row r="1041">
      <c r="A1041" s="25"/>
      <c r="B1041" s="168"/>
      <c r="C1041" s="25"/>
      <c r="D1041" s="25"/>
      <c r="E1041" s="25"/>
      <c r="F1041" s="25"/>
      <c r="G1041" s="84"/>
      <c r="H1041" s="25"/>
      <c r="I1041" s="25"/>
      <c r="J1041" s="25"/>
      <c r="K1041" s="169"/>
      <c r="L1041" s="169"/>
      <c r="M1041" s="170" t="b">
        <v>0</v>
      </c>
      <c r="N1041" s="170" t="b">
        <v>0</v>
      </c>
      <c r="O1041" s="48"/>
      <c r="P1041" s="170" t="b">
        <v>0</v>
      </c>
      <c r="Q1041" s="170" t="b">
        <v>0</v>
      </c>
      <c r="R1041" s="170" t="b">
        <v>0</v>
      </c>
      <c r="S1041" s="48"/>
      <c r="T1041" s="60"/>
      <c r="U1041" s="170" t="b">
        <v>0</v>
      </c>
      <c r="V1041" s="170"/>
      <c r="W1041" s="170" t="b">
        <v>0</v>
      </c>
      <c r="X1041" s="170" t="b">
        <v>0</v>
      </c>
      <c r="Y1041" s="170"/>
      <c r="Z1041" s="170"/>
      <c r="AA1041" s="170"/>
      <c r="AB1041" s="170"/>
      <c r="AC1041" s="171"/>
      <c r="AD1041" s="170"/>
      <c r="AE1041" s="170"/>
      <c r="AF1041" s="170"/>
      <c r="AG1041" s="170"/>
      <c r="AH1041" s="170"/>
      <c r="AI1041" s="170"/>
      <c r="AJ1041" s="172"/>
      <c r="AK1041" s="50"/>
      <c r="AL1041" s="25"/>
      <c r="AM1041" s="25"/>
      <c r="AN1041" s="25"/>
      <c r="AO1041" s="165"/>
      <c r="AP1041" s="78"/>
      <c r="AQ1041" s="25"/>
      <c r="AR1041" s="25"/>
      <c r="AS1041" s="25"/>
      <c r="AT1041" s="25"/>
      <c r="AU1041" s="25"/>
      <c r="AV1041" s="25"/>
      <c r="AW1041" s="25"/>
      <c r="AX1041" s="25"/>
      <c r="AY1041" s="25"/>
      <c r="AZ1041" s="25"/>
      <c r="BA1041" s="25"/>
      <c r="BB1041" s="25"/>
      <c r="BC1041" s="25"/>
      <c r="BD1041" s="25"/>
      <c r="BE1041" s="25"/>
      <c r="BF1041" s="25"/>
      <c r="BG1041" s="25"/>
      <c r="BH1041" s="25"/>
      <c r="BI1041" s="25"/>
      <c r="BJ1041" s="25"/>
      <c r="BK1041" s="25"/>
      <c r="BL1041" s="25"/>
      <c r="BM1041" s="25"/>
      <c r="BN1041" s="25"/>
      <c r="BO1041" s="25"/>
      <c r="BP1041" s="25"/>
    </row>
    <row r="1042">
      <c r="A1042" s="25"/>
      <c r="B1042" s="168"/>
      <c r="C1042" s="25"/>
      <c r="D1042" s="25"/>
      <c r="E1042" s="25"/>
      <c r="F1042" s="25"/>
      <c r="G1042" s="84"/>
      <c r="H1042" s="25"/>
      <c r="I1042" s="25"/>
      <c r="J1042" s="25"/>
      <c r="K1042" s="169"/>
      <c r="L1042" s="169"/>
      <c r="M1042" s="170" t="b">
        <v>0</v>
      </c>
      <c r="N1042" s="170" t="b">
        <v>0</v>
      </c>
      <c r="O1042" s="48"/>
      <c r="P1042" s="170" t="b">
        <v>0</v>
      </c>
      <c r="Q1042" s="170" t="b">
        <v>0</v>
      </c>
      <c r="R1042" s="170" t="b">
        <v>0</v>
      </c>
      <c r="S1042" s="48"/>
      <c r="T1042" s="60"/>
      <c r="U1042" s="170" t="b">
        <v>0</v>
      </c>
      <c r="V1042" s="170"/>
      <c r="W1042" s="170" t="b">
        <v>0</v>
      </c>
      <c r="X1042" s="170" t="b">
        <v>0</v>
      </c>
      <c r="Y1042" s="170"/>
      <c r="Z1042" s="170"/>
      <c r="AA1042" s="170"/>
      <c r="AB1042" s="170"/>
      <c r="AC1042" s="171"/>
      <c r="AD1042" s="170"/>
      <c r="AE1042" s="170"/>
      <c r="AF1042" s="170"/>
      <c r="AG1042" s="170"/>
      <c r="AH1042" s="170"/>
      <c r="AI1042" s="170"/>
      <c r="AJ1042" s="172"/>
      <c r="AK1042" s="50"/>
      <c r="AL1042" s="25"/>
      <c r="AM1042" s="25"/>
      <c r="AN1042" s="25"/>
      <c r="AO1042" s="165"/>
      <c r="AP1042" s="78"/>
      <c r="AQ1042" s="25"/>
      <c r="AR1042" s="25"/>
      <c r="AS1042" s="25"/>
      <c r="AT1042" s="25"/>
      <c r="AU1042" s="25"/>
      <c r="AV1042" s="25"/>
      <c r="AW1042" s="25"/>
      <c r="AX1042" s="25"/>
      <c r="AY1042" s="25"/>
      <c r="AZ1042" s="25"/>
      <c r="BA1042" s="25"/>
      <c r="BB1042" s="25"/>
      <c r="BC1042" s="25"/>
      <c r="BD1042" s="25"/>
      <c r="BE1042" s="25"/>
      <c r="BF1042" s="25"/>
      <c r="BG1042" s="25"/>
      <c r="BH1042" s="25"/>
      <c r="BI1042" s="25"/>
      <c r="BJ1042" s="25"/>
      <c r="BK1042" s="25"/>
      <c r="BL1042" s="25"/>
      <c r="BM1042" s="25"/>
      <c r="BN1042" s="25"/>
      <c r="BO1042" s="25"/>
      <c r="BP1042" s="25"/>
    </row>
    <row r="1043">
      <c r="A1043" s="25"/>
      <c r="B1043" s="168"/>
      <c r="C1043" s="25"/>
      <c r="D1043" s="25"/>
      <c r="E1043" s="25"/>
      <c r="F1043" s="25"/>
      <c r="G1043" s="84"/>
      <c r="H1043" s="25"/>
      <c r="I1043" s="25"/>
      <c r="J1043" s="25"/>
      <c r="K1043" s="169"/>
      <c r="L1043" s="169"/>
      <c r="M1043" s="170" t="b">
        <v>0</v>
      </c>
      <c r="N1043" s="170" t="b">
        <v>0</v>
      </c>
      <c r="O1043" s="48"/>
      <c r="P1043" s="170" t="b">
        <v>0</v>
      </c>
      <c r="Q1043" s="170" t="b">
        <v>0</v>
      </c>
      <c r="R1043" s="170" t="b">
        <v>0</v>
      </c>
      <c r="S1043" s="48"/>
      <c r="T1043" s="60"/>
      <c r="U1043" s="170" t="b">
        <v>0</v>
      </c>
      <c r="V1043" s="170"/>
      <c r="W1043" s="170" t="b">
        <v>0</v>
      </c>
      <c r="X1043" s="170" t="b">
        <v>0</v>
      </c>
      <c r="Y1043" s="170"/>
      <c r="Z1043" s="170"/>
      <c r="AA1043" s="170"/>
      <c r="AB1043" s="170"/>
      <c r="AC1043" s="171"/>
      <c r="AD1043" s="170"/>
      <c r="AE1043" s="170"/>
      <c r="AF1043" s="170"/>
      <c r="AG1043" s="170"/>
      <c r="AH1043" s="170"/>
      <c r="AI1043" s="170"/>
      <c r="AJ1043" s="172"/>
      <c r="AK1043" s="50"/>
      <c r="AL1043" s="25"/>
      <c r="AM1043" s="25"/>
      <c r="AN1043" s="25"/>
      <c r="AO1043" s="165"/>
      <c r="AP1043" s="78"/>
      <c r="AQ1043" s="25"/>
      <c r="AR1043" s="25"/>
      <c r="AS1043" s="25"/>
      <c r="AT1043" s="25"/>
      <c r="AU1043" s="25"/>
      <c r="AV1043" s="25"/>
      <c r="AW1043" s="25"/>
      <c r="AX1043" s="25"/>
      <c r="AY1043" s="25"/>
      <c r="AZ1043" s="25"/>
      <c r="BA1043" s="25"/>
      <c r="BB1043" s="25"/>
      <c r="BC1043" s="25"/>
      <c r="BD1043" s="25"/>
      <c r="BE1043" s="25"/>
      <c r="BF1043" s="25"/>
      <c r="BG1043" s="25"/>
      <c r="BH1043" s="25"/>
      <c r="BI1043" s="25"/>
      <c r="BJ1043" s="25"/>
      <c r="BK1043" s="25"/>
      <c r="BL1043" s="25"/>
      <c r="BM1043" s="25"/>
      <c r="BN1043" s="25"/>
      <c r="BO1043" s="25"/>
      <c r="BP1043" s="25"/>
    </row>
    <row r="1044">
      <c r="A1044" s="25"/>
      <c r="B1044" s="168"/>
      <c r="C1044" s="25"/>
      <c r="D1044" s="25"/>
      <c r="E1044" s="25"/>
      <c r="F1044" s="25"/>
      <c r="G1044" s="84"/>
      <c r="H1044" s="25"/>
      <c r="I1044" s="25"/>
      <c r="J1044" s="25"/>
      <c r="K1044" s="169"/>
      <c r="L1044" s="169"/>
      <c r="M1044" s="170" t="b">
        <v>0</v>
      </c>
      <c r="N1044" s="170" t="b">
        <v>0</v>
      </c>
      <c r="O1044" s="48"/>
      <c r="P1044" s="170" t="b">
        <v>0</v>
      </c>
      <c r="Q1044" s="170" t="b">
        <v>0</v>
      </c>
      <c r="R1044" s="170" t="b">
        <v>0</v>
      </c>
      <c r="S1044" s="48"/>
      <c r="T1044" s="60"/>
      <c r="U1044" s="170" t="b">
        <v>0</v>
      </c>
      <c r="V1044" s="170"/>
      <c r="W1044" s="170" t="b">
        <v>0</v>
      </c>
      <c r="X1044" s="170" t="b">
        <v>0</v>
      </c>
      <c r="Y1044" s="170"/>
      <c r="Z1044" s="170"/>
      <c r="AA1044" s="170"/>
      <c r="AB1044" s="170"/>
      <c r="AC1044" s="171"/>
      <c r="AD1044" s="170"/>
      <c r="AE1044" s="170"/>
      <c r="AF1044" s="170"/>
      <c r="AG1044" s="170"/>
      <c r="AH1044" s="170"/>
      <c r="AI1044" s="170"/>
      <c r="AJ1044" s="172"/>
      <c r="AK1044" s="50"/>
      <c r="AL1044" s="25"/>
      <c r="AM1044" s="25"/>
      <c r="AN1044" s="25"/>
      <c r="AO1044" s="165"/>
      <c r="AP1044" s="78"/>
      <c r="AQ1044" s="25"/>
      <c r="AR1044" s="25"/>
      <c r="AS1044" s="25"/>
      <c r="AT1044" s="25"/>
      <c r="AU1044" s="25"/>
      <c r="AV1044" s="25"/>
      <c r="AW1044" s="25"/>
      <c r="AX1044" s="25"/>
      <c r="AY1044" s="25"/>
      <c r="AZ1044" s="25"/>
      <c r="BA1044" s="25"/>
      <c r="BB1044" s="25"/>
      <c r="BC1044" s="25"/>
      <c r="BD1044" s="25"/>
      <c r="BE1044" s="25"/>
      <c r="BF1044" s="25"/>
      <c r="BG1044" s="25"/>
      <c r="BH1044" s="25"/>
      <c r="BI1044" s="25"/>
      <c r="BJ1044" s="25"/>
      <c r="BK1044" s="25"/>
      <c r="BL1044" s="25"/>
      <c r="BM1044" s="25"/>
      <c r="BN1044" s="25"/>
      <c r="BO1044" s="25"/>
      <c r="BP1044" s="25"/>
    </row>
    <row r="1045">
      <c r="A1045" s="25"/>
      <c r="B1045" s="168"/>
      <c r="C1045" s="25"/>
      <c r="D1045" s="25"/>
      <c r="E1045" s="25"/>
      <c r="F1045" s="25"/>
      <c r="G1045" s="84"/>
      <c r="H1045" s="25"/>
      <c r="I1045" s="25"/>
      <c r="J1045" s="25"/>
      <c r="K1045" s="169"/>
      <c r="L1045" s="169"/>
      <c r="M1045" s="170" t="b">
        <v>0</v>
      </c>
      <c r="N1045" s="170" t="b">
        <v>0</v>
      </c>
      <c r="O1045" s="48"/>
      <c r="P1045" s="170" t="b">
        <v>0</v>
      </c>
      <c r="Q1045" s="170" t="b">
        <v>0</v>
      </c>
      <c r="R1045" s="170" t="b">
        <v>0</v>
      </c>
      <c r="S1045" s="48"/>
      <c r="T1045" s="60"/>
      <c r="U1045" s="170" t="b">
        <v>0</v>
      </c>
      <c r="V1045" s="170"/>
      <c r="W1045" s="170" t="b">
        <v>0</v>
      </c>
      <c r="X1045" s="170" t="b">
        <v>0</v>
      </c>
      <c r="Y1045" s="170"/>
      <c r="Z1045" s="170"/>
      <c r="AA1045" s="170"/>
      <c r="AB1045" s="170"/>
      <c r="AC1045" s="171"/>
      <c r="AD1045" s="170"/>
      <c r="AE1045" s="170"/>
      <c r="AF1045" s="170"/>
      <c r="AG1045" s="170"/>
      <c r="AH1045" s="170"/>
      <c r="AI1045" s="170"/>
      <c r="AJ1045" s="172"/>
      <c r="AK1045" s="50"/>
      <c r="AL1045" s="25"/>
      <c r="AM1045" s="25"/>
      <c r="AN1045" s="25"/>
      <c r="AO1045" s="165"/>
      <c r="AP1045" s="78"/>
      <c r="AQ1045" s="25"/>
      <c r="AR1045" s="25"/>
      <c r="AS1045" s="25"/>
      <c r="AT1045" s="25"/>
      <c r="AU1045" s="25"/>
      <c r="AV1045" s="25"/>
      <c r="AW1045" s="25"/>
      <c r="AX1045" s="25"/>
      <c r="AY1045" s="25"/>
      <c r="AZ1045" s="25"/>
      <c r="BA1045" s="25"/>
      <c r="BB1045" s="25"/>
      <c r="BC1045" s="25"/>
      <c r="BD1045" s="25"/>
      <c r="BE1045" s="25"/>
      <c r="BF1045" s="25"/>
      <c r="BG1045" s="25"/>
      <c r="BH1045" s="25"/>
      <c r="BI1045" s="25"/>
      <c r="BJ1045" s="25"/>
      <c r="BK1045" s="25"/>
      <c r="BL1045" s="25"/>
      <c r="BM1045" s="25"/>
      <c r="BN1045" s="25"/>
      <c r="BO1045" s="25"/>
      <c r="BP1045" s="25"/>
    </row>
    <row r="1046">
      <c r="A1046" s="25"/>
      <c r="B1046" s="168"/>
      <c r="C1046" s="25"/>
      <c r="D1046" s="25"/>
      <c r="E1046" s="25"/>
      <c r="F1046" s="25"/>
      <c r="G1046" s="84"/>
      <c r="H1046" s="25"/>
      <c r="I1046" s="25"/>
      <c r="J1046" s="25"/>
      <c r="K1046" s="169"/>
      <c r="L1046" s="169"/>
      <c r="M1046" s="170" t="b">
        <v>0</v>
      </c>
      <c r="N1046" s="170" t="b">
        <v>0</v>
      </c>
      <c r="O1046" s="48"/>
      <c r="P1046" s="170" t="b">
        <v>0</v>
      </c>
      <c r="Q1046" s="170" t="b">
        <v>0</v>
      </c>
      <c r="R1046" s="170" t="b">
        <v>0</v>
      </c>
      <c r="S1046" s="48"/>
      <c r="T1046" s="60"/>
      <c r="U1046" s="170" t="b">
        <v>0</v>
      </c>
      <c r="V1046" s="170"/>
      <c r="W1046" s="170" t="b">
        <v>0</v>
      </c>
      <c r="X1046" s="170" t="b">
        <v>0</v>
      </c>
      <c r="Y1046" s="170"/>
      <c r="Z1046" s="170"/>
      <c r="AA1046" s="170"/>
      <c r="AB1046" s="170"/>
      <c r="AC1046" s="171"/>
      <c r="AD1046" s="170"/>
      <c r="AE1046" s="170"/>
      <c r="AF1046" s="170"/>
      <c r="AG1046" s="170"/>
      <c r="AH1046" s="170"/>
      <c r="AI1046" s="170"/>
      <c r="AJ1046" s="172"/>
      <c r="AK1046" s="50"/>
      <c r="AL1046" s="25"/>
      <c r="AM1046" s="25"/>
      <c r="AN1046" s="25"/>
      <c r="AO1046" s="165"/>
      <c r="AP1046" s="78"/>
      <c r="AQ1046" s="25"/>
      <c r="AR1046" s="25"/>
      <c r="AS1046" s="25"/>
      <c r="AT1046" s="25"/>
      <c r="AU1046" s="25"/>
      <c r="AV1046" s="25"/>
      <c r="AW1046" s="25"/>
      <c r="AX1046" s="25"/>
      <c r="AY1046" s="25"/>
      <c r="AZ1046" s="25"/>
      <c r="BA1046" s="25"/>
      <c r="BB1046" s="25"/>
      <c r="BC1046" s="25"/>
      <c r="BD1046" s="25"/>
      <c r="BE1046" s="25"/>
      <c r="BF1046" s="25"/>
      <c r="BG1046" s="25"/>
      <c r="BH1046" s="25"/>
      <c r="BI1046" s="25"/>
      <c r="BJ1046" s="25"/>
      <c r="BK1046" s="25"/>
      <c r="BL1046" s="25"/>
      <c r="BM1046" s="25"/>
      <c r="BN1046" s="25"/>
      <c r="BO1046" s="25"/>
      <c r="BP1046" s="25"/>
    </row>
    <row r="1047">
      <c r="A1047" s="25"/>
      <c r="B1047" s="168"/>
      <c r="C1047" s="25"/>
      <c r="D1047" s="25"/>
      <c r="E1047" s="25"/>
      <c r="F1047" s="25"/>
      <c r="G1047" s="84"/>
      <c r="H1047" s="25"/>
      <c r="I1047" s="25"/>
      <c r="J1047" s="25"/>
      <c r="K1047" s="169"/>
      <c r="L1047" s="169"/>
      <c r="M1047" s="170" t="b">
        <v>0</v>
      </c>
      <c r="N1047" s="170" t="b">
        <v>0</v>
      </c>
      <c r="O1047" s="48"/>
      <c r="P1047" s="170" t="b">
        <v>0</v>
      </c>
      <c r="Q1047" s="170" t="b">
        <v>0</v>
      </c>
      <c r="R1047" s="170" t="b">
        <v>0</v>
      </c>
      <c r="S1047" s="48"/>
      <c r="T1047" s="60"/>
      <c r="U1047" s="170" t="b">
        <v>0</v>
      </c>
      <c r="V1047" s="170"/>
      <c r="W1047" s="170" t="b">
        <v>0</v>
      </c>
      <c r="X1047" s="170" t="b">
        <v>0</v>
      </c>
      <c r="Y1047" s="170"/>
      <c r="Z1047" s="170"/>
      <c r="AA1047" s="170"/>
      <c r="AB1047" s="170"/>
      <c r="AC1047" s="171"/>
      <c r="AD1047" s="170"/>
      <c r="AE1047" s="170"/>
      <c r="AF1047" s="170"/>
      <c r="AG1047" s="170"/>
      <c r="AH1047" s="170"/>
      <c r="AI1047" s="170"/>
      <c r="AJ1047" s="172"/>
      <c r="AK1047" s="50"/>
      <c r="AL1047" s="25"/>
      <c r="AM1047" s="25"/>
      <c r="AN1047" s="25"/>
      <c r="AO1047" s="165"/>
      <c r="AP1047" s="78"/>
      <c r="AQ1047" s="25"/>
      <c r="AR1047" s="25"/>
      <c r="AS1047" s="25"/>
      <c r="AT1047" s="25"/>
      <c r="AU1047" s="25"/>
      <c r="AV1047" s="25"/>
      <c r="AW1047" s="25"/>
      <c r="AX1047" s="25"/>
      <c r="AY1047" s="25"/>
      <c r="AZ1047" s="25"/>
      <c r="BA1047" s="25"/>
      <c r="BB1047" s="25"/>
      <c r="BC1047" s="25"/>
      <c r="BD1047" s="25"/>
      <c r="BE1047" s="25"/>
      <c r="BF1047" s="25"/>
      <c r="BG1047" s="25"/>
      <c r="BH1047" s="25"/>
      <c r="BI1047" s="25"/>
      <c r="BJ1047" s="25"/>
      <c r="BK1047" s="25"/>
      <c r="BL1047" s="25"/>
      <c r="BM1047" s="25"/>
      <c r="BN1047" s="25"/>
      <c r="BO1047" s="25"/>
      <c r="BP1047" s="25"/>
    </row>
    <row r="1048">
      <c r="A1048" s="25"/>
      <c r="B1048" s="168"/>
      <c r="C1048" s="25"/>
      <c r="D1048" s="25"/>
      <c r="E1048" s="25"/>
      <c r="F1048" s="25"/>
      <c r="G1048" s="84"/>
      <c r="H1048" s="25"/>
      <c r="I1048" s="25"/>
      <c r="J1048" s="25"/>
      <c r="K1048" s="169"/>
      <c r="L1048" s="169"/>
      <c r="M1048" s="170" t="b">
        <v>0</v>
      </c>
      <c r="N1048" s="170" t="b">
        <v>0</v>
      </c>
      <c r="O1048" s="48"/>
      <c r="P1048" s="170" t="b">
        <v>0</v>
      </c>
      <c r="Q1048" s="170" t="b">
        <v>0</v>
      </c>
      <c r="R1048" s="170" t="b">
        <v>0</v>
      </c>
      <c r="S1048" s="48"/>
      <c r="T1048" s="60"/>
      <c r="U1048" s="170" t="b">
        <v>0</v>
      </c>
      <c r="V1048" s="170"/>
      <c r="W1048" s="170" t="b">
        <v>0</v>
      </c>
      <c r="X1048" s="170" t="b">
        <v>0</v>
      </c>
      <c r="Y1048" s="170"/>
      <c r="Z1048" s="170"/>
      <c r="AA1048" s="170"/>
      <c r="AB1048" s="170"/>
      <c r="AC1048" s="171"/>
      <c r="AD1048" s="170"/>
      <c r="AE1048" s="170"/>
      <c r="AF1048" s="170"/>
      <c r="AG1048" s="170"/>
      <c r="AH1048" s="170"/>
      <c r="AI1048" s="170"/>
      <c r="AJ1048" s="172"/>
      <c r="AK1048" s="50"/>
      <c r="AL1048" s="25"/>
      <c r="AM1048" s="25"/>
      <c r="AN1048" s="25"/>
      <c r="AO1048" s="165"/>
      <c r="AP1048" s="78"/>
      <c r="AQ1048" s="25"/>
      <c r="AR1048" s="25"/>
      <c r="AS1048" s="25"/>
      <c r="AT1048" s="25"/>
      <c r="AU1048" s="25"/>
      <c r="AV1048" s="25"/>
      <c r="AW1048" s="25"/>
      <c r="AX1048" s="25"/>
      <c r="AY1048" s="25"/>
      <c r="AZ1048" s="25"/>
      <c r="BA1048" s="25"/>
      <c r="BB1048" s="25"/>
      <c r="BC1048" s="25"/>
      <c r="BD1048" s="25"/>
      <c r="BE1048" s="25"/>
      <c r="BF1048" s="25"/>
      <c r="BG1048" s="25"/>
      <c r="BH1048" s="25"/>
      <c r="BI1048" s="25"/>
      <c r="BJ1048" s="25"/>
      <c r="BK1048" s="25"/>
      <c r="BL1048" s="25"/>
      <c r="BM1048" s="25"/>
      <c r="BN1048" s="25"/>
      <c r="BO1048" s="25"/>
      <c r="BP1048" s="25"/>
    </row>
    <row r="1049">
      <c r="A1049" s="25"/>
      <c r="B1049" s="168"/>
      <c r="C1049" s="25"/>
      <c r="D1049" s="25"/>
      <c r="E1049" s="25"/>
      <c r="F1049" s="25"/>
      <c r="G1049" s="84"/>
      <c r="H1049" s="25"/>
      <c r="I1049" s="25"/>
      <c r="J1049" s="25"/>
      <c r="K1049" s="169"/>
      <c r="L1049" s="169"/>
      <c r="M1049" s="170" t="b">
        <v>0</v>
      </c>
      <c r="N1049" s="170" t="b">
        <v>0</v>
      </c>
      <c r="O1049" s="48"/>
      <c r="P1049" s="170" t="b">
        <v>0</v>
      </c>
      <c r="Q1049" s="170" t="b">
        <v>0</v>
      </c>
      <c r="R1049" s="170" t="b">
        <v>0</v>
      </c>
      <c r="S1049" s="48"/>
      <c r="T1049" s="60"/>
      <c r="U1049" s="170" t="b">
        <v>0</v>
      </c>
      <c r="V1049" s="170"/>
      <c r="W1049" s="170" t="b">
        <v>0</v>
      </c>
      <c r="X1049" s="170" t="b">
        <v>0</v>
      </c>
      <c r="Y1049" s="170"/>
      <c r="Z1049" s="170"/>
      <c r="AA1049" s="170"/>
      <c r="AB1049" s="170"/>
      <c r="AC1049" s="171"/>
      <c r="AD1049" s="170"/>
      <c r="AE1049" s="170"/>
      <c r="AF1049" s="170"/>
      <c r="AG1049" s="170"/>
      <c r="AH1049" s="170"/>
      <c r="AI1049" s="170"/>
      <c r="AJ1049" s="172"/>
      <c r="AK1049" s="50"/>
      <c r="AL1049" s="25"/>
      <c r="AM1049" s="25"/>
      <c r="AN1049" s="25"/>
      <c r="AO1049" s="165"/>
      <c r="AP1049" s="78"/>
      <c r="AQ1049" s="25"/>
      <c r="AR1049" s="25"/>
      <c r="AS1049" s="25"/>
      <c r="AT1049" s="25"/>
      <c r="AU1049" s="25"/>
      <c r="AV1049" s="25"/>
      <c r="AW1049" s="25"/>
      <c r="AX1049" s="25"/>
      <c r="AY1049" s="25"/>
      <c r="AZ1049" s="25"/>
      <c r="BA1049" s="25"/>
      <c r="BB1049" s="25"/>
      <c r="BC1049" s="25"/>
      <c r="BD1049" s="25"/>
      <c r="BE1049" s="25"/>
      <c r="BF1049" s="25"/>
      <c r="BG1049" s="25"/>
      <c r="BH1049" s="25"/>
      <c r="BI1049" s="25"/>
      <c r="BJ1049" s="25"/>
      <c r="BK1049" s="25"/>
      <c r="BL1049" s="25"/>
      <c r="BM1049" s="25"/>
      <c r="BN1049" s="25"/>
      <c r="BO1049" s="25"/>
      <c r="BP1049" s="25"/>
    </row>
    <row r="1050">
      <c r="A1050" s="25"/>
      <c r="B1050" s="168"/>
      <c r="C1050" s="25"/>
      <c r="D1050" s="25"/>
      <c r="E1050" s="25"/>
      <c r="F1050" s="25"/>
      <c r="G1050" s="84"/>
      <c r="H1050" s="25"/>
      <c r="I1050" s="25"/>
      <c r="J1050" s="25"/>
      <c r="K1050" s="169"/>
      <c r="L1050" s="169"/>
      <c r="M1050" s="170" t="b">
        <v>0</v>
      </c>
      <c r="N1050" s="170" t="b">
        <v>0</v>
      </c>
      <c r="O1050" s="48"/>
      <c r="P1050" s="170" t="b">
        <v>0</v>
      </c>
      <c r="Q1050" s="170" t="b">
        <v>0</v>
      </c>
      <c r="R1050" s="170" t="b">
        <v>0</v>
      </c>
      <c r="S1050" s="48"/>
      <c r="T1050" s="60"/>
      <c r="U1050" s="170" t="b">
        <v>0</v>
      </c>
      <c r="V1050" s="170"/>
      <c r="W1050" s="170" t="b">
        <v>0</v>
      </c>
      <c r="X1050" s="170" t="b">
        <v>0</v>
      </c>
      <c r="Y1050" s="170"/>
      <c r="Z1050" s="170"/>
      <c r="AA1050" s="170"/>
      <c r="AB1050" s="170"/>
      <c r="AC1050" s="171"/>
      <c r="AD1050" s="170"/>
      <c r="AE1050" s="170"/>
      <c r="AF1050" s="170"/>
      <c r="AG1050" s="170"/>
      <c r="AH1050" s="170"/>
      <c r="AI1050" s="170"/>
      <c r="AJ1050" s="172"/>
      <c r="AK1050" s="50"/>
      <c r="AL1050" s="25"/>
      <c r="AM1050" s="25"/>
      <c r="AN1050" s="25"/>
      <c r="AO1050" s="165"/>
      <c r="AP1050" s="78"/>
      <c r="AQ1050" s="25"/>
      <c r="AR1050" s="25"/>
      <c r="AS1050" s="25"/>
      <c r="AT1050" s="25"/>
      <c r="AU1050" s="25"/>
      <c r="AV1050" s="25"/>
      <c r="AW1050" s="25"/>
      <c r="AX1050" s="25"/>
      <c r="AY1050" s="25"/>
      <c r="AZ1050" s="25"/>
      <c r="BA1050" s="25"/>
      <c r="BB1050" s="25"/>
      <c r="BC1050" s="25"/>
      <c r="BD1050" s="25"/>
      <c r="BE1050" s="25"/>
      <c r="BF1050" s="25"/>
      <c r="BG1050" s="25"/>
      <c r="BH1050" s="25"/>
      <c r="BI1050" s="25"/>
      <c r="BJ1050" s="25"/>
      <c r="BK1050" s="25"/>
      <c r="BL1050" s="25"/>
      <c r="BM1050" s="25"/>
      <c r="BN1050" s="25"/>
      <c r="BO1050" s="25"/>
      <c r="BP1050" s="25"/>
    </row>
    <row r="1051">
      <c r="A1051" s="25"/>
      <c r="B1051" s="168"/>
      <c r="C1051" s="25"/>
      <c r="D1051" s="25"/>
      <c r="E1051" s="25"/>
      <c r="F1051" s="25"/>
      <c r="G1051" s="84"/>
      <c r="H1051" s="25"/>
      <c r="I1051" s="25"/>
      <c r="J1051" s="25"/>
      <c r="K1051" s="169"/>
      <c r="L1051" s="169"/>
      <c r="M1051" s="170" t="b">
        <v>0</v>
      </c>
      <c r="N1051" s="170" t="b">
        <v>0</v>
      </c>
      <c r="O1051" s="48"/>
      <c r="P1051" s="170" t="b">
        <v>0</v>
      </c>
      <c r="Q1051" s="170" t="b">
        <v>0</v>
      </c>
      <c r="R1051" s="170" t="b">
        <v>0</v>
      </c>
      <c r="S1051" s="48"/>
      <c r="T1051" s="60"/>
      <c r="U1051" s="170" t="b">
        <v>0</v>
      </c>
      <c r="V1051" s="170"/>
      <c r="W1051" s="170" t="b">
        <v>0</v>
      </c>
      <c r="X1051" s="170" t="b">
        <v>0</v>
      </c>
      <c r="Y1051" s="170"/>
      <c r="Z1051" s="170"/>
      <c r="AA1051" s="170"/>
      <c r="AB1051" s="170"/>
      <c r="AC1051" s="171"/>
      <c r="AD1051" s="170"/>
      <c r="AE1051" s="170"/>
      <c r="AF1051" s="170"/>
      <c r="AG1051" s="170"/>
      <c r="AH1051" s="170"/>
      <c r="AI1051" s="170"/>
      <c r="AJ1051" s="172"/>
      <c r="AK1051" s="50"/>
      <c r="AL1051" s="25"/>
      <c r="AM1051" s="25"/>
      <c r="AN1051" s="25"/>
      <c r="AO1051" s="165"/>
      <c r="AP1051" s="78"/>
      <c r="AQ1051" s="25"/>
      <c r="AR1051" s="25"/>
      <c r="AS1051" s="25"/>
      <c r="AT1051" s="25"/>
      <c r="AU1051" s="25"/>
      <c r="AV1051" s="25"/>
      <c r="AW1051" s="25"/>
      <c r="AX1051" s="25"/>
      <c r="AY1051" s="25"/>
      <c r="AZ1051" s="25"/>
      <c r="BA1051" s="25"/>
      <c r="BB1051" s="25"/>
      <c r="BC1051" s="25"/>
      <c r="BD1051" s="25"/>
      <c r="BE1051" s="25"/>
      <c r="BF1051" s="25"/>
      <c r="BG1051" s="25"/>
      <c r="BH1051" s="25"/>
      <c r="BI1051" s="25"/>
      <c r="BJ1051" s="25"/>
      <c r="BK1051" s="25"/>
      <c r="BL1051" s="25"/>
      <c r="BM1051" s="25"/>
      <c r="BN1051" s="25"/>
      <c r="BO1051" s="25"/>
      <c r="BP1051" s="25"/>
    </row>
    <row r="1052">
      <c r="A1052" s="25"/>
      <c r="B1052" s="168"/>
      <c r="C1052" s="25"/>
      <c r="D1052" s="25"/>
      <c r="E1052" s="25"/>
      <c r="F1052" s="25"/>
      <c r="G1052" s="84"/>
      <c r="H1052" s="25"/>
      <c r="I1052" s="25"/>
      <c r="J1052" s="25"/>
      <c r="K1052" s="169"/>
      <c r="L1052" s="169"/>
      <c r="M1052" s="170" t="b">
        <v>0</v>
      </c>
      <c r="N1052" s="170" t="b">
        <v>0</v>
      </c>
      <c r="O1052" s="48"/>
      <c r="P1052" s="170" t="b">
        <v>0</v>
      </c>
      <c r="Q1052" s="170" t="b">
        <v>0</v>
      </c>
      <c r="R1052" s="170" t="b">
        <v>0</v>
      </c>
      <c r="S1052" s="48"/>
      <c r="T1052" s="60"/>
      <c r="U1052" s="170" t="b">
        <v>0</v>
      </c>
      <c r="V1052" s="170"/>
      <c r="W1052" s="170" t="b">
        <v>0</v>
      </c>
      <c r="X1052" s="170" t="b">
        <v>0</v>
      </c>
      <c r="Y1052" s="170"/>
      <c r="Z1052" s="170"/>
      <c r="AA1052" s="170"/>
      <c r="AB1052" s="170"/>
      <c r="AC1052" s="171"/>
      <c r="AD1052" s="170"/>
      <c r="AE1052" s="170"/>
      <c r="AF1052" s="170"/>
      <c r="AG1052" s="170"/>
      <c r="AH1052" s="170"/>
      <c r="AI1052" s="170"/>
      <c r="AJ1052" s="172"/>
      <c r="AK1052" s="50"/>
      <c r="AL1052" s="25"/>
      <c r="AM1052" s="25"/>
      <c r="AN1052" s="25"/>
      <c r="AO1052" s="165"/>
      <c r="AP1052" s="78"/>
      <c r="AQ1052" s="25"/>
      <c r="AR1052" s="25"/>
      <c r="AS1052" s="25"/>
      <c r="AT1052" s="25"/>
      <c r="AU1052" s="25"/>
      <c r="AV1052" s="25"/>
      <c r="AW1052" s="25"/>
      <c r="AX1052" s="25"/>
      <c r="AY1052" s="25"/>
      <c r="AZ1052" s="25"/>
      <c r="BA1052" s="25"/>
      <c r="BB1052" s="25"/>
      <c r="BC1052" s="25"/>
      <c r="BD1052" s="25"/>
      <c r="BE1052" s="25"/>
      <c r="BF1052" s="25"/>
      <c r="BG1052" s="25"/>
      <c r="BH1052" s="25"/>
      <c r="BI1052" s="25"/>
      <c r="BJ1052" s="25"/>
      <c r="BK1052" s="25"/>
      <c r="BL1052" s="25"/>
      <c r="BM1052" s="25"/>
      <c r="BN1052" s="25"/>
      <c r="BO1052" s="25"/>
      <c r="BP1052" s="25"/>
    </row>
    <row r="1053">
      <c r="A1053" s="25"/>
      <c r="B1053" s="168"/>
      <c r="C1053" s="25"/>
      <c r="D1053" s="25"/>
      <c r="E1053" s="25"/>
      <c r="F1053" s="25"/>
      <c r="G1053" s="84"/>
      <c r="H1053" s="25"/>
      <c r="I1053" s="25"/>
      <c r="J1053" s="25"/>
      <c r="K1053" s="169"/>
      <c r="L1053" s="169"/>
      <c r="M1053" s="170" t="b">
        <v>0</v>
      </c>
      <c r="N1053" s="170" t="b">
        <v>0</v>
      </c>
      <c r="O1053" s="48"/>
      <c r="P1053" s="170" t="b">
        <v>0</v>
      </c>
      <c r="Q1053" s="170" t="b">
        <v>0</v>
      </c>
      <c r="R1053" s="170" t="b">
        <v>0</v>
      </c>
      <c r="S1053" s="48"/>
      <c r="T1053" s="60"/>
      <c r="U1053" s="170" t="b">
        <v>0</v>
      </c>
      <c r="V1053" s="170"/>
      <c r="W1053" s="170" t="b">
        <v>0</v>
      </c>
      <c r="X1053" s="170" t="b">
        <v>0</v>
      </c>
      <c r="Y1053" s="170"/>
      <c r="Z1053" s="170"/>
      <c r="AA1053" s="170"/>
      <c r="AB1053" s="170"/>
      <c r="AC1053" s="171"/>
      <c r="AD1053" s="170"/>
      <c r="AE1053" s="170"/>
      <c r="AF1053" s="170"/>
      <c r="AG1053" s="170"/>
      <c r="AH1053" s="170"/>
      <c r="AI1053" s="170"/>
      <c r="AJ1053" s="172"/>
      <c r="AK1053" s="50"/>
      <c r="AL1053" s="25"/>
      <c r="AM1053" s="25"/>
      <c r="AN1053" s="25"/>
      <c r="AO1053" s="165"/>
      <c r="AP1053" s="78"/>
      <c r="AQ1053" s="25"/>
      <c r="AR1053" s="25"/>
      <c r="AS1053" s="25"/>
      <c r="AT1053" s="25"/>
      <c r="AU1053" s="25"/>
      <c r="AV1053" s="25"/>
      <c r="AW1053" s="25"/>
      <c r="AX1053" s="25"/>
      <c r="AY1053" s="25"/>
      <c r="AZ1053" s="25"/>
      <c r="BA1053" s="25"/>
      <c r="BB1053" s="25"/>
      <c r="BC1053" s="25"/>
      <c r="BD1053" s="25"/>
      <c r="BE1053" s="25"/>
      <c r="BF1053" s="25"/>
      <c r="BG1053" s="25"/>
      <c r="BH1053" s="25"/>
      <c r="BI1053" s="25"/>
      <c r="BJ1053" s="25"/>
      <c r="BK1053" s="25"/>
      <c r="BL1053" s="25"/>
      <c r="BM1053" s="25"/>
      <c r="BN1053" s="25"/>
      <c r="BO1053" s="25"/>
      <c r="BP1053" s="25"/>
    </row>
    <row r="1054">
      <c r="A1054" s="25"/>
      <c r="B1054" s="168"/>
      <c r="C1054" s="25"/>
      <c r="D1054" s="25"/>
      <c r="E1054" s="25"/>
      <c r="F1054" s="25"/>
      <c r="G1054" s="84"/>
      <c r="H1054" s="25"/>
      <c r="I1054" s="25"/>
      <c r="J1054" s="25"/>
      <c r="K1054" s="169"/>
      <c r="L1054" s="169"/>
      <c r="M1054" s="170" t="b">
        <v>0</v>
      </c>
      <c r="N1054" s="170" t="b">
        <v>0</v>
      </c>
      <c r="O1054" s="48"/>
      <c r="P1054" s="170" t="b">
        <v>0</v>
      </c>
      <c r="Q1054" s="170" t="b">
        <v>0</v>
      </c>
      <c r="R1054" s="170" t="b">
        <v>0</v>
      </c>
      <c r="S1054" s="48"/>
      <c r="T1054" s="60"/>
      <c r="U1054" s="170" t="b">
        <v>0</v>
      </c>
      <c r="V1054" s="170"/>
      <c r="W1054" s="170" t="b">
        <v>0</v>
      </c>
      <c r="X1054" s="170" t="b">
        <v>0</v>
      </c>
      <c r="Y1054" s="170"/>
      <c r="Z1054" s="170"/>
      <c r="AA1054" s="170"/>
      <c r="AB1054" s="170"/>
      <c r="AC1054" s="171"/>
      <c r="AD1054" s="170"/>
      <c r="AE1054" s="170"/>
      <c r="AF1054" s="170"/>
      <c r="AG1054" s="170"/>
      <c r="AH1054" s="170"/>
      <c r="AI1054" s="170"/>
      <c r="AJ1054" s="172"/>
      <c r="AK1054" s="50"/>
      <c r="AL1054" s="25"/>
      <c r="AM1054" s="25"/>
      <c r="AN1054" s="25"/>
      <c r="AO1054" s="165"/>
      <c r="AP1054" s="78"/>
      <c r="AQ1054" s="25"/>
      <c r="AR1054" s="25"/>
      <c r="AS1054" s="25"/>
      <c r="AT1054" s="25"/>
      <c r="AU1054" s="25"/>
      <c r="AV1054" s="25"/>
      <c r="AW1054" s="25"/>
      <c r="AX1054" s="25"/>
      <c r="AY1054" s="25"/>
      <c r="AZ1054" s="25"/>
      <c r="BA1054" s="25"/>
      <c r="BB1054" s="25"/>
      <c r="BC1054" s="25"/>
      <c r="BD1054" s="25"/>
      <c r="BE1054" s="25"/>
      <c r="BF1054" s="25"/>
      <c r="BG1054" s="25"/>
      <c r="BH1054" s="25"/>
      <c r="BI1054" s="25"/>
      <c r="BJ1054" s="25"/>
      <c r="BK1054" s="25"/>
      <c r="BL1054" s="25"/>
      <c r="BM1054" s="25"/>
      <c r="BN1054" s="25"/>
      <c r="BO1054" s="25"/>
      <c r="BP1054" s="25"/>
    </row>
    <row r="1055">
      <c r="A1055" s="25"/>
      <c r="B1055" s="168"/>
      <c r="C1055" s="25"/>
      <c r="D1055" s="25"/>
      <c r="E1055" s="25"/>
      <c r="F1055" s="25"/>
      <c r="G1055" s="84"/>
      <c r="H1055" s="25"/>
      <c r="I1055" s="25"/>
      <c r="J1055" s="25"/>
      <c r="K1055" s="169"/>
      <c r="L1055" s="169"/>
      <c r="M1055" s="170" t="b">
        <v>0</v>
      </c>
      <c r="N1055" s="170" t="b">
        <v>0</v>
      </c>
      <c r="O1055" s="48"/>
      <c r="P1055" s="170" t="b">
        <v>0</v>
      </c>
      <c r="Q1055" s="170" t="b">
        <v>0</v>
      </c>
      <c r="R1055" s="170" t="b">
        <v>0</v>
      </c>
      <c r="S1055" s="48"/>
      <c r="T1055" s="60"/>
      <c r="U1055" s="170" t="b">
        <v>0</v>
      </c>
      <c r="V1055" s="170"/>
      <c r="W1055" s="170" t="b">
        <v>0</v>
      </c>
      <c r="X1055" s="170" t="b">
        <v>0</v>
      </c>
      <c r="Y1055" s="170"/>
      <c r="Z1055" s="170"/>
      <c r="AA1055" s="170"/>
      <c r="AB1055" s="170"/>
      <c r="AC1055" s="171"/>
      <c r="AD1055" s="170"/>
      <c r="AE1055" s="170"/>
      <c r="AF1055" s="170"/>
      <c r="AG1055" s="170"/>
      <c r="AH1055" s="170"/>
      <c r="AI1055" s="170"/>
      <c r="AJ1055" s="172"/>
      <c r="AK1055" s="50"/>
      <c r="AL1055" s="25"/>
      <c r="AM1055" s="25"/>
      <c r="AN1055" s="25"/>
      <c r="AO1055" s="165"/>
      <c r="AP1055" s="78"/>
      <c r="AQ1055" s="25"/>
      <c r="AR1055" s="25"/>
      <c r="AS1055" s="25"/>
      <c r="AT1055" s="25"/>
      <c r="AU1055" s="25"/>
      <c r="AV1055" s="25"/>
      <c r="AW1055" s="25"/>
      <c r="AX1055" s="25"/>
      <c r="AY1055" s="25"/>
      <c r="AZ1055" s="25"/>
      <c r="BA1055" s="25"/>
      <c r="BB1055" s="25"/>
      <c r="BC1055" s="25"/>
      <c r="BD1055" s="25"/>
      <c r="BE1055" s="25"/>
      <c r="BF1055" s="25"/>
      <c r="BG1055" s="25"/>
      <c r="BH1055" s="25"/>
      <c r="BI1055" s="25"/>
      <c r="BJ1055" s="25"/>
      <c r="BK1055" s="25"/>
      <c r="BL1055" s="25"/>
      <c r="BM1055" s="25"/>
      <c r="BN1055" s="25"/>
      <c r="BO1055" s="25"/>
      <c r="BP1055" s="25"/>
    </row>
    <row r="1056">
      <c r="A1056" s="25"/>
      <c r="B1056" s="168"/>
      <c r="C1056" s="25"/>
      <c r="D1056" s="25"/>
      <c r="E1056" s="25"/>
      <c r="F1056" s="25"/>
      <c r="G1056" s="84"/>
      <c r="H1056" s="25"/>
      <c r="I1056" s="25"/>
      <c r="J1056" s="25"/>
      <c r="K1056" s="169"/>
      <c r="L1056" s="169"/>
      <c r="M1056" s="170" t="b">
        <v>0</v>
      </c>
      <c r="N1056" s="170" t="b">
        <v>0</v>
      </c>
      <c r="O1056" s="48"/>
      <c r="P1056" s="170" t="b">
        <v>0</v>
      </c>
      <c r="Q1056" s="170" t="b">
        <v>0</v>
      </c>
      <c r="R1056" s="170" t="b">
        <v>0</v>
      </c>
      <c r="S1056" s="48"/>
      <c r="T1056" s="60"/>
      <c r="U1056" s="170" t="b">
        <v>0</v>
      </c>
      <c r="V1056" s="170"/>
      <c r="W1056" s="170" t="b">
        <v>0</v>
      </c>
      <c r="X1056" s="170" t="b">
        <v>0</v>
      </c>
      <c r="Y1056" s="170"/>
      <c r="Z1056" s="170"/>
      <c r="AA1056" s="170"/>
      <c r="AB1056" s="170"/>
      <c r="AC1056" s="171"/>
      <c r="AD1056" s="170"/>
      <c r="AE1056" s="170"/>
      <c r="AF1056" s="170"/>
      <c r="AG1056" s="170"/>
      <c r="AH1056" s="170"/>
      <c r="AI1056" s="170"/>
      <c r="AJ1056" s="172"/>
      <c r="AK1056" s="50"/>
      <c r="AL1056" s="25"/>
      <c r="AM1056" s="25"/>
      <c r="AN1056" s="25"/>
      <c r="AO1056" s="165"/>
      <c r="AP1056" s="78"/>
      <c r="AQ1056" s="25"/>
      <c r="AR1056" s="25"/>
      <c r="AS1056" s="25"/>
      <c r="AT1056" s="25"/>
      <c r="AU1056" s="25"/>
      <c r="AV1056" s="25"/>
      <c r="AW1056" s="25"/>
      <c r="AX1056" s="25"/>
      <c r="AY1056" s="25"/>
      <c r="AZ1056" s="25"/>
      <c r="BA1056" s="25"/>
      <c r="BB1056" s="25"/>
      <c r="BC1056" s="25"/>
      <c r="BD1056" s="25"/>
      <c r="BE1056" s="25"/>
      <c r="BF1056" s="25"/>
      <c r="BG1056" s="25"/>
      <c r="BH1056" s="25"/>
      <c r="BI1056" s="25"/>
      <c r="BJ1056" s="25"/>
      <c r="BK1056" s="25"/>
      <c r="BL1056" s="25"/>
      <c r="BM1056" s="25"/>
      <c r="BN1056" s="25"/>
      <c r="BO1056" s="25"/>
      <c r="BP1056" s="25"/>
    </row>
    <row r="1057">
      <c r="A1057" s="25"/>
      <c r="B1057" s="168"/>
      <c r="C1057" s="25"/>
      <c r="D1057" s="25"/>
      <c r="E1057" s="25"/>
      <c r="F1057" s="25"/>
      <c r="G1057" s="84"/>
      <c r="H1057" s="25"/>
      <c r="I1057" s="25"/>
      <c r="J1057" s="25"/>
      <c r="K1057" s="169"/>
      <c r="L1057" s="169"/>
      <c r="M1057" s="170" t="b">
        <v>0</v>
      </c>
      <c r="N1057" s="170" t="b">
        <v>0</v>
      </c>
      <c r="O1057" s="48"/>
      <c r="P1057" s="170" t="b">
        <v>0</v>
      </c>
      <c r="Q1057" s="170" t="b">
        <v>0</v>
      </c>
      <c r="R1057" s="170" t="b">
        <v>0</v>
      </c>
      <c r="S1057" s="48"/>
      <c r="T1057" s="60"/>
      <c r="U1057" s="170" t="b">
        <v>0</v>
      </c>
      <c r="V1057" s="170"/>
      <c r="W1057" s="170" t="b">
        <v>0</v>
      </c>
      <c r="X1057" s="170" t="b">
        <v>0</v>
      </c>
      <c r="Y1057" s="170"/>
      <c r="Z1057" s="170"/>
      <c r="AA1057" s="170"/>
      <c r="AB1057" s="170"/>
      <c r="AC1057" s="171"/>
      <c r="AD1057" s="170"/>
      <c r="AE1057" s="170"/>
      <c r="AF1057" s="170"/>
      <c r="AG1057" s="170"/>
      <c r="AH1057" s="170"/>
      <c r="AI1057" s="170"/>
      <c r="AJ1057" s="172"/>
      <c r="AK1057" s="50"/>
      <c r="AL1057" s="25"/>
      <c r="AM1057" s="25"/>
      <c r="AN1057" s="25"/>
      <c r="AO1057" s="165"/>
      <c r="AP1057" s="78"/>
      <c r="AQ1057" s="25"/>
      <c r="AR1057" s="25"/>
      <c r="AS1057" s="25"/>
      <c r="AT1057" s="25"/>
      <c r="AU1057" s="25"/>
      <c r="AV1057" s="25"/>
      <c r="AW1057" s="25"/>
      <c r="AX1057" s="25"/>
      <c r="AY1057" s="25"/>
      <c r="AZ1057" s="25"/>
      <c r="BA1057" s="25"/>
      <c r="BB1057" s="25"/>
      <c r="BC1057" s="25"/>
      <c r="BD1057" s="25"/>
      <c r="BE1057" s="25"/>
      <c r="BF1057" s="25"/>
      <c r="BG1057" s="25"/>
      <c r="BH1057" s="25"/>
      <c r="BI1057" s="25"/>
      <c r="BJ1057" s="25"/>
      <c r="BK1057" s="25"/>
      <c r="BL1057" s="25"/>
      <c r="BM1057" s="25"/>
      <c r="BN1057" s="25"/>
      <c r="BO1057" s="25"/>
      <c r="BP1057" s="25"/>
    </row>
    <row r="1058">
      <c r="A1058" s="25"/>
      <c r="B1058" s="168"/>
      <c r="C1058" s="25"/>
      <c r="D1058" s="25"/>
      <c r="E1058" s="25"/>
      <c r="F1058" s="25"/>
      <c r="G1058" s="84"/>
      <c r="H1058" s="25"/>
      <c r="I1058" s="25"/>
      <c r="J1058" s="25"/>
      <c r="K1058" s="169"/>
      <c r="L1058" s="169"/>
      <c r="M1058" s="170" t="b">
        <v>0</v>
      </c>
      <c r="N1058" s="170" t="b">
        <v>0</v>
      </c>
      <c r="O1058" s="48"/>
      <c r="P1058" s="170" t="b">
        <v>0</v>
      </c>
      <c r="Q1058" s="170" t="b">
        <v>0</v>
      </c>
      <c r="R1058" s="170" t="b">
        <v>0</v>
      </c>
      <c r="S1058" s="48"/>
      <c r="T1058" s="60"/>
      <c r="U1058" s="170" t="b">
        <v>0</v>
      </c>
      <c r="V1058" s="170"/>
      <c r="W1058" s="170" t="b">
        <v>0</v>
      </c>
      <c r="X1058" s="170" t="b">
        <v>0</v>
      </c>
      <c r="Y1058" s="170"/>
      <c r="Z1058" s="170"/>
      <c r="AA1058" s="170"/>
      <c r="AB1058" s="170"/>
      <c r="AC1058" s="171"/>
      <c r="AD1058" s="170"/>
      <c r="AE1058" s="170"/>
      <c r="AF1058" s="170"/>
      <c r="AG1058" s="170"/>
      <c r="AH1058" s="170"/>
      <c r="AI1058" s="170"/>
      <c r="AJ1058" s="172"/>
      <c r="AK1058" s="50"/>
      <c r="AL1058" s="25"/>
      <c r="AM1058" s="25"/>
      <c r="AN1058" s="25"/>
      <c r="AO1058" s="165"/>
      <c r="AP1058" s="78"/>
      <c r="AQ1058" s="25"/>
      <c r="AR1058" s="25"/>
      <c r="AS1058" s="25"/>
      <c r="AT1058" s="25"/>
      <c r="AU1058" s="25"/>
      <c r="AV1058" s="25"/>
      <c r="AW1058" s="25"/>
      <c r="AX1058" s="25"/>
      <c r="AY1058" s="25"/>
      <c r="AZ1058" s="25"/>
      <c r="BA1058" s="25"/>
      <c r="BB1058" s="25"/>
      <c r="BC1058" s="25"/>
      <c r="BD1058" s="25"/>
      <c r="BE1058" s="25"/>
      <c r="BF1058" s="25"/>
      <c r="BG1058" s="25"/>
      <c r="BH1058" s="25"/>
      <c r="BI1058" s="25"/>
      <c r="BJ1058" s="25"/>
      <c r="BK1058" s="25"/>
      <c r="BL1058" s="25"/>
      <c r="BM1058" s="25"/>
      <c r="BN1058" s="25"/>
      <c r="BO1058" s="25"/>
      <c r="BP1058" s="25"/>
    </row>
    <row r="1059">
      <c r="A1059" s="25"/>
      <c r="B1059" s="168"/>
      <c r="C1059" s="25"/>
      <c r="D1059" s="25"/>
      <c r="E1059" s="25"/>
      <c r="F1059" s="25"/>
      <c r="G1059" s="84"/>
      <c r="H1059" s="25"/>
      <c r="I1059" s="25"/>
      <c r="J1059" s="25"/>
      <c r="K1059" s="169"/>
      <c r="L1059" s="169"/>
      <c r="M1059" s="170" t="b">
        <v>0</v>
      </c>
      <c r="N1059" s="170" t="b">
        <v>0</v>
      </c>
      <c r="O1059" s="48"/>
      <c r="P1059" s="170" t="b">
        <v>0</v>
      </c>
      <c r="Q1059" s="170" t="b">
        <v>0</v>
      </c>
      <c r="R1059" s="170" t="b">
        <v>0</v>
      </c>
      <c r="S1059" s="48"/>
      <c r="T1059" s="60"/>
      <c r="U1059" s="170" t="b">
        <v>0</v>
      </c>
      <c r="V1059" s="170"/>
      <c r="W1059" s="170" t="b">
        <v>0</v>
      </c>
      <c r="X1059" s="170" t="b">
        <v>0</v>
      </c>
      <c r="Y1059" s="170"/>
      <c r="Z1059" s="170"/>
      <c r="AA1059" s="170"/>
      <c r="AB1059" s="170"/>
      <c r="AC1059" s="171"/>
      <c r="AD1059" s="170"/>
      <c r="AE1059" s="170"/>
      <c r="AF1059" s="170"/>
      <c r="AG1059" s="170"/>
      <c r="AH1059" s="170"/>
      <c r="AI1059" s="170"/>
      <c r="AJ1059" s="172"/>
      <c r="AK1059" s="50"/>
      <c r="AL1059" s="25"/>
      <c r="AM1059" s="25"/>
      <c r="AN1059" s="25"/>
      <c r="AO1059" s="165"/>
      <c r="AP1059" s="78"/>
      <c r="AQ1059" s="25"/>
      <c r="AR1059" s="25"/>
      <c r="AS1059" s="25"/>
      <c r="AT1059" s="25"/>
      <c r="AU1059" s="25"/>
      <c r="AV1059" s="25"/>
      <c r="AW1059" s="25"/>
      <c r="AX1059" s="25"/>
      <c r="AY1059" s="25"/>
      <c r="AZ1059" s="25"/>
      <c r="BA1059" s="25"/>
      <c r="BB1059" s="25"/>
      <c r="BC1059" s="25"/>
      <c r="BD1059" s="25"/>
      <c r="BE1059" s="25"/>
      <c r="BF1059" s="25"/>
      <c r="BG1059" s="25"/>
      <c r="BH1059" s="25"/>
      <c r="BI1059" s="25"/>
      <c r="BJ1059" s="25"/>
      <c r="BK1059" s="25"/>
      <c r="BL1059" s="25"/>
      <c r="BM1059" s="25"/>
      <c r="BN1059" s="25"/>
      <c r="BO1059" s="25"/>
      <c r="BP1059" s="25"/>
    </row>
    <row r="1060">
      <c r="A1060" s="25"/>
      <c r="B1060" s="168"/>
      <c r="C1060" s="25"/>
      <c r="D1060" s="25"/>
      <c r="E1060" s="25"/>
      <c r="F1060" s="25"/>
      <c r="G1060" s="84"/>
      <c r="H1060" s="25"/>
      <c r="I1060" s="25"/>
      <c r="J1060" s="25"/>
      <c r="K1060" s="169"/>
      <c r="L1060" s="169"/>
      <c r="M1060" s="170" t="b">
        <v>0</v>
      </c>
      <c r="N1060" s="170" t="b">
        <v>0</v>
      </c>
      <c r="O1060" s="48"/>
      <c r="P1060" s="170" t="b">
        <v>0</v>
      </c>
      <c r="Q1060" s="170" t="b">
        <v>0</v>
      </c>
      <c r="R1060" s="170" t="b">
        <v>0</v>
      </c>
      <c r="S1060" s="48"/>
      <c r="T1060" s="60"/>
      <c r="U1060" s="170" t="b">
        <v>0</v>
      </c>
      <c r="V1060" s="170"/>
      <c r="W1060" s="170" t="b">
        <v>0</v>
      </c>
      <c r="X1060" s="170" t="b">
        <v>0</v>
      </c>
      <c r="Y1060" s="170"/>
      <c r="Z1060" s="170"/>
      <c r="AA1060" s="170"/>
      <c r="AB1060" s="170"/>
      <c r="AC1060" s="171"/>
      <c r="AD1060" s="170"/>
      <c r="AE1060" s="170"/>
      <c r="AF1060" s="170"/>
      <c r="AG1060" s="170"/>
      <c r="AH1060" s="170"/>
      <c r="AI1060" s="170"/>
      <c r="AJ1060" s="172"/>
      <c r="AK1060" s="50"/>
      <c r="AL1060" s="25"/>
      <c r="AM1060" s="25"/>
      <c r="AN1060" s="25"/>
      <c r="AO1060" s="165"/>
      <c r="AP1060" s="78"/>
      <c r="AQ1060" s="25"/>
      <c r="AR1060" s="25"/>
      <c r="AS1060" s="25"/>
      <c r="AT1060" s="25"/>
      <c r="AU1060" s="25"/>
      <c r="AV1060" s="25"/>
      <c r="AW1060" s="25"/>
      <c r="AX1060" s="25"/>
      <c r="AY1060" s="25"/>
      <c r="AZ1060" s="25"/>
      <c r="BA1060" s="25"/>
      <c r="BB1060" s="25"/>
      <c r="BC1060" s="25"/>
      <c r="BD1060" s="25"/>
      <c r="BE1060" s="25"/>
      <c r="BF1060" s="25"/>
      <c r="BG1060" s="25"/>
      <c r="BH1060" s="25"/>
      <c r="BI1060" s="25"/>
      <c r="BJ1060" s="25"/>
      <c r="BK1060" s="25"/>
      <c r="BL1060" s="25"/>
      <c r="BM1060" s="25"/>
      <c r="BN1060" s="25"/>
      <c r="BO1060" s="25"/>
      <c r="BP1060" s="25"/>
    </row>
    <row r="1061">
      <c r="A1061" s="25"/>
      <c r="B1061" s="168"/>
      <c r="C1061" s="25"/>
      <c r="D1061" s="25"/>
      <c r="E1061" s="25"/>
      <c r="F1061" s="25"/>
      <c r="G1061" s="84"/>
      <c r="H1061" s="25"/>
      <c r="I1061" s="25"/>
      <c r="J1061" s="25"/>
      <c r="K1061" s="169"/>
      <c r="L1061" s="169"/>
      <c r="M1061" s="170" t="b">
        <v>0</v>
      </c>
      <c r="N1061" s="170" t="b">
        <v>0</v>
      </c>
      <c r="O1061" s="48"/>
      <c r="P1061" s="170" t="b">
        <v>0</v>
      </c>
      <c r="Q1061" s="170" t="b">
        <v>0</v>
      </c>
      <c r="R1061" s="170" t="b">
        <v>0</v>
      </c>
      <c r="S1061" s="48"/>
      <c r="T1061" s="60"/>
      <c r="U1061" s="170" t="b">
        <v>0</v>
      </c>
      <c r="V1061" s="170"/>
      <c r="W1061" s="170" t="b">
        <v>0</v>
      </c>
      <c r="X1061" s="170" t="b">
        <v>0</v>
      </c>
      <c r="Y1061" s="170"/>
      <c r="Z1061" s="170"/>
      <c r="AA1061" s="170"/>
      <c r="AB1061" s="170"/>
      <c r="AC1061" s="171"/>
      <c r="AD1061" s="170"/>
      <c r="AE1061" s="170"/>
      <c r="AF1061" s="170"/>
      <c r="AG1061" s="170"/>
      <c r="AH1061" s="170"/>
      <c r="AI1061" s="170"/>
      <c r="AJ1061" s="172"/>
      <c r="AK1061" s="50"/>
      <c r="AL1061" s="25"/>
      <c r="AM1061" s="25"/>
      <c r="AN1061" s="25"/>
      <c r="AO1061" s="165"/>
      <c r="AP1061" s="78"/>
      <c r="AQ1061" s="25"/>
      <c r="AR1061" s="25"/>
      <c r="AS1061" s="25"/>
      <c r="AT1061" s="25"/>
      <c r="AU1061" s="25"/>
      <c r="AV1061" s="25"/>
      <c r="AW1061" s="25"/>
      <c r="AX1061" s="25"/>
      <c r="AY1061" s="25"/>
      <c r="AZ1061" s="25"/>
      <c r="BA1061" s="25"/>
      <c r="BB1061" s="25"/>
      <c r="BC1061" s="25"/>
      <c r="BD1061" s="25"/>
      <c r="BE1061" s="25"/>
      <c r="BF1061" s="25"/>
      <c r="BG1061" s="25"/>
      <c r="BH1061" s="25"/>
      <c r="BI1061" s="25"/>
      <c r="BJ1061" s="25"/>
      <c r="BK1061" s="25"/>
      <c r="BL1061" s="25"/>
      <c r="BM1061" s="25"/>
      <c r="BN1061" s="25"/>
      <c r="BO1061" s="25"/>
      <c r="BP1061" s="25"/>
    </row>
    <row r="1062">
      <c r="A1062" s="25"/>
      <c r="B1062" s="168"/>
      <c r="C1062" s="25"/>
      <c r="D1062" s="25"/>
      <c r="E1062" s="25"/>
      <c r="F1062" s="25"/>
      <c r="G1062" s="84"/>
      <c r="H1062" s="25"/>
      <c r="I1062" s="25"/>
      <c r="J1062" s="25"/>
      <c r="K1062" s="169"/>
      <c r="L1062" s="169"/>
      <c r="M1062" s="170" t="b">
        <v>0</v>
      </c>
      <c r="N1062" s="170" t="b">
        <v>0</v>
      </c>
      <c r="O1062" s="48"/>
      <c r="P1062" s="170" t="b">
        <v>0</v>
      </c>
      <c r="Q1062" s="170" t="b">
        <v>0</v>
      </c>
      <c r="R1062" s="170" t="b">
        <v>0</v>
      </c>
      <c r="S1062" s="48"/>
      <c r="T1062" s="60"/>
      <c r="U1062" s="170" t="b">
        <v>0</v>
      </c>
      <c r="V1062" s="170"/>
      <c r="W1062" s="170" t="b">
        <v>0</v>
      </c>
      <c r="X1062" s="170" t="b">
        <v>0</v>
      </c>
      <c r="Y1062" s="170"/>
      <c r="Z1062" s="170"/>
      <c r="AA1062" s="170"/>
      <c r="AB1062" s="170"/>
      <c r="AC1062" s="171"/>
      <c r="AD1062" s="170"/>
      <c r="AE1062" s="170"/>
      <c r="AF1062" s="170"/>
      <c r="AG1062" s="170"/>
      <c r="AH1062" s="170"/>
      <c r="AI1062" s="170"/>
      <c r="AJ1062" s="172"/>
      <c r="AK1062" s="50"/>
      <c r="AL1062" s="25"/>
      <c r="AM1062" s="25"/>
      <c r="AN1062" s="25"/>
      <c r="AO1062" s="165"/>
      <c r="AP1062" s="78"/>
      <c r="AQ1062" s="25"/>
      <c r="AR1062" s="25"/>
      <c r="AS1062" s="25"/>
      <c r="AT1062" s="25"/>
      <c r="AU1062" s="25"/>
      <c r="AV1062" s="25"/>
      <c r="AW1062" s="25"/>
      <c r="AX1062" s="25"/>
      <c r="AY1062" s="25"/>
      <c r="AZ1062" s="25"/>
      <c r="BA1062" s="25"/>
      <c r="BB1062" s="25"/>
      <c r="BC1062" s="25"/>
      <c r="BD1062" s="25"/>
      <c r="BE1062" s="25"/>
      <c r="BF1062" s="25"/>
      <c r="BG1062" s="25"/>
      <c r="BH1062" s="25"/>
      <c r="BI1062" s="25"/>
      <c r="BJ1062" s="25"/>
      <c r="BK1062" s="25"/>
      <c r="BL1062" s="25"/>
      <c r="BM1062" s="25"/>
      <c r="BN1062" s="25"/>
      <c r="BO1062" s="25"/>
      <c r="BP1062" s="25"/>
    </row>
    <row r="1063">
      <c r="A1063" s="25"/>
      <c r="B1063" s="168"/>
      <c r="C1063" s="25"/>
      <c r="D1063" s="25"/>
      <c r="E1063" s="25"/>
      <c r="F1063" s="25"/>
      <c r="G1063" s="84"/>
      <c r="H1063" s="25"/>
      <c r="I1063" s="25"/>
      <c r="J1063" s="25"/>
      <c r="K1063" s="169"/>
      <c r="L1063" s="169"/>
      <c r="M1063" s="170" t="b">
        <v>0</v>
      </c>
      <c r="N1063" s="170" t="b">
        <v>0</v>
      </c>
      <c r="O1063" s="48"/>
      <c r="P1063" s="170" t="b">
        <v>0</v>
      </c>
      <c r="Q1063" s="170" t="b">
        <v>0</v>
      </c>
      <c r="R1063" s="170" t="b">
        <v>0</v>
      </c>
      <c r="S1063" s="48"/>
      <c r="T1063" s="60"/>
      <c r="U1063" s="170" t="b">
        <v>0</v>
      </c>
      <c r="V1063" s="170"/>
      <c r="W1063" s="170" t="b">
        <v>0</v>
      </c>
      <c r="X1063" s="170" t="b">
        <v>0</v>
      </c>
      <c r="Y1063" s="170"/>
      <c r="Z1063" s="170"/>
      <c r="AA1063" s="170"/>
      <c r="AB1063" s="170"/>
      <c r="AC1063" s="171"/>
      <c r="AD1063" s="170"/>
      <c r="AE1063" s="170"/>
      <c r="AF1063" s="170"/>
      <c r="AG1063" s="170"/>
      <c r="AH1063" s="170"/>
      <c r="AI1063" s="170"/>
      <c r="AJ1063" s="172"/>
      <c r="AK1063" s="50"/>
      <c r="AL1063" s="25"/>
      <c r="AM1063" s="25"/>
      <c r="AN1063" s="25"/>
      <c r="AO1063" s="165"/>
      <c r="AP1063" s="78"/>
      <c r="AQ1063" s="25"/>
      <c r="AR1063" s="25"/>
      <c r="AS1063" s="25"/>
      <c r="AT1063" s="25"/>
      <c r="AU1063" s="25"/>
      <c r="AV1063" s="25"/>
      <c r="AW1063" s="25"/>
      <c r="AX1063" s="25"/>
      <c r="AY1063" s="25"/>
      <c r="AZ1063" s="25"/>
      <c r="BA1063" s="25"/>
      <c r="BB1063" s="25"/>
      <c r="BC1063" s="25"/>
      <c r="BD1063" s="25"/>
      <c r="BE1063" s="25"/>
      <c r="BF1063" s="25"/>
      <c r="BG1063" s="25"/>
      <c r="BH1063" s="25"/>
      <c r="BI1063" s="25"/>
      <c r="BJ1063" s="25"/>
      <c r="BK1063" s="25"/>
      <c r="BL1063" s="25"/>
      <c r="BM1063" s="25"/>
      <c r="BN1063" s="25"/>
      <c r="BO1063" s="25"/>
      <c r="BP1063" s="25"/>
    </row>
    <row r="1064">
      <c r="A1064" s="25"/>
      <c r="B1064" s="168"/>
      <c r="C1064" s="25"/>
      <c r="D1064" s="25"/>
      <c r="E1064" s="25"/>
      <c r="F1064" s="25"/>
      <c r="G1064" s="84"/>
      <c r="H1064" s="25"/>
      <c r="I1064" s="25"/>
      <c r="J1064" s="25"/>
      <c r="K1064" s="169"/>
      <c r="L1064" s="169"/>
      <c r="M1064" s="170" t="b">
        <v>0</v>
      </c>
      <c r="N1064" s="170" t="b">
        <v>0</v>
      </c>
      <c r="O1064" s="48"/>
      <c r="P1064" s="170" t="b">
        <v>0</v>
      </c>
      <c r="Q1064" s="170" t="b">
        <v>0</v>
      </c>
      <c r="R1064" s="170" t="b">
        <v>0</v>
      </c>
      <c r="S1064" s="48"/>
      <c r="T1064" s="60"/>
      <c r="U1064" s="170" t="b">
        <v>0</v>
      </c>
      <c r="V1064" s="170"/>
      <c r="W1064" s="170" t="b">
        <v>0</v>
      </c>
      <c r="X1064" s="170" t="b">
        <v>0</v>
      </c>
      <c r="Y1064" s="170"/>
      <c r="Z1064" s="170"/>
      <c r="AA1064" s="170"/>
      <c r="AB1064" s="170"/>
      <c r="AC1064" s="171"/>
      <c r="AD1064" s="170"/>
      <c r="AE1064" s="170"/>
      <c r="AF1064" s="170"/>
      <c r="AG1064" s="170"/>
      <c r="AH1064" s="170"/>
      <c r="AI1064" s="170"/>
      <c r="AJ1064" s="172"/>
      <c r="AK1064" s="50"/>
      <c r="AL1064" s="25"/>
      <c r="AM1064" s="25"/>
      <c r="AN1064" s="25"/>
      <c r="AO1064" s="165"/>
      <c r="AP1064" s="78"/>
      <c r="AQ1064" s="25"/>
      <c r="AR1064" s="25"/>
      <c r="AS1064" s="25"/>
      <c r="AT1064" s="25"/>
      <c r="AU1064" s="25"/>
      <c r="AV1064" s="25"/>
      <c r="AW1064" s="25"/>
      <c r="AX1064" s="25"/>
      <c r="AY1064" s="25"/>
      <c r="AZ1064" s="25"/>
      <c r="BA1064" s="25"/>
      <c r="BB1064" s="25"/>
      <c r="BC1064" s="25"/>
      <c r="BD1064" s="25"/>
      <c r="BE1064" s="25"/>
      <c r="BF1064" s="25"/>
      <c r="BG1064" s="25"/>
      <c r="BH1064" s="25"/>
      <c r="BI1064" s="25"/>
      <c r="BJ1064" s="25"/>
      <c r="BK1064" s="25"/>
      <c r="BL1064" s="25"/>
      <c r="BM1064" s="25"/>
      <c r="BN1064" s="25"/>
      <c r="BO1064" s="25"/>
      <c r="BP1064" s="25"/>
    </row>
    <row r="1065">
      <c r="A1065" s="25"/>
      <c r="B1065" s="168"/>
      <c r="C1065" s="25"/>
      <c r="D1065" s="25"/>
      <c r="E1065" s="25"/>
      <c r="F1065" s="25"/>
      <c r="G1065" s="84"/>
      <c r="H1065" s="25"/>
      <c r="I1065" s="25"/>
      <c r="J1065" s="25"/>
      <c r="K1065" s="169"/>
      <c r="L1065" s="169"/>
      <c r="M1065" s="170" t="b">
        <v>0</v>
      </c>
      <c r="N1065" s="170" t="b">
        <v>0</v>
      </c>
      <c r="O1065" s="48"/>
      <c r="P1065" s="170" t="b">
        <v>0</v>
      </c>
      <c r="Q1065" s="170" t="b">
        <v>0</v>
      </c>
      <c r="R1065" s="170" t="b">
        <v>0</v>
      </c>
      <c r="S1065" s="48"/>
      <c r="T1065" s="60"/>
      <c r="U1065" s="170" t="b">
        <v>0</v>
      </c>
      <c r="V1065" s="170"/>
      <c r="W1065" s="170" t="b">
        <v>0</v>
      </c>
      <c r="X1065" s="170" t="b">
        <v>0</v>
      </c>
      <c r="Y1065" s="170"/>
      <c r="Z1065" s="170"/>
      <c r="AA1065" s="170"/>
      <c r="AB1065" s="170"/>
      <c r="AC1065" s="171"/>
      <c r="AD1065" s="170"/>
      <c r="AE1065" s="170"/>
      <c r="AF1065" s="170"/>
      <c r="AG1065" s="170"/>
      <c r="AH1065" s="170"/>
      <c r="AI1065" s="170"/>
      <c r="AJ1065" s="172"/>
      <c r="AK1065" s="50"/>
      <c r="AL1065" s="25"/>
      <c r="AM1065" s="25"/>
      <c r="AN1065" s="25"/>
      <c r="AO1065" s="165"/>
      <c r="AP1065" s="78"/>
      <c r="AQ1065" s="25"/>
      <c r="AR1065" s="25"/>
      <c r="AS1065" s="25"/>
      <c r="AT1065" s="25"/>
      <c r="AU1065" s="25"/>
      <c r="AV1065" s="25"/>
      <c r="AW1065" s="25"/>
      <c r="AX1065" s="25"/>
      <c r="AY1065" s="25"/>
      <c r="AZ1065" s="25"/>
      <c r="BA1065" s="25"/>
      <c r="BB1065" s="25"/>
      <c r="BC1065" s="25"/>
      <c r="BD1065" s="25"/>
      <c r="BE1065" s="25"/>
      <c r="BF1065" s="25"/>
      <c r="BG1065" s="25"/>
      <c r="BH1065" s="25"/>
      <c r="BI1065" s="25"/>
      <c r="BJ1065" s="25"/>
      <c r="BK1065" s="25"/>
      <c r="BL1065" s="25"/>
      <c r="BM1065" s="25"/>
      <c r="BN1065" s="25"/>
      <c r="BO1065" s="25"/>
      <c r="BP1065" s="25"/>
    </row>
    <row r="1066">
      <c r="A1066" s="25"/>
      <c r="B1066" s="168"/>
      <c r="C1066" s="25"/>
      <c r="D1066" s="25"/>
      <c r="E1066" s="25"/>
      <c r="F1066" s="25"/>
      <c r="G1066" s="84"/>
      <c r="H1066" s="25"/>
      <c r="I1066" s="25"/>
      <c r="J1066" s="25"/>
      <c r="K1066" s="169"/>
      <c r="L1066" s="169"/>
      <c r="M1066" s="170" t="b">
        <v>0</v>
      </c>
      <c r="N1066" s="170" t="b">
        <v>0</v>
      </c>
      <c r="O1066" s="48"/>
      <c r="P1066" s="170" t="b">
        <v>0</v>
      </c>
      <c r="Q1066" s="170" t="b">
        <v>0</v>
      </c>
      <c r="R1066" s="170" t="b">
        <v>0</v>
      </c>
      <c r="S1066" s="48"/>
      <c r="T1066" s="60"/>
      <c r="U1066" s="170" t="b">
        <v>0</v>
      </c>
      <c r="V1066" s="170"/>
      <c r="W1066" s="170" t="b">
        <v>0</v>
      </c>
      <c r="X1066" s="170" t="b">
        <v>0</v>
      </c>
      <c r="Y1066" s="170"/>
      <c r="Z1066" s="170"/>
      <c r="AA1066" s="170"/>
      <c r="AB1066" s="170"/>
      <c r="AC1066" s="171"/>
      <c r="AD1066" s="170"/>
      <c r="AE1066" s="170"/>
      <c r="AF1066" s="170"/>
      <c r="AG1066" s="170"/>
      <c r="AH1066" s="170"/>
      <c r="AI1066" s="170"/>
      <c r="AJ1066" s="172"/>
      <c r="AK1066" s="50"/>
      <c r="AL1066" s="25"/>
      <c r="AM1066" s="25"/>
      <c r="AN1066" s="25"/>
      <c r="AO1066" s="165"/>
      <c r="AP1066" s="78"/>
      <c r="AQ1066" s="25"/>
      <c r="AR1066" s="25"/>
      <c r="AS1066" s="25"/>
      <c r="AT1066" s="25"/>
      <c r="AU1066" s="25"/>
      <c r="AV1066" s="25"/>
      <c r="AW1066" s="25"/>
      <c r="AX1066" s="25"/>
      <c r="AY1066" s="25"/>
      <c r="AZ1066" s="25"/>
      <c r="BA1066" s="25"/>
      <c r="BB1066" s="25"/>
      <c r="BC1066" s="25"/>
      <c r="BD1066" s="25"/>
      <c r="BE1066" s="25"/>
      <c r="BF1066" s="25"/>
      <c r="BG1066" s="25"/>
      <c r="BH1066" s="25"/>
      <c r="BI1066" s="25"/>
      <c r="BJ1066" s="25"/>
      <c r="BK1066" s="25"/>
      <c r="BL1066" s="25"/>
      <c r="BM1066" s="25"/>
      <c r="BN1066" s="25"/>
      <c r="BO1066" s="25"/>
      <c r="BP1066" s="25"/>
    </row>
    <row r="1067">
      <c r="A1067" s="25"/>
      <c r="B1067" s="168"/>
      <c r="C1067" s="25"/>
      <c r="D1067" s="25"/>
      <c r="E1067" s="25"/>
      <c r="F1067" s="25"/>
      <c r="G1067" s="84"/>
      <c r="H1067" s="25"/>
      <c r="I1067" s="25"/>
      <c r="J1067" s="25"/>
      <c r="K1067" s="169"/>
      <c r="L1067" s="169"/>
      <c r="M1067" s="170" t="b">
        <v>0</v>
      </c>
      <c r="N1067" s="170" t="b">
        <v>0</v>
      </c>
      <c r="O1067" s="48"/>
      <c r="P1067" s="170" t="b">
        <v>0</v>
      </c>
      <c r="Q1067" s="170" t="b">
        <v>0</v>
      </c>
      <c r="R1067" s="170" t="b">
        <v>0</v>
      </c>
      <c r="S1067" s="48"/>
      <c r="T1067" s="60"/>
      <c r="U1067" s="170" t="b">
        <v>0</v>
      </c>
      <c r="V1067" s="170"/>
      <c r="W1067" s="170" t="b">
        <v>0</v>
      </c>
      <c r="X1067" s="170" t="b">
        <v>0</v>
      </c>
      <c r="Y1067" s="170"/>
      <c r="Z1067" s="170"/>
      <c r="AA1067" s="170"/>
      <c r="AB1067" s="170"/>
      <c r="AC1067" s="171"/>
      <c r="AD1067" s="170"/>
      <c r="AE1067" s="170"/>
      <c r="AF1067" s="170"/>
      <c r="AG1067" s="170"/>
      <c r="AH1067" s="170"/>
      <c r="AI1067" s="170"/>
      <c r="AJ1067" s="172"/>
      <c r="AK1067" s="50"/>
      <c r="AL1067" s="25"/>
      <c r="AM1067" s="25"/>
      <c r="AN1067" s="25"/>
      <c r="AO1067" s="165"/>
      <c r="AP1067" s="78"/>
      <c r="AQ1067" s="25"/>
      <c r="AR1067" s="25"/>
      <c r="AS1067" s="25"/>
      <c r="AT1067" s="25"/>
      <c r="AU1067" s="25"/>
      <c r="AV1067" s="25"/>
      <c r="AW1067" s="25"/>
      <c r="AX1067" s="25"/>
      <c r="AY1067" s="25"/>
      <c r="AZ1067" s="25"/>
      <c r="BA1067" s="25"/>
      <c r="BB1067" s="25"/>
      <c r="BC1067" s="25"/>
      <c r="BD1067" s="25"/>
      <c r="BE1067" s="25"/>
      <c r="BF1067" s="25"/>
      <c r="BG1067" s="25"/>
      <c r="BH1067" s="25"/>
      <c r="BI1067" s="25"/>
      <c r="BJ1067" s="25"/>
      <c r="BK1067" s="25"/>
      <c r="BL1067" s="25"/>
      <c r="BM1067" s="25"/>
      <c r="BN1067" s="25"/>
      <c r="BO1067" s="25"/>
      <c r="BP1067" s="25"/>
    </row>
    <row r="1068">
      <c r="A1068" s="25"/>
      <c r="B1068" s="168"/>
      <c r="C1068" s="25"/>
      <c r="D1068" s="25"/>
      <c r="E1068" s="25"/>
      <c r="F1068" s="25"/>
      <c r="G1068" s="84"/>
      <c r="H1068" s="25"/>
      <c r="I1068" s="25"/>
      <c r="J1068" s="25"/>
      <c r="K1068" s="169"/>
      <c r="L1068" s="169"/>
      <c r="M1068" s="170" t="b">
        <v>0</v>
      </c>
      <c r="N1068" s="170" t="b">
        <v>0</v>
      </c>
      <c r="O1068" s="48"/>
      <c r="P1068" s="170" t="b">
        <v>0</v>
      </c>
      <c r="Q1068" s="170" t="b">
        <v>0</v>
      </c>
      <c r="R1068" s="170" t="b">
        <v>0</v>
      </c>
      <c r="S1068" s="48"/>
      <c r="T1068" s="60"/>
      <c r="U1068" s="170" t="b">
        <v>0</v>
      </c>
      <c r="V1068" s="170"/>
      <c r="W1068" s="170" t="b">
        <v>0</v>
      </c>
      <c r="X1068" s="170" t="b">
        <v>0</v>
      </c>
      <c r="Y1068" s="170"/>
      <c r="Z1068" s="170"/>
      <c r="AA1068" s="170"/>
      <c r="AB1068" s="170"/>
      <c r="AC1068" s="171"/>
      <c r="AD1068" s="170"/>
      <c r="AE1068" s="170"/>
      <c r="AF1068" s="170"/>
      <c r="AG1068" s="170"/>
      <c r="AH1068" s="170"/>
      <c r="AI1068" s="170"/>
      <c r="AJ1068" s="172"/>
      <c r="AK1068" s="50"/>
      <c r="AL1068" s="25"/>
      <c r="AM1068" s="25"/>
      <c r="AN1068" s="25"/>
      <c r="AO1068" s="165"/>
      <c r="AP1068" s="78"/>
      <c r="AQ1068" s="25"/>
      <c r="AR1068" s="25"/>
      <c r="AS1068" s="25"/>
      <c r="AT1068" s="25"/>
      <c r="AU1068" s="25"/>
      <c r="AV1068" s="25"/>
      <c r="AW1068" s="25"/>
      <c r="AX1068" s="25"/>
      <c r="AY1068" s="25"/>
      <c r="AZ1068" s="25"/>
      <c r="BA1068" s="25"/>
      <c r="BB1068" s="25"/>
      <c r="BC1068" s="25"/>
      <c r="BD1068" s="25"/>
      <c r="BE1068" s="25"/>
      <c r="BF1068" s="25"/>
      <c r="BG1068" s="25"/>
      <c r="BH1068" s="25"/>
      <c r="BI1068" s="25"/>
      <c r="BJ1068" s="25"/>
      <c r="BK1068" s="25"/>
      <c r="BL1068" s="25"/>
      <c r="BM1068" s="25"/>
      <c r="BN1068" s="25"/>
      <c r="BO1068" s="25"/>
      <c r="BP1068" s="25"/>
    </row>
    <row r="1069">
      <c r="A1069" s="25"/>
      <c r="B1069" s="168"/>
      <c r="C1069" s="25"/>
      <c r="D1069" s="25"/>
      <c r="E1069" s="25"/>
      <c r="F1069" s="25"/>
      <c r="G1069" s="84"/>
      <c r="H1069" s="25"/>
      <c r="I1069" s="25"/>
      <c r="J1069" s="25"/>
      <c r="K1069" s="169"/>
      <c r="L1069" s="169"/>
      <c r="M1069" s="170" t="b">
        <v>0</v>
      </c>
      <c r="N1069" s="170" t="b">
        <v>0</v>
      </c>
      <c r="O1069" s="48"/>
      <c r="P1069" s="170" t="b">
        <v>0</v>
      </c>
      <c r="Q1069" s="170" t="b">
        <v>0</v>
      </c>
      <c r="R1069" s="170" t="b">
        <v>0</v>
      </c>
      <c r="S1069" s="48"/>
      <c r="T1069" s="60"/>
      <c r="U1069" s="170" t="b">
        <v>0</v>
      </c>
      <c r="V1069" s="170"/>
      <c r="W1069" s="170" t="b">
        <v>0</v>
      </c>
      <c r="X1069" s="170" t="b">
        <v>0</v>
      </c>
      <c r="Y1069" s="170"/>
      <c r="Z1069" s="170"/>
      <c r="AA1069" s="170"/>
      <c r="AB1069" s="170"/>
      <c r="AC1069" s="171"/>
      <c r="AD1069" s="170"/>
      <c r="AE1069" s="170"/>
      <c r="AF1069" s="170"/>
      <c r="AG1069" s="170"/>
      <c r="AH1069" s="170"/>
      <c r="AI1069" s="170"/>
      <c r="AJ1069" s="172"/>
      <c r="AK1069" s="50"/>
      <c r="AL1069" s="25"/>
      <c r="AM1069" s="25"/>
      <c r="AN1069" s="25"/>
      <c r="AO1069" s="165"/>
      <c r="AP1069" s="78"/>
      <c r="AQ1069" s="25"/>
      <c r="AR1069" s="25"/>
      <c r="AS1069" s="25"/>
      <c r="AT1069" s="25"/>
      <c r="AU1069" s="25"/>
      <c r="AV1069" s="25"/>
      <c r="AW1069" s="25"/>
      <c r="AX1069" s="25"/>
      <c r="AY1069" s="25"/>
      <c r="AZ1069" s="25"/>
      <c r="BA1069" s="25"/>
      <c r="BB1069" s="25"/>
      <c r="BC1069" s="25"/>
      <c r="BD1069" s="25"/>
      <c r="BE1069" s="25"/>
      <c r="BF1069" s="25"/>
      <c r="BG1069" s="25"/>
      <c r="BH1069" s="25"/>
      <c r="BI1069" s="25"/>
      <c r="BJ1069" s="25"/>
      <c r="BK1069" s="25"/>
      <c r="BL1069" s="25"/>
      <c r="BM1069" s="25"/>
      <c r="BN1069" s="25"/>
      <c r="BO1069" s="25"/>
      <c r="BP1069" s="25"/>
    </row>
    <row r="1070">
      <c r="A1070" s="25"/>
      <c r="B1070" s="168"/>
      <c r="C1070" s="25"/>
      <c r="D1070" s="25"/>
      <c r="E1070" s="25"/>
      <c r="F1070" s="25"/>
      <c r="G1070" s="84"/>
      <c r="H1070" s="25"/>
      <c r="I1070" s="25"/>
      <c r="J1070" s="25"/>
      <c r="K1070" s="169"/>
      <c r="L1070" s="169"/>
      <c r="M1070" s="170" t="b">
        <v>0</v>
      </c>
      <c r="N1070" s="170" t="b">
        <v>0</v>
      </c>
      <c r="O1070" s="48"/>
      <c r="P1070" s="170" t="b">
        <v>0</v>
      </c>
      <c r="Q1070" s="170" t="b">
        <v>0</v>
      </c>
      <c r="R1070" s="170" t="b">
        <v>0</v>
      </c>
      <c r="S1070" s="48"/>
      <c r="T1070" s="60"/>
      <c r="U1070" s="170" t="b">
        <v>0</v>
      </c>
      <c r="V1070" s="170"/>
      <c r="W1070" s="170" t="b">
        <v>0</v>
      </c>
      <c r="X1070" s="170" t="b">
        <v>0</v>
      </c>
      <c r="Y1070" s="170"/>
      <c r="Z1070" s="170"/>
      <c r="AA1070" s="170"/>
      <c r="AB1070" s="170"/>
      <c r="AC1070" s="171"/>
      <c r="AD1070" s="170"/>
      <c r="AE1070" s="170"/>
      <c r="AF1070" s="170"/>
      <c r="AG1070" s="170"/>
      <c r="AH1070" s="170"/>
      <c r="AI1070" s="170"/>
      <c r="AJ1070" s="172"/>
      <c r="AK1070" s="50"/>
      <c r="AL1070" s="25"/>
      <c r="AM1070" s="25"/>
      <c r="AN1070" s="25"/>
      <c r="AO1070" s="165"/>
      <c r="AP1070" s="78"/>
      <c r="AQ1070" s="25"/>
      <c r="AR1070" s="25"/>
      <c r="AS1070" s="25"/>
      <c r="AT1070" s="25"/>
      <c r="AU1070" s="25"/>
      <c r="AV1070" s="25"/>
      <c r="AW1070" s="25"/>
      <c r="AX1070" s="25"/>
      <c r="AY1070" s="25"/>
      <c r="AZ1070" s="25"/>
      <c r="BA1070" s="25"/>
      <c r="BB1070" s="25"/>
      <c r="BC1070" s="25"/>
      <c r="BD1070" s="25"/>
      <c r="BE1070" s="25"/>
      <c r="BF1070" s="25"/>
      <c r="BG1070" s="25"/>
      <c r="BH1070" s="25"/>
      <c r="BI1070" s="25"/>
      <c r="BJ1070" s="25"/>
      <c r="BK1070" s="25"/>
      <c r="BL1070" s="25"/>
      <c r="BM1070" s="25"/>
      <c r="BN1070" s="25"/>
      <c r="BO1070" s="25"/>
      <c r="BP1070" s="25"/>
    </row>
    <row r="1071">
      <c r="A1071" s="25"/>
      <c r="B1071" s="168"/>
      <c r="C1071" s="25"/>
      <c r="D1071" s="25"/>
      <c r="E1071" s="25"/>
      <c r="F1071" s="25"/>
      <c r="G1071" s="84"/>
      <c r="H1071" s="25"/>
      <c r="I1071" s="25"/>
      <c r="J1071" s="25"/>
      <c r="K1071" s="169"/>
      <c r="L1071" s="169"/>
      <c r="M1071" s="170" t="b">
        <v>0</v>
      </c>
      <c r="N1071" s="170" t="b">
        <v>0</v>
      </c>
      <c r="O1071" s="48"/>
      <c r="P1071" s="170" t="b">
        <v>0</v>
      </c>
      <c r="Q1071" s="170" t="b">
        <v>0</v>
      </c>
      <c r="R1071" s="170" t="b">
        <v>0</v>
      </c>
      <c r="S1071" s="48"/>
      <c r="T1071" s="60"/>
      <c r="U1071" s="170" t="b">
        <v>0</v>
      </c>
      <c r="V1071" s="170"/>
      <c r="W1071" s="170" t="b">
        <v>0</v>
      </c>
      <c r="X1071" s="170" t="b">
        <v>0</v>
      </c>
      <c r="Y1071" s="170"/>
      <c r="Z1071" s="170"/>
      <c r="AA1071" s="170"/>
      <c r="AB1071" s="170"/>
      <c r="AC1071" s="171"/>
      <c r="AD1071" s="170"/>
      <c r="AE1071" s="170"/>
      <c r="AF1071" s="170"/>
      <c r="AG1071" s="170"/>
      <c r="AH1071" s="170"/>
      <c r="AI1071" s="170"/>
      <c r="AJ1071" s="172"/>
      <c r="AK1071" s="50"/>
      <c r="AL1071" s="25"/>
      <c r="AM1071" s="25"/>
      <c r="AN1071" s="25"/>
      <c r="AO1071" s="165"/>
      <c r="AP1071" s="78"/>
      <c r="AQ1071" s="25"/>
      <c r="AR1071" s="25"/>
      <c r="AS1071" s="25"/>
      <c r="AT1071" s="25"/>
      <c r="AU1071" s="25"/>
      <c r="AV1071" s="25"/>
      <c r="AW1071" s="25"/>
      <c r="AX1071" s="25"/>
      <c r="AY1071" s="25"/>
      <c r="AZ1071" s="25"/>
      <c r="BA1071" s="25"/>
      <c r="BB1071" s="25"/>
      <c r="BC1071" s="25"/>
      <c r="BD1071" s="25"/>
      <c r="BE1071" s="25"/>
      <c r="BF1071" s="25"/>
      <c r="BG1071" s="25"/>
      <c r="BH1071" s="25"/>
      <c r="BI1071" s="25"/>
      <c r="BJ1071" s="25"/>
      <c r="BK1071" s="25"/>
      <c r="BL1071" s="25"/>
      <c r="BM1071" s="25"/>
      <c r="BN1071" s="25"/>
      <c r="BO1071" s="25"/>
      <c r="BP1071" s="25"/>
    </row>
    <row r="1072">
      <c r="A1072" s="25"/>
      <c r="B1072" s="168"/>
      <c r="C1072" s="25"/>
      <c r="D1072" s="25"/>
      <c r="E1072" s="25"/>
      <c r="F1072" s="25"/>
      <c r="G1072" s="84"/>
      <c r="H1072" s="25"/>
      <c r="I1072" s="25"/>
      <c r="J1072" s="25"/>
      <c r="K1072" s="169"/>
      <c r="L1072" s="169"/>
      <c r="M1072" s="170" t="b">
        <v>0</v>
      </c>
      <c r="N1072" s="170" t="b">
        <v>0</v>
      </c>
      <c r="O1072" s="48"/>
      <c r="P1072" s="170" t="b">
        <v>0</v>
      </c>
      <c r="Q1072" s="170" t="b">
        <v>0</v>
      </c>
      <c r="R1072" s="170" t="b">
        <v>0</v>
      </c>
      <c r="S1072" s="48"/>
      <c r="T1072" s="60"/>
      <c r="U1072" s="170" t="b">
        <v>0</v>
      </c>
      <c r="V1072" s="170"/>
      <c r="W1072" s="170" t="b">
        <v>0</v>
      </c>
      <c r="X1072" s="170" t="b">
        <v>0</v>
      </c>
      <c r="Y1072" s="170"/>
      <c r="Z1072" s="170"/>
      <c r="AA1072" s="170"/>
      <c r="AB1072" s="170"/>
      <c r="AC1072" s="171"/>
      <c r="AD1072" s="170"/>
      <c r="AE1072" s="170"/>
      <c r="AF1072" s="170"/>
      <c r="AG1072" s="170"/>
      <c r="AH1072" s="170"/>
      <c r="AI1072" s="170"/>
      <c r="AJ1072" s="172"/>
      <c r="AK1072" s="50"/>
      <c r="AL1072" s="25"/>
      <c r="AM1072" s="25"/>
      <c r="AN1072" s="25"/>
      <c r="AO1072" s="165"/>
      <c r="AP1072" s="78"/>
      <c r="AQ1072" s="25"/>
      <c r="AR1072" s="25"/>
      <c r="AS1072" s="25"/>
      <c r="AT1072" s="25"/>
      <c r="AU1072" s="25"/>
      <c r="AV1072" s="25"/>
      <c r="AW1072" s="25"/>
      <c r="AX1072" s="25"/>
      <c r="AY1072" s="25"/>
      <c r="AZ1072" s="25"/>
      <c r="BA1072" s="25"/>
      <c r="BB1072" s="25"/>
      <c r="BC1072" s="25"/>
      <c r="BD1072" s="25"/>
      <c r="BE1072" s="25"/>
      <c r="BF1072" s="25"/>
      <c r="BG1072" s="25"/>
      <c r="BH1072" s="25"/>
      <c r="BI1072" s="25"/>
      <c r="BJ1072" s="25"/>
      <c r="BK1072" s="25"/>
      <c r="BL1072" s="25"/>
      <c r="BM1072" s="25"/>
      <c r="BN1072" s="25"/>
      <c r="BO1072" s="25"/>
      <c r="BP1072" s="25"/>
    </row>
    <row r="1073">
      <c r="A1073" s="25"/>
      <c r="B1073" s="168"/>
      <c r="C1073" s="25"/>
      <c r="D1073" s="25"/>
      <c r="E1073" s="25"/>
      <c r="F1073" s="25"/>
      <c r="G1073" s="84"/>
      <c r="H1073" s="25"/>
      <c r="I1073" s="25"/>
      <c r="J1073" s="25"/>
      <c r="K1073" s="169"/>
      <c r="L1073" s="169"/>
      <c r="M1073" s="170" t="b">
        <v>0</v>
      </c>
      <c r="N1073" s="170" t="b">
        <v>0</v>
      </c>
      <c r="O1073" s="48"/>
      <c r="P1073" s="170" t="b">
        <v>0</v>
      </c>
      <c r="Q1073" s="170" t="b">
        <v>0</v>
      </c>
      <c r="R1073" s="170" t="b">
        <v>0</v>
      </c>
      <c r="S1073" s="48"/>
      <c r="T1073" s="60"/>
      <c r="U1073" s="170" t="b">
        <v>0</v>
      </c>
      <c r="V1073" s="170"/>
      <c r="W1073" s="170" t="b">
        <v>0</v>
      </c>
      <c r="X1073" s="170" t="b">
        <v>0</v>
      </c>
      <c r="Y1073" s="170"/>
      <c r="Z1073" s="170"/>
      <c r="AA1073" s="170"/>
      <c r="AB1073" s="170"/>
      <c r="AC1073" s="171"/>
      <c r="AD1073" s="170"/>
      <c r="AE1073" s="170"/>
      <c r="AF1073" s="170"/>
      <c r="AG1073" s="170"/>
      <c r="AH1073" s="170"/>
      <c r="AI1073" s="170"/>
      <c r="AJ1073" s="172"/>
      <c r="AK1073" s="50"/>
      <c r="AL1073" s="25"/>
      <c r="AM1073" s="25"/>
      <c r="AN1073" s="25"/>
      <c r="AO1073" s="165"/>
      <c r="AP1073" s="78"/>
      <c r="AQ1073" s="25"/>
      <c r="AR1073" s="25"/>
      <c r="AS1073" s="25"/>
      <c r="AT1073" s="25"/>
      <c r="AU1073" s="25"/>
      <c r="AV1073" s="25"/>
      <c r="AW1073" s="25"/>
      <c r="AX1073" s="25"/>
      <c r="AY1073" s="25"/>
      <c r="AZ1073" s="25"/>
      <c r="BA1073" s="25"/>
      <c r="BB1073" s="25"/>
      <c r="BC1073" s="25"/>
      <c r="BD1073" s="25"/>
      <c r="BE1073" s="25"/>
      <c r="BF1073" s="25"/>
      <c r="BG1073" s="25"/>
      <c r="BH1073" s="25"/>
      <c r="BI1073" s="25"/>
      <c r="BJ1073" s="25"/>
      <c r="BK1073" s="25"/>
      <c r="BL1073" s="25"/>
      <c r="BM1073" s="25"/>
      <c r="BN1073" s="25"/>
      <c r="BO1073" s="25"/>
      <c r="BP1073" s="25"/>
    </row>
    <row r="1074">
      <c r="A1074" s="25"/>
      <c r="B1074" s="168"/>
      <c r="C1074" s="25"/>
      <c r="D1074" s="25"/>
      <c r="E1074" s="25"/>
      <c r="F1074" s="25"/>
      <c r="G1074" s="84"/>
      <c r="H1074" s="25"/>
      <c r="I1074" s="25"/>
      <c r="J1074" s="25"/>
      <c r="K1074" s="169"/>
      <c r="L1074" s="169"/>
      <c r="M1074" s="170" t="b">
        <v>0</v>
      </c>
      <c r="N1074" s="170" t="b">
        <v>0</v>
      </c>
      <c r="O1074" s="48"/>
      <c r="P1074" s="170" t="b">
        <v>0</v>
      </c>
      <c r="Q1074" s="170" t="b">
        <v>0</v>
      </c>
      <c r="R1074" s="170" t="b">
        <v>0</v>
      </c>
      <c r="S1074" s="48"/>
      <c r="T1074" s="60"/>
      <c r="U1074" s="170" t="b">
        <v>0</v>
      </c>
      <c r="V1074" s="170"/>
      <c r="W1074" s="170" t="b">
        <v>0</v>
      </c>
      <c r="X1074" s="170" t="b">
        <v>0</v>
      </c>
      <c r="Y1074" s="170"/>
      <c r="Z1074" s="170"/>
      <c r="AA1074" s="170"/>
      <c r="AB1074" s="170"/>
      <c r="AC1074" s="171"/>
      <c r="AD1074" s="170"/>
      <c r="AE1074" s="170"/>
      <c r="AF1074" s="170"/>
      <c r="AG1074" s="170"/>
      <c r="AH1074" s="170"/>
      <c r="AI1074" s="170"/>
      <c r="AJ1074" s="172"/>
      <c r="AK1074" s="50"/>
      <c r="AL1074" s="25"/>
      <c r="AM1074" s="25"/>
      <c r="AN1074" s="25"/>
      <c r="AO1074" s="165"/>
      <c r="AP1074" s="78"/>
      <c r="AQ1074" s="25"/>
      <c r="AR1074" s="25"/>
      <c r="AS1074" s="25"/>
      <c r="AT1074" s="25"/>
      <c r="AU1074" s="25"/>
      <c r="AV1074" s="25"/>
      <c r="AW1074" s="25"/>
      <c r="AX1074" s="25"/>
      <c r="AY1074" s="25"/>
      <c r="AZ1074" s="25"/>
      <c r="BA1074" s="25"/>
      <c r="BB1074" s="25"/>
      <c r="BC1074" s="25"/>
      <c r="BD1074" s="25"/>
      <c r="BE1074" s="25"/>
      <c r="BF1074" s="25"/>
      <c r="BG1074" s="25"/>
      <c r="BH1074" s="25"/>
      <c r="BI1074" s="25"/>
      <c r="BJ1074" s="25"/>
      <c r="BK1074" s="25"/>
      <c r="BL1074" s="25"/>
      <c r="BM1074" s="25"/>
      <c r="BN1074" s="25"/>
      <c r="BO1074" s="25"/>
      <c r="BP1074" s="25"/>
    </row>
    <row r="1075">
      <c r="A1075" s="25"/>
      <c r="B1075" s="168"/>
      <c r="C1075" s="25"/>
      <c r="D1075" s="25"/>
      <c r="E1075" s="25"/>
      <c r="F1075" s="25"/>
      <c r="G1075" s="84"/>
      <c r="H1075" s="25"/>
      <c r="I1075" s="25"/>
      <c r="J1075" s="25"/>
      <c r="K1075" s="169"/>
      <c r="L1075" s="169"/>
      <c r="M1075" s="170" t="b">
        <v>0</v>
      </c>
      <c r="N1075" s="170" t="b">
        <v>0</v>
      </c>
      <c r="O1075" s="48"/>
      <c r="P1075" s="170" t="b">
        <v>0</v>
      </c>
      <c r="Q1075" s="170" t="b">
        <v>0</v>
      </c>
      <c r="R1075" s="170" t="b">
        <v>0</v>
      </c>
      <c r="S1075" s="48"/>
      <c r="T1075" s="60"/>
      <c r="U1075" s="170" t="b">
        <v>0</v>
      </c>
      <c r="V1075" s="170"/>
      <c r="W1075" s="170" t="b">
        <v>0</v>
      </c>
      <c r="X1075" s="170" t="b">
        <v>0</v>
      </c>
      <c r="Y1075" s="170"/>
      <c r="Z1075" s="170"/>
      <c r="AA1075" s="170"/>
      <c r="AB1075" s="170"/>
      <c r="AC1075" s="171"/>
      <c r="AD1075" s="170"/>
      <c r="AE1075" s="170"/>
      <c r="AF1075" s="170"/>
      <c r="AG1075" s="170"/>
      <c r="AH1075" s="170"/>
      <c r="AI1075" s="170"/>
      <c r="AJ1075" s="172"/>
      <c r="AK1075" s="50"/>
      <c r="AL1075" s="25"/>
      <c r="AM1075" s="25"/>
      <c r="AN1075" s="25"/>
      <c r="AO1075" s="165"/>
      <c r="AP1075" s="78"/>
      <c r="AQ1075" s="25"/>
      <c r="AR1075" s="25"/>
      <c r="AS1075" s="25"/>
      <c r="AT1075" s="25"/>
      <c r="AU1075" s="25"/>
      <c r="AV1075" s="25"/>
      <c r="AW1075" s="25"/>
      <c r="AX1075" s="25"/>
      <c r="AY1075" s="25"/>
      <c r="AZ1075" s="25"/>
      <c r="BA1075" s="25"/>
      <c r="BB1075" s="25"/>
      <c r="BC1075" s="25"/>
      <c r="BD1075" s="25"/>
      <c r="BE1075" s="25"/>
      <c r="BF1075" s="25"/>
      <c r="BG1075" s="25"/>
      <c r="BH1075" s="25"/>
      <c r="BI1075" s="25"/>
      <c r="BJ1075" s="25"/>
      <c r="BK1075" s="25"/>
      <c r="BL1075" s="25"/>
      <c r="BM1075" s="25"/>
      <c r="BN1075" s="25"/>
      <c r="BO1075" s="25"/>
      <c r="BP1075" s="25"/>
    </row>
    <row r="1076">
      <c r="A1076" s="25"/>
      <c r="B1076" s="168"/>
      <c r="C1076" s="25"/>
      <c r="D1076" s="25"/>
      <c r="E1076" s="25"/>
      <c r="F1076" s="25"/>
      <c r="G1076" s="84"/>
      <c r="H1076" s="25"/>
      <c r="I1076" s="25"/>
      <c r="J1076" s="25"/>
      <c r="K1076" s="169"/>
      <c r="L1076" s="169"/>
      <c r="M1076" s="170" t="b">
        <v>0</v>
      </c>
      <c r="N1076" s="170" t="b">
        <v>0</v>
      </c>
      <c r="O1076" s="48"/>
      <c r="P1076" s="170" t="b">
        <v>0</v>
      </c>
      <c r="Q1076" s="170" t="b">
        <v>0</v>
      </c>
      <c r="R1076" s="170" t="b">
        <v>0</v>
      </c>
      <c r="S1076" s="48"/>
      <c r="T1076" s="60"/>
      <c r="U1076" s="170" t="b">
        <v>0</v>
      </c>
      <c r="V1076" s="170"/>
      <c r="W1076" s="170" t="b">
        <v>0</v>
      </c>
      <c r="X1076" s="170" t="b">
        <v>0</v>
      </c>
      <c r="Y1076" s="170"/>
      <c r="Z1076" s="170"/>
      <c r="AA1076" s="170"/>
      <c r="AB1076" s="170"/>
      <c r="AC1076" s="171"/>
      <c r="AD1076" s="170"/>
      <c r="AE1076" s="170"/>
      <c r="AF1076" s="170"/>
      <c r="AG1076" s="170"/>
      <c r="AH1076" s="170"/>
      <c r="AI1076" s="170"/>
      <c r="AJ1076" s="172"/>
      <c r="AK1076" s="50"/>
      <c r="AL1076" s="25"/>
      <c r="AM1076" s="25"/>
      <c r="AN1076" s="25"/>
      <c r="AO1076" s="165"/>
      <c r="AP1076" s="78"/>
      <c r="AQ1076" s="25"/>
      <c r="AR1076" s="25"/>
      <c r="AS1076" s="25"/>
      <c r="AT1076" s="25"/>
      <c r="AU1076" s="25"/>
      <c r="AV1076" s="25"/>
      <c r="AW1076" s="25"/>
      <c r="AX1076" s="25"/>
      <c r="AY1076" s="25"/>
      <c r="AZ1076" s="25"/>
      <c r="BA1076" s="25"/>
      <c r="BB1076" s="25"/>
      <c r="BC1076" s="25"/>
      <c r="BD1076" s="25"/>
      <c r="BE1076" s="25"/>
      <c r="BF1076" s="25"/>
      <c r="BG1076" s="25"/>
      <c r="BH1076" s="25"/>
      <c r="BI1076" s="25"/>
      <c r="BJ1076" s="25"/>
      <c r="BK1076" s="25"/>
      <c r="BL1076" s="25"/>
      <c r="BM1076" s="25"/>
      <c r="BN1076" s="25"/>
      <c r="BO1076" s="25"/>
      <c r="BP1076" s="25"/>
    </row>
    <row r="1077">
      <c r="A1077" s="25"/>
      <c r="B1077" s="168"/>
      <c r="C1077" s="25"/>
      <c r="D1077" s="25"/>
      <c r="E1077" s="25"/>
      <c r="F1077" s="25"/>
      <c r="G1077" s="84"/>
      <c r="H1077" s="25"/>
      <c r="I1077" s="25"/>
      <c r="J1077" s="25"/>
      <c r="K1077" s="169"/>
      <c r="L1077" s="169"/>
      <c r="M1077" s="170" t="b">
        <v>0</v>
      </c>
      <c r="N1077" s="170" t="b">
        <v>0</v>
      </c>
      <c r="O1077" s="48"/>
      <c r="P1077" s="170" t="b">
        <v>0</v>
      </c>
      <c r="Q1077" s="170" t="b">
        <v>0</v>
      </c>
      <c r="R1077" s="170" t="b">
        <v>0</v>
      </c>
      <c r="S1077" s="48"/>
      <c r="T1077" s="60"/>
      <c r="U1077" s="170" t="b">
        <v>0</v>
      </c>
      <c r="V1077" s="170"/>
      <c r="W1077" s="170" t="b">
        <v>0</v>
      </c>
      <c r="X1077" s="170" t="b">
        <v>0</v>
      </c>
      <c r="Y1077" s="170"/>
      <c r="Z1077" s="170"/>
      <c r="AA1077" s="170"/>
      <c r="AB1077" s="170"/>
      <c r="AC1077" s="171"/>
      <c r="AD1077" s="170"/>
      <c r="AE1077" s="170"/>
      <c r="AF1077" s="170"/>
      <c r="AG1077" s="170"/>
      <c r="AH1077" s="170"/>
      <c r="AI1077" s="170"/>
      <c r="AJ1077" s="172"/>
      <c r="AK1077" s="50"/>
      <c r="AL1077" s="25"/>
      <c r="AM1077" s="25"/>
      <c r="AN1077" s="25"/>
      <c r="AO1077" s="165"/>
      <c r="AP1077" s="78"/>
      <c r="AQ1077" s="25"/>
      <c r="AR1077" s="25"/>
      <c r="AS1077" s="25"/>
      <c r="AT1077" s="25"/>
      <c r="AU1077" s="25"/>
      <c r="AV1077" s="25"/>
      <c r="AW1077" s="25"/>
      <c r="AX1077" s="25"/>
      <c r="AY1077" s="25"/>
      <c r="AZ1077" s="25"/>
      <c r="BA1077" s="25"/>
      <c r="BB1077" s="25"/>
      <c r="BC1077" s="25"/>
      <c r="BD1077" s="25"/>
      <c r="BE1077" s="25"/>
      <c r="BF1077" s="25"/>
      <c r="BG1077" s="25"/>
      <c r="BH1077" s="25"/>
      <c r="BI1077" s="25"/>
      <c r="BJ1077" s="25"/>
      <c r="BK1077" s="25"/>
      <c r="BL1077" s="25"/>
      <c r="BM1077" s="25"/>
      <c r="BN1077" s="25"/>
      <c r="BO1077" s="25"/>
      <c r="BP1077" s="25"/>
    </row>
    <row r="1078">
      <c r="A1078" s="25"/>
      <c r="B1078" s="168"/>
      <c r="C1078" s="25"/>
      <c r="D1078" s="25"/>
      <c r="E1078" s="25"/>
      <c r="F1078" s="25"/>
      <c r="G1078" s="84"/>
      <c r="H1078" s="25"/>
      <c r="I1078" s="25"/>
      <c r="J1078" s="25"/>
      <c r="K1078" s="169"/>
      <c r="L1078" s="169"/>
      <c r="M1078" s="170" t="b">
        <v>0</v>
      </c>
      <c r="N1078" s="170" t="b">
        <v>0</v>
      </c>
      <c r="O1078" s="48"/>
      <c r="P1078" s="170" t="b">
        <v>0</v>
      </c>
      <c r="Q1078" s="170" t="b">
        <v>0</v>
      </c>
      <c r="R1078" s="170" t="b">
        <v>0</v>
      </c>
      <c r="S1078" s="48"/>
      <c r="T1078" s="60"/>
      <c r="U1078" s="170" t="b">
        <v>0</v>
      </c>
      <c r="V1078" s="170"/>
      <c r="W1078" s="170" t="b">
        <v>0</v>
      </c>
      <c r="X1078" s="170" t="b">
        <v>0</v>
      </c>
      <c r="Y1078" s="170"/>
      <c r="Z1078" s="170"/>
      <c r="AA1078" s="170"/>
      <c r="AB1078" s="170"/>
      <c r="AC1078" s="171"/>
      <c r="AD1078" s="170"/>
      <c r="AE1078" s="170"/>
      <c r="AF1078" s="170"/>
      <c r="AG1078" s="170"/>
      <c r="AH1078" s="170"/>
      <c r="AI1078" s="170"/>
      <c r="AJ1078" s="172"/>
      <c r="AK1078" s="50"/>
      <c r="AL1078" s="25"/>
      <c r="AM1078" s="25"/>
      <c r="AN1078" s="25"/>
      <c r="AO1078" s="165"/>
      <c r="AP1078" s="78"/>
      <c r="AQ1078" s="25"/>
      <c r="AR1078" s="25"/>
      <c r="AS1078" s="25"/>
      <c r="AT1078" s="25"/>
      <c r="AU1078" s="25"/>
      <c r="AV1078" s="25"/>
      <c r="AW1078" s="25"/>
      <c r="AX1078" s="25"/>
      <c r="AY1078" s="25"/>
      <c r="AZ1078" s="25"/>
      <c r="BA1078" s="25"/>
      <c r="BB1078" s="25"/>
      <c r="BC1078" s="25"/>
      <c r="BD1078" s="25"/>
      <c r="BE1078" s="25"/>
      <c r="BF1078" s="25"/>
      <c r="BG1078" s="25"/>
      <c r="BH1078" s="25"/>
      <c r="BI1078" s="25"/>
      <c r="BJ1078" s="25"/>
      <c r="BK1078" s="25"/>
      <c r="BL1078" s="25"/>
      <c r="BM1078" s="25"/>
      <c r="BN1078" s="25"/>
      <c r="BO1078" s="25"/>
      <c r="BP1078" s="25"/>
    </row>
    <row r="1079">
      <c r="A1079" s="25"/>
      <c r="B1079" s="168"/>
      <c r="C1079" s="25"/>
      <c r="D1079" s="25"/>
      <c r="E1079" s="25"/>
      <c r="F1079" s="25"/>
      <c r="G1079" s="84"/>
      <c r="H1079" s="25"/>
      <c r="I1079" s="25"/>
      <c r="J1079" s="25"/>
      <c r="K1079" s="169"/>
      <c r="L1079" s="169"/>
      <c r="M1079" s="170" t="b">
        <v>0</v>
      </c>
      <c r="N1079" s="170" t="b">
        <v>0</v>
      </c>
      <c r="O1079" s="48"/>
      <c r="P1079" s="170" t="b">
        <v>0</v>
      </c>
      <c r="Q1079" s="170" t="b">
        <v>0</v>
      </c>
      <c r="R1079" s="170" t="b">
        <v>0</v>
      </c>
      <c r="S1079" s="48"/>
      <c r="T1079" s="60"/>
      <c r="U1079" s="170" t="b">
        <v>0</v>
      </c>
      <c r="V1079" s="170"/>
      <c r="W1079" s="170" t="b">
        <v>0</v>
      </c>
      <c r="X1079" s="170" t="b">
        <v>0</v>
      </c>
      <c r="Y1079" s="170"/>
      <c r="Z1079" s="170"/>
      <c r="AA1079" s="170"/>
      <c r="AB1079" s="170"/>
      <c r="AC1079" s="171"/>
      <c r="AD1079" s="170"/>
      <c r="AE1079" s="170"/>
      <c r="AF1079" s="170"/>
      <c r="AG1079" s="170"/>
      <c r="AH1079" s="170"/>
      <c r="AI1079" s="170"/>
      <c r="AJ1079" s="172"/>
      <c r="AK1079" s="50"/>
      <c r="AL1079" s="25"/>
      <c r="AM1079" s="25"/>
      <c r="AN1079" s="25"/>
      <c r="AO1079" s="165"/>
      <c r="AP1079" s="78"/>
      <c r="AQ1079" s="25"/>
      <c r="AR1079" s="25"/>
      <c r="AS1079" s="25"/>
      <c r="AT1079" s="25"/>
      <c r="AU1079" s="25"/>
      <c r="AV1079" s="25"/>
      <c r="AW1079" s="25"/>
      <c r="AX1079" s="25"/>
      <c r="AY1079" s="25"/>
      <c r="AZ1079" s="25"/>
      <c r="BA1079" s="25"/>
      <c r="BB1079" s="25"/>
      <c r="BC1079" s="25"/>
      <c r="BD1079" s="25"/>
      <c r="BE1079" s="25"/>
      <c r="BF1079" s="25"/>
      <c r="BG1079" s="25"/>
      <c r="BH1079" s="25"/>
      <c r="BI1079" s="25"/>
      <c r="BJ1079" s="25"/>
      <c r="BK1079" s="25"/>
      <c r="BL1079" s="25"/>
      <c r="BM1079" s="25"/>
      <c r="BN1079" s="25"/>
      <c r="BO1079" s="25"/>
      <c r="BP1079" s="25"/>
    </row>
    <row r="1080">
      <c r="A1080" s="25"/>
      <c r="B1080" s="168"/>
      <c r="C1080" s="25"/>
      <c r="D1080" s="25"/>
      <c r="E1080" s="25"/>
      <c r="F1080" s="25"/>
      <c r="G1080" s="84"/>
      <c r="H1080" s="25"/>
      <c r="I1080" s="25"/>
      <c r="J1080" s="25"/>
      <c r="K1080" s="169"/>
      <c r="L1080" s="169"/>
      <c r="M1080" s="170" t="b">
        <v>0</v>
      </c>
      <c r="N1080" s="170" t="b">
        <v>0</v>
      </c>
      <c r="O1080" s="48"/>
      <c r="P1080" s="170" t="b">
        <v>0</v>
      </c>
      <c r="Q1080" s="170" t="b">
        <v>0</v>
      </c>
      <c r="R1080" s="170" t="b">
        <v>0</v>
      </c>
      <c r="S1080" s="48"/>
      <c r="T1080" s="60"/>
      <c r="U1080" s="170" t="b">
        <v>0</v>
      </c>
      <c r="V1080" s="170"/>
      <c r="W1080" s="170" t="b">
        <v>0</v>
      </c>
      <c r="X1080" s="170" t="b">
        <v>0</v>
      </c>
      <c r="Y1080" s="170"/>
      <c r="Z1080" s="170"/>
      <c r="AA1080" s="170"/>
      <c r="AB1080" s="170"/>
      <c r="AC1080" s="171"/>
      <c r="AD1080" s="170"/>
      <c r="AE1080" s="170"/>
      <c r="AF1080" s="170"/>
      <c r="AG1080" s="170"/>
      <c r="AH1080" s="170"/>
      <c r="AI1080" s="170"/>
      <c r="AJ1080" s="172"/>
      <c r="AK1080" s="50"/>
      <c r="AL1080" s="25"/>
      <c r="AM1080" s="25"/>
      <c r="AN1080" s="25"/>
      <c r="AO1080" s="165"/>
      <c r="AP1080" s="78"/>
      <c r="AQ1080" s="25"/>
      <c r="AR1080" s="25"/>
      <c r="AS1080" s="25"/>
      <c r="AT1080" s="25"/>
      <c r="AU1080" s="25"/>
      <c r="AV1080" s="25"/>
      <c r="AW1080" s="25"/>
      <c r="AX1080" s="25"/>
      <c r="AY1080" s="25"/>
      <c r="AZ1080" s="25"/>
      <c r="BA1080" s="25"/>
      <c r="BB1080" s="25"/>
      <c r="BC1080" s="25"/>
      <c r="BD1080" s="25"/>
      <c r="BE1080" s="25"/>
      <c r="BF1080" s="25"/>
      <c r="BG1080" s="25"/>
      <c r="BH1080" s="25"/>
      <c r="BI1080" s="25"/>
      <c r="BJ1080" s="25"/>
      <c r="BK1080" s="25"/>
      <c r="BL1080" s="25"/>
      <c r="BM1080" s="25"/>
      <c r="BN1080" s="25"/>
      <c r="BO1080" s="25"/>
      <c r="BP1080" s="25"/>
    </row>
    <row r="1081">
      <c r="A1081" s="25"/>
      <c r="B1081" s="168"/>
      <c r="C1081" s="25"/>
      <c r="D1081" s="25"/>
      <c r="E1081" s="25"/>
      <c r="F1081" s="25"/>
      <c r="G1081" s="84"/>
      <c r="H1081" s="25"/>
      <c r="I1081" s="25"/>
      <c r="J1081" s="25"/>
      <c r="K1081" s="169"/>
      <c r="L1081" s="169"/>
      <c r="M1081" s="170" t="b">
        <v>0</v>
      </c>
      <c r="N1081" s="170" t="b">
        <v>0</v>
      </c>
      <c r="O1081" s="48"/>
      <c r="P1081" s="170" t="b">
        <v>0</v>
      </c>
      <c r="Q1081" s="170" t="b">
        <v>0</v>
      </c>
      <c r="R1081" s="170" t="b">
        <v>0</v>
      </c>
      <c r="S1081" s="48"/>
      <c r="T1081" s="60"/>
      <c r="U1081" s="170" t="b">
        <v>0</v>
      </c>
      <c r="V1081" s="170"/>
      <c r="W1081" s="170" t="b">
        <v>0</v>
      </c>
      <c r="X1081" s="170" t="b">
        <v>0</v>
      </c>
      <c r="Y1081" s="170"/>
      <c r="Z1081" s="170"/>
      <c r="AA1081" s="170"/>
      <c r="AB1081" s="170"/>
      <c r="AC1081" s="171"/>
      <c r="AD1081" s="170"/>
      <c r="AE1081" s="170"/>
      <c r="AF1081" s="170"/>
      <c r="AG1081" s="170"/>
      <c r="AH1081" s="170"/>
      <c r="AI1081" s="170"/>
      <c r="AJ1081" s="172"/>
      <c r="AK1081" s="50"/>
      <c r="AL1081" s="25"/>
      <c r="AM1081" s="25"/>
      <c r="AN1081" s="25"/>
      <c r="AO1081" s="165"/>
      <c r="AP1081" s="78"/>
      <c r="AQ1081" s="25"/>
      <c r="AR1081" s="25"/>
      <c r="AS1081" s="25"/>
      <c r="AT1081" s="25"/>
      <c r="AU1081" s="25"/>
      <c r="AV1081" s="25"/>
      <c r="AW1081" s="25"/>
      <c r="AX1081" s="25"/>
      <c r="AY1081" s="25"/>
      <c r="AZ1081" s="25"/>
      <c r="BA1081" s="25"/>
      <c r="BB1081" s="25"/>
      <c r="BC1081" s="25"/>
      <c r="BD1081" s="25"/>
      <c r="BE1081" s="25"/>
      <c r="BF1081" s="25"/>
      <c r="BG1081" s="25"/>
      <c r="BH1081" s="25"/>
      <c r="BI1081" s="25"/>
      <c r="BJ1081" s="25"/>
      <c r="BK1081" s="25"/>
      <c r="BL1081" s="25"/>
      <c r="BM1081" s="25"/>
      <c r="BN1081" s="25"/>
      <c r="BO1081" s="25"/>
      <c r="BP1081" s="25"/>
    </row>
    <row r="1082">
      <c r="A1082" s="25"/>
      <c r="B1082" s="168"/>
      <c r="C1082" s="25"/>
      <c r="D1082" s="25"/>
      <c r="E1082" s="25"/>
      <c r="F1082" s="25"/>
      <c r="G1082" s="84"/>
      <c r="H1082" s="25"/>
      <c r="I1082" s="25"/>
      <c r="J1082" s="25"/>
      <c r="K1082" s="169"/>
      <c r="L1082" s="169"/>
      <c r="M1082" s="170" t="b">
        <v>0</v>
      </c>
      <c r="N1082" s="170" t="b">
        <v>0</v>
      </c>
      <c r="O1082" s="48"/>
      <c r="P1082" s="170" t="b">
        <v>0</v>
      </c>
      <c r="Q1082" s="170" t="b">
        <v>0</v>
      </c>
      <c r="R1082" s="170" t="b">
        <v>0</v>
      </c>
      <c r="S1082" s="48"/>
      <c r="T1082" s="60"/>
      <c r="U1082" s="170" t="b">
        <v>0</v>
      </c>
      <c r="V1082" s="170"/>
      <c r="W1082" s="170" t="b">
        <v>0</v>
      </c>
      <c r="X1082" s="170" t="b">
        <v>0</v>
      </c>
      <c r="Y1082" s="170"/>
      <c r="Z1082" s="170"/>
      <c r="AA1082" s="170"/>
      <c r="AB1082" s="170"/>
      <c r="AC1082" s="171"/>
      <c r="AD1082" s="170"/>
      <c r="AE1082" s="170"/>
      <c r="AF1082" s="170"/>
      <c r="AG1082" s="170"/>
      <c r="AH1082" s="170"/>
      <c r="AI1082" s="170"/>
      <c r="AJ1082" s="172"/>
      <c r="AK1082" s="50"/>
      <c r="AL1082" s="25"/>
      <c r="AM1082" s="25"/>
      <c r="AN1082" s="25"/>
      <c r="AO1082" s="165"/>
      <c r="AP1082" s="78"/>
      <c r="AQ1082" s="25"/>
      <c r="AR1082" s="25"/>
      <c r="AS1082" s="25"/>
      <c r="AT1082" s="25"/>
      <c r="AU1082" s="25"/>
      <c r="AV1082" s="25"/>
      <c r="AW1082" s="25"/>
      <c r="AX1082" s="25"/>
      <c r="AY1082" s="25"/>
      <c r="AZ1082" s="25"/>
      <c r="BA1082" s="25"/>
      <c r="BB1082" s="25"/>
      <c r="BC1082" s="25"/>
      <c r="BD1082" s="25"/>
      <c r="BE1082" s="25"/>
      <c r="BF1082" s="25"/>
      <c r="BG1082" s="25"/>
      <c r="BH1082" s="25"/>
      <c r="BI1082" s="25"/>
      <c r="BJ1082" s="25"/>
      <c r="BK1082" s="25"/>
      <c r="BL1082" s="25"/>
      <c r="BM1082" s="25"/>
      <c r="BN1082" s="25"/>
      <c r="BO1082" s="25"/>
      <c r="BP1082" s="25"/>
    </row>
    <row r="1083">
      <c r="A1083" s="25"/>
      <c r="B1083" s="168"/>
      <c r="C1083" s="25"/>
      <c r="D1083" s="25"/>
      <c r="E1083" s="25"/>
      <c r="F1083" s="25"/>
      <c r="G1083" s="84"/>
      <c r="H1083" s="25"/>
      <c r="I1083" s="25"/>
      <c r="J1083" s="25"/>
      <c r="K1083" s="169"/>
      <c r="L1083" s="169"/>
      <c r="M1083" s="170" t="b">
        <v>0</v>
      </c>
      <c r="N1083" s="170" t="b">
        <v>0</v>
      </c>
      <c r="O1083" s="48"/>
      <c r="P1083" s="170" t="b">
        <v>0</v>
      </c>
      <c r="Q1083" s="170" t="b">
        <v>0</v>
      </c>
      <c r="R1083" s="170" t="b">
        <v>0</v>
      </c>
      <c r="S1083" s="48"/>
      <c r="T1083" s="60"/>
      <c r="U1083" s="170" t="b">
        <v>0</v>
      </c>
      <c r="V1083" s="170"/>
      <c r="W1083" s="170" t="b">
        <v>0</v>
      </c>
      <c r="X1083" s="170" t="b">
        <v>0</v>
      </c>
      <c r="Y1083" s="170"/>
      <c r="Z1083" s="170"/>
      <c r="AA1083" s="170"/>
      <c r="AB1083" s="170"/>
      <c r="AC1083" s="171"/>
      <c r="AD1083" s="170"/>
      <c r="AE1083" s="170"/>
      <c r="AF1083" s="170"/>
      <c r="AG1083" s="170"/>
      <c r="AH1083" s="170"/>
      <c r="AI1083" s="170"/>
      <c r="AJ1083" s="172"/>
      <c r="AK1083" s="50"/>
      <c r="AL1083" s="25"/>
      <c r="AM1083" s="25"/>
      <c r="AN1083" s="25"/>
      <c r="AO1083" s="165"/>
      <c r="AP1083" s="78"/>
      <c r="AQ1083" s="25"/>
      <c r="AR1083" s="25"/>
      <c r="AS1083" s="25"/>
      <c r="AT1083" s="25"/>
      <c r="AU1083" s="25"/>
      <c r="AV1083" s="25"/>
      <c r="AW1083" s="25"/>
      <c r="AX1083" s="25"/>
      <c r="AY1083" s="25"/>
      <c r="AZ1083" s="25"/>
      <c r="BA1083" s="25"/>
      <c r="BB1083" s="25"/>
      <c r="BC1083" s="25"/>
      <c r="BD1083" s="25"/>
      <c r="BE1083" s="25"/>
      <c r="BF1083" s="25"/>
      <c r="BG1083" s="25"/>
      <c r="BH1083" s="25"/>
      <c r="BI1083" s="25"/>
      <c r="BJ1083" s="25"/>
      <c r="BK1083" s="25"/>
      <c r="BL1083" s="25"/>
      <c r="BM1083" s="25"/>
      <c r="BN1083" s="25"/>
      <c r="BO1083" s="25"/>
      <c r="BP1083" s="25"/>
    </row>
    <row r="1084">
      <c r="A1084" s="25"/>
      <c r="B1084" s="168"/>
      <c r="C1084" s="25"/>
      <c r="D1084" s="25"/>
      <c r="E1084" s="25"/>
      <c r="F1084" s="25"/>
      <c r="G1084" s="84"/>
      <c r="H1084" s="25"/>
      <c r="I1084" s="25"/>
      <c r="J1084" s="25"/>
      <c r="K1084" s="169"/>
      <c r="L1084" s="169"/>
      <c r="M1084" s="170" t="b">
        <v>0</v>
      </c>
      <c r="N1084" s="170" t="b">
        <v>0</v>
      </c>
      <c r="O1084" s="48"/>
      <c r="P1084" s="170" t="b">
        <v>0</v>
      </c>
      <c r="Q1084" s="170" t="b">
        <v>0</v>
      </c>
      <c r="R1084" s="170" t="b">
        <v>0</v>
      </c>
      <c r="S1084" s="48"/>
      <c r="T1084" s="60"/>
      <c r="U1084" s="170" t="b">
        <v>0</v>
      </c>
      <c r="V1084" s="170"/>
      <c r="W1084" s="170" t="b">
        <v>0</v>
      </c>
      <c r="X1084" s="170" t="b">
        <v>0</v>
      </c>
      <c r="Y1084" s="170"/>
      <c r="Z1084" s="170"/>
      <c r="AA1084" s="170"/>
      <c r="AB1084" s="170"/>
      <c r="AC1084" s="171"/>
      <c r="AD1084" s="170"/>
      <c r="AE1084" s="170"/>
      <c r="AF1084" s="170"/>
      <c r="AG1084" s="170"/>
      <c r="AH1084" s="170"/>
      <c r="AI1084" s="170"/>
      <c r="AJ1084" s="172"/>
      <c r="AK1084" s="50"/>
      <c r="AL1084" s="25"/>
      <c r="AM1084" s="25"/>
      <c r="AN1084" s="25"/>
      <c r="AO1084" s="165"/>
      <c r="AP1084" s="78"/>
      <c r="AQ1084" s="25"/>
      <c r="AR1084" s="25"/>
      <c r="AS1084" s="25"/>
      <c r="AT1084" s="25"/>
      <c r="AU1084" s="25"/>
      <c r="AV1084" s="25"/>
      <c r="AW1084" s="25"/>
      <c r="AX1084" s="25"/>
      <c r="AY1084" s="25"/>
      <c r="AZ1084" s="25"/>
      <c r="BA1084" s="25"/>
      <c r="BB1084" s="25"/>
      <c r="BC1084" s="25"/>
      <c r="BD1084" s="25"/>
      <c r="BE1084" s="25"/>
      <c r="BF1084" s="25"/>
      <c r="BG1084" s="25"/>
      <c r="BH1084" s="25"/>
      <c r="BI1084" s="25"/>
      <c r="BJ1084" s="25"/>
      <c r="BK1084" s="25"/>
      <c r="BL1084" s="25"/>
      <c r="BM1084" s="25"/>
      <c r="BN1084" s="25"/>
      <c r="BO1084" s="25"/>
      <c r="BP1084" s="25"/>
    </row>
    <row r="1085">
      <c r="A1085" s="25"/>
      <c r="B1085" s="168"/>
      <c r="C1085" s="25"/>
      <c r="D1085" s="25"/>
      <c r="E1085" s="25"/>
      <c r="F1085" s="25"/>
      <c r="G1085" s="84"/>
      <c r="H1085" s="25"/>
      <c r="I1085" s="25"/>
      <c r="J1085" s="25"/>
      <c r="K1085" s="169"/>
      <c r="L1085" s="169"/>
      <c r="M1085" s="170" t="b">
        <v>0</v>
      </c>
      <c r="N1085" s="170" t="b">
        <v>0</v>
      </c>
      <c r="O1085" s="48"/>
      <c r="P1085" s="170" t="b">
        <v>0</v>
      </c>
      <c r="Q1085" s="170" t="b">
        <v>0</v>
      </c>
      <c r="R1085" s="170" t="b">
        <v>0</v>
      </c>
      <c r="S1085" s="48"/>
      <c r="T1085" s="60"/>
      <c r="U1085" s="170" t="b">
        <v>0</v>
      </c>
      <c r="V1085" s="170"/>
      <c r="W1085" s="170" t="b">
        <v>0</v>
      </c>
      <c r="X1085" s="170" t="b">
        <v>0</v>
      </c>
      <c r="Y1085" s="170"/>
      <c r="Z1085" s="170"/>
      <c r="AA1085" s="170"/>
      <c r="AB1085" s="170"/>
      <c r="AC1085" s="171"/>
      <c r="AD1085" s="170"/>
      <c r="AE1085" s="170"/>
      <c r="AF1085" s="170"/>
      <c r="AG1085" s="170"/>
      <c r="AH1085" s="170"/>
      <c r="AI1085" s="170"/>
      <c r="AJ1085" s="172"/>
      <c r="AK1085" s="50"/>
      <c r="AL1085" s="25"/>
      <c r="AM1085" s="25"/>
      <c r="AN1085" s="25"/>
      <c r="AO1085" s="165"/>
      <c r="AP1085" s="78"/>
      <c r="AQ1085" s="25"/>
      <c r="AR1085" s="25"/>
      <c r="AS1085" s="25"/>
      <c r="AT1085" s="25"/>
      <c r="AU1085" s="25"/>
      <c r="AV1085" s="25"/>
      <c r="AW1085" s="25"/>
      <c r="AX1085" s="25"/>
      <c r="AY1085" s="25"/>
      <c r="AZ1085" s="25"/>
      <c r="BA1085" s="25"/>
      <c r="BB1085" s="25"/>
      <c r="BC1085" s="25"/>
      <c r="BD1085" s="25"/>
      <c r="BE1085" s="25"/>
      <c r="BF1085" s="25"/>
      <c r="BG1085" s="25"/>
      <c r="BH1085" s="25"/>
      <c r="BI1085" s="25"/>
      <c r="BJ1085" s="25"/>
      <c r="BK1085" s="25"/>
      <c r="BL1085" s="25"/>
      <c r="BM1085" s="25"/>
      <c r="BN1085" s="25"/>
      <c r="BO1085" s="25"/>
      <c r="BP1085" s="25"/>
    </row>
    <row r="1086">
      <c r="A1086" s="25"/>
      <c r="B1086" s="168"/>
      <c r="C1086" s="25"/>
      <c r="D1086" s="25"/>
      <c r="E1086" s="25"/>
      <c r="F1086" s="25"/>
      <c r="G1086" s="84"/>
      <c r="H1086" s="25"/>
      <c r="I1086" s="25"/>
      <c r="J1086" s="25"/>
      <c r="K1086" s="169"/>
      <c r="L1086" s="169"/>
      <c r="M1086" s="170" t="b">
        <v>0</v>
      </c>
      <c r="N1086" s="170" t="b">
        <v>0</v>
      </c>
      <c r="O1086" s="48"/>
      <c r="P1086" s="170" t="b">
        <v>0</v>
      </c>
      <c r="Q1086" s="170" t="b">
        <v>0</v>
      </c>
      <c r="R1086" s="170" t="b">
        <v>0</v>
      </c>
      <c r="S1086" s="48"/>
      <c r="T1086" s="60"/>
      <c r="U1086" s="170" t="b">
        <v>0</v>
      </c>
      <c r="V1086" s="170"/>
      <c r="W1086" s="170" t="b">
        <v>0</v>
      </c>
      <c r="X1086" s="170" t="b">
        <v>0</v>
      </c>
      <c r="Y1086" s="170"/>
      <c r="Z1086" s="170"/>
      <c r="AA1086" s="170"/>
      <c r="AB1086" s="170"/>
      <c r="AC1086" s="171"/>
      <c r="AD1086" s="170"/>
      <c r="AE1086" s="170"/>
      <c r="AF1086" s="170"/>
      <c r="AG1086" s="170"/>
      <c r="AH1086" s="170"/>
      <c r="AI1086" s="170"/>
      <c r="AJ1086" s="172"/>
      <c r="AK1086" s="50"/>
      <c r="AL1086" s="25"/>
      <c r="AM1086" s="25"/>
      <c r="AN1086" s="25"/>
      <c r="AO1086" s="165"/>
      <c r="AP1086" s="78"/>
      <c r="AQ1086" s="25"/>
      <c r="AR1086" s="25"/>
      <c r="AS1086" s="25"/>
      <c r="AT1086" s="25"/>
      <c r="AU1086" s="25"/>
      <c r="AV1086" s="25"/>
      <c r="AW1086" s="25"/>
      <c r="AX1086" s="25"/>
      <c r="AY1086" s="25"/>
      <c r="AZ1086" s="25"/>
      <c r="BA1086" s="25"/>
      <c r="BB1086" s="25"/>
      <c r="BC1086" s="25"/>
      <c r="BD1086" s="25"/>
      <c r="BE1086" s="25"/>
      <c r="BF1086" s="25"/>
      <c r="BG1086" s="25"/>
      <c r="BH1086" s="25"/>
      <c r="BI1086" s="25"/>
      <c r="BJ1086" s="25"/>
      <c r="BK1086" s="25"/>
      <c r="BL1086" s="25"/>
      <c r="BM1086" s="25"/>
      <c r="BN1086" s="25"/>
      <c r="BO1086" s="25"/>
      <c r="BP1086" s="25"/>
    </row>
    <row r="1087">
      <c r="A1087" s="25"/>
      <c r="B1087" s="168"/>
      <c r="C1087" s="25"/>
      <c r="D1087" s="25"/>
      <c r="E1087" s="25"/>
      <c r="F1087" s="25"/>
      <c r="G1087" s="84"/>
      <c r="H1087" s="25"/>
      <c r="I1087" s="25"/>
      <c r="J1087" s="25"/>
      <c r="K1087" s="169"/>
      <c r="L1087" s="169"/>
      <c r="M1087" s="170" t="b">
        <v>0</v>
      </c>
      <c r="N1087" s="170" t="b">
        <v>0</v>
      </c>
      <c r="O1087" s="48"/>
      <c r="P1087" s="170" t="b">
        <v>0</v>
      </c>
      <c r="Q1087" s="170" t="b">
        <v>0</v>
      </c>
      <c r="R1087" s="170" t="b">
        <v>0</v>
      </c>
      <c r="S1087" s="48"/>
      <c r="T1087" s="60"/>
      <c r="U1087" s="170" t="b">
        <v>0</v>
      </c>
      <c r="V1087" s="170"/>
      <c r="W1087" s="170" t="b">
        <v>0</v>
      </c>
      <c r="X1087" s="170" t="b">
        <v>0</v>
      </c>
      <c r="Y1087" s="170"/>
      <c r="Z1087" s="170"/>
      <c r="AA1087" s="170"/>
      <c r="AB1087" s="170"/>
      <c r="AC1087" s="171"/>
      <c r="AD1087" s="170"/>
      <c r="AE1087" s="170"/>
      <c r="AF1087" s="170"/>
      <c r="AG1087" s="170"/>
      <c r="AH1087" s="170"/>
      <c r="AI1087" s="170"/>
      <c r="AJ1087" s="172"/>
      <c r="AK1087" s="50"/>
      <c r="AL1087" s="25"/>
      <c r="AM1087" s="25"/>
      <c r="AN1087" s="25"/>
      <c r="AO1087" s="165"/>
      <c r="AP1087" s="78"/>
      <c r="AQ1087" s="25"/>
      <c r="AR1087" s="25"/>
      <c r="AS1087" s="25"/>
      <c r="AT1087" s="25"/>
      <c r="AU1087" s="25"/>
      <c r="AV1087" s="25"/>
      <c r="AW1087" s="25"/>
      <c r="AX1087" s="25"/>
      <c r="AY1087" s="25"/>
      <c r="AZ1087" s="25"/>
      <c r="BA1087" s="25"/>
      <c r="BB1087" s="25"/>
      <c r="BC1087" s="25"/>
      <c r="BD1087" s="25"/>
      <c r="BE1087" s="25"/>
      <c r="BF1087" s="25"/>
      <c r="BG1087" s="25"/>
      <c r="BH1087" s="25"/>
      <c r="BI1087" s="25"/>
      <c r="BJ1087" s="25"/>
      <c r="BK1087" s="25"/>
      <c r="BL1087" s="25"/>
      <c r="BM1087" s="25"/>
      <c r="BN1087" s="25"/>
      <c r="BO1087" s="25"/>
      <c r="BP1087" s="25"/>
    </row>
    <row r="1088">
      <c r="A1088" s="25"/>
      <c r="B1088" s="168"/>
      <c r="C1088" s="25"/>
      <c r="D1088" s="25"/>
      <c r="E1088" s="25"/>
      <c r="F1088" s="25"/>
      <c r="G1088" s="84"/>
      <c r="H1088" s="25"/>
      <c r="I1088" s="25"/>
      <c r="J1088" s="25"/>
      <c r="K1088" s="169"/>
      <c r="L1088" s="169"/>
      <c r="M1088" s="170" t="b">
        <v>0</v>
      </c>
      <c r="N1088" s="170" t="b">
        <v>0</v>
      </c>
      <c r="O1088" s="48"/>
      <c r="P1088" s="170" t="b">
        <v>0</v>
      </c>
      <c r="Q1088" s="170" t="b">
        <v>0</v>
      </c>
      <c r="R1088" s="170" t="b">
        <v>0</v>
      </c>
      <c r="S1088" s="48"/>
      <c r="T1088" s="60"/>
      <c r="U1088" s="170" t="b">
        <v>0</v>
      </c>
      <c r="V1088" s="170"/>
      <c r="W1088" s="170" t="b">
        <v>0</v>
      </c>
      <c r="X1088" s="170" t="b">
        <v>0</v>
      </c>
      <c r="Y1088" s="170"/>
      <c r="Z1088" s="170"/>
      <c r="AA1088" s="170"/>
      <c r="AB1088" s="170"/>
      <c r="AC1088" s="171"/>
      <c r="AD1088" s="170"/>
      <c r="AE1088" s="170"/>
      <c r="AF1088" s="170"/>
      <c r="AG1088" s="170"/>
      <c r="AH1088" s="170"/>
      <c r="AI1088" s="170"/>
      <c r="AJ1088" s="172"/>
      <c r="AK1088" s="50"/>
      <c r="AL1088" s="25"/>
      <c r="AM1088" s="25"/>
      <c r="AN1088" s="25"/>
      <c r="AO1088" s="165"/>
      <c r="AP1088" s="78"/>
      <c r="AQ1088" s="25"/>
      <c r="AR1088" s="25"/>
      <c r="AS1088" s="25"/>
      <c r="AT1088" s="25"/>
      <c r="AU1088" s="25"/>
      <c r="AV1088" s="25"/>
      <c r="AW1088" s="25"/>
      <c r="AX1088" s="25"/>
      <c r="AY1088" s="25"/>
      <c r="AZ1088" s="25"/>
      <c r="BA1088" s="25"/>
      <c r="BB1088" s="25"/>
      <c r="BC1088" s="25"/>
      <c r="BD1088" s="25"/>
      <c r="BE1088" s="25"/>
      <c r="BF1088" s="25"/>
      <c r="BG1088" s="25"/>
      <c r="BH1088" s="25"/>
      <c r="BI1088" s="25"/>
      <c r="BJ1088" s="25"/>
      <c r="BK1088" s="25"/>
      <c r="BL1088" s="25"/>
      <c r="BM1088" s="25"/>
      <c r="BN1088" s="25"/>
      <c r="BO1088" s="25"/>
      <c r="BP1088" s="25"/>
    </row>
    <row r="1089">
      <c r="A1089" s="25"/>
      <c r="B1089" s="168"/>
      <c r="C1089" s="25"/>
      <c r="D1089" s="25"/>
      <c r="E1089" s="25"/>
      <c r="F1089" s="25"/>
      <c r="G1089" s="84"/>
      <c r="H1089" s="25"/>
      <c r="I1089" s="25"/>
      <c r="J1089" s="25"/>
      <c r="K1089" s="169"/>
      <c r="L1089" s="169"/>
      <c r="M1089" s="170" t="b">
        <v>0</v>
      </c>
      <c r="N1089" s="170" t="b">
        <v>0</v>
      </c>
      <c r="O1089" s="48"/>
      <c r="P1089" s="170" t="b">
        <v>0</v>
      </c>
      <c r="Q1089" s="170" t="b">
        <v>0</v>
      </c>
      <c r="R1089" s="170" t="b">
        <v>0</v>
      </c>
      <c r="S1089" s="48"/>
      <c r="T1089" s="60"/>
      <c r="U1089" s="170" t="b">
        <v>0</v>
      </c>
      <c r="V1089" s="170"/>
      <c r="W1089" s="170" t="b">
        <v>0</v>
      </c>
      <c r="X1089" s="170" t="b">
        <v>0</v>
      </c>
      <c r="Y1089" s="170"/>
      <c r="Z1089" s="170"/>
      <c r="AA1089" s="170"/>
      <c r="AB1089" s="170"/>
      <c r="AC1089" s="171"/>
      <c r="AD1089" s="170"/>
      <c r="AE1089" s="170"/>
      <c r="AF1089" s="170"/>
      <c r="AG1089" s="170"/>
      <c r="AH1089" s="170"/>
      <c r="AI1089" s="170"/>
      <c r="AJ1089" s="172"/>
      <c r="AK1089" s="50"/>
      <c r="AL1089" s="25"/>
      <c r="AM1089" s="25"/>
      <c r="AN1089" s="25"/>
      <c r="AO1089" s="165"/>
      <c r="AP1089" s="78"/>
      <c r="AQ1089" s="25"/>
      <c r="AR1089" s="25"/>
      <c r="AS1089" s="25"/>
      <c r="AT1089" s="25"/>
      <c r="AU1089" s="25"/>
      <c r="AV1089" s="25"/>
      <c r="AW1089" s="25"/>
      <c r="AX1089" s="25"/>
      <c r="AY1089" s="25"/>
      <c r="AZ1089" s="25"/>
      <c r="BA1089" s="25"/>
      <c r="BB1089" s="25"/>
      <c r="BC1089" s="25"/>
      <c r="BD1089" s="25"/>
      <c r="BE1089" s="25"/>
      <c r="BF1089" s="25"/>
      <c r="BG1089" s="25"/>
      <c r="BH1089" s="25"/>
      <c r="BI1089" s="25"/>
      <c r="BJ1089" s="25"/>
      <c r="BK1089" s="25"/>
      <c r="BL1089" s="25"/>
      <c r="BM1089" s="25"/>
      <c r="BN1089" s="25"/>
      <c r="BO1089" s="25"/>
      <c r="BP1089" s="25"/>
    </row>
    <row r="1090">
      <c r="A1090" s="25"/>
      <c r="B1090" s="168"/>
      <c r="C1090" s="25"/>
      <c r="D1090" s="25"/>
      <c r="E1090" s="25"/>
      <c r="F1090" s="25"/>
      <c r="G1090" s="84"/>
      <c r="H1090" s="25"/>
      <c r="I1090" s="25"/>
      <c r="J1090" s="25"/>
      <c r="K1090" s="169"/>
      <c r="L1090" s="169"/>
      <c r="M1090" s="170" t="b">
        <v>0</v>
      </c>
      <c r="N1090" s="170" t="b">
        <v>0</v>
      </c>
      <c r="O1090" s="48"/>
      <c r="P1090" s="170" t="b">
        <v>0</v>
      </c>
      <c r="Q1090" s="170" t="b">
        <v>0</v>
      </c>
      <c r="R1090" s="170" t="b">
        <v>0</v>
      </c>
      <c r="S1090" s="48"/>
      <c r="T1090" s="60"/>
      <c r="U1090" s="170" t="b">
        <v>0</v>
      </c>
      <c r="V1090" s="170"/>
      <c r="W1090" s="170" t="b">
        <v>0</v>
      </c>
      <c r="X1090" s="170" t="b">
        <v>0</v>
      </c>
      <c r="Y1090" s="170"/>
      <c r="Z1090" s="170"/>
      <c r="AA1090" s="170"/>
      <c r="AB1090" s="170"/>
      <c r="AC1090" s="171"/>
      <c r="AD1090" s="170"/>
      <c r="AE1090" s="170"/>
      <c r="AF1090" s="170"/>
      <c r="AG1090" s="170"/>
      <c r="AH1090" s="170"/>
      <c r="AI1090" s="170"/>
      <c r="AJ1090" s="172"/>
      <c r="AK1090" s="50"/>
      <c r="AL1090" s="25"/>
      <c r="AM1090" s="25"/>
      <c r="AN1090" s="25"/>
      <c r="AO1090" s="165"/>
      <c r="AP1090" s="78"/>
      <c r="AQ1090" s="25"/>
      <c r="AR1090" s="25"/>
      <c r="AS1090" s="25"/>
      <c r="AT1090" s="25"/>
      <c r="AU1090" s="25"/>
      <c r="AV1090" s="25"/>
      <c r="AW1090" s="25"/>
      <c r="AX1090" s="25"/>
      <c r="AY1090" s="25"/>
      <c r="AZ1090" s="25"/>
      <c r="BA1090" s="25"/>
      <c r="BB1090" s="25"/>
      <c r="BC1090" s="25"/>
      <c r="BD1090" s="25"/>
      <c r="BE1090" s="25"/>
      <c r="BF1090" s="25"/>
      <c r="BG1090" s="25"/>
      <c r="BH1090" s="25"/>
      <c r="BI1090" s="25"/>
      <c r="BJ1090" s="25"/>
      <c r="BK1090" s="25"/>
      <c r="BL1090" s="25"/>
      <c r="BM1090" s="25"/>
      <c r="BN1090" s="25"/>
      <c r="BO1090" s="25"/>
      <c r="BP1090" s="25"/>
    </row>
    <row r="1091">
      <c r="A1091" s="25"/>
      <c r="B1091" s="168"/>
      <c r="C1091" s="25"/>
      <c r="D1091" s="25"/>
      <c r="E1091" s="25"/>
      <c r="F1091" s="25"/>
      <c r="G1091" s="84"/>
      <c r="H1091" s="25"/>
      <c r="I1091" s="25"/>
      <c r="J1091" s="25"/>
      <c r="K1091" s="169"/>
      <c r="L1091" s="169"/>
      <c r="M1091" s="170" t="b">
        <v>0</v>
      </c>
      <c r="N1091" s="170" t="b">
        <v>0</v>
      </c>
      <c r="O1091" s="48"/>
      <c r="P1091" s="170" t="b">
        <v>0</v>
      </c>
      <c r="Q1091" s="170" t="b">
        <v>0</v>
      </c>
      <c r="R1091" s="170" t="b">
        <v>0</v>
      </c>
      <c r="S1091" s="48"/>
      <c r="T1091" s="60"/>
      <c r="U1091" s="170" t="b">
        <v>0</v>
      </c>
      <c r="V1091" s="170"/>
      <c r="W1091" s="170" t="b">
        <v>0</v>
      </c>
      <c r="X1091" s="170" t="b">
        <v>0</v>
      </c>
      <c r="Y1091" s="170"/>
      <c r="Z1091" s="170"/>
      <c r="AA1091" s="170"/>
      <c r="AB1091" s="170"/>
      <c r="AC1091" s="171"/>
      <c r="AD1091" s="170"/>
      <c r="AE1091" s="170"/>
      <c r="AF1091" s="170"/>
      <c r="AG1091" s="170"/>
      <c r="AH1091" s="170"/>
      <c r="AI1091" s="170"/>
      <c r="AJ1091" s="172"/>
      <c r="AK1091" s="50"/>
      <c r="AL1091" s="25"/>
      <c r="AM1091" s="25"/>
      <c r="AN1091" s="25"/>
      <c r="AO1091" s="165"/>
      <c r="AP1091" s="78"/>
      <c r="AQ1091" s="25"/>
      <c r="AR1091" s="25"/>
      <c r="AS1091" s="25"/>
      <c r="AT1091" s="25"/>
      <c r="AU1091" s="25"/>
      <c r="AV1091" s="25"/>
      <c r="AW1091" s="25"/>
      <c r="AX1091" s="25"/>
      <c r="AY1091" s="25"/>
      <c r="AZ1091" s="25"/>
      <c r="BA1091" s="25"/>
      <c r="BB1091" s="25"/>
      <c r="BC1091" s="25"/>
      <c r="BD1091" s="25"/>
      <c r="BE1091" s="25"/>
      <c r="BF1091" s="25"/>
      <c r="BG1091" s="25"/>
      <c r="BH1091" s="25"/>
      <c r="BI1091" s="25"/>
      <c r="BJ1091" s="25"/>
      <c r="BK1091" s="25"/>
      <c r="BL1091" s="25"/>
      <c r="BM1091" s="25"/>
      <c r="BN1091" s="25"/>
      <c r="BO1091" s="25"/>
      <c r="BP1091" s="25"/>
    </row>
    <row r="1092">
      <c r="A1092" s="25"/>
      <c r="B1092" s="168"/>
      <c r="C1092" s="25"/>
      <c r="D1092" s="25"/>
      <c r="E1092" s="25"/>
      <c r="F1092" s="25"/>
      <c r="G1092" s="84"/>
      <c r="H1092" s="25"/>
      <c r="I1092" s="25"/>
      <c r="J1092" s="25"/>
      <c r="K1092" s="169"/>
      <c r="L1092" s="169"/>
      <c r="M1092" s="170" t="b">
        <v>0</v>
      </c>
      <c r="N1092" s="170" t="b">
        <v>0</v>
      </c>
      <c r="O1092" s="48"/>
      <c r="P1092" s="170" t="b">
        <v>0</v>
      </c>
      <c r="Q1092" s="170" t="b">
        <v>0</v>
      </c>
      <c r="R1092" s="170" t="b">
        <v>0</v>
      </c>
      <c r="S1092" s="48"/>
      <c r="T1092" s="60"/>
      <c r="U1092" s="170" t="b">
        <v>0</v>
      </c>
      <c r="V1092" s="170"/>
      <c r="W1092" s="170" t="b">
        <v>0</v>
      </c>
      <c r="X1092" s="170" t="b">
        <v>0</v>
      </c>
      <c r="Y1092" s="170"/>
      <c r="Z1092" s="170"/>
      <c r="AA1092" s="170"/>
      <c r="AB1092" s="170"/>
      <c r="AC1092" s="171"/>
      <c r="AD1092" s="170"/>
      <c r="AE1092" s="170"/>
      <c r="AF1092" s="170"/>
      <c r="AG1092" s="170"/>
      <c r="AH1092" s="170"/>
      <c r="AI1092" s="170"/>
      <c r="AJ1092" s="172"/>
      <c r="AK1092" s="50"/>
      <c r="AL1092" s="25"/>
      <c r="AM1092" s="25"/>
      <c r="AN1092" s="25"/>
      <c r="AO1092" s="165"/>
      <c r="AP1092" s="78"/>
      <c r="AQ1092" s="25"/>
      <c r="AR1092" s="25"/>
      <c r="AS1092" s="25"/>
      <c r="AT1092" s="25"/>
      <c r="AU1092" s="25"/>
      <c r="AV1092" s="25"/>
      <c r="AW1092" s="25"/>
      <c r="AX1092" s="25"/>
      <c r="AY1092" s="25"/>
      <c r="AZ1092" s="25"/>
      <c r="BA1092" s="25"/>
      <c r="BB1092" s="25"/>
      <c r="BC1092" s="25"/>
      <c r="BD1092" s="25"/>
      <c r="BE1092" s="25"/>
      <c r="BF1092" s="25"/>
      <c r="BG1092" s="25"/>
      <c r="BH1092" s="25"/>
      <c r="BI1092" s="25"/>
      <c r="BJ1092" s="25"/>
      <c r="BK1092" s="25"/>
      <c r="BL1092" s="25"/>
      <c r="BM1092" s="25"/>
      <c r="BN1092" s="25"/>
      <c r="BO1092" s="25"/>
      <c r="BP1092" s="25"/>
    </row>
    <row r="1093">
      <c r="A1093" s="25"/>
      <c r="B1093" s="168"/>
      <c r="C1093" s="25"/>
      <c r="D1093" s="25"/>
      <c r="E1093" s="25"/>
      <c r="F1093" s="25"/>
      <c r="G1093" s="84"/>
      <c r="H1093" s="25"/>
      <c r="I1093" s="25"/>
      <c r="J1093" s="25"/>
      <c r="K1093" s="169"/>
      <c r="L1093" s="169"/>
      <c r="M1093" s="170" t="b">
        <v>0</v>
      </c>
      <c r="N1093" s="170" t="b">
        <v>0</v>
      </c>
      <c r="O1093" s="48"/>
      <c r="P1093" s="170" t="b">
        <v>0</v>
      </c>
      <c r="Q1093" s="170" t="b">
        <v>0</v>
      </c>
      <c r="R1093" s="170" t="b">
        <v>0</v>
      </c>
      <c r="S1093" s="48"/>
      <c r="T1093" s="60"/>
      <c r="U1093" s="170" t="b">
        <v>0</v>
      </c>
      <c r="V1093" s="170"/>
      <c r="W1093" s="170" t="b">
        <v>0</v>
      </c>
      <c r="X1093" s="170" t="b">
        <v>0</v>
      </c>
      <c r="Y1093" s="170"/>
      <c r="Z1093" s="170"/>
      <c r="AA1093" s="170"/>
      <c r="AB1093" s="170"/>
      <c r="AC1093" s="171"/>
      <c r="AD1093" s="170"/>
      <c r="AE1093" s="170"/>
      <c r="AF1093" s="170"/>
      <c r="AG1093" s="170"/>
      <c r="AH1093" s="170"/>
      <c r="AI1093" s="170"/>
      <c r="AJ1093" s="172"/>
      <c r="AK1093" s="50"/>
      <c r="AL1093" s="25"/>
      <c r="AM1093" s="25"/>
      <c r="AN1093" s="25"/>
      <c r="AO1093" s="165"/>
      <c r="AP1093" s="78"/>
      <c r="AQ1093" s="25"/>
      <c r="AR1093" s="25"/>
      <c r="AS1093" s="25"/>
      <c r="AT1093" s="25"/>
      <c r="AU1093" s="25"/>
      <c r="AV1093" s="25"/>
      <c r="AW1093" s="25"/>
      <c r="AX1093" s="25"/>
      <c r="AY1093" s="25"/>
      <c r="AZ1093" s="25"/>
      <c r="BA1093" s="25"/>
      <c r="BB1093" s="25"/>
      <c r="BC1093" s="25"/>
      <c r="BD1093" s="25"/>
      <c r="BE1093" s="25"/>
      <c r="BF1093" s="25"/>
      <c r="BG1093" s="25"/>
      <c r="BH1093" s="25"/>
      <c r="BI1093" s="25"/>
      <c r="BJ1093" s="25"/>
      <c r="BK1093" s="25"/>
      <c r="BL1093" s="25"/>
      <c r="BM1093" s="25"/>
      <c r="BN1093" s="25"/>
      <c r="BO1093" s="25"/>
      <c r="BP1093" s="25"/>
    </row>
    <row r="1094">
      <c r="A1094" s="25"/>
      <c r="B1094" s="168"/>
      <c r="C1094" s="25"/>
      <c r="D1094" s="25"/>
      <c r="E1094" s="25"/>
      <c r="F1094" s="25"/>
      <c r="G1094" s="84"/>
      <c r="H1094" s="25"/>
      <c r="I1094" s="25"/>
      <c r="J1094" s="25"/>
      <c r="K1094" s="169"/>
      <c r="L1094" s="169"/>
      <c r="M1094" s="170" t="b">
        <v>0</v>
      </c>
      <c r="N1094" s="170" t="b">
        <v>0</v>
      </c>
      <c r="O1094" s="48"/>
      <c r="P1094" s="170" t="b">
        <v>0</v>
      </c>
      <c r="Q1094" s="170" t="b">
        <v>0</v>
      </c>
      <c r="R1094" s="170" t="b">
        <v>0</v>
      </c>
      <c r="S1094" s="48"/>
      <c r="T1094" s="60"/>
      <c r="U1094" s="170" t="b">
        <v>0</v>
      </c>
      <c r="V1094" s="170"/>
      <c r="W1094" s="170" t="b">
        <v>0</v>
      </c>
      <c r="X1094" s="170" t="b">
        <v>0</v>
      </c>
      <c r="Y1094" s="170"/>
      <c r="Z1094" s="170"/>
      <c r="AA1094" s="170"/>
      <c r="AB1094" s="170"/>
      <c r="AC1094" s="171"/>
      <c r="AD1094" s="170"/>
      <c r="AE1094" s="170"/>
      <c r="AF1094" s="170"/>
      <c r="AG1094" s="170"/>
      <c r="AH1094" s="170"/>
      <c r="AI1094" s="170"/>
      <c r="AJ1094" s="172"/>
      <c r="AK1094" s="50"/>
      <c r="AL1094" s="25"/>
      <c r="AM1094" s="25"/>
      <c r="AN1094" s="25"/>
      <c r="AO1094" s="165"/>
      <c r="AP1094" s="78"/>
      <c r="AQ1094" s="25"/>
      <c r="AR1094" s="25"/>
      <c r="AS1094" s="25"/>
      <c r="AT1094" s="25"/>
      <c r="AU1094" s="25"/>
      <c r="AV1094" s="25"/>
      <c r="AW1094" s="25"/>
      <c r="AX1094" s="25"/>
      <c r="AY1094" s="25"/>
      <c r="AZ1094" s="25"/>
      <c r="BA1094" s="25"/>
      <c r="BB1094" s="25"/>
      <c r="BC1094" s="25"/>
      <c r="BD1094" s="25"/>
      <c r="BE1094" s="25"/>
      <c r="BF1094" s="25"/>
      <c r="BG1094" s="25"/>
      <c r="BH1094" s="25"/>
      <c r="BI1094" s="25"/>
      <c r="BJ1094" s="25"/>
      <c r="BK1094" s="25"/>
      <c r="BL1094" s="25"/>
      <c r="BM1094" s="25"/>
      <c r="BN1094" s="25"/>
      <c r="BO1094" s="25"/>
      <c r="BP1094" s="25"/>
    </row>
    <row r="1095">
      <c r="A1095" s="25"/>
      <c r="B1095" s="168"/>
      <c r="C1095" s="25"/>
      <c r="D1095" s="25"/>
      <c r="E1095" s="25"/>
      <c r="F1095" s="25"/>
      <c r="G1095" s="84"/>
      <c r="H1095" s="25"/>
      <c r="I1095" s="25"/>
      <c r="J1095" s="25"/>
      <c r="K1095" s="169"/>
      <c r="L1095" s="169"/>
      <c r="M1095" s="170" t="b">
        <v>0</v>
      </c>
      <c r="N1095" s="170" t="b">
        <v>0</v>
      </c>
      <c r="O1095" s="48"/>
      <c r="P1095" s="170" t="b">
        <v>0</v>
      </c>
      <c r="Q1095" s="170" t="b">
        <v>0</v>
      </c>
      <c r="R1095" s="170" t="b">
        <v>0</v>
      </c>
      <c r="S1095" s="48"/>
      <c r="T1095" s="60"/>
      <c r="U1095" s="170" t="b">
        <v>0</v>
      </c>
      <c r="V1095" s="170"/>
      <c r="W1095" s="170" t="b">
        <v>0</v>
      </c>
      <c r="X1095" s="170" t="b">
        <v>0</v>
      </c>
      <c r="Y1095" s="170"/>
      <c r="Z1095" s="170"/>
      <c r="AA1095" s="170"/>
      <c r="AB1095" s="170"/>
      <c r="AC1095" s="171"/>
      <c r="AD1095" s="170"/>
      <c r="AE1095" s="170"/>
      <c r="AF1095" s="170"/>
      <c r="AG1095" s="170"/>
      <c r="AH1095" s="170"/>
      <c r="AI1095" s="170"/>
      <c r="AJ1095" s="172"/>
      <c r="AK1095" s="50"/>
      <c r="AL1095" s="25"/>
      <c r="AM1095" s="25"/>
      <c r="AN1095" s="25"/>
      <c r="AO1095" s="165"/>
      <c r="AP1095" s="78"/>
      <c r="AQ1095" s="25"/>
      <c r="AR1095" s="25"/>
      <c r="AS1095" s="25"/>
      <c r="AT1095" s="25"/>
      <c r="AU1095" s="25"/>
      <c r="AV1095" s="25"/>
      <c r="AW1095" s="25"/>
      <c r="AX1095" s="25"/>
      <c r="AY1095" s="25"/>
      <c r="AZ1095" s="25"/>
      <c r="BA1095" s="25"/>
      <c r="BB1095" s="25"/>
      <c r="BC1095" s="25"/>
      <c r="BD1095" s="25"/>
      <c r="BE1095" s="25"/>
      <c r="BF1095" s="25"/>
      <c r="BG1095" s="25"/>
      <c r="BH1095" s="25"/>
      <c r="BI1095" s="25"/>
      <c r="BJ1095" s="25"/>
      <c r="BK1095" s="25"/>
      <c r="BL1095" s="25"/>
      <c r="BM1095" s="25"/>
      <c r="BN1095" s="25"/>
      <c r="BO1095" s="25"/>
      <c r="BP1095" s="25"/>
    </row>
    <row r="1096">
      <c r="A1096" s="25"/>
      <c r="B1096" s="168"/>
      <c r="C1096" s="25"/>
      <c r="D1096" s="25"/>
      <c r="E1096" s="25"/>
      <c r="F1096" s="25"/>
      <c r="G1096" s="84"/>
      <c r="H1096" s="25"/>
      <c r="I1096" s="25"/>
      <c r="J1096" s="25"/>
      <c r="K1096" s="169"/>
      <c r="L1096" s="169"/>
      <c r="M1096" s="170" t="b">
        <v>0</v>
      </c>
      <c r="N1096" s="170" t="b">
        <v>0</v>
      </c>
      <c r="O1096" s="48"/>
      <c r="P1096" s="170" t="b">
        <v>0</v>
      </c>
      <c r="Q1096" s="170" t="b">
        <v>0</v>
      </c>
      <c r="R1096" s="170" t="b">
        <v>0</v>
      </c>
      <c r="S1096" s="48"/>
      <c r="T1096" s="60"/>
      <c r="U1096" s="170" t="b">
        <v>0</v>
      </c>
      <c r="V1096" s="170"/>
      <c r="W1096" s="170" t="b">
        <v>0</v>
      </c>
      <c r="X1096" s="170" t="b">
        <v>0</v>
      </c>
      <c r="Y1096" s="170"/>
      <c r="Z1096" s="170"/>
      <c r="AA1096" s="170"/>
      <c r="AB1096" s="170"/>
      <c r="AC1096" s="171"/>
      <c r="AD1096" s="170"/>
      <c r="AE1096" s="170"/>
      <c r="AF1096" s="170"/>
      <c r="AG1096" s="170"/>
      <c r="AH1096" s="170"/>
      <c r="AI1096" s="170"/>
      <c r="AJ1096" s="172"/>
      <c r="AK1096" s="50"/>
      <c r="AL1096" s="25"/>
      <c r="AM1096" s="25"/>
      <c r="AN1096" s="25"/>
      <c r="AO1096" s="165"/>
      <c r="AP1096" s="78"/>
      <c r="AQ1096" s="25"/>
      <c r="AR1096" s="25"/>
      <c r="AS1096" s="25"/>
      <c r="AT1096" s="25"/>
      <c r="AU1096" s="25"/>
      <c r="AV1096" s="25"/>
      <c r="AW1096" s="25"/>
      <c r="AX1096" s="25"/>
      <c r="AY1096" s="25"/>
      <c r="AZ1096" s="25"/>
      <c r="BA1096" s="25"/>
      <c r="BB1096" s="25"/>
      <c r="BC1096" s="25"/>
      <c r="BD1096" s="25"/>
      <c r="BE1096" s="25"/>
      <c r="BF1096" s="25"/>
      <c r="BG1096" s="25"/>
      <c r="BH1096" s="25"/>
      <c r="BI1096" s="25"/>
      <c r="BJ1096" s="25"/>
      <c r="BK1096" s="25"/>
      <c r="BL1096" s="25"/>
      <c r="BM1096" s="25"/>
      <c r="BN1096" s="25"/>
      <c r="BO1096" s="25"/>
      <c r="BP1096" s="25"/>
    </row>
    <row r="1097">
      <c r="A1097" s="25"/>
      <c r="B1097" s="168"/>
      <c r="C1097" s="25"/>
      <c r="D1097" s="25"/>
      <c r="E1097" s="25"/>
      <c r="F1097" s="25"/>
      <c r="G1097" s="84"/>
      <c r="H1097" s="25"/>
      <c r="I1097" s="25"/>
      <c r="J1097" s="25"/>
      <c r="K1097" s="169"/>
      <c r="L1097" s="169"/>
      <c r="M1097" s="170" t="b">
        <v>0</v>
      </c>
      <c r="N1097" s="170" t="b">
        <v>0</v>
      </c>
      <c r="O1097" s="48"/>
      <c r="P1097" s="170" t="b">
        <v>0</v>
      </c>
      <c r="Q1097" s="170" t="b">
        <v>0</v>
      </c>
      <c r="R1097" s="170" t="b">
        <v>0</v>
      </c>
      <c r="S1097" s="48"/>
      <c r="T1097" s="60"/>
      <c r="U1097" s="170" t="b">
        <v>0</v>
      </c>
      <c r="V1097" s="170"/>
      <c r="W1097" s="170" t="b">
        <v>0</v>
      </c>
      <c r="X1097" s="170" t="b">
        <v>0</v>
      </c>
      <c r="Y1097" s="170"/>
      <c r="Z1097" s="170"/>
      <c r="AA1097" s="170"/>
      <c r="AB1097" s="170"/>
      <c r="AC1097" s="171"/>
      <c r="AD1097" s="170"/>
      <c r="AE1097" s="170"/>
      <c r="AF1097" s="170"/>
      <c r="AG1097" s="170"/>
      <c r="AH1097" s="170"/>
      <c r="AI1097" s="170"/>
      <c r="AJ1097" s="172"/>
      <c r="AK1097" s="50"/>
      <c r="AL1097" s="25"/>
      <c r="AM1097" s="25"/>
      <c r="AN1097" s="25"/>
      <c r="AO1097" s="165"/>
      <c r="AP1097" s="78"/>
      <c r="AQ1097" s="25"/>
      <c r="AR1097" s="25"/>
      <c r="AS1097" s="25"/>
      <c r="AT1097" s="25"/>
      <c r="AU1097" s="25"/>
      <c r="AV1097" s="25"/>
      <c r="AW1097" s="25"/>
      <c r="AX1097" s="25"/>
      <c r="AY1097" s="25"/>
      <c r="AZ1097" s="25"/>
      <c r="BA1097" s="25"/>
      <c r="BB1097" s="25"/>
      <c r="BC1097" s="25"/>
      <c r="BD1097" s="25"/>
      <c r="BE1097" s="25"/>
      <c r="BF1097" s="25"/>
      <c r="BG1097" s="25"/>
      <c r="BH1097" s="25"/>
      <c r="BI1097" s="25"/>
      <c r="BJ1097" s="25"/>
      <c r="BK1097" s="25"/>
      <c r="BL1097" s="25"/>
      <c r="BM1097" s="25"/>
      <c r="BN1097" s="25"/>
      <c r="BO1097" s="25"/>
      <c r="BP1097" s="25"/>
    </row>
    <row r="1098">
      <c r="A1098" s="25"/>
      <c r="B1098" s="168"/>
      <c r="C1098" s="25"/>
      <c r="D1098" s="25"/>
      <c r="E1098" s="25"/>
      <c r="F1098" s="25"/>
      <c r="G1098" s="84"/>
      <c r="H1098" s="25"/>
      <c r="I1098" s="25"/>
      <c r="J1098" s="25"/>
      <c r="K1098" s="169"/>
      <c r="L1098" s="169"/>
      <c r="M1098" s="170" t="b">
        <v>0</v>
      </c>
      <c r="N1098" s="170" t="b">
        <v>0</v>
      </c>
      <c r="O1098" s="48"/>
      <c r="P1098" s="170" t="b">
        <v>0</v>
      </c>
      <c r="Q1098" s="170" t="b">
        <v>0</v>
      </c>
      <c r="R1098" s="170" t="b">
        <v>0</v>
      </c>
      <c r="S1098" s="48"/>
      <c r="T1098" s="60"/>
      <c r="U1098" s="170" t="b">
        <v>0</v>
      </c>
      <c r="V1098" s="170"/>
      <c r="W1098" s="170" t="b">
        <v>0</v>
      </c>
      <c r="X1098" s="170" t="b">
        <v>0</v>
      </c>
      <c r="Y1098" s="170"/>
      <c r="Z1098" s="170"/>
      <c r="AA1098" s="170"/>
      <c r="AB1098" s="170"/>
      <c r="AC1098" s="171"/>
      <c r="AD1098" s="170"/>
      <c r="AE1098" s="170"/>
      <c r="AF1098" s="170"/>
      <c r="AG1098" s="170"/>
      <c r="AH1098" s="170"/>
      <c r="AI1098" s="170"/>
      <c r="AJ1098" s="172"/>
      <c r="AK1098" s="50"/>
      <c r="AL1098" s="25"/>
      <c r="AM1098" s="25"/>
      <c r="AN1098" s="25"/>
      <c r="AO1098" s="165"/>
      <c r="AP1098" s="78"/>
      <c r="AQ1098" s="25"/>
      <c r="AR1098" s="25"/>
      <c r="AS1098" s="25"/>
      <c r="AT1098" s="25"/>
      <c r="AU1098" s="25"/>
      <c r="AV1098" s="25"/>
      <c r="AW1098" s="25"/>
      <c r="AX1098" s="25"/>
      <c r="AY1098" s="25"/>
      <c r="AZ1098" s="25"/>
      <c r="BA1098" s="25"/>
      <c r="BB1098" s="25"/>
      <c r="BC1098" s="25"/>
      <c r="BD1098" s="25"/>
      <c r="BE1098" s="25"/>
      <c r="BF1098" s="25"/>
      <c r="BG1098" s="25"/>
      <c r="BH1098" s="25"/>
      <c r="BI1098" s="25"/>
      <c r="BJ1098" s="25"/>
      <c r="BK1098" s="25"/>
      <c r="BL1098" s="25"/>
      <c r="BM1098" s="25"/>
      <c r="BN1098" s="25"/>
      <c r="BO1098" s="25"/>
      <c r="BP1098" s="25"/>
    </row>
    <row r="1099">
      <c r="A1099" s="25"/>
      <c r="B1099" s="168"/>
      <c r="C1099" s="25"/>
      <c r="D1099" s="25"/>
      <c r="E1099" s="25"/>
      <c r="F1099" s="25"/>
      <c r="G1099" s="84"/>
      <c r="H1099" s="25"/>
      <c r="I1099" s="25"/>
      <c r="J1099" s="25"/>
      <c r="K1099" s="169"/>
      <c r="L1099" s="169"/>
      <c r="M1099" s="170" t="b">
        <v>0</v>
      </c>
      <c r="N1099" s="170" t="b">
        <v>0</v>
      </c>
      <c r="O1099" s="48"/>
      <c r="P1099" s="170" t="b">
        <v>0</v>
      </c>
      <c r="Q1099" s="170" t="b">
        <v>0</v>
      </c>
      <c r="R1099" s="170" t="b">
        <v>0</v>
      </c>
      <c r="S1099" s="48"/>
      <c r="T1099" s="60"/>
      <c r="U1099" s="170" t="b">
        <v>0</v>
      </c>
      <c r="V1099" s="170"/>
      <c r="W1099" s="170" t="b">
        <v>0</v>
      </c>
      <c r="X1099" s="170" t="b">
        <v>0</v>
      </c>
      <c r="Y1099" s="170"/>
      <c r="Z1099" s="170"/>
      <c r="AA1099" s="170"/>
      <c r="AB1099" s="170"/>
      <c r="AC1099" s="171"/>
      <c r="AD1099" s="170"/>
      <c r="AE1099" s="170"/>
      <c r="AF1099" s="170"/>
      <c r="AG1099" s="170"/>
      <c r="AH1099" s="170"/>
      <c r="AI1099" s="170"/>
      <c r="AJ1099" s="172"/>
      <c r="AK1099" s="50"/>
      <c r="AL1099" s="25"/>
      <c r="AM1099" s="25"/>
      <c r="AN1099" s="25"/>
      <c r="AO1099" s="165"/>
      <c r="AP1099" s="78"/>
      <c r="AQ1099" s="25"/>
      <c r="AR1099" s="25"/>
      <c r="AS1099" s="25"/>
      <c r="AT1099" s="25"/>
      <c r="AU1099" s="25"/>
      <c r="AV1099" s="25"/>
      <c r="AW1099" s="25"/>
      <c r="AX1099" s="25"/>
      <c r="AY1099" s="25"/>
      <c r="AZ1099" s="25"/>
      <c r="BA1099" s="25"/>
      <c r="BB1099" s="25"/>
      <c r="BC1099" s="25"/>
      <c r="BD1099" s="25"/>
      <c r="BE1099" s="25"/>
      <c r="BF1099" s="25"/>
      <c r="BG1099" s="25"/>
      <c r="BH1099" s="25"/>
      <c r="BI1099" s="25"/>
      <c r="BJ1099" s="25"/>
      <c r="BK1099" s="25"/>
      <c r="BL1099" s="25"/>
      <c r="BM1099" s="25"/>
      <c r="BN1099" s="25"/>
      <c r="BO1099" s="25"/>
      <c r="BP1099" s="25"/>
    </row>
    <row r="1100">
      <c r="A1100" s="25"/>
      <c r="B1100" s="168"/>
      <c r="C1100" s="25"/>
      <c r="D1100" s="25"/>
      <c r="E1100" s="25"/>
      <c r="F1100" s="25"/>
      <c r="G1100" s="84"/>
      <c r="H1100" s="25"/>
      <c r="I1100" s="25"/>
      <c r="J1100" s="25"/>
      <c r="K1100" s="169"/>
      <c r="L1100" s="169"/>
      <c r="M1100" s="170" t="b">
        <v>0</v>
      </c>
      <c r="N1100" s="170" t="b">
        <v>0</v>
      </c>
      <c r="O1100" s="48"/>
      <c r="P1100" s="170" t="b">
        <v>0</v>
      </c>
      <c r="Q1100" s="170" t="b">
        <v>0</v>
      </c>
      <c r="R1100" s="170" t="b">
        <v>0</v>
      </c>
      <c r="S1100" s="48"/>
      <c r="T1100" s="60"/>
      <c r="U1100" s="170" t="b">
        <v>0</v>
      </c>
      <c r="V1100" s="170"/>
      <c r="W1100" s="170" t="b">
        <v>0</v>
      </c>
      <c r="X1100" s="170" t="b">
        <v>0</v>
      </c>
      <c r="Y1100" s="170"/>
      <c r="Z1100" s="170"/>
      <c r="AA1100" s="170"/>
      <c r="AB1100" s="170"/>
      <c r="AC1100" s="171"/>
      <c r="AD1100" s="170"/>
      <c r="AE1100" s="170"/>
      <c r="AF1100" s="170"/>
      <c r="AG1100" s="170"/>
      <c r="AH1100" s="170"/>
      <c r="AI1100" s="170"/>
      <c r="AJ1100" s="172"/>
      <c r="AK1100" s="50"/>
      <c r="AL1100" s="25"/>
      <c r="AM1100" s="25"/>
      <c r="AN1100" s="25"/>
      <c r="AO1100" s="165"/>
      <c r="AP1100" s="78"/>
      <c r="AQ1100" s="25"/>
      <c r="AR1100" s="25"/>
      <c r="AS1100" s="25"/>
      <c r="AT1100" s="25"/>
      <c r="AU1100" s="25"/>
      <c r="AV1100" s="25"/>
      <c r="AW1100" s="25"/>
      <c r="AX1100" s="25"/>
      <c r="AY1100" s="25"/>
      <c r="AZ1100" s="25"/>
      <c r="BA1100" s="25"/>
      <c r="BB1100" s="25"/>
      <c r="BC1100" s="25"/>
      <c r="BD1100" s="25"/>
      <c r="BE1100" s="25"/>
      <c r="BF1100" s="25"/>
      <c r="BG1100" s="25"/>
      <c r="BH1100" s="25"/>
      <c r="BI1100" s="25"/>
      <c r="BJ1100" s="25"/>
      <c r="BK1100" s="25"/>
      <c r="BL1100" s="25"/>
      <c r="BM1100" s="25"/>
      <c r="BN1100" s="25"/>
      <c r="BO1100" s="25"/>
      <c r="BP1100" s="25"/>
    </row>
    <row r="1101">
      <c r="A1101" s="25"/>
      <c r="B1101" s="168"/>
      <c r="C1101" s="25"/>
      <c r="D1101" s="25"/>
      <c r="E1101" s="25"/>
      <c r="F1101" s="25"/>
      <c r="G1101" s="84"/>
      <c r="H1101" s="25"/>
      <c r="I1101" s="25"/>
      <c r="J1101" s="25"/>
      <c r="K1101" s="169"/>
      <c r="L1101" s="169"/>
      <c r="M1101" s="170" t="b">
        <v>0</v>
      </c>
      <c r="N1101" s="170" t="b">
        <v>0</v>
      </c>
      <c r="O1101" s="48"/>
      <c r="P1101" s="170" t="b">
        <v>0</v>
      </c>
      <c r="Q1101" s="170" t="b">
        <v>0</v>
      </c>
      <c r="R1101" s="170" t="b">
        <v>0</v>
      </c>
      <c r="S1101" s="48"/>
      <c r="T1101" s="60"/>
      <c r="U1101" s="170" t="b">
        <v>0</v>
      </c>
      <c r="V1101" s="170"/>
      <c r="W1101" s="170" t="b">
        <v>0</v>
      </c>
      <c r="X1101" s="170" t="b">
        <v>0</v>
      </c>
      <c r="Y1101" s="170"/>
      <c r="Z1101" s="170"/>
      <c r="AA1101" s="170"/>
      <c r="AB1101" s="170"/>
      <c r="AC1101" s="171"/>
      <c r="AD1101" s="170"/>
      <c r="AE1101" s="170"/>
      <c r="AF1101" s="170"/>
      <c r="AG1101" s="170"/>
      <c r="AH1101" s="170"/>
      <c r="AI1101" s="170"/>
      <c r="AJ1101" s="172"/>
      <c r="AK1101" s="50"/>
      <c r="AL1101" s="25"/>
      <c r="AM1101" s="25"/>
      <c r="AN1101" s="25"/>
      <c r="AO1101" s="165"/>
      <c r="AP1101" s="78"/>
      <c r="AQ1101" s="25"/>
      <c r="AR1101" s="25"/>
      <c r="AS1101" s="25"/>
      <c r="AT1101" s="25"/>
      <c r="AU1101" s="25"/>
      <c r="AV1101" s="25"/>
      <c r="AW1101" s="25"/>
      <c r="AX1101" s="25"/>
      <c r="AY1101" s="25"/>
      <c r="AZ1101" s="25"/>
      <c r="BA1101" s="25"/>
      <c r="BB1101" s="25"/>
      <c r="BC1101" s="25"/>
      <c r="BD1101" s="25"/>
      <c r="BE1101" s="25"/>
      <c r="BF1101" s="25"/>
      <c r="BG1101" s="25"/>
      <c r="BH1101" s="25"/>
      <c r="BI1101" s="25"/>
      <c r="BJ1101" s="25"/>
      <c r="BK1101" s="25"/>
      <c r="BL1101" s="25"/>
      <c r="BM1101" s="25"/>
      <c r="BN1101" s="25"/>
      <c r="BO1101" s="25"/>
      <c r="BP1101" s="25"/>
    </row>
    <row r="1102">
      <c r="A1102" s="25"/>
      <c r="B1102" s="168"/>
      <c r="C1102" s="25"/>
      <c r="D1102" s="25"/>
      <c r="E1102" s="25"/>
      <c r="F1102" s="25"/>
      <c r="G1102" s="84"/>
      <c r="H1102" s="25"/>
      <c r="I1102" s="25"/>
      <c r="J1102" s="25"/>
      <c r="K1102" s="169"/>
      <c r="L1102" s="169"/>
      <c r="M1102" s="170" t="b">
        <v>0</v>
      </c>
      <c r="N1102" s="170" t="b">
        <v>0</v>
      </c>
      <c r="O1102" s="48"/>
      <c r="P1102" s="170" t="b">
        <v>0</v>
      </c>
      <c r="Q1102" s="170" t="b">
        <v>0</v>
      </c>
      <c r="R1102" s="170" t="b">
        <v>0</v>
      </c>
      <c r="S1102" s="48"/>
      <c r="T1102" s="60"/>
      <c r="U1102" s="170" t="b">
        <v>0</v>
      </c>
      <c r="V1102" s="170"/>
      <c r="W1102" s="170" t="b">
        <v>0</v>
      </c>
      <c r="X1102" s="170" t="b">
        <v>0</v>
      </c>
      <c r="Y1102" s="170"/>
      <c r="Z1102" s="170"/>
      <c r="AA1102" s="170"/>
      <c r="AB1102" s="170"/>
      <c r="AC1102" s="171"/>
      <c r="AD1102" s="170"/>
      <c r="AE1102" s="170"/>
      <c r="AF1102" s="170"/>
      <c r="AG1102" s="170"/>
      <c r="AH1102" s="170"/>
      <c r="AI1102" s="170"/>
      <c r="AJ1102" s="172"/>
      <c r="AK1102" s="50"/>
      <c r="AL1102" s="25"/>
      <c r="AM1102" s="25"/>
      <c r="AN1102" s="25"/>
      <c r="AO1102" s="165"/>
      <c r="AP1102" s="78"/>
      <c r="AQ1102" s="25"/>
      <c r="AR1102" s="25"/>
      <c r="AS1102" s="25"/>
      <c r="AT1102" s="25"/>
      <c r="AU1102" s="25"/>
      <c r="AV1102" s="25"/>
      <c r="AW1102" s="25"/>
      <c r="AX1102" s="25"/>
      <c r="AY1102" s="25"/>
      <c r="AZ1102" s="25"/>
      <c r="BA1102" s="25"/>
      <c r="BB1102" s="25"/>
      <c r="BC1102" s="25"/>
      <c r="BD1102" s="25"/>
      <c r="BE1102" s="25"/>
      <c r="BF1102" s="25"/>
      <c r="BG1102" s="25"/>
      <c r="BH1102" s="25"/>
      <c r="BI1102" s="25"/>
      <c r="BJ1102" s="25"/>
      <c r="BK1102" s="25"/>
      <c r="BL1102" s="25"/>
      <c r="BM1102" s="25"/>
      <c r="BN1102" s="25"/>
      <c r="BO1102" s="25"/>
      <c r="BP1102" s="25"/>
    </row>
    <row r="1103">
      <c r="A1103" s="25"/>
      <c r="B1103" s="168"/>
      <c r="C1103" s="25"/>
      <c r="D1103" s="25"/>
      <c r="E1103" s="25"/>
      <c r="F1103" s="25"/>
      <c r="G1103" s="84"/>
      <c r="H1103" s="25"/>
      <c r="I1103" s="25"/>
      <c r="J1103" s="25"/>
      <c r="K1103" s="169"/>
      <c r="L1103" s="169"/>
      <c r="M1103" s="170" t="b">
        <v>0</v>
      </c>
      <c r="N1103" s="170" t="b">
        <v>0</v>
      </c>
      <c r="O1103" s="48"/>
      <c r="P1103" s="170" t="b">
        <v>0</v>
      </c>
      <c r="Q1103" s="170" t="b">
        <v>0</v>
      </c>
      <c r="R1103" s="170" t="b">
        <v>0</v>
      </c>
      <c r="S1103" s="48"/>
      <c r="T1103" s="60"/>
      <c r="U1103" s="170" t="b">
        <v>0</v>
      </c>
      <c r="V1103" s="170"/>
      <c r="W1103" s="170" t="b">
        <v>0</v>
      </c>
      <c r="X1103" s="170" t="b">
        <v>0</v>
      </c>
      <c r="Y1103" s="170"/>
      <c r="Z1103" s="170"/>
      <c r="AA1103" s="170"/>
      <c r="AB1103" s="170"/>
      <c r="AC1103" s="171"/>
      <c r="AD1103" s="170"/>
      <c r="AE1103" s="170"/>
      <c r="AF1103" s="170"/>
      <c r="AG1103" s="170"/>
      <c r="AH1103" s="170"/>
      <c r="AI1103" s="170"/>
      <c r="AJ1103" s="172"/>
      <c r="AK1103" s="50"/>
      <c r="AL1103" s="25"/>
      <c r="AM1103" s="25"/>
      <c r="AN1103" s="25"/>
      <c r="AO1103" s="165"/>
      <c r="AP1103" s="78"/>
      <c r="AQ1103" s="25"/>
      <c r="AR1103" s="25"/>
      <c r="AS1103" s="25"/>
      <c r="AT1103" s="25"/>
      <c r="AU1103" s="25"/>
      <c r="AV1103" s="25"/>
      <c r="AW1103" s="25"/>
      <c r="AX1103" s="25"/>
      <c r="AY1103" s="25"/>
      <c r="AZ1103" s="25"/>
      <c r="BA1103" s="25"/>
      <c r="BB1103" s="25"/>
      <c r="BC1103" s="25"/>
      <c r="BD1103" s="25"/>
      <c r="BE1103" s="25"/>
      <c r="BF1103" s="25"/>
      <c r="BG1103" s="25"/>
      <c r="BH1103" s="25"/>
      <c r="BI1103" s="25"/>
      <c r="BJ1103" s="25"/>
      <c r="BK1103" s="25"/>
      <c r="BL1103" s="25"/>
      <c r="BM1103" s="25"/>
      <c r="BN1103" s="25"/>
      <c r="BO1103" s="25"/>
      <c r="BP1103" s="25"/>
    </row>
    <row r="1104">
      <c r="A1104" s="25"/>
      <c r="B1104" s="168"/>
      <c r="C1104" s="25"/>
      <c r="D1104" s="25"/>
      <c r="E1104" s="25"/>
      <c r="F1104" s="25"/>
      <c r="G1104" s="84"/>
      <c r="H1104" s="25"/>
      <c r="I1104" s="25"/>
      <c r="J1104" s="25"/>
      <c r="K1104" s="169"/>
      <c r="L1104" s="169"/>
      <c r="M1104" s="170" t="b">
        <v>0</v>
      </c>
      <c r="N1104" s="170" t="b">
        <v>0</v>
      </c>
      <c r="O1104" s="48"/>
      <c r="P1104" s="170" t="b">
        <v>0</v>
      </c>
      <c r="Q1104" s="170" t="b">
        <v>0</v>
      </c>
      <c r="R1104" s="170" t="b">
        <v>0</v>
      </c>
      <c r="S1104" s="48"/>
      <c r="T1104" s="60"/>
      <c r="U1104" s="170" t="b">
        <v>0</v>
      </c>
      <c r="V1104" s="170"/>
      <c r="W1104" s="170" t="b">
        <v>0</v>
      </c>
      <c r="X1104" s="170" t="b">
        <v>0</v>
      </c>
      <c r="Y1104" s="170"/>
      <c r="Z1104" s="170"/>
      <c r="AA1104" s="170"/>
      <c r="AB1104" s="170"/>
      <c r="AC1104" s="171"/>
      <c r="AD1104" s="170"/>
      <c r="AE1104" s="170"/>
      <c r="AF1104" s="170"/>
      <c r="AG1104" s="170"/>
      <c r="AH1104" s="170"/>
      <c r="AI1104" s="170"/>
      <c r="AJ1104" s="172"/>
      <c r="AK1104" s="50"/>
      <c r="AL1104" s="25"/>
      <c r="AM1104" s="25"/>
      <c r="AN1104" s="25"/>
      <c r="AO1104" s="165"/>
      <c r="AP1104" s="78"/>
      <c r="AQ1104" s="25"/>
      <c r="AR1104" s="25"/>
      <c r="AS1104" s="25"/>
      <c r="AT1104" s="25"/>
      <c r="AU1104" s="25"/>
      <c r="AV1104" s="25"/>
      <c r="AW1104" s="25"/>
      <c r="AX1104" s="25"/>
      <c r="AY1104" s="25"/>
      <c r="AZ1104" s="25"/>
      <c r="BA1104" s="25"/>
      <c r="BB1104" s="25"/>
      <c r="BC1104" s="25"/>
      <c r="BD1104" s="25"/>
      <c r="BE1104" s="25"/>
      <c r="BF1104" s="25"/>
      <c r="BG1104" s="25"/>
      <c r="BH1104" s="25"/>
      <c r="BI1104" s="25"/>
      <c r="BJ1104" s="25"/>
      <c r="BK1104" s="25"/>
      <c r="BL1104" s="25"/>
      <c r="BM1104" s="25"/>
      <c r="BN1104" s="25"/>
      <c r="BO1104" s="25"/>
      <c r="BP1104" s="25"/>
    </row>
    <row r="1105">
      <c r="A1105" s="25"/>
      <c r="B1105" s="168"/>
      <c r="C1105" s="25"/>
      <c r="D1105" s="25"/>
      <c r="E1105" s="25"/>
      <c r="F1105" s="25"/>
      <c r="G1105" s="84"/>
      <c r="H1105" s="25"/>
      <c r="I1105" s="25"/>
      <c r="J1105" s="25"/>
      <c r="K1105" s="169"/>
      <c r="L1105" s="169"/>
      <c r="M1105" s="170" t="b">
        <v>0</v>
      </c>
      <c r="N1105" s="170" t="b">
        <v>0</v>
      </c>
      <c r="O1105" s="48"/>
      <c r="P1105" s="170" t="b">
        <v>0</v>
      </c>
      <c r="Q1105" s="170" t="b">
        <v>0</v>
      </c>
      <c r="R1105" s="170" t="b">
        <v>0</v>
      </c>
      <c r="S1105" s="48"/>
      <c r="T1105" s="60"/>
      <c r="U1105" s="170" t="b">
        <v>0</v>
      </c>
      <c r="V1105" s="170"/>
      <c r="W1105" s="170" t="b">
        <v>0</v>
      </c>
      <c r="X1105" s="170" t="b">
        <v>0</v>
      </c>
      <c r="Y1105" s="170"/>
      <c r="Z1105" s="170"/>
      <c r="AA1105" s="170"/>
      <c r="AB1105" s="170"/>
      <c r="AC1105" s="171"/>
      <c r="AD1105" s="170"/>
      <c r="AE1105" s="170"/>
      <c r="AF1105" s="170"/>
      <c r="AG1105" s="170"/>
      <c r="AH1105" s="170"/>
      <c r="AI1105" s="170"/>
      <c r="AJ1105" s="172"/>
      <c r="AK1105" s="50"/>
      <c r="AL1105" s="25"/>
      <c r="AM1105" s="25"/>
      <c r="AN1105" s="25"/>
      <c r="AO1105" s="165"/>
      <c r="AP1105" s="78"/>
      <c r="AQ1105" s="25"/>
      <c r="AR1105" s="25"/>
      <c r="AS1105" s="25"/>
      <c r="AT1105" s="25"/>
      <c r="AU1105" s="25"/>
      <c r="AV1105" s="25"/>
      <c r="AW1105" s="25"/>
      <c r="AX1105" s="25"/>
      <c r="AY1105" s="25"/>
      <c r="AZ1105" s="25"/>
      <c r="BA1105" s="25"/>
      <c r="BB1105" s="25"/>
      <c r="BC1105" s="25"/>
      <c r="BD1105" s="25"/>
      <c r="BE1105" s="25"/>
      <c r="BF1105" s="25"/>
      <c r="BG1105" s="25"/>
      <c r="BH1105" s="25"/>
      <c r="BI1105" s="25"/>
      <c r="BJ1105" s="25"/>
      <c r="BK1105" s="25"/>
      <c r="BL1105" s="25"/>
      <c r="BM1105" s="25"/>
      <c r="BN1105" s="25"/>
      <c r="BO1105" s="25"/>
      <c r="BP1105" s="25"/>
    </row>
    <row r="1106">
      <c r="A1106" s="25"/>
      <c r="B1106" s="168"/>
      <c r="C1106" s="25"/>
      <c r="D1106" s="25"/>
      <c r="E1106" s="25"/>
      <c r="F1106" s="25"/>
      <c r="G1106" s="84"/>
      <c r="H1106" s="25"/>
      <c r="I1106" s="25"/>
      <c r="J1106" s="25"/>
      <c r="K1106" s="169"/>
      <c r="L1106" s="169"/>
      <c r="M1106" s="170" t="b">
        <v>0</v>
      </c>
      <c r="N1106" s="170" t="b">
        <v>0</v>
      </c>
      <c r="O1106" s="48"/>
      <c r="P1106" s="170" t="b">
        <v>0</v>
      </c>
      <c r="Q1106" s="170" t="b">
        <v>0</v>
      </c>
      <c r="R1106" s="170" t="b">
        <v>0</v>
      </c>
      <c r="S1106" s="48"/>
      <c r="T1106" s="60"/>
      <c r="U1106" s="170" t="b">
        <v>0</v>
      </c>
      <c r="V1106" s="170"/>
      <c r="W1106" s="170" t="b">
        <v>0</v>
      </c>
      <c r="X1106" s="170" t="b">
        <v>0</v>
      </c>
      <c r="Y1106" s="170"/>
      <c r="Z1106" s="170"/>
      <c r="AA1106" s="170"/>
      <c r="AB1106" s="170"/>
      <c r="AC1106" s="171"/>
      <c r="AD1106" s="170"/>
      <c r="AE1106" s="170"/>
      <c r="AF1106" s="170"/>
      <c r="AG1106" s="170"/>
      <c r="AH1106" s="170"/>
      <c r="AI1106" s="170"/>
      <c r="AJ1106" s="172"/>
      <c r="AK1106" s="50"/>
      <c r="AL1106" s="25"/>
      <c r="AM1106" s="25"/>
      <c r="AN1106" s="25"/>
      <c r="AO1106" s="165"/>
      <c r="AP1106" s="78"/>
      <c r="AQ1106" s="25"/>
      <c r="AR1106" s="25"/>
      <c r="AS1106" s="25"/>
      <c r="AT1106" s="25"/>
      <c r="AU1106" s="25"/>
      <c r="AV1106" s="25"/>
      <c r="AW1106" s="25"/>
      <c r="AX1106" s="25"/>
      <c r="AY1106" s="25"/>
      <c r="AZ1106" s="25"/>
      <c r="BA1106" s="25"/>
      <c r="BB1106" s="25"/>
      <c r="BC1106" s="25"/>
      <c r="BD1106" s="25"/>
      <c r="BE1106" s="25"/>
      <c r="BF1106" s="25"/>
      <c r="BG1106" s="25"/>
      <c r="BH1106" s="25"/>
      <c r="BI1106" s="25"/>
      <c r="BJ1106" s="25"/>
      <c r="BK1106" s="25"/>
      <c r="BL1106" s="25"/>
      <c r="BM1106" s="25"/>
      <c r="BN1106" s="25"/>
      <c r="BO1106" s="25"/>
      <c r="BP1106" s="25"/>
    </row>
    <row r="1107">
      <c r="A1107" s="25"/>
      <c r="B1107" s="168"/>
      <c r="C1107" s="25"/>
      <c r="D1107" s="25"/>
      <c r="E1107" s="25"/>
      <c r="F1107" s="25"/>
      <c r="G1107" s="84"/>
      <c r="H1107" s="25"/>
      <c r="I1107" s="25"/>
      <c r="J1107" s="25"/>
      <c r="K1107" s="169"/>
      <c r="L1107" s="169"/>
      <c r="M1107" s="170" t="b">
        <v>0</v>
      </c>
      <c r="N1107" s="170" t="b">
        <v>0</v>
      </c>
      <c r="O1107" s="48"/>
      <c r="P1107" s="170" t="b">
        <v>0</v>
      </c>
      <c r="Q1107" s="170" t="b">
        <v>0</v>
      </c>
      <c r="R1107" s="170" t="b">
        <v>0</v>
      </c>
      <c r="S1107" s="48"/>
      <c r="T1107" s="60"/>
      <c r="U1107" s="170" t="b">
        <v>0</v>
      </c>
      <c r="V1107" s="170"/>
      <c r="W1107" s="170" t="b">
        <v>0</v>
      </c>
      <c r="X1107" s="170" t="b">
        <v>0</v>
      </c>
      <c r="Y1107" s="170"/>
      <c r="Z1107" s="170"/>
      <c r="AA1107" s="170"/>
      <c r="AB1107" s="170"/>
      <c r="AC1107" s="171"/>
      <c r="AD1107" s="170"/>
      <c r="AE1107" s="170"/>
      <c r="AF1107" s="170"/>
      <c r="AG1107" s="170"/>
      <c r="AH1107" s="170"/>
      <c r="AI1107" s="170"/>
      <c r="AJ1107" s="172"/>
      <c r="AK1107" s="50"/>
      <c r="AL1107" s="25"/>
      <c r="AM1107" s="25"/>
      <c r="AN1107" s="25"/>
      <c r="AO1107" s="165"/>
      <c r="AP1107" s="78"/>
      <c r="AQ1107" s="25"/>
      <c r="AR1107" s="25"/>
      <c r="AS1107" s="25"/>
      <c r="AT1107" s="25"/>
      <c r="AU1107" s="25"/>
      <c r="AV1107" s="25"/>
      <c r="AW1107" s="25"/>
      <c r="AX1107" s="25"/>
      <c r="AY1107" s="25"/>
      <c r="AZ1107" s="25"/>
      <c r="BA1107" s="25"/>
      <c r="BB1107" s="25"/>
      <c r="BC1107" s="25"/>
      <c r="BD1107" s="25"/>
      <c r="BE1107" s="25"/>
      <c r="BF1107" s="25"/>
      <c r="BG1107" s="25"/>
      <c r="BH1107" s="25"/>
      <c r="BI1107" s="25"/>
      <c r="BJ1107" s="25"/>
      <c r="BK1107" s="25"/>
      <c r="BL1107" s="25"/>
      <c r="BM1107" s="25"/>
      <c r="BN1107" s="25"/>
      <c r="BO1107" s="25"/>
      <c r="BP1107" s="25"/>
    </row>
    <row r="1108">
      <c r="A1108" s="25"/>
      <c r="B1108" s="168"/>
      <c r="C1108" s="25"/>
      <c r="D1108" s="25"/>
      <c r="E1108" s="25"/>
      <c r="F1108" s="25"/>
      <c r="G1108" s="84"/>
      <c r="H1108" s="25"/>
      <c r="I1108" s="25"/>
      <c r="J1108" s="25"/>
      <c r="K1108" s="169"/>
      <c r="L1108" s="169"/>
      <c r="M1108" s="170" t="b">
        <v>0</v>
      </c>
      <c r="N1108" s="170" t="b">
        <v>0</v>
      </c>
      <c r="O1108" s="48"/>
      <c r="P1108" s="170" t="b">
        <v>0</v>
      </c>
      <c r="Q1108" s="170" t="b">
        <v>0</v>
      </c>
      <c r="R1108" s="170" t="b">
        <v>0</v>
      </c>
      <c r="S1108" s="48"/>
      <c r="T1108" s="60"/>
      <c r="U1108" s="170" t="b">
        <v>0</v>
      </c>
      <c r="V1108" s="170"/>
      <c r="W1108" s="170" t="b">
        <v>0</v>
      </c>
      <c r="X1108" s="170" t="b">
        <v>0</v>
      </c>
      <c r="Y1108" s="170"/>
      <c r="Z1108" s="170"/>
      <c r="AA1108" s="170"/>
      <c r="AB1108" s="170"/>
      <c r="AC1108" s="171"/>
      <c r="AD1108" s="170"/>
      <c r="AE1108" s="170"/>
      <c r="AF1108" s="170"/>
      <c r="AG1108" s="170"/>
      <c r="AH1108" s="170"/>
      <c r="AI1108" s="170"/>
      <c r="AJ1108" s="172"/>
      <c r="AK1108" s="50"/>
      <c r="AL1108" s="25"/>
      <c r="AM1108" s="25"/>
      <c r="AN1108" s="25"/>
      <c r="AO1108" s="165"/>
      <c r="AP1108" s="78"/>
      <c r="AQ1108" s="25"/>
      <c r="AR1108" s="25"/>
      <c r="AS1108" s="25"/>
      <c r="AT1108" s="25"/>
      <c r="AU1108" s="25"/>
      <c r="AV1108" s="25"/>
      <c r="AW1108" s="25"/>
      <c r="AX1108" s="25"/>
      <c r="AY1108" s="25"/>
      <c r="AZ1108" s="25"/>
      <c r="BA1108" s="25"/>
      <c r="BB1108" s="25"/>
      <c r="BC1108" s="25"/>
      <c r="BD1108" s="25"/>
      <c r="BE1108" s="25"/>
      <c r="BF1108" s="25"/>
      <c r="BG1108" s="25"/>
      <c r="BH1108" s="25"/>
      <c r="BI1108" s="25"/>
      <c r="BJ1108" s="25"/>
      <c r="BK1108" s="25"/>
      <c r="BL1108" s="25"/>
      <c r="BM1108" s="25"/>
      <c r="BN1108" s="25"/>
      <c r="BO1108" s="25"/>
      <c r="BP1108" s="25"/>
    </row>
    <row r="1109">
      <c r="A1109" s="25"/>
      <c r="B1109" s="168"/>
      <c r="C1109" s="25"/>
      <c r="D1109" s="25"/>
      <c r="E1109" s="25"/>
      <c r="F1109" s="25"/>
      <c r="G1109" s="84"/>
      <c r="H1109" s="25"/>
      <c r="I1109" s="25"/>
      <c r="J1109" s="25"/>
      <c r="K1109" s="169"/>
      <c r="L1109" s="169"/>
      <c r="M1109" s="170" t="b">
        <v>0</v>
      </c>
      <c r="N1109" s="170" t="b">
        <v>0</v>
      </c>
      <c r="O1109" s="48"/>
      <c r="P1109" s="170" t="b">
        <v>0</v>
      </c>
      <c r="Q1109" s="170" t="b">
        <v>0</v>
      </c>
      <c r="R1109" s="170" t="b">
        <v>0</v>
      </c>
      <c r="S1109" s="48"/>
      <c r="T1109" s="60"/>
      <c r="U1109" s="170" t="b">
        <v>0</v>
      </c>
      <c r="V1109" s="170"/>
      <c r="W1109" s="170" t="b">
        <v>0</v>
      </c>
      <c r="X1109" s="170" t="b">
        <v>0</v>
      </c>
      <c r="Y1109" s="170"/>
      <c r="Z1109" s="170"/>
      <c r="AA1109" s="170"/>
      <c r="AB1109" s="170"/>
      <c r="AC1109" s="171"/>
      <c r="AD1109" s="170"/>
      <c r="AE1109" s="170"/>
      <c r="AF1109" s="170"/>
      <c r="AG1109" s="170"/>
      <c r="AH1109" s="170"/>
      <c r="AI1109" s="170"/>
      <c r="AJ1109" s="172"/>
      <c r="AK1109" s="50"/>
      <c r="AL1109" s="25"/>
      <c r="AM1109" s="25"/>
      <c r="AN1109" s="25"/>
      <c r="AO1109" s="165"/>
      <c r="AP1109" s="78"/>
      <c r="AQ1109" s="25"/>
      <c r="AR1109" s="25"/>
      <c r="AS1109" s="25"/>
      <c r="AT1109" s="25"/>
      <c r="AU1109" s="25"/>
      <c r="AV1109" s="25"/>
      <c r="AW1109" s="25"/>
      <c r="AX1109" s="25"/>
      <c r="AY1109" s="25"/>
      <c r="AZ1109" s="25"/>
      <c r="BA1109" s="25"/>
      <c r="BB1109" s="25"/>
      <c r="BC1109" s="25"/>
      <c r="BD1109" s="25"/>
      <c r="BE1109" s="25"/>
      <c r="BF1109" s="25"/>
      <c r="BG1109" s="25"/>
      <c r="BH1109" s="25"/>
      <c r="BI1109" s="25"/>
      <c r="BJ1109" s="25"/>
      <c r="BK1109" s="25"/>
      <c r="BL1109" s="25"/>
      <c r="BM1109" s="25"/>
      <c r="BN1109" s="25"/>
      <c r="BO1109" s="25"/>
      <c r="BP1109" s="25"/>
    </row>
    <row r="1110">
      <c r="A1110" s="25"/>
      <c r="B1110" s="168"/>
      <c r="C1110" s="25"/>
      <c r="D1110" s="25"/>
      <c r="E1110" s="25"/>
      <c r="F1110" s="25"/>
      <c r="G1110" s="84"/>
      <c r="H1110" s="25"/>
      <c r="I1110" s="25"/>
      <c r="J1110" s="25"/>
      <c r="K1110" s="169"/>
      <c r="L1110" s="169"/>
      <c r="M1110" s="170" t="b">
        <v>0</v>
      </c>
      <c r="N1110" s="170" t="b">
        <v>0</v>
      </c>
      <c r="O1110" s="48"/>
      <c r="P1110" s="170" t="b">
        <v>0</v>
      </c>
      <c r="Q1110" s="170" t="b">
        <v>0</v>
      </c>
      <c r="R1110" s="170" t="b">
        <v>0</v>
      </c>
      <c r="S1110" s="48"/>
      <c r="T1110" s="60"/>
      <c r="U1110" s="170" t="b">
        <v>0</v>
      </c>
      <c r="V1110" s="170"/>
      <c r="W1110" s="170" t="b">
        <v>0</v>
      </c>
      <c r="X1110" s="170" t="b">
        <v>0</v>
      </c>
      <c r="Y1110" s="170"/>
      <c r="Z1110" s="170"/>
      <c r="AA1110" s="170"/>
      <c r="AB1110" s="170"/>
      <c r="AC1110" s="171"/>
      <c r="AD1110" s="170"/>
      <c r="AE1110" s="170"/>
      <c r="AF1110" s="170"/>
      <c r="AG1110" s="170"/>
      <c r="AH1110" s="170"/>
      <c r="AI1110" s="170"/>
      <c r="AJ1110" s="172"/>
      <c r="AK1110" s="50"/>
      <c r="AL1110" s="25"/>
      <c r="AM1110" s="25"/>
      <c r="AN1110" s="25"/>
      <c r="AO1110" s="165"/>
      <c r="AP1110" s="78"/>
      <c r="AQ1110" s="25"/>
      <c r="AR1110" s="25"/>
      <c r="AS1110" s="25"/>
      <c r="AT1110" s="25"/>
      <c r="AU1110" s="25"/>
      <c r="AV1110" s="25"/>
      <c r="AW1110" s="25"/>
      <c r="AX1110" s="25"/>
      <c r="AY1110" s="25"/>
      <c r="AZ1110" s="25"/>
      <c r="BA1110" s="25"/>
      <c r="BB1110" s="25"/>
      <c r="BC1110" s="25"/>
      <c r="BD1110" s="25"/>
      <c r="BE1110" s="25"/>
      <c r="BF1110" s="25"/>
      <c r="BG1110" s="25"/>
      <c r="BH1110" s="25"/>
      <c r="BI1110" s="25"/>
      <c r="BJ1110" s="25"/>
      <c r="BK1110" s="25"/>
      <c r="BL1110" s="25"/>
      <c r="BM1110" s="25"/>
      <c r="BN1110" s="25"/>
      <c r="BO1110" s="25"/>
      <c r="BP1110" s="25"/>
    </row>
    <row r="1111">
      <c r="A1111" s="25"/>
      <c r="B1111" s="168"/>
      <c r="C1111" s="25"/>
      <c r="D1111" s="25"/>
      <c r="E1111" s="25"/>
      <c r="F1111" s="25"/>
      <c r="G1111" s="84"/>
      <c r="H1111" s="25"/>
      <c r="I1111" s="25"/>
      <c r="J1111" s="25"/>
      <c r="K1111" s="169"/>
      <c r="L1111" s="169"/>
      <c r="M1111" s="170" t="b">
        <v>0</v>
      </c>
      <c r="N1111" s="170" t="b">
        <v>0</v>
      </c>
      <c r="O1111" s="48"/>
      <c r="P1111" s="170" t="b">
        <v>0</v>
      </c>
      <c r="Q1111" s="170" t="b">
        <v>0</v>
      </c>
      <c r="R1111" s="170" t="b">
        <v>0</v>
      </c>
      <c r="S1111" s="48"/>
      <c r="T1111" s="60"/>
      <c r="U1111" s="170" t="b">
        <v>0</v>
      </c>
      <c r="V1111" s="170"/>
      <c r="W1111" s="170" t="b">
        <v>0</v>
      </c>
      <c r="X1111" s="170" t="b">
        <v>0</v>
      </c>
      <c r="Y1111" s="170"/>
      <c r="Z1111" s="170"/>
      <c r="AA1111" s="170"/>
      <c r="AB1111" s="170"/>
      <c r="AC1111" s="171"/>
      <c r="AD1111" s="170"/>
      <c r="AE1111" s="170"/>
      <c r="AF1111" s="170"/>
      <c r="AG1111" s="170"/>
      <c r="AH1111" s="170"/>
      <c r="AI1111" s="170"/>
      <c r="AJ1111" s="172"/>
      <c r="AK1111" s="50"/>
      <c r="AL1111" s="25"/>
      <c r="AM1111" s="25"/>
      <c r="AN1111" s="25"/>
      <c r="AO1111" s="165"/>
      <c r="AP1111" s="78"/>
      <c r="AQ1111" s="25"/>
      <c r="AR1111" s="25"/>
      <c r="AS1111" s="25"/>
      <c r="AT1111" s="25"/>
      <c r="AU1111" s="25"/>
      <c r="AV1111" s="25"/>
      <c r="AW1111" s="25"/>
      <c r="AX1111" s="25"/>
      <c r="AY1111" s="25"/>
      <c r="AZ1111" s="25"/>
      <c r="BA1111" s="25"/>
      <c r="BB1111" s="25"/>
      <c r="BC1111" s="25"/>
      <c r="BD1111" s="25"/>
      <c r="BE1111" s="25"/>
      <c r="BF1111" s="25"/>
      <c r="BG1111" s="25"/>
      <c r="BH1111" s="25"/>
      <c r="BI1111" s="25"/>
      <c r="BJ1111" s="25"/>
      <c r="BK1111" s="25"/>
      <c r="BL1111" s="25"/>
      <c r="BM1111" s="25"/>
      <c r="BN1111" s="25"/>
      <c r="BO1111" s="25"/>
      <c r="BP1111" s="25"/>
    </row>
    <row r="1112">
      <c r="A1112" s="25"/>
      <c r="B1112" s="168"/>
      <c r="C1112" s="25"/>
      <c r="D1112" s="25"/>
      <c r="E1112" s="25"/>
      <c r="F1112" s="25"/>
      <c r="G1112" s="84"/>
      <c r="H1112" s="25"/>
      <c r="I1112" s="25"/>
      <c r="J1112" s="25"/>
      <c r="K1112" s="169"/>
      <c r="L1112" s="169"/>
      <c r="M1112" s="170" t="b">
        <v>0</v>
      </c>
      <c r="N1112" s="170" t="b">
        <v>0</v>
      </c>
      <c r="O1112" s="48"/>
      <c r="P1112" s="170" t="b">
        <v>0</v>
      </c>
      <c r="Q1112" s="170" t="b">
        <v>0</v>
      </c>
      <c r="R1112" s="170" t="b">
        <v>0</v>
      </c>
      <c r="S1112" s="48"/>
      <c r="T1112" s="60"/>
      <c r="U1112" s="170" t="b">
        <v>0</v>
      </c>
      <c r="V1112" s="170"/>
      <c r="W1112" s="170" t="b">
        <v>0</v>
      </c>
      <c r="X1112" s="170" t="b">
        <v>0</v>
      </c>
      <c r="Y1112" s="170"/>
      <c r="Z1112" s="170"/>
      <c r="AA1112" s="170"/>
      <c r="AB1112" s="170"/>
      <c r="AC1112" s="171"/>
      <c r="AD1112" s="170"/>
      <c r="AE1112" s="170"/>
      <c r="AF1112" s="170"/>
      <c r="AG1112" s="170"/>
      <c r="AH1112" s="170"/>
      <c r="AI1112" s="170"/>
      <c r="AJ1112" s="172"/>
      <c r="AK1112" s="50"/>
      <c r="AL1112" s="25"/>
      <c r="AM1112" s="25"/>
      <c r="AN1112" s="25"/>
      <c r="AO1112" s="165"/>
      <c r="AP1112" s="78"/>
      <c r="AQ1112" s="25"/>
      <c r="AR1112" s="25"/>
      <c r="AS1112" s="25"/>
      <c r="AT1112" s="25"/>
      <c r="AU1112" s="25"/>
      <c r="AV1112" s="25"/>
      <c r="AW1112" s="25"/>
      <c r="AX1112" s="25"/>
      <c r="AY1112" s="25"/>
      <c r="AZ1112" s="25"/>
      <c r="BA1112" s="25"/>
      <c r="BB1112" s="25"/>
      <c r="BC1112" s="25"/>
      <c r="BD1112" s="25"/>
      <c r="BE1112" s="25"/>
      <c r="BF1112" s="25"/>
      <c r="BG1112" s="25"/>
      <c r="BH1112" s="25"/>
      <c r="BI1112" s="25"/>
      <c r="BJ1112" s="25"/>
      <c r="BK1112" s="25"/>
      <c r="BL1112" s="25"/>
      <c r="BM1112" s="25"/>
      <c r="BN1112" s="25"/>
      <c r="BO1112" s="25"/>
      <c r="BP1112" s="25"/>
    </row>
    <row r="1113">
      <c r="A1113" s="25"/>
      <c r="B1113" s="168"/>
      <c r="C1113" s="25"/>
      <c r="D1113" s="25"/>
      <c r="E1113" s="25"/>
      <c r="F1113" s="25"/>
      <c r="G1113" s="84"/>
      <c r="H1113" s="25"/>
      <c r="I1113" s="25"/>
      <c r="J1113" s="25"/>
      <c r="K1113" s="169"/>
      <c r="L1113" s="169"/>
      <c r="M1113" s="170" t="b">
        <v>0</v>
      </c>
      <c r="N1113" s="170" t="b">
        <v>0</v>
      </c>
      <c r="O1113" s="48"/>
      <c r="P1113" s="170" t="b">
        <v>0</v>
      </c>
      <c r="Q1113" s="170" t="b">
        <v>0</v>
      </c>
      <c r="R1113" s="170" t="b">
        <v>0</v>
      </c>
      <c r="S1113" s="48"/>
      <c r="T1113" s="60"/>
      <c r="U1113" s="170" t="b">
        <v>0</v>
      </c>
      <c r="V1113" s="170"/>
      <c r="W1113" s="170" t="b">
        <v>0</v>
      </c>
      <c r="X1113" s="170" t="b">
        <v>0</v>
      </c>
      <c r="Y1113" s="170"/>
      <c r="Z1113" s="170"/>
      <c r="AA1113" s="170"/>
      <c r="AB1113" s="170"/>
      <c r="AC1113" s="171"/>
      <c r="AD1113" s="170"/>
      <c r="AE1113" s="170"/>
      <c r="AF1113" s="170"/>
      <c r="AG1113" s="170"/>
      <c r="AH1113" s="170"/>
      <c r="AI1113" s="170"/>
      <c r="AJ1113" s="172"/>
      <c r="AK1113" s="50"/>
      <c r="AL1113" s="25"/>
      <c r="AM1113" s="25"/>
      <c r="AN1113" s="25"/>
      <c r="AO1113" s="165"/>
      <c r="AP1113" s="78"/>
      <c r="AQ1113" s="25"/>
      <c r="AR1113" s="25"/>
      <c r="AS1113" s="25"/>
      <c r="AT1113" s="25"/>
      <c r="AU1113" s="25"/>
      <c r="AV1113" s="25"/>
      <c r="AW1113" s="25"/>
      <c r="AX1113" s="25"/>
      <c r="AY1113" s="25"/>
      <c r="AZ1113" s="25"/>
      <c r="BA1113" s="25"/>
      <c r="BB1113" s="25"/>
      <c r="BC1113" s="25"/>
      <c r="BD1113" s="25"/>
      <c r="BE1113" s="25"/>
      <c r="BF1113" s="25"/>
      <c r="BG1113" s="25"/>
      <c r="BH1113" s="25"/>
      <c r="BI1113" s="25"/>
      <c r="BJ1113" s="25"/>
      <c r="BK1113" s="25"/>
      <c r="BL1113" s="25"/>
      <c r="BM1113" s="25"/>
      <c r="BN1113" s="25"/>
      <c r="BO1113" s="25"/>
      <c r="BP1113" s="25"/>
    </row>
    <row r="1114">
      <c r="A1114" s="25"/>
      <c r="B1114" s="168"/>
      <c r="C1114" s="25"/>
      <c r="D1114" s="25"/>
      <c r="E1114" s="25"/>
      <c r="F1114" s="25"/>
      <c r="G1114" s="84"/>
      <c r="H1114" s="25"/>
      <c r="I1114" s="25"/>
      <c r="J1114" s="25"/>
      <c r="K1114" s="169"/>
      <c r="L1114" s="169"/>
      <c r="M1114" s="170" t="b">
        <v>0</v>
      </c>
      <c r="N1114" s="170" t="b">
        <v>0</v>
      </c>
      <c r="O1114" s="48"/>
      <c r="P1114" s="170" t="b">
        <v>0</v>
      </c>
      <c r="Q1114" s="170" t="b">
        <v>0</v>
      </c>
      <c r="R1114" s="170" t="b">
        <v>0</v>
      </c>
      <c r="S1114" s="48"/>
      <c r="T1114" s="60"/>
      <c r="U1114" s="170" t="b">
        <v>0</v>
      </c>
      <c r="V1114" s="170"/>
      <c r="W1114" s="170" t="b">
        <v>0</v>
      </c>
      <c r="X1114" s="170" t="b">
        <v>0</v>
      </c>
      <c r="Y1114" s="170"/>
      <c r="Z1114" s="170"/>
      <c r="AA1114" s="170"/>
      <c r="AB1114" s="170"/>
      <c r="AC1114" s="171"/>
      <c r="AD1114" s="170"/>
      <c r="AE1114" s="170"/>
      <c r="AF1114" s="170"/>
      <c r="AG1114" s="170"/>
      <c r="AH1114" s="170"/>
      <c r="AI1114" s="170"/>
      <c r="AJ1114" s="172"/>
      <c r="AK1114" s="50"/>
      <c r="AL1114" s="25"/>
      <c r="AM1114" s="25"/>
      <c r="AN1114" s="25"/>
      <c r="AO1114" s="165"/>
      <c r="AP1114" s="78"/>
      <c r="AQ1114" s="25"/>
      <c r="AR1114" s="25"/>
      <c r="AS1114" s="25"/>
      <c r="AT1114" s="25"/>
      <c r="AU1114" s="25"/>
      <c r="AV1114" s="25"/>
      <c r="AW1114" s="25"/>
      <c r="AX1114" s="25"/>
      <c r="AY1114" s="25"/>
      <c r="AZ1114" s="25"/>
      <c r="BA1114" s="25"/>
      <c r="BB1114" s="25"/>
      <c r="BC1114" s="25"/>
      <c r="BD1114" s="25"/>
      <c r="BE1114" s="25"/>
      <c r="BF1114" s="25"/>
      <c r="BG1114" s="25"/>
      <c r="BH1114" s="25"/>
      <c r="BI1114" s="25"/>
      <c r="BJ1114" s="25"/>
      <c r="BK1114" s="25"/>
      <c r="BL1114" s="25"/>
      <c r="BM1114" s="25"/>
      <c r="BN1114" s="25"/>
      <c r="BO1114" s="25"/>
      <c r="BP1114" s="25"/>
    </row>
    <row r="1115">
      <c r="A1115" s="25"/>
      <c r="B1115" s="168"/>
      <c r="C1115" s="25"/>
      <c r="D1115" s="25"/>
      <c r="E1115" s="25"/>
      <c r="F1115" s="25"/>
      <c r="G1115" s="84"/>
      <c r="H1115" s="25"/>
      <c r="I1115" s="25"/>
      <c r="J1115" s="25"/>
      <c r="K1115" s="169"/>
      <c r="L1115" s="169"/>
      <c r="M1115" s="170" t="b">
        <v>0</v>
      </c>
      <c r="N1115" s="170" t="b">
        <v>0</v>
      </c>
      <c r="O1115" s="48"/>
      <c r="P1115" s="170" t="b">
        <v>0</v>
      </c>
      <c r="Q1115" s="170" t="b">
        <v>0</v>
      </c>
      <c r="R1115" s="170" t="b">
        <v>0</v>
      </c>
      <c r="S1115" s="48"/>
      <c r="T1115" s="60"/>
      <c r="U1115" s="170" t="b">
        <v>0</v>
      </c>
      <c r="V1115" s="170"/>
      <c r="W1115" s="170" t="b">
        <v>0</v>
      </c>
      <c r="X1115" s="170" t="b">
        <v>0</v>
      </c>
      <c r="Y1115" s="170"/>
      <c r="Z1115" s="170"/>
      <c r="AA1115" s="170"/>
      <c r="AB1115" s="170"/>
      <c r="AC1115" s="171"/>
      <c r="AD1115" s="170"/>
      <c r="AE1115" s="170"/>
      <c r="AF1115" s="170"/>
      <c r="AG1115" s="170"/>
      <c r="AH1115" s="170"/>
      <c r="AI1115" s="170"/>
      <c r="AJ1115" s="172"/>
      <c r="AK1115" s="50"/>
      <c r="AL1115" s="25"/>
      <c r="AM1115" s="25"/>
      <c r="AN1115" s="25"/>
      <c r="AO1115" s="165"/>
      <c r="AP1115" s="78"/>
      <c r="AQ1115" s="25"/>
      <c r="AR1115" s="25"/>
      <c r="AS1115" s="25"/>
      <c r="AT1115" s="25"/>
      <c r="AU1115" s="25"/>
      <c r="AV1115" s="25"/>
      <c r="AW1115" s="25"/>
      <c r="AX1115" s="25"/>
      <c r="AY1115" s="25"/>
      <c r="AZ1115" s="25"/>
      <c r="BA1115" s="25"/>
      <c r="BB1115" s="25"/>
      <c r="BC1115" s="25"/>
      <c r="BD1115" s="25"/>
      <c r="BE1115" s="25"/>
      <c r="BF1115" s="25"/>
      <c r="BG1115" s="25"/>
      <c r="BH1115" s="25"/>
      <c r="BI1115" s="25"/>
      <c r="BJ1115" s="25"/>
      <c r="BK1115" s="25"/>
      <c r="BL1115" s="25"/>
      <c r="BM1115" s="25"/>
      <c r="BN1115" s="25"/>
      <c r="BO1115" s="25"/>
      <c r="BP1115" s="25"/>
    </row>
    <row r="1116">
      <c r="A1116" s="25"/>
      <c r="B1116" s="168"/>
      <c r="C1116" s="25"/>
      <c r="D1116" s="25"/>
      <c r="E1116" s="25"/>
      <c r="F1116" s="25"/>
      <c r="G1116" s="84"/>
      <c r="H1116" s="25"/>
      <c r="I1116" s="25"/>
      <c r="J1116" s="25"/>
      <c r="K1116" s="169"/>
      <c r="L1116" s="169"/>
      <c r="M1116" s="170" t="b">
        <v>0</v>
      </c>
      <c r="N1116" s="170" t="b">
        <v>0</v>
      </c>
      <c r="O1116" s="48"/>
      <c r="P1116" s="170" t="b">
        <v>0</v>
      </c>
      <c r="Q1116" s="170" t="b">
        <v>0</v>
      </c>
      <c r="R1116" s="170" t="b">
        <v>0</v>
      </c>
      <c r="S1116" s="48"/>
      <c r="T1116" s="60"/>
      <c r="U1116" s="170" t="b">
        <v>0</v>
      </c>
      <c r="V1116" s="170"/>
      <c r="W1116" s="170" t="b">
        <v>0</v>
      </c>
      <c r="X1116" s="170" t="b">
        <v>0</v>
      </c>
      <c r="Y1116" s="170"/>
      <c r="Z1116" s="170"/>
      <c r="AA1116" s="170"/>
      <c r="AB1116" s="170"/>
      <c r="AC1116" s="171"/>
      <c r="AD1116" s="170"/>
      <c r="AE1116" s="170"/>
      <c r="AF1116" s="170"/>
      <c r="AG1116" s="170"/>
      <c r="AH1116" s="170"/>
      <c r="AI1116" s="170"/>
      <c r="AJ1116" s="172"/>
      <c r="AK1116" s="50"/>
      <c r="AL1116" s="25"/>
      <c r="AM1116" s="25"/>
      <c r="AN1116" s="25"/>
      <c r="AO1116" s="165"/>
      <c r="AP1116" s="78"/>
      <c r="AQ1116" s="25"/>
      <c r="AR1116" s="25"/>
      <c r="AS1116" s="25"/>
      <c r="AT1116" s="25"/>
      <c r="AU1116" s="25"/>
      <c r="AV1116" s="25"/>
      <c r="AW1116" s="25"/>
      <c r="AX1116" s="25"/>
      <c r="AY1116" s="25"/>
      <c r="AZ1116" s="25"/>
      <c r="BA1116" s="25"/>
      <c r="BB1116" s="25"/>
      <c r="BC1116" s="25"/>
      <c r="BD1116" s="25"/>
      <c r="BE1116" s="25"/>
      <c r="BF1116" s="25"/>
      <c r="BG1116" s="25"/>
      <c r="BH1116" s="25"/>
      <c r="BI1116" s="25"/>
      <c r="BJ1116" s="25"/>
      <c r="BK1116" s="25"/>
      <c r="BL1116" s="25"/>
      <c r="BM1116" s="25"/>
      <c r="BN1116" s="25"/>
      <c r="BO1116" s="25"/>
      <c r="BP1116" s="25"/>
    </row>
    <row r="1117">
      <c r="A1117" s="25"/>
      <c r="B1117" s="168"/>
      <c r="C1117" s="25"/>
      <c r="D1117" s="25"/>
      <c r="E1117" s="25"/>
      <c r="F1117" s="25"/>
      <c r="G1117" s="84"/>
      <c r="H1117" s="25"/>
      <c r="I1117" s="25"/>
      <c r="J1117" s="25"/>
      <c r="K1117" s="169"/>
      <c r="L1117" s="169"/>
      <c r="M1117" s="170" t="b">
        <v>0</v>
      </c>
      <c r="N1117" s="170" t="b">
        <v>0</v>
      </c>
      <c r="O1117" s="48"/>
      <c r="P1117" s="170" t="b">
        <v>0</v>
      </c>
      <c r="Q1117" s="170" t="b">
        <v>0</v>
      </c>
      <c r="R1117" s="170" t="b">
        <v>0</v>
      </c>
      <c r="S1117" s="48"/>
      <c r="T1117" s="60"/>
      <c r="U1117" s="170" t="b">
        <v>0</v>
      </c>
      <c r="V1117" s="170"/>
      <c r="W1117" s="170" t="b">
        <v>0</v>
      </c>
      <c r="X1117" s="170" t="b">
        <v>0</v>
      </c>
      <c r="Y1117" s="170"/>
      <c r="Z1117" s="170"/>
      <c r="AA1117" s="170"/>
      <c r="AB1117" s="170"/>
      <c r="AC1117" s="171"/>
      <c r="AD1117" s="170"/>
      <c r="AE1117" s="170"/>
      <c r="AF1117" s="170"/>
      <c r="AG1117" s="170"/>
      <c r="AH1117" s="170"/>
      <c r="AI1117" s="170"/>
      <c r="AJ1117" s="172"/>
      <c r="AK1117" s="50"/>
      <c r="AL1117" s="25"/>
      <c r="AM1117" s="25"/>
      <c r="AN1117" s="25"/>
      <c r="AO1117" s="165"/>
      <c r="AP1117" s="78"/>
      <c r="AQ1117" s="25"/>
      <c r="AR1117" s="25"/>
      <c r="AS1117" s="25"/>
      <c r="AT1117" s="25"/>
      <c r="AU1117" s="25"/>
      <c r="AV1117" s="25"/>
      <c r="AW1117" s="25"/>
      <c r="AX1117" s="25"/>
      <c r="AY1117" s="25"/>
      <c r="AZ1117" s="25"/>
      <c r="BA1117" s="25"/>
      <c r="BB1117" s="25"/>
      <c r="BC1117" s="25"/>
      <c r="BD1117" s="25"/>
      <c r="BE1117" s="25"/>
      <c r="BF1117" s="25"/>
      <c r="BG1117" s="25"/>
      <c r="BH1117" s="25"/>
      <c r="BI1117" s="25"/>
      <c r="BJ1117" s="25"/>
      <c r="BK1117" s="25"/>
      <c r="BL1117" s="25"/>
      <c r="BM1117" s="25"/>
      <c r="BN1117" s="25"/>
      <c r="BO1117" s="25"/>
      <c r="BP1117" s="25"/>
    </row>
    <row r="1118">
      <c r="A1118" s="25"/>
      <c r="B1118" s="168"/>
      <c r="C1118" s="25"/>
      <c r="D1118" s="25"/>
      <c r="E1118" s="25"/>
      <c r="F1118" s="25"/>
      <c r="G1118" s="84"/>
      <c r="H1118" s="25"/>
      <c r="I1118" s="25"/>
      <c r="J1118" s="25"/>
      <c r="K1118" s="169"/>
      <c r="L1118" s="169"/>
      <c r="M1118" s="170" t="b">
        <v>0</v>
      </c>
      <c r="N1118" s="170" t="b">
        <v>0</v>
      </c>
      <c r="O1118" s="48"/>
      <c r="P1118" s="170" t="b">
        <v>0</v>
      </c>
      <c r="Q1118" s="170" t="b">
        <v>0</v>
      </c>
      <c r="R1118" s="170" t="b">
        <v>0</v>
      </c>
      <c r="S1118" s="48"/>
      <c r="T1118" s="60"/>
      <c r="U1118" s="170" t="b">
        <v>0</v>
      </c>
      <c r="V1118" s="170"/>
      <c r="W1118" s="170" t="b">
        <v>0</v>
      </c>
      <c r="X1118" s="170" t="b">
        <v>0</v>
      </c>
      <c r="Y1118" s="170"/>
      <c r="Z1118" s="170"/>
      <c r="AA1118" s="170"/>
      <c r="AB1118" s="170"/>
      <c r="AC1118" s="171"/>
      <c r="AD1118" s="170"/>
      <c r="AE1118" s="170"/>
      <c r="AF1118" s="170"/>
      <c r="AG1118" s="170"/>
      <c r="AH1118" s="170"/>
      <c r="AI1118" s="170"/>
      <c r="AJ1118" s="172"/>
      <c r="AK1118" s="50"/>
      <c r="AL1118" s="25"/>
      <c r="AM1118" s="25"/>
      <c r="AN1118" s="25"/>
      <c r="AO1118" s="165"/>
      <c r="AP1118" s="78"/>
      <c r="AQ1118" s="25"/>
      <c r="AR1118" s="25"/>
      <c r="AS1118" s="25"/>
      <c r="AT1118" s="25"/>
      <c r="AU1118" s="25"/>
      <c r="AV1118" s="25"/>
      <c r="AW1118" s="25"/>
      <c r="AX1118" s="25"/>
      <c r="AY1118" s="25"/>
      <c r="AZ1118" s="25"/>
      <c r="BA1118" s="25"/>
      <c r="BB1118" s="25"/>
      <c r="BC1118" s="25"/>
      <c r="BD1118" s="25"/>
      <c r="BE1118" s="25"/>
      <c r="BF1118" s="25"/>
      <c r="BG1118" s="25"/>
      <c r="BH1118" s="25"/>
      <c r="BI1118" s="25"/>
      <c r="BJ1118" s="25"/>
      <c r="BK1118" s="25"/>
      <c r="BL1118" s="25"/>
      <c r="BM1118" s="25"/>
      <c r="BN1118" s="25"/>
      <c r="BO1118" s="25"/>
      <c r="BP1118" s="25"/>
    </row>
    <row r="1119">
      <c r="A1119" s="25"/>
      <c r="B1119" s="168"/>
      <c r="C1119" s="25"/>
      <c r="D1119" s="25"/>
      <c r="E1119" s="25"/>
      <c r="F1119" s="25"/>
      <c r="G1119" s="84"/>
      <c r="H1119" s="25"/>
      <c r="I1119" s="25"/>
      <c r="J1119" s="25"/>
      <c r="K1119" s="169"/>
      <c r="L1119" s="169"/>
      <c r="M1119" s="170" t="b">
        <v>0</v>
      </c>
      <c r="N1119" s="170" t="b">
        <v>0</v>
      </c>
      <c r="O1119" s="48"/>
      <c r="P1119" s="170" t="b">
        <v>0</v>
      </c>
      <c r="Q1119" s="170" t="b">
        <v>0</v>
      </c>
      <c r="R1119" s="170" t="b">
        <v>0</v>
      </c>
      <c r="S1119" s="48"/>
      <c r="T1119" s="60"/>
      <c r="U1119" s="170" t="b">
        <v>0</v>
      </c>
      <c r="V1119" s="170"/>
      <c r="W1119" s="170" t="b">
        <v>0</v>
      </c>
      <c r="X1119" s="170" t="b">
        <v>0</v>
      </c>
      <c r="Y1119" s="170"/>
      <c r="Z1119" s="170"/>
      <c r="AA1119" s="170"/>
      <c r="AB1119" s="170"/>
      <c r="AC1119" s="171"/>
      <c r="AD1119" s="170"/>
      <c r="AE1119" s="170"/>
      <c r="AF1119" s="170"/>
      <c r="AG1119" s="170"/>
      <c r="AH1119" s="170"/>
      <c r="AI1119" s="170"/>
      <c r="AJ1119" s="172"/>
      <c r="AK1119" s="50"/>
      <c r="AL1119" s="25"/>
      <c r="AM1119" s="25"/>
      <c r="AN1119" s="25"/>
      <c r="AO1119" s="165"/>
      <c r="AP1119" s="78"/>
      <c r="AQ1119" s="25"/>
      <c r="AR1119" s="25"/>
      <c r="AS1119" s="25"/>
      <c r="AT1119" s="25"/>
      <c r="AU1119" s="25"/>
      <c r="AV1119" s="25"/>
      <c r="AW1119" s="25"/>
      <c r="AX1119" s="25"/>
      <c r="AY1119" s="25"/>
      <c r="AZ1119" s="25"/>
      <c r="BA1119" s="25"/>
      <c r="BB1119" s="25"/>
      <c r="BC1119" s="25"/>
      <c r="BD1119" s="25"/>
      <c r="BE1119" s="25"/>
      <c r="BF1119" s="25"/>
      <c r="BG1119" s="25"/>
      <c r="BH1119" s="25"/>
      <c r="BI1119" s="25"/>
      <c r="BJ1119" s="25"/>
      <c r="BK1119" s="25"/>
      <c r="BL1119" s="25"/>
      <c r="BM1119" s="25"/>
      <c r="BN1119" s="25"/>
      <c r="BO1119" s="25"/>
      <c r="BP1119" s="25"/>
    </row>
    <row r="1120">
      <c r="A1120" s="25"/>
      <c r="B1120" s="168"/>
      <c r="C1120" s="25"/>
      <c r="D1120" s="25"/>
      <c r="E1120" s="25"/>
      <c r="F1120" s="25"/>
      <c r="G1120" s="84"/>
      <c r="H1120" s="25"/>
      <c r="I1120" s="25"/>
      <c r="J1120" s="25"/>
      <c r="K1120" s="169"/>
      <c r="L1120" s="169"/>
      <c r="M1120" s="170" t="b">
        <v>0</v>
      </c>
      <c r="N1120" s="170" t="b">
        <v>0</v>
      </c>
      <c r="O1120" s="48"/>
      <c r="P1120" s="170" t="b">
        <v>0</v>
      </c>
      <c r="Q1120" s="170" t="b">
        <v>0</v>
      </c>
      <c r="R1120" s="170" t="b">
        <v>0</v>
      </c>
      <c r="S1120" s="48"/>
      <c r="T1120" s="60"/>
      <c r="U1120" s="170" t="b">
        <v>0</v>
      </c>
      <c r="V1120" s="170"/>
      <c r="W1120" s="170" t="b">
        <v>0</v>
      </c>
      <c r="X1120" s="170" t="b">
        <v>0</v>
      </c>
      <c r="Y1120" s="170"/>
      <c r="Z1120" s="170"/>
      <c r="AA1120" s="170"/>
      <c r="AB1120" s="170"/>
      <c r="AC1120" s="171"/>
      <c r="AD1120" s="170"/>
      <c r="AE1120" s="170"/>
      <c r="AF1120" s="170"/>
      <c r="AG1120" s="170"/>
      <c r="AH1120" s="170"/>
      <c r="AI1120" s="170"/>
      <c r="AJ1120" s="172"/>
      <c r="AK1120" s="50"/>
      <c r="AL1120" s="25"/>
      <c r="AM1120" s="25"/>
      <c r="AN1120" s="25"/>
      <c r="AO1120" s="165"/>
      <c r="AP1120" s="78"/>
      <c r="AQ1120" s="25"/>
      <c r="AR1120" s="25"/>
      <c r="AS1120" s="25"/>
      <c r="AT1120" s="25"/>
      <c r="AU1120" s="25"/>
      <c r="AV1120" s="25"/>
      <c r="AW1120" s="25"/>
      <c r="AX1120" s="25"/>
      <c r="AY1120" s="25"/>
      <c r="AZ1120" s="25"/>
      <c r="BA1120" s="25"/>
      <c r="BB1120" s="25"/>
      <c r="BC1120" s="25"/>
      <c r="BD1120" s="25"/>
      <c r="BE1120" s="25"/>
      <c r="BF1120" s="25"/>
      <c r="BG1120" s="25"/>
      <c r="BH1120" s="25"/>
      <c r="BI1120" s="25"/>
      <c r="BJ1120" s="25"/>
      <c r="BK1120" s="25"/>
      <c r="BL1120" s="25"/>
      <c r="BM1120" s="25"/>
      <c r="BN1120" s="25"/>
      <c r="BO1120" s="25"/>
      <c r="BP1120" s="25"/>
    </row>
    <row r="1121">
      <c r="A1121" s="25"/>
      <c r="B1121" s="168"/>
      <c r="C1121" s="25"/>
      <c r="D1121" s="25"/>
      <c r="E1121" s="25"/>
      <c r="F1121" s="25"/>
      <c r="G1121" s="84"/>
      <c r="H1121" s="25"/>
      <c r="I1121" s="25"/>
      <c r="J1121" s="25"/>
      <c r="K1121" s="169"/>
      <c r="L1121" s="169"/>
      <c r="M1121" s="170" t="b">
        <v>0</v>
      </c>
      <c r="N1121" s="170" t="b">
        <v>0</v>
      </c>
      <c r="O1121" s="48"/>
      <c r="P1121" s="170" t="b">
        <v>0</v>
      </c>
      <c r="Q1121" s="170" t="b">
        <v>0</v>
      </c>
      <c r="R1121" s="170" t="b">
        <v>0</v>
      </c>
      <c r="S1121" s="48"/>
      <c r="T1121" s="60"/>
      <c r="U1121" s="170" t="b">
        <v>0</v>
      </c>
      <c r="V1121" s="170"/>
      <c r="W1121" s="170" t="b">
        <v>0</v>
      </c>
      <c r="X1121" s="170" t="b">
        <v>0</v>
      </c>
      <c r="Y1121" s="170"/>
      <c r="Z1121" s="170"/>
      <c r="AA1121" s="170"/>
      <c r="AB1121" s="170"/>
      <c r="AC1121" s="171"/>
      <c r="AD1121" s="170"/>
      <c r="AE1121" s="170"/>
      <c r="AF1121" s="170"/>
      <c r="AG1121" s="170"/>
      <c r="AH1121" s="170"/>
      <c r="AI1121" s="170"/>
      <c r="AJ1121" s="172"/>
      <c r="AK1121" s="50"/>
      <c r="AL1121" s="25"/>
      <c r="AM1121" s="25"/>
      <c r="AN1121" s="25"/>
      <c r="AO1121" s="165"/>
      <c r="AP1121" s="78"/>
      <c r="AQ1121" s="25"/>
      <c r="AR1121" s="25"/>
      <c r="AS1121" s="25"/>
      <c r="AT1121" s="25"/>
      <c r="AU1121" s="25"/>
      <c r="AV1121" s="25"/>
      <c r="AW1121" s="25"/>
      <c r="AX1121" s="25"/>
      <c r="AY1121" s="25"/>
      <c r="AZ1121" s="25"/>
      <c r="BA1121" s="25"/>
      <c r="BB1121" s="25"/>
      <c r="BC1121" s="25"/>
      <c r="BD1121" s="25"/>
      <c r="BE1121" s="25"/>
      <c r="BF1121" s="25"/>
      <c r="BG1121" s="25"/>
      <c r="BH1121" s="25"/>
      <c r="BI1121" s="25"/>
      <c r="BJ1121" s="25"/>
      <c r="BK1121" s="25"/>
      <c r="BL1121" s="25"/>
      <c r="BM1121" s="25"/>
      <c r="BN1121" s="25"/>
      <c r="BO1121" s="25"/>
      <c r="BP1121" s="25"/>
    </row>
    <row r="1122">
      <c r="A1122" s="25"/>
      <c r="B1122" s="168"/>
      <c r="C1122" s="25"/>
      <c r="D1122" s="25"/>
      <c r="E1122" s="25"/>
      <c r="F1122" s="25"/>
      <c r="G1122" s="84"/>
      <c r="H1122" s="25"/>
      <c r="I1122" s="25"/>
      <c r="J1122" s="25"/>
      <c r="K1122" s="169"/>
      <c r="L1122" s="169"/>
      <c r="M1122" s="170" t="b">
        <v>0</v>
      </c>
      <c r="N1122" s="170" t="b">
        <v>0</v>
      </c>
      <c r="O1122" s="48"/>
      <c r="P1122" s="170" t="b">
        <v>0</v>
      </c>
      <c r="Q1122" s="170" t="b">
        <v>0</v>
      </c>
      <c r="R1122" s="170" t="b">
        <v>0</v>
      </c>
      <c r="S1122" s="48"/>
      <c r="T1122" s="60"/>
      <c r="U1122" s="170" t="b">
        <v>0</v>
      </c>
      <c r="V1122" s="170"/>
      <c r="W1122" s="170" t="b">
        <v>0</v>
      </c>
      <c r="X1122" s="170" t="b">
        <v>0</v>
      </c>
      <c r="Y1122" s="170"/>
      <c r="Z1122" s="170"/>
      <c r="AA1122" s="170"/>
      <c r="AB1122" s="170"/>
      <c r="AC1122" s="171"/>
      <c r="AD1122" s="170"/>
      <c r="AE1122" s="170"/>
      <c r="AF1122" s="170"/>
      <c r="AG1122" s="170"/>
      <c r="AH1122" s="170"/>
      <c r="AI1122" s="170"/>
      <c r="AJ1122" s="172"/>
      <c r="AK1122" s="50"/>
      <c r="AL1122" s="25"/>
      <c r="AM1122" s="25"/>
      <c r="AN1122" s="25"/>
      <c r="AO1122" s="165"/>
      <c r="AP1122" s="78"/>
      <c r="AQ1122" s="25"/>
      <c r="AR1122" s="25"/>
      <c r="AS1122" s="25"/>
      <c r="AT1122" s="25"/>
      <c r="AU1122" s="25"/>
      <c r="AV1122" s="25"/>
      <c r="AW1122" s="25"/>
      <c r="AX1122" s="25"/>
      <c r="AY1122" s="25"/>
      <c r="AZ1122" s="25"/>
      <c r="BA1122" s="25"/>
      <c r="BB1122" s="25"/>
      <c r="BC1122" s="25"/>
      <c r="BD1122" s="25"/>
      <c r="BE1122" s="25"/>
      <c r="BF1122" s="25"/>
      <c r="BG1122" s="25"/>
      <c r="BH1122" s="25"/>
      <c r="BI1122" s="25"/>
      <c r="BJ1122" s="25"/>
      <c r="BK1122" s="25"/>
      <c r="BL1122" s="25"/>
      <c r="BM1122" s="25"/>
      <c r="BN1122" s="25"/>
      <c r="BO1122" s="25"/>
      <c r="BP1122" s="25"/>
    </row>
    <row r="1123">
      <c r="A1123" s="25"/>
      <c r="B1123" s="168"/>
      <c r="C1123" s="25"/>
      <c r="D1123" s="25"/>
      <c r="E1123" s="25"/>
      <c r="F1123" s="25"/>
      <c r="G1123" s="84"/>
      <c r="H1123" s="25"/>
      <c r="I1123" s="25"/>
      <c r="J1123" s="25"/>
      <c r="K1123" s="169"/>
      <c r="L1123" s="169"/>
      <c r="M1123" s="170" t="b">
        <v>0</v>
      </c>
      <c r="N1123" s="170" t="b">
        <v>0</v>
      </c>
      <c r="O1123" s="48"/>
      <c r="P1123" s="170" t="b">
        <v>0</v>
      </c>
      <c r="Q1123" s="170" t="b">
        <v>0</v>
      </c>
      <c r="R1123" s="170" t="b">
        <v>0</v>
      </c>
      <c r="S1123" s="48"/>
      <c r="T1123" s="60"/>
      <c r="U1123" s="170" t="b">
        <v>0</v>
      </c>
      <c r="V1123" s="170"/>
      <c r="W1123" s="170" t="b">
        <v>0</v>
      </c>
      <c r="X1123" s="170" t="b">
        <v>0</v>
      </c>
      <c r="Y1123" s="170"/>
      <c r="Z1123" s="170"/>
      <c r="AA1123" s="170"/>
      <c r="AB1123" s="170"/>
      <c r="AC1123" s="171"/>
      <c r="AD1123" s="170"/>
      <c r="AE1123" s="170"/>
      <c r="AF1123" s="170"/>
      <c r="AG1123" s="170"/>
      <c r="AH1123" s="170"/>
      <c r="AI1123" s="170"/>
      <c r="AJ1123" s="172"/>
      <c r="AK1123" s="50"/>
      <c r="AL1123" s="25"/>
      <c r="AM1123" s="25"/>
      <c r="AN1123" s="25"/>
      <c r="AO1123" s="165"/>
      <c r="AP1123" s="78"/>
      <c r="AQ1123" s="25"/>
      <c r="AR1123" s="25"/>
      <c r="AS1123" s="25"/>
      <c r="AT1123" s="25"/>
      <c r="AU1123" s="25"/>
      <c r="AV1123" s="25"/>
      <c r="AW1123" s="25"/>
      <c r="AX1123" s="25"/>
      <c r="AY1123" s="25"/>
      <c r="AZ1123" s="25"/>
      <c r="BA1123" s="25"/>
      <c r="BB1123" s="25"/>
      <c r="BC1123" s="25"/>
      <c r="BD1123" s="25"/>
      <c r="BE1123" s="25"/>
      <c r="BF1123" s="25"/>
      <c r="BG1123" s="25"/>
      <c r="BH1123" s="25"/>
      <c r="BI1123" s="25"/>
      <c r="BJ1123" s="25"/>
      <c r="BK1123" s="25"/>
      <c r="BL1123" s="25"/>
      <c r="BM1123" s="25"/>
      <c r="BN1123" s="25"/>
      <c r="BO1123" s="25"/>
      <c r="BP1123" s="25"/>
    </row>
    <row r="1124">
      <c r="A1124" s="25"/>
      <c r="B1124" s="168"/>
      <c r="C1124" s="25"/>
      <c r="D1124" s="25"/>
      <c r="E1124" s="25"/>
      <c r="F1124" s="25"/>
      <c r="G1124" s="84"/>
      <c r="H1124" s="25"/>
      <c r="I1124" s="25"/>
      <c r="J1124" s="25"/>
      <c r="K1124" s="169"/>
      <c r="L1124" s="169"/>
      <c r="M1124" s="170" t="b">
        <v>0</v>
      </c>
      <c r="N1124" s="170" t="b">
        <v>0</v>
      </c>
      <c r="O1124" s="48"/>
      <c r="P1124" s="170" t="b">
        <v>0</v>
      </c>
      <c r="Q1124" s="170" t="b">
        <v>0</v>
      </c>
      <c r="R1124" s="170" t="b">
        <v>0</v>
      </c>
      <c r="S1124" s="48"/>
      <c r="T1124" s="60"/>
      <c r="U1124" s="170" t="b">
        <v>0</v>
      </c>
      <c r="V1124" s="170"/>
      <c r="W1124" s="170" t="b">
        <v>0</v>
      </c>
      <c r="X1124" s="170" t="b">
        <v>0</v>
      </c>
      <c r="Y1124" s="170"/>
      <c r="Z1124" s="170"/>
      <c r="AA1124" s="170"/>
      <c r="AB1124" s="170"/>
      <c r="AC1124" s="171"/>
      <c r="AD1124" s="170"/>
      <c r="AE1124" s="170"/>
      <c r="AF1124" s="170"/>
      <c r="AG1124" s="170"/>
      <c r="AH1124" s="170"/>
      <c r="AI1124" s="170"/>
      <c r="AJ1124" s="172"/>
      <c r="AK1124" s="50"/>
      <c r="AL1124" s="25"/>
      <c r="AM1124" s="25"/>
      <c r="AN1124" s="25"/>
      <c r="AO1124" s="165"/>
      <c r="AP1124" s="78"/>
      <c r="AQ1124" s="25"/>
      <c r="AR1124" s="25"/>
      <c r="AS1124" s="25"/>
      <c r="AT1124" s="25"/>
      <c r="AU1124" s="25"/>
      <c r="AV1124" s="25"/>
      <c r="AW1124" s="25"/>
      <c r="AX1124" s="25"/>
      <c r="AY1124" s="25"/>
      <c r="AZ1124" s="25"/>
      <c r="BA1124" s="25"/>
      <c r="BB1124" s="25"/>
      <c r="BC1124" s="25"/>
      <c r="BD1124" s="25"/>
      <c r="BE1124" s="25"/>
      <c r="BF1124" s="25"/>
      <c r="BG1124" s="25"/>
      <c r="BH1124" s="25"/>
      <c r="BI1124" s="25"/>
      <c r="BJ1124" s="25"/>
      <c r="BK1124" s="25"/>
      <c r="BL1124" s="25"/>
      <c r="BM1124" s="25"/>
      <c r="BN1124" s="25"/>
      <c r="BO1124" s="25"/>
      <c r="BP1124" s="25"/>
    </row>
    <row r="1125">
      <c r="A1125" s="25"/>
      <c r="B1125" s="168"/>
      <c r="C1125" s="25"/>
      <c r="D1125" s="25"/>
      <c r="E1125" s="25"/>
      <c r="F1125" s="25"/>
      <c r="G1125" s="84"/>
      <c r="H1125" s="25"/>
      <c r="I1125" s="25"/>
      <c r="J1125" s="25"/>
      <c r="K1125" s="169"/>
      <c r="L1125" s="169"/>
      <c r="M1125" s="170" t="b">
        <v>0</v>
      </c>
      <c r="N1125" s="170" t="b">
        <v>0</v>
      </c>
      <c r="O1125" s="48"/>
      <c r="P1125" s="170" t="b">
        <v>0</v>
      </c>
      <c r="Q1125" s="170" t="b">
        <v>0</v>
      </c>
      <c r="R1125" s="170" t="b">
        <v>0</v>
      </c>
      <c r="S1125" s="48"/>
      <c r="T1125" s="60"/>
      <c r="U1125" s="170" t="b">
        <v>0</v>
      </c>
      <c r="V1125" s="170"/>
      <c r="W1125" s="170" t="b">
        <v>0</v>
      </c>
      <c r="X1125" s="170" t="b">
        <v>0</v>
      </c>
      <c r="Y1125" s="170"/>
      <c r="Z1125" s="170"/>
      <c r="AA1125" s="170"/>
      <c r="AB1125" s="170"/>
      <c r="AC1125" s="171"/>
      <c r="AD1125" s="170"/>
      <c r="AE1125" s="170"/>
      <c r="AF1125" s="170"/>
      <c r="AG1125" s="170"/>
      <c r="AH1125" s="170"/>
      <c r="AI1125" s="170"/>
      <c r="AJ1125" s="172"/>
      <c r="AK1125" s="50"/>
      <c r="AL1125" s="25"/>
      <c r="AM1125" s="25"/>
      <c r="AN1125" s="25"/>
      <c r="AO1125" s="165"/>
      <c r="AP1125" s="78"/>
      <c r="AQ1125" s="25"/>
      <c r="AR1125" s="25"/>
      <c r="AS1125" s="25"/>
      <c r="AT1125" s="25"/>
      <c r="AU1125" s="25"/>
      <c r="AV1125" s="25"/>
      <c r="AW1125" s="25"/>
      <c r="AX1125" s="25"/>
      <c r="AY1125" s="25"/>
      <c r="AZ1125" s="25"/>
      <c r="BA1125" s="25"/>
      <c r="BB1125" s="25"/>
      <c r="BC1125" s="25"/>
      <c r="BD1125" s="25"/>
      <c r="BE1125" s="25"/>
      <c r="BF1125" s="25"/>
      <c r="BG1125" s="25"/>
      <c r="BH1125" s="25"/>
      <c r="BI1125" s="25"/>
      <c r="BJ1125" s="25"/>
      <c r="BK1125" s="25"/>
      <c r="BL1125" s="25"/>
      <c r="BM1125" s="25"/>
      <c r="BN1125" s="25"/>
      <c r="BO1125" s="25"/>
      <c r="BP1125" s="25"/>
    </row>
    <row r="1126">
      <c r="A1126" s="25"/>
      <c r="B1126" s="168"/>
      <c r="C1126" s="25"/>
      <c r="D1126" s="25"/>
      <c r="E1126" s="25"/>
      <c r="F1126" s="25"/>
      <c r="G1126" s="84"/>
      <c r="H1126" s="25"/>
      <c r="I1126" s="25"/>
      <c r="J1126" s="25"/>
      <c r="K1126" s="169"/>
      <c r="L1126" s="169"/>
      <c r="M1126" s="170" t="b">
        <v>0</v>
      </c>
      <c r="N1126" s="170" t="b">
        <v>0</v>
      </c>
      <c r="O1126" s="48"/>
      <c r="P1126" s="170" t="b">
        <v>0</v>
      </c>
      <c r="Q1126" s="170" t="b">
        <v>0</v>
      </c>
      <c r="R1126" s="170" t="b">
        <v>0</v>
      </c>
      <c r="S1126" s="48"/>
      <c r="T1126" s="60"/>
      <c r="U1126" s="170" t="b">
        <v>0</v>
      </c>
      <c r="V1126" s="170"/>
      <c r="W1126" s="170" t="b">
        <v>0</v>
      </c>
      <c r="X1126" s="170" t="b">
        <v>0</v>
      </c>
      <c r="Y1126" s="170"/>
      <c r="Z1126" s="170"/>
      <c r="AA1126" s="170"/>
      <c r="AB1126" s="170"/>
      <c r="AC1126" s="171"/>
      <c r="AD1126" s="170"/>
      <c r="AE1126" s="170"/>
      <c r="AF1126" s="170"/>
      <c r="AG1126" s="170"/>
      <c r="AH1126" s="170"/>
      <c r="AI1126" s="170"/>
      <c r="AJ1126" s="172"/>
      <c r="AK1126" s="50"/>
      <c r="AL1126" s="25"/>
      <c r="AM1126" s="25"/>
      <c r="AN1126" s="25"/>
      <c r="AO1126" s="165"/>
      <c r="AP1126" s="78"/>
      <c r="AQ1126" s="25"/>
      <c r="AR1126" s="25"/>
      <c r="AS1126" s="25"/>
      <c r="AT1126" s="25"/>
      <c r="AU1126" s="25"/>
      <c r="AV1126" s="25"/>
      <c r="AW1126" s="25"/>
      <c r="AX1126" s="25"/>
      <c r="AY1126" s="25"/>
      <c r="AZ1126" s="25"/>
      <c r="BA1126" s="25"/>
      <c r="BB1126" s="25"/>
      <c r="BC1126" s="25"/>
      <c r="BD1126" s="25"/>
      <c r="BE1126" s="25"/>
      <c r="BF1126" s="25"/>
      <c r="BG1126" s="25"/>
      <c r="BH1126" s="25"/>
      <c r="BI1126" s="25"/>
      <c r="BJ1126" s="25"/>
      <c r="BK1126" s="25"/>
      <c r="BL1126" s="25"/>
      <c r="BM1126" s="25"/>
      <c r="BN1126" s="25"/>
      <c r="BO1126" s="25"/>
      <c r="BP1126" s="25"/>
    </row>
    <row r="1127">
      <c r="A1127" s="25"/>
      <c r="B1127" s="168"/>
      <c r="C1127" s="25"/>
      <c r="D1127" s="25"/>
      <c r="E1127" s="25"/>
      <c r="F1127" s="25"/>
      <c r="G1127" s="84"/>
      <c r="H1127" s="25"/>
      <c r="I1127" s="25"/>
      <c r="J1127" s="25"/>
      <c r="K1127" s="169"/>
      <c r="L1127" s="169"/>
      <c r="M1127" s="170" t="b">
        <v>0</v>
      </c>
      <c r="N1127" s="170" t="b">
        <v>0</v>
      </c>
      <c r="O1127" s="48"/>
      <c r="P1127" s="170" t="b">
        <v>0</v>
      </c>
      <c r="Q1127" s="170" t="b">
        <v>0</v>
      </c>
      <c r="R1127" s="170" t="b">
        <v>0</v>
      </c>
      <c r="S1127" s="48"/>
      <c r="T1127" s="60"/>
      <c r="U1127" s="170" t="b">
        <v>0</v>
      </c>
      <c r="V1127" s="170"/>
      <c r="W1127" s="170" t="b">
        <v>0</v>
      </c>
      <c r="X1127" s="170" t="b">
        <v>0</v>
      </c>
      <c r="Y1127" s="170"/>
      <c r="Z1127" s="170"/>
      <c r="AA1127" s="170"/>
      <c r="AB1127" s="170"/>
      <c r="AC1127" s="171"/>
      <c r="AD1127" s="170"/>
      <c r="AE1127" s="170"/>
      <c r="AF1127" s="170"/>
      <c r="AG1127" s="170"/>
      <c r="AH1127" s="170"/>
      <c r="AI1127" s="170"/>
      <c r="AJ1127" s="172"/>
      <c r="AK1127" s="50"/>
      <c r="AL1127" s="25"/>
      <c r="AM1127" s="25"/>
      <c r="AN1127" s="25"/>
      <c r="AO1127" s="165"/>
      <c r="AP1127" s="78"/>
      <c r="AQ1127" s="25"/>
      <c r="AR1127" s="25"/>
      <c r="AS1127" s="25"/>
      <c r="AT1127" s="25"/>
      <c r="AU1127" s="25"/>
      <c r="AV1127" s="25"/>
      <c r="AW1127" s="25"/>
      <c r="AX1127" s="25"/>
      <c r="AY1127" s="25"/>
      <c r="AZ1127" s="25"/>
      <c r="BA1127" s="25"/>
      <c r="BB1127" s="25"/>
      <c r="BC1127" s="25"/>
      <c r="BD1127" s="25"/>
      <c r="BE1127" s="25"/>
      <c r="BF1127" s="25"/>
      <c r="BG1127" s="25"/>
      <c r="BH1127" s="25"/>
      <c r="BI1127" s="25"/>
      <c r="BJ1127" s="25"/>
      <c r="BK1127" s="25"/>
      <c r="BL1127" s="25"/>
      <c r="BM1127" s="25"/>
      <c r="BN1127" s="25"/>
      <c r="BO1127" s="25"/>
      <c r="BP1127" s="25"/>
    </row>
    <row r="1128">
      <c r="A1128" s="25"/>
      <c r="B1128" s="168"/>
      <c r="C1128" s="25"/>
      <c r="D1128" s="25"/>
      <c r="E1128" s="25"/>
      <c r="F1128" s="25"/>
      <c r="G1128" s="84"/>
      <c r="H1128" s="25"/>
      <c r="I1128" s="25"/>
      <c r="J1128" s="25"/>
      <c r="K1128" s="169"/>
      <c r="L1128" s="169"/>
      <c r="M1128" s="170" t="b">
        <v>0</v>
      </c>
      <c r="N1128" s="170" t="b">
        <v>0</v>
      </c>
      <c r="O1128" s="48"/>
      <c r="P1128" s="170" t="b">
        <v>0</v>
      </c>
      <c r="Q1128" s="170" t="b">
        <v>0</v>
      </c>
      <c r="R1128" s="170" t="b">
        <v>0</v>
      </c>
      <c r="S1128" s="48"/>
      <c r="T1128" s="60"/>
      <c r="U1128" s="170" t="b">
        <v>0</v>
      </c>
      <c r="V1128" s="170"/>
      <c r="W1128" s="170" t="b">
        <v>0</v>
      </c>
      <c r="X1128" s="170" t="b">
        <v>0</v>
      </c>
      <c r="Y1128" s="170"/>
      <c r="Z1128" s="170"/>
      <c r="AA1128" s="170"/>
      <c r="AB1128" s="170"/>
      <c r="AC1128" s="171"/>
      <c r="AD1128" s="170"/>
      <c r="AE1128" s="170"/>
      <c r="AF1128" s="170"/>
      <c r="AG1128" s="170"/>
      <c r="AH1128" s="170"/>
      <c r="AI1128" s="170"/>
      <c r="AJ1128" s="172"/>
      <c r="AK1128" s="50"/>
      <c r="AL1128" s="25"/>
      <c r="AM1128" s="25"/>
      <c r="AN1128" s="25"/>
      <c r="AO1128" s="165"/>
      <c r="AP1128" s="78"/>
      <c r="AQ1128" s="25"/>
      <c r="AR1128" s="25"/>
      <c r="AS1128" s="25"/>
      <c r="AT1128" s="25"/>
      <c r="AU1128" s="25"/>
      <c r="AV1128" s="25"/>
      <c r="AW1128" s="25"/>
      <c r="AX1128" s="25"/>
      <c r="AY1128" s="25"/>
      <c r="AZ1128" s="25"/>
      <c r="BA1128" s="25"/>
      <c r="BB1128" s="25"/>
      <c r="BC1128" s="25"/>
      <c r="BD1128" s="25"/>
      <c r="BE1128" s="25"/>
      <c r="BF1128" s="25"/>
      <c r="BG1128" s="25"/>
      <c r="BH1128" s="25"/>
      <c r="BI1128" s="25"/>
      <c r="BJ1128" s="25"/>
      <c r="BK1128" s="25"/>
      <c r="BL1128" s="25"/>
      <c r="BM1128" s="25"/>
      <c r="BN1128" s="25"/>
      <c r="BO1128" s="25"/>
      <c r="BP1128" s="25"/>
    </row>
    <row r="1129">
      <c r="A1129" s="25"/>
      <c r="B1129" s="168"/>
      <c r="C1129" s="25"/>
      <c r="D1129" s="25"/>
      <c r="E1129" s="25"/>
      <c r="F1129" s="25"/>
      <c r="G1129" s="84"/>
      <c r="H1129" s="25"/>
      <c r="I1129" s="25"/>
      <c r="J1129" s="25"/>
      <c r="K1129" s="169"/>
      <c r="L1129" s="169"/>
      <c r="M1129" s="170" t="b">
        <v>0</v>
      </c>
      <c r="N1129" s="170" t="b">
        <v>0</v>
      </c>
      <c r="O1129" s="48"/>
      <c r="P1129" s="170" t="b">
        <v>0</v>
      </c>
      <c r="Q1129" s="170" t="b">
        <v>0</v>
      </c>
      <c r="R1129" s="170" t="b">
        <v>0</v>
      </c>
      <c r="S1129" s="48"/>
      <c r="T1129" s="60"/>
      <c r="U1129" s="170" t="b">
        <v>0</v>
      </c>
      <c r="V1129" s="170"/>
      <c r="W1129" s="170" t="b">
        <v>0</v>
      </c>
      <c r="X1129" s="170" t="b">
        <v>0</v>
      </c>
      <c r="Y1129" s="170"/>
      <c r="Z1129" s="170"/>
      <c r="AA1129" s="170"/>
      <c r="AB1129" s="170"/>
      <c r="AC1129" s="171"/>
      <c r="AD1129" s="170"/>
      <c r="AE1129" s="170"/>
      <c r="AF1129" s="170"/>
      <c r="AG1129" s="170"/>
      <c r="AH1129" s="170"/>
      <c r="AI1129" s="170"/>
      <c r="AJ1129" s="172"/>
      <c r="AK1129" s="50"/>
      <c r="AL1129" s="25"/>
      <c r="AM1129" s="25"/>
      <c r="AN1129" s="25"/>
      <c r="AO1129" s="165"/>
      <c r="AP1129" s="78"/>
      <c r="AQ1129" s="25"/>
      <c r="AR1129" s="25"/>
      <c r="AS1129" s="25"/>
      <c r="AT1129" s="25"/>
      <c r="AU1129" s="25"/>
      <c r="AV1129" s="25"/>
      <c r="AW1129" s="25"/>
      <c r="AX1129" s="25"/>
      <c r="AY1129" s="25"/>
      <c r="AZ1129" s="25"/>
      <c r="BA1129" s="25"/>
      <c r="BB1129" s="25"/>
      <c r="BC1129" s="25"/>
      <c r="BD1129" s="25"/>
      <c r="BE1129" s="25"/>
      <c r="BF1129" s="25"/>
      <c r="BG1129" s="25"/>
      <c r="BH1129" s="25"/>
      <c r="BI1129" s="25"/>
      <c r="BJ1129" s="25"/>
      <c r="BK1129" s="25"/>
      <c r="BL1129" s="25"/>
      <c r="BM1129" s="25"/>
      <c r="BN1129" s="25"/>
      <c r="BO1129" s="25"/>
      <c r="BP1129" s="25"/>
    </row>
    <row r="1130">
      <c r="A1130" s="25"/>
      <c r="B1130" s="168"/>
      <c r="C1130" s="25"/>
      <c r="D1130" s="25"/>
      <c r="E1130" s="25"/>
      <c r="F1130" s="25"/>
      <c r="G1130" s="84"/>
      <c r="H1130" s="25"/>
      <c r="I1130" s="25"/>
      <c r="J1130" s="25"/>
      <c r="K1130" s="169"/>
      <c r="L1130" s="169"/>
      <c r="M1130" s="170" t="b">
        <v>0</v>
      </c>
      <c r="N1130" s="170" t="b">
        <v>0</v>
      </c>
      <c r="O1130" s="48"/>
      <c r="P1130" s="170" t="b">
        <v>0</v>
      </c>
      <c r="Q1130" s="170" t="b">
        <v>0</v>
      </c>
      <c r="R1130" s="170" t="b">
        <v>0</v>
      </c>
      <c r="S1130" s="48"/>
      <c r="T1130" s="60"/>
      <c r="U1130" s="170" t="b">
        <v>0</v>
      </c>
      <c r="V1130" s="170"/>
      <c r="W1130" s="170" t="b">
        <v>0</v>
      </c>
      <c r="X1130" s="170" t="b">
        <v>0</v>
      </c>
      <c r="Y1130" s="170"/>
      <c r="Z1130" s="170"/>
      <c r="AA1130" s="170"/>
      <c r="AB1130" s="170"/>
      <c r="AC1130" s="171"/>
      <c r="AD1130" s="170"/>
      <c r="AE1130" s="170"/>
      <c r="AF1130" s="170"/>
      <c r="AG1130" s="170"/>
      <c r="AH1130" s="170"/>
      <c r="AI1130" s="170"/>
      <c r="AJ1130" s="172"/>
      <c r="AK1130" s="50"/>
      <c r="AL1130" s="25"/>
      <c r="AM1130" s="25"/>
      <c r="AN1130" s="25"/>
      <c r="AO1130" s="165"/>
      <c r="AP1130" s="78"/>
      <c r="AQ1130" s="25"/>
      <c r="AR1130" s="25"/>
      <c r="AS1130" s="25"/>
      <c r="AT1130" s="25"/>
      <c r="AU1130" s="25"/>
      <c r="AV1130" s="25"/>
      <c r="AW1130" s="25"/>
      <c r="AX1130" s="25"/>
      <c r="AY1130" s="25"/>
      <c r="AZ1130" s="25"/>
      <c r="BA1130" s="25"/>
      <c r="BB1130" s="25"/>
      <c r="BC1130" s="25"/>
      <c r="BD1130" s="25"/>
      <c r="BE1130" s="25"/>
      <c r="BF1130" s="25"/>
      <c r="BG1130" s="25"/>
      <c r="BH1130" s="25"/>
      <c r="BI1130" s="25"/>
      <c r="BJ1130" s="25"/>
      <c r="BK1130" s="25"/>
      <c r="BL1130" s="25"/>
      <c r="BM1130" s="25"/>
      <c r="BN1130" s="25"/>
      <c r="BO1130" s="25"/>
      <c r="BP1130" s="25"/>
    </row>
    <row r="1131">
      <c r="A1131" s="25"/>
      <c r="B1131" s="168"/>
      <c r="C1131" s="25"/>
      <c r="D1131" s="25"/>
      <c r="E1131" s="25"/>
      <c r="F1131" s="25"/>
      <c r="G1131" s="84"/>
      <c r="H1131" s="25"/>
      <c r="I1131" s="25"/>
      <c r="J1131" s="25"/>
      <c r="K1131" s="169"/>
      <c r="L1131" s="169"/>
      <c r="M1131" s="170" t="b">
        <v>0</v>
      </c>
      <c r="N1131" s="170" t="b">
        <v>0</v>
      </c>
      <c r="O1131" s="48"/>
      <c r="P1131" s="170" t="b">
        <v>0</v>
      </c>
      <c r="Q1131" s="170" t="b">
        <v>0</v>
      </c>
      <c r="R1131" s="170" t="b">
        <v>0</v>
      </c>
      <c r="S1131" s="48"/>
      <c r="T1131" s="60"/>
      <c r="U1131" s="170" t="b">
        <v>0</v>
      </c>
      <c r="V1131" s="170"/>
      <c r="W1131" s="170" t="b">
        <v>0</v>
      </c>
      <c r="X1131" s="170" t="b">
        <v>0</v>
      </c>
      <c r="Y1131" s="170"/>
      <c r="Z1131" s="170"/>
      <c r="AA1131" s="170"/>
      <c r="AB1131" s="170"/>
      <c r="AC1131" s="171"/>
      <c r="AD1131" s="170"/>
      <c r="AE1131" s="170"/>
      <c r="AF1131" s="170"/>
      <c r="AG1131" s="170"/>
      <c r="AH1131" s="170"/>
      <c r="AI1131" s="170"/>
      <c r="AJ1131" s="172"/>
      <c r="AK1131" s="50"/>
      <c r="AL1131" s="25"/>
      <c r="AM1131" s="25"/>
      <c r="AN1131" s="25"/>
      <c r="AO1131" s="165"/>
      <c r="AP1131" s="78"/>
      <c r="AQ1131" s="25"/>
      <c r="AR1131" s="25"/>
      <c r="AS1131" s="25"/>
      <c r="AT1131" s="25"/>
      <c r="AU1131" s="25"/>
      <c r="AV1131" s="25"/>
      <c r="AW1131" s="25"/>
      <c r="AX1131" s="25"/>
      <c r="AY1131" s="25"/>
      <c r="AZ1131" s="25"/>
      <c r="BA1131" s="25"/>
      <c r="BB1131" s="25"/>
      <c r="BC1131" s="25"/>
      <c r="BD1131" s="25"/>
      <c r="BE1131" s="25"/>
      <c r="BF1131" s="25"/>
      <c r="BG1131" s="25"/>
      <c r="BH1131" s="25"/>
      <c r="BI1131" s="25"/>
      <c r="BJ1131" s="25"/>
      <c r="BK1131" s="25"/>
      <c r="BL1131" s="25"/>
      <c r="BM1131" s="25"/>
      <c r="BN1131" s="25"/>
      <c r="BO1131" s="25"/>
      <c r="BP1131" s="25"/>
    </row>
    <row r="1132">
      <c r="A1132" s="25"/>
      <c r="B1132" s="168"/>
      <c r="C1132" s="25"/>
      <c r="D1132" s="25"/>
      <c r="E1132" s="25"/>
      <c r="F1132" s="25"/>
      <c r="G1132" s="84"/>
      <c r="H1132" s="25"/>
      <c r="I1132" s="25"/>
      <c r="J1132" s="25"/>
      <c r="K1132" s="169"/>
      <c r="L1132" s="169"/>
      <c r="M1132" s="170" t="b">
        <v>0</v>
      </c>
      <c r="N1132" s="170" t="b">
        <v>0</v>
      </c>
      <c r="O1132" s="48"/>
      <c r="P1132" s="170" t="b">
        <v>0</v>
      </c>
      <c r="Q1132" s="170" t="b">
        <v>0</v>
      </c>
      <c r="R1132" s="170" t="b">
        <v>0</v>
      </c>
      <c r="S1132" s="48"/>
      <c r="T1132" s="60"/>
      <c r="U1132" s="170" t="b">
        <v>0</v>
      </c>
      <c r="V1132" s="170"/>
      <c r="W1132" s="170" t="b">
        <v>0</v>
      </c>
      <c r="X1132" s="170" t="b">
        <v>0</v>
      </c>
      <c r="Y1132" s="170"/>
      <c r="Z1132" s="170"/>
      <c r="AA1132" s="170"/>
      <c r="AB1132" s="170"/>
      <c r="AC1132" s="171"/>
      <c r="AD1132" s="170"/>
      <c r="AE1132" s="170"/>
      <c r="AF1132" s="170"/>
      <c r="AG1132" s="170"/>
      <c r="AH1132" s="170"/>
      <c r="AI1132" s="170"/>
      <c r="AJ1132" s="172"/>
      <c r="AK1132" s="50"/>
      <c r="AL1132" s="25"/>
      <c r="AM1132" s="25"/>
      <c r="AN1132" s="25"/>
      <c r="AO1132" s="165"/>
      <c r="AP1132" s="78"/>
      <c r="AQ1132" s="25"/>
      <c r="AR1132" s="25"/>
      <c r="AS1132" s="25"/>
      <c r="AT1132" s="25"/>
      <c r="AU1132" s="25"/>
      <c r="AV1132" s="25"/>
      <c r="AW1132" s="25"/>
      <c r="AX1132" s="25"/>
      <c r="AY1132" s="25"/>
      <c r="AZ1132" s="25"/>
      <c r="BA1132" s="25"/>
      <c r="BB1132" s="25"/>
      <c r="BC1132" s="25"/>
      <c r="BD1132" s="25"/>
      <c r="BE1132" s="25"/>
      <c r="BF1132" s="25"/>
      <c r="BG1132" s="25"/>
      <c r="BH1132" s="25"/>
      <c r="BI1132" s="25"/>
      <c r="BJ1132" s="25"/>
      <c r="BK1132" s="25"/>
      <c r="BL1132" s="25"/>
      <c r="BM1132" s="25"/>
      <c r="BN1132" s="25"/>
      <c r="BO1132" s="25"/>
      <c r="BP1132" s="25"/>
    </row>
    <row r="1133">
      <c r="A1133" s="25"/>
      <c r="B1133" s="168"/>
      <c r="C1133" s="25"/>
      <c r="D1133" s="25"/>
      <c r="E1133" s="25"/>
      <c r="F1133" s="25"/>
      <c r="G1133" s="84"/>
      <c r="H1133" s="25"/>
      <c r="I1133" s="25"/>
      <c r="J1133" s="25"/>
      <c r="K1133" s="169"/>
      <c r="L1133" s="169"/>
      <c r="M1133" s="170" t="b">
        <v>0</v>
      </c>
      <c r="N1133" s="170" t="b">
        <v>0</v>
      </c>
      <c r="O1133" s="48"/>
      <c r="P1133" s="170" t="b">
        <v>0</v>
      </c>
      <c r="Q1133" s="170" t="b">
        <v>0</v>
      </c>
      <c r="R1133" s="170" t="b">
        <v>0</v>
      </c>
      <c r="S1133" s="48"/>
      <c r="T1133" s="60"/>
      <c r="U1133" s="170" t="b">
        <v>0</v>
      </c>
      <c r="V1133" s="170"/>
      <c r="W1133" s="170" t="b">
        <v>0</v>
      </c>
      <c r="X1133" s="170" t="b">
        <v>0</v>
      </c>
      <c r="Y1133" s="170"/>
      <c r="Z1133" s="170"/>
      <c r="AA1133" s="170"/>
      <c r="AB1133" s="170"/>
      <c r="AC1133" s="171"/>
      <c r="AD1133" s="170"/>
      <c r="AE1133" s="170"/>
      <c r="AF1133" s="170"/>
      <c r="AG1133" s="170"/>
      <c r="AH1133" s="170"/>
      <c r="AI1133" s="170"/>
      <c r="AJ1133" s="172"/>
      <c r="AK1133" s="50"/>
      <c r="AL1133" s="25"/>
      <c r="AM1133" s="25"/>
      <c r="AN1133" s="25"/>
      <c r="AO1133" s="165"/>
      <c r="AP1133" s="78"/>
      <c r="AQ1133" s="25"/>
      <c r="AR1133" s="25"/>
      <c r="AS1133" s="25"/>
      <c r="AT1133" s="25"/>
      <c r="AU1133" s="25"/>
      <c r="AV1133" s="25"/>
      <c r="AW1133" s="25"/>
      <c r="AX1133" s="25"/>
      <c r="AY1133" s="25"/>
      <c r="AZ1133" s="25"/>
      <c r="BA1133" s="25"/>
      <c r="BB1133" s="25"/>
      <c r="BC1133" s="25"/>
      <c r="BD1133" s="25"/>
      <c r="BE1133" s="25"/>
      <c r="BF1133" s="25"/>
      <c r="BG1133" s="25"/>
      <c r="BH1133" s="25"/>
      <c r="BI1133" s="25"/>
      <c r="BJ1133" s="25"/>
      <c r="BK1133" s="25"/>
      <c r="BL1133" s="25"/>
      <c r="BM1133" s="25"/>
      <c r="BN1133" s="25"/>
      <c r="BO1133" s="25"/>
      <c r="BP1133" s="25"/>
    </row>
    <row r="1134">
      <c r="A1134" s="25"/>
      <c r="B1134" s="168"/>
      <c r="C1134" s="25"/>
      <c r="D1134" s="25"/>
      <c r="E1134" s="25"/>
      <c r="F1134" s="25"/>
      <c r="G1134" s="84"/>
      <c r="H1134" s="25"/>
      <c r="I1134" s="25"/>
      <c r="J1134" s="25"/>
      <c r="K1134" s="169"/>
      <c r="L1134" s="169"/>
      <c r="M1134" s="170" t="b">
        <v>0</v>
      </c>
      <c r="N1134" s="170" t="b">
        <v>0</v>
      </c>
      <c r="O1134" s="48"/>
      <c r="P1134" s="170" t="b">
        <v>0</v>
      </c>
      <c r="Q1134" s="170" t="b">
        <v>0</v>
      </c>
      <c r="R1134" s="170" t="b">
        <v>0</v>
      </c>
      <c r="S1134" s="48"/>
      <c r="T1134" s="60"/>
      <c r="U1134" s="170" t="b">
        <v>0</v>
      </c>
      <c r="V1134" s="170"/>
      <c r="W1134" s="170" t="b">
        <v>0</v>
      </c>
      <c r="X1134" s="170" t="b">
        <v>0</v>
      </c>
      <c r="Y1134" s="170"/>
      <c r="Z1134" s="170"/>
      <c r="AA1134" s="170"/>
      <c r="AB1134" s="170"/>
      <c r="AC1134" s="171"/>
      <c r="AD1134" s="170"/>
      <c r="AE1134" s="170"/>
      <c r="AF1134" s="170"/>
      <c r="AG1134" s="170"/>
      <c r="AH1134" s="170"/>
      <c r="AI1134" s="170"/>
      <c r="AJ1134" s="172"/>
      <c r="AK1134" s="50"/>
      <c r="AL1134" s="25"/>
      <c r="AM1134" s="25"/>
      <c r="AN1134" s="25"/>
      <c r="AO1134" s="165"/>
      <c r="AP1134" s="78"/>
      <c r="AQ1134" s="25"/>
      <c r="AR1134" s="25"/>
      <c r="AS1134" s="25"/>
      <c r="AT1134" s="25"/>
      <c r="AU1134" s="25"/>
      <c r="AV1134" s="25"/>
      <c r="AW1134" s="25"/>
      <c r="AX1134" s="25"/>
      <c r="AY1134" s="25"/>
      <c r="AZ1134" s="25"/>
      <c r="BA1134" s="25"/>
      <c r="BB1134" s="25"/>
      <c r="BC1134" s="25"/>
      <c r="BD1134" s="25"/>
      <c r="BE1134" s="25"/>
      <c r="BF1134" s="25"/>
      <c r="BG1134" s="25"/>
      <c r="BH1134" s="25"/>
      <c r="BI1134" s="25"/>
      <c r="BJ1134" s="25"/>
      <c r="BK1134" s="25"/>
      <c r="BL1134" s="25"/>
      <c r="BM1134" s="25"/>
      <c r="BN1134" s="25"/>
      <c r="BO1134" s="25"/>
      <c r="BP1134" s="25"/>
    </row>
    <row r="1135">
      <c r="A1135" s="25"/>
      <c r="B1135" s="168"/>
      <c r="C1135" s="25"/>
      <c r="D1135" s="25"/>
      <c r="E1135" s="25"/>
      <c r="F1135" s="25"/>
      <c r="G1135" s="84"/>
      <c r="H1135" s="25"/>
      <c r="I1135" s="25"/>
      <c r="J1135" s="25"/>
      <c r="K1135" s="169"/>
      <c r="L1135" s="169"/>
      <c r="M1135" s="170" t="b">
        <v>0</v>
      </c>
      <c r="N1135" s="170" t="b">
        <v>0</v>
      </c>
      <c r="O1135" s="48"/>
      <c r="P1135" s="170" t="b">
        <v>0</v>
      </c>
      <c r="Q1135" s="170" t="b">
        <v>0</v>
      </c>
      <c r="R1135" s="170" t="b">
        <v>0</v>
      </c>
      <c r="S1135" s="48"/>
      <c r="T1135" s="60"/>
      <c r="U1135" s="170" t="b">
        <v>0</v>
      </c>
      <c r="V1135" s="170"/>
      <c r="W1135" s="170" t="b">
        <v>0</v>
      </c>
      <c r="X1135" s="170" t="b">
        <v>0</v>
      </c>
      <c r="Y1135" s="170"/>
      <c r="Z1135" s="170"/>
      <c r="AA1135" s="170"/>
      <c r="AB1135" s="170"/>
      <c r="AC1135" s="171"/>
      <c r="AD1135" s="170"/>
      <c r="AE1135" s="170"/>
      <c r="AF1135" s="170"/>
      <c r="AG1135" s="170"/>
      <c r="AH1135" s="170"/>
      <c r="AI1135" s="170"/>
      <c r="AJ1135" s="172"/>
      <c r="AK1135" s="50"/>
      <c r="AL1135" s="25"/>
      <c r="AM1135" s="25"/>
      <c r="AN1135" s="25"/>
      <c r="AO1135" s="165"/>
      <c r="AP1135" s="78"/>
      <c r="AQ1135" s="25"/>
      <c r="AR1135" s="25"/>
      <c r="AS1135" s="25"/>
      <c r="AT1135" s="25"/>
      <c r="AU1135" s="25"/>
      <c r="AV1135" s="25"/>
      <c r="AW1135" s="25"/>
      <c r="AX1135" s="25"/>
      <c r="AY1135" s="25"/>
      <c r="AZ1135" s="25"/>
      <c r="BA1135" s="25"/>
      <c r="BB1135" s="25"/>
      <c r="BC1135" s="25"/>
      <c r="BD1135" s="25"/>
      <c r="BE1135" s="25"/>
      <c r="BF1135" s="25"/>
      <c r="BG1135" s="25"/>
      <c r="BH1135" s="25"/>
      <c r="BI1135" s="25"/>
      <c r="BJ1135" s="25"/>
      <c r="BK1135" s="25"/>
      <c r="BL1135" s="25"/>
      <c r="BM1135" s="25"/>
      <c r="BN1135" s="25"/>
      <c r="BO1135" s="25"/>
      <c r="BP1135" s="25"/>
    </row>
    <row r="1136">
      <c r="A1136" s="25"/>
      <c r="B1136" s="168"/>
      <c r="C1136" s="25"/>
      <c r="D1136" s="25"/>
      <c r="E1136" s="25"/>
      <c r="F1136" s="25"/>
      <c r="G1136" s="84"/>
      <c r="H1136" s="25"/>
      <c r="I1136" s="25"/>
      <c r="J1136" s="25"/>
      <c r="K1136" s="169"/>
      <c r="L1136" s="169"/>
      <c r="M1136" s="170" t="b">
        <v>0</v>
      </c>
      <c r="N1136" s="170" t="b">
        <v>0</v>
      </c>
      <c r="O1136" s="48"/>
      <c r="P1136" s="170" t="b">
        <v>0</v>
      </c>
      <c r="Q1136" s="170" t="b">
        <v>0</v>
      </c>
      <c r="R1136" s="170" t="b">
        <v>0</v>
      </c>
      <c r="S1136" s="48"/>
      <c r="T1136" s="60"/>
      <c r="U1136" s="170" t="b">
        <v>0</v>
      </c>
      <c r="V1136" s="170"/>
      <c r="W1136" s="170" t="b">
        <v>0</v>
      </c>
      <c r="X1136" s="170" t="b">
        <v>0</v>
      </c>
      <c r="Y1136" s="170"/>
      <c r="Z1136" s="170"/>
      <c r="AA1136" s="170"/>
      <c r="AB1136" s="170"/>
      <c r="AC1136" s="171"/>
      <c r="AD1136" s="170"/>
      <c r="AE1136" s="170"/>
      <c r="AF1136" s="170"/>
      <c r="AG1136" s="170"/>
      <c r="AH1136" s="170"/>
      <c r="AI1136" s="170"/>
      <c r="AJ1136" s="172"/>
      <c r="AK1136" s="50"/>
      <c r="AL1136" s="25"/>
      <c r="AM1136" s="25"/>
      <c r="AN1136" s="25"/>
      <c r="AO1136" s="165"/>
      <c r="AP1136" s="78"/>
      <c r="AQ1136" s="25"/>
      <c r="AR1136" s="25"/>
      <c r="AS1136" s="25"/>
      <c r="AT1136" s="25"/>
      <c r="AU1136" s="25"/>
      <c r="AV1136" s="25"/>
      <c r="AW1136" s="25"/>
      <c r="AX1136" s="25"/>
      <c r="AY1136" s="25"/>
      <c r="AZ1136" s="25"/>
      <c r="BA1136" s="25"/>
      <c r="BB1136" s="25"/>
      <c r="BC1136" s="25"/>
      <c r="BD1136" s="25"/>
      <c r="BE1136" s="25"/>
      <c r="BF1136" s="25"/>
      <c r="BG1136" s="25"/>
      <c r="BH1136" s="25"/>
      <c r="BI1136" s="25"/>
      <c r="BJ1136" s="25"/>
      <c r="BK1136" s="25"/>
      <c r="BL1136" s="25"/>
      <c r="BM1136" s="25"/>
      <c r="BN1136" s="25"/>
      <c r="BO1136" s="25"/>
      <c r="BP1136" s="25"/>
    </row>
    <row r="1137">
      <c r="A1137" s="25"/>
      <c r="B1137" s="168"/>
      <c r="C1137" s="25"/>
      <c r="D1137" s="25"/>
      <c r="E1137" s="25"/>
      <c r="F1137" s="25"/>
      <c r="G1137" s="84"/>
      <c r="H1137" s="25"/>
      <c r="I1137" s="25"/>
      <c r="J1137" s="25"/>
      <c r="K1137" s="169"/>
      <c r="L1137" s="169"/>
      <c r="M1137" s="170" t="b">
        <v>0</v>
      </c>
      <c r="N1137" s="170" t="b">
        <v>0</v>
      </c>
      <c r="O1137" s="48"/>
      <c r="P1137" s="170" t="b">
        <v>0</v>
      </c>
      <c r="Q1137" s="170" t="b">
        <v>0</v>
      </c>
      <c r="R1137" s="170" t="b">
        <v>0</v>
      </c>
      <c r="S1137" s="48"/>
      <c r="T1137" s="60"/>
      <c r="U1137" s="170" t="b">
        <v>0</v>
      </c>
      <c r="V1137" s="170"/>
      <c r="W1137" s="170" t="b">
        <v>0</v>
      </c>
      <c r="X1137" s="170" t="b">
        <v>0</v>
      </c>
      <c r="Y1137" s="170"/>
      <c r="Z1137" s="170"/>
      <c r="AA1137" s="170"/>
      <c r="AB1137" s="170"/>
      <c r="AC1137" s="171"/>
      <c r="AD1137" s="170"/>
      <c r="AE1137" s="170"/>
      <c r="AF1137" s="170"/>
      <c r="AG1137" s="170"/>
      <c r="AH1137" s="170"/>
      <c r="AI1137" s="170"/>
      <c r="AJ1137" s="172"/>
      <c r="AK1137" s="50"/>
      <c r="AL1137" s="25"/>
      <c r="AM1137" s="25"/>
      <c r="AN1137" s="25"/>
      <c r="AO1137" s="165"/>
      <c r="AP1137" s="78"/>
      <c r="AQ1137" s="25"/>
      <c r="AR1137" s="25"/>
      <c r="AS1137" s="25"/>
      <c r="AT1137" s="25"/>
      <c r="AU1137" s="25"/>
      <c r="AV1137" s="25"/>
      <c r="AW1137" s="25"/>
      <c r="AX1137" s="25"/>
      <c r="AY1137" s="25"/>
      <c r="AZ1137" s="25"/>
      <c r="BA1137" s="25"/>
      <c r="BB1137" s="25"/>
      <c r="BC1137" s="25"/>
      <c r="BD1137" s="25"/>
      <c r="BE1137" s="25"/>
      <c r="BF1137" s="25"/>
      <c r="BG1137" s="25"/>
      <c r="BH1137" s="25"/>
      <c r="BI1137" s="25"/>
      <c r="BJ1137" s="25"/>
      <c r="BK1137" s="25"/>
      <c r="BL1137" s="25"/>
      <c r="BM1137" s="25"/>
      <c r="BN1137" s="25"/>
      <c r="BO1137" s="25"/>
      <c r="BP1137" s="25"/>
    </row>
    <row r="1138">
      <c r="A1138" s="25"/>
      <c r="B1138" s="168"/>
      <c r="C1138" s="25"/>
      <c r="D1138" s="25"/>
      <c r="E1138" s="25"/>
      <c r="F1138" s="25"/>
      <c r="G1138" s="84"/>
      <c r="H1138" s="25"/>
      <c r="I1138" s="25"/>
      <c r="J1138" s="25"/>
      <c r="K1138" s="169"/>
      <c r="L1138" s="169"/>
      <c r="M1138" s="170" t="b">
        <v>0</v>
      </c>
      <c r="N1138" s="170" t="b">
        <v>0</v>
      </c>
      <c r="O1138" s="48"/>
      <c r="P1138" s="170" t="b">
        <v>0</v>
      </c>
      <c r="Q1138" s="170" t="b">
        <v>0</v>
      </c>
      <c r="R1138" s="170" t="b">
        <v>0</v>
      </c>
      <c r="S1138" s="48"/>
      <c r="T1138" s="60"/>
      <c r="U1138" s="170" t="b">
        <v>0</v>
      </c>
      <c r="V1138" s="170"/>
      <c r="W1138" s="170" t="b">
        <v>0</v>
      </c>
      <c r="X1138" s="170" t="b">
        <v>0</v>
      </c>
      <c r="Y1138" s="170"/>
      <c r="Z1138" s="170"/>
      <c r="AA1138" s="170"/>
      <c r="AB1138" s="170"/>
      <c r="AC1138" s="171"/>
      <c r="AD1138" s="170"/>
      <c r="AE1138" s="170"/>
      <c r="AF1138" s="170"/>
      <c r="AG1138" s="170"/>
      <c r="AH1138" s="170"/>
      <c r="AI1138" s="170"/>
      <c r="AJ1138" s="172"/>
      <c r="AK1138" s="50"/>
      <c r="AL1138" s="25"/>
      <c r="AM1138" s="25"/>
      <c r="AN1138" s="25"/>
      <c r="AO1138" s="165"/>
      <c r="AP1138" s="78"/>
      <c r="AQ1138" s="25"/>
      <c r="AR1138" s="25"/>
      <c r="AS1138" s="25"/>
      <c r="AT1138" s="25"/>
      <c r="AU1138" s="25"/>
      <c r="AV1138" s="25"/>
      <c r="AW1138" s="25"/>
      <c r="AX1138" s="25"/>
      <c r="AY1138" s="25"/>
      <c r="AZ1138" s="25"/>
      <c r="BA1138" s="25"/>
      <c r="BB1138" s="25"/>
      <c r="BC1138" s="25"/>
      <c r="BD1138" s="25"/>
      <c r="BE1138" s="25"/>
      <c r="BF1138" s="25"/>
      <c r="BG1138" s="25"/>
      <c r="BH1138" s="25"/>
      <c r="BI1138" s="25"/>
      <c r="BJ1138" s="25"/>
      <c r="BK1138" s="25"/>
      <c r="BL1138" s="25"/>
      <c r="BM1138" s="25"/>
      <c r="BN1138" s="25"/>
      <c r="BO1138" s="25"/>
      <c r="BP1138" s="25"/>
    </row>
    <row r="1139">
      <c r="A1139" s="25"/>
      <c r="B1139" s="168"/>
      <c r="C1139" s="25"/>
      <c r="D1139" s="25"/>
      <c r="E1139" s="25"/>
      <c r="F1139" s="25"/>
      <c r="G1139" s="84"/>
      <c r="H1139" s="25"/>
      <c r="I1139" s="25"/>
      <c r="J1139" s="25"/>
      <c r="K1139" s="169"/>
      <c r="L1139" s="169"/>
      <c r="M1139" s="170" t="b">
        <v>0</v>
      </c>
      <c r="N1139" s="170" t="b">
        <v>0</v>
      </c>
      <c r="O1139" s="48"/>
      <c r="P1139" s="170" t="b">
        <v>0</v>
      </c>
      <c r="Q1139" s="170" t="b">
        <v>0</v>
      </c>
      <c r="R1139" s="170" t="b">
        <v>0</v>
      </c>
      <c r="S1139" s="48"/>
      <c r="T1139" s="60"/>
      <c r="U1139" s="170" t="b">
        <v>0</v>
      </c>
      <c r="V1139" s="170"/>
      <c r="W1139" s="170" t="b">
        <v>0</v>
      </c>
      <c r="X1139" s="170" t="b">
        <v>0</v>
      </c>
      <c r="Y1139" s="170"/>
      <c r="Z1139" s="170"/>
      <c r="AA1139" s="170"/>
      <c r="AB1139" s="170"/>
      <c r="AC1139" s="171"/>
      <c r="AD1139" s="170"/>
      <c r="AE1139" s="170"/>
      <c r="AF1139" s="170"/>
      <c r="AG1139" s="170"/>
      <c r="AH1139" s="170"/>
      <c r="AI1139" s="170"/>
      <c r="AJ1139" s="172"/>
      <c r="AK1139" s="50"/>
      <c r="AL1139" s="25"/>
      <c r="AM1139" s="25"/>
      <c r="AN1139" s="25"/>
      <c r="AO1139" s="165"/>
      <c r="AP1139" s="78"/>
      <c r="AQ1139" s="25"/>
      <c r="AR1139" s="25"/>
      <c r="AS1139" s="25"/>
      <c r="AT1139" s="25"/>
      <c r="AU1139" s="25"/>
      <c r="AV1139" s="25"/>
      <c r="AW1139" s="25"/>
      <c r="AX1139" s="25"/>
      <c r="AY1139" s="25"/>
      <c r="AZ1139" s="25"/>
      <c r="BA1139" s="25"/>
      <c r="BB1139" s="25"/>
      <c r="BC1139" s="25"/>
      <c r="BD1139" s="25"/>
      <c r="BE1139" s="25"/>
      <c r="BF1139" s="25"/>
      <c r="BG1139" s="25"/>
      <c r="BH1139" s="25"/>
      <c r="BI1139" s="25"/>
      <c r="BJ1139" s="25"/>
      <c r="BK1139" s="25"/>
      <c r="BL1139" s="25"/>
      <c r="BM1139" s="25"/>
      <c r="BN1139" s="25"/>
      <c r="BO1139" s="25"/>
      <c r="BP1139" s="25"/>
    </row>
    <row r="1140">
      <c r="A1140" s="25"/>
      <c r="B1140" s="168"/>
      <c r="C1140" s="25"/>
      <c r="D1140" s="25"/>
      <c r="E1140" s="25"/>
      <c r="F1140" s="25"/>
      <c r="G1140" s="84"/>
      <c r="H1140" s="25"/>
      <c r="I1140" s="25"/>
      <c r="J1140" s="25"/>
      <c r="K1140" s="169"/>
      <c r="L1140" s="169"/>
      <c r="M1140" s="170" t="b">
        <v>0</v>
      </c>
      <c r="N1140" s="170" t="b">
        <v>0</v>
      </c>
      <c r="O1140" s="48"/>
      <c r="P1140" s="170" t="b">
        <v>0</v>
      </c>
      <c r="Q1140" s="170" t="b">
        <v>0</v>
      </c>
      <c r="R1140" s="170" t="b">
        <v>0</v>
      </c>
      <c r="S1140" s="48"/>
      <c r="T1140" s="60"/>
      <c r="U1140" s="170" t="b">
        <v>0</v>
      </c>
      <c r="V1140" s="170"/>
      <c r="W1140" s="170" t="b">
        <v>0</v>
      </c>
      <c r="X1140" s="170" t="b">
        <v>0</v>
      </c>
      <c r="Y1140" s="170"/>
      <c r="Z1140" s="170"/>
      <c r="AA1140" s="170"/>
      <c r="AB1140" s="170"/>
      <c r="AC1140" s="171"/>
      <c r="AD1140" s="170"/>
      <c r="AE1140" s="170"/>
      <c r="AF1140" s="170"/>
      <c r="AG1140" s="170"/>
      <c r="AH1140" s="170"/>
      <c r="AI1140" s="170"/>
      <c r="AJ1140" s="172"/>
      <c r="AK1140" s="50"/>
      <c r="AL1140" s="25"/>
      <c r="AM1140" s="25"/>
      <c r="AN1140" s="25"/>
      <c r="AO1140" s="165"/>
      <c r="AP1140" s="78"/>
      <c r="AQ1140" s="25"/>
      <c r="AR1140" s="25"/>
      <c r="AS1140" s="25"/>
      <c r="AT1140" s="25"/>
      <c r="AU1140" s="25"/>
      <c r="AV1140" s="25"/>
      <c r="AW1140" s="25"/>
      <c r="AX1140" s="25"/>
      <c r="AY1140" s="25"/>
      <c r="AZ1140" s="25"/>
      <c r="BA1140" s="25"/>
      <c r="BB1140" s="25"/>
      <c r="BC1140" s="25"/>
      <c r="BD1140" s="25"/>
      <c r="BE1140" s="25"/>
      <c r="BF1140" s="25"/>
      <c r="BG1140" s="25"/>
      <c r="BH1140" s="25"/>
      <c r="BI1140" s="25"/>
      <c r="BJ1140" s="25"/>
      <c r="BK1140" s="25"/>
      <c r="BL1140" s="25"/>
      <c r="BM1140" s="25"/>
      <c r="BN1140" s="25"/>
      <c r="BO1140" s="25"/>
      <c r="BP1140" s="25"/>
    </row>
    <row r="1141">
      <c r="A1141" s="25"/>
      <c r="B1141" s="168"/>
      <c r="C1141" s="25"/>
      <c r="D1141" s="25"/>
      <c r="E1141" s="25"/>
      <c r="F1141" s="25"/>
      <c r="G1141" s="84"/>
      <c r="H1141" s="25"/>
      <c r="I1141" s="25"/>
      <c r="J1141" s="25"/>
      <c r="K1141" s="169"/>
      <c r="L1141" s="169"/>
      <c r="M1141" s="170" t="b">
        <v>0</v>
      </c>
      <c r="N1141" s="170" t="b">
        <v>0</v>
      </c>
      <c r="O1141" s="48"/>
      <c r="P1141" s="170" t="b">
        <v>0</v>
      </c>
      <c r="Q1141" s="170" t="b">
        <v>0</v>
      </c>
      <c r="R1141" s="170" t="b">
        <v>0</v>
      </c>
      <c r="S1141" s="48"/>
      <c r="T1141" s="60"/>
      <c r="U1141" s="170" t="b">
        <v>0</v>
      </c>
      <c r="V1141" s="170"/>
      <c r="W1141" s="170" t="b">
        <v>0</v>
      </c>
      <c r="X1141" s="170" t="b">
        <v>0</v>
      </c>
      <c r="Y1141" s="170"/>
      <c r="Z1141" s="170"/>
      <c r="AA1141" s="170"/>
      <c r="AB1141" s="170"/>
      <c r="AC1141" s="171"/>
      <c r="AD1141" s="170"/>
      <c r="AE1141" s="170"/>
      <c r="AF1141" s="170"/>
      <c r="AG1141" s="170"/>
      <c r="AH1141" s="170"/>
      <c r="AI1141" s="170"/>
      <c r="AJ1141" s="172"/>
      <c r="AK1141" s="50"/>
      <c r="AL1141" s="25"/>
      <c r="AM1141" s="25"/>
      <c r="AN1141" s="25"/>
      <c r="AO1141" s="165"/>
      <c r="AP1141" s="78"/>
      <c r="AQ1141" s="25"/>
      <c r="AR1141" s="25"/>
      <c r="AS1141" s="25"/>
      <c r="AT1141" s="25"/>
      <c r="AU1141" s="25"/>
      <c r="AV1141" s="25"/>
      <c r="AW1141" s="25"/>
      <c r="AX1141" s="25"/>
      <c r="AY1141" s="25"/>
      <c r="AZ1141" s="25"/>
      <c r="BA1141" s="25"/>
      <c r="BB1141" s="25"/>
      <c r="BC1141" s="25"/>
      <c r="BD1141" s="25"/>
      <c r="BE1141" s="25"/>
      <c r="BF1141" s="25"/>
      <c r="BG1141" s="25"/>
      <c r="BH1141" s="25"/>
      <c r="BI1141" s="25"/>
      <c r="BJ1141" s="25"/>
      <c r="BK1141" s="25"/>
      <c r="BL1141" s="25"/>
      <c r="BM1141" s="25"/>
      <c r="BN1141" s="25"/>
      <c r="BO1141" s="25"/>
      <c r="BP1141" s="25"/>
    </row>
    <row r="1142">
      <c r="A1142" s="25"/>
      <c r="B1142" s="168"/>
      <c r="C1142" s="25"/>
      <c r="D1142" s="25"/>
      <c r="E1142" s="25"/>
      <c r="F1142" s="25"/>
      <c r="G1142" s="84"/>
      <c r="H1142" s="25"/>
      <c r="I1142" s="25"/>
      <c r="J1142" s="25"/>
      <c r="K1142" s="169"/>
      <c r="L1142" s="169"/>
      <c r="M1142" s="170" t="b">
        <v>0</v>
      </c>
      <c r="N1142" s="170" t="b">
        <v>0</v>
      </c>
      <c r="O1142" s="48"/>
      <c r="P1142" s="170" t="b">
        <v>0</v>
      </c>
      <c r="Q1142" s="170" t="b">
        <v>0</v>
      </c>
      <c r="R1142" s="170" t="b">
        <v>0</v>
      </c>
      <c r="S1142" s="48"/>
      <c r="T1142" s="60"/>
      <c r="U1142" s="170" t="b">
        <v>0</v>
      </c>
      <c r="V1142" s="170"/>
      <c r="W1142" s="170" t="b">
        <v>0</v>
      </c>
      <c r="X1142" s="170" t="b">
        <v>0</v>
      </c>
      <c r="Y1142" s="170"/>
      <c r="Z1142" s="170"/>
      <c r="AA1142" s="170"/>
      <c r="AB1142" s="170"/>
      <c r="AC1142" s="171"/>
      <c r="AD1142" s="170"/>
      <c r="AE1142" s="170"/>
      <c r="AF1142" s="170"/>
      <c r="AG1142" s="170"/>
      <c r="AH1142" s="170"/>
      <c r="AI1142" s="170"/>
      <c r="AJ1142" s="172"/>
      <c r="AK1142" s="50"/>
      <c r="AL1142" s="25"/>
      <c r="AM1142" s="25"/>
      <c r="AN1142" s="25"/>
      <c r="AO1142" s="165"/>
      <c r="AP1142" s="78"/>
      <c r="AQ1142" s="25"/>
      <c r="AR1142" s="25"/>
      <c r="AS1142" s="25"/>
      <c r="AT1142" s="25"/>
      <c r="AU1142" s="25"/>
      <c r="AV1142" s="25"/>
      <c r="AW1142" s="25"/>
      <c r="AX1142" s="25"/>
      <c r="AY1142" s="25"/>
      <c r="AZ1142" s="25"/>
      <c r="BA1142" s="25"/>
      <c r="BB1142" s="25"/>
      <c r="BC1142" s="25"/>
      <c r="BD1142" s="25"/>
      <c r="BE1142" s="25"/>
      <c r="BF1142" s="25"/>
      <c r="BG1142" s="25"/>
      <c r="BH1142" s="25"/>
      <c r="BI1142" s="25"/>
      <c r="BJ1142" s="25"/>
      <c r="BK1142" s="25"/>
      <c r="BL1142" s="25"/>
      <c r="BM1142" s="25"/>
      <c r="BN1142" s="25"/>
      <c r="BO1142" s="25"/>
      <c r="BP1142" s="25"/>
    </row>
    <row r="1143">
      <c r="A1143" s="25"/>
      <c r="B1143" s="168"/>
      <c r="C1143" s="25"/>
      <c r="D1143" s="25"/>
      <c r="E1143" s="25"/>
      <c r="F1143" s="25"/>
      <c r="G1143" s="84"/>
      <c r="H1143" s="25"/>
      <c r="I1143" s="25"/>
      <c r="J1143" s="25"/>
      <c r="K1143" s="169"/>
      <c r="L1143" s="169"/>
      <c r="M1143" s="170" t="b">
        <v>0</v>
      </c>
      <c r="N1143" s="170" t="b">
        <v>0</v>
      </c>
      <c r="O1143" s="48"/>
      <c r="P1143" s="170" t="b">
        <v>0</v>
      </c>
      <c r="Q1143" s="170" t="b">
        <v>0</v>
      </c>
      <c r="R1143" s="170" t="b">
        <v>0</v>
      </c>
      <c r="S1143" s="48"/>
      <c r="T1143" s="60"/>
      <c r="U1143" s="170" t="b">
        <v>0</v>
      </c>
      <c r="V1143" s="170"/>
      <c r="W1143" s="170" t="b">
        <v>0</v>
      </c>
      <c r="X1143" s="170" t="b">
        <v>0</v>
      </c>
      <c r="Y1143" s="170"/>
      <c r="Z1143" s="170"/>
      <c r="AA1143" s="170"/>
      <c r="AB1143" s="170"/>
      <c r="AC1143" s="171"/>
      <c r="AD1143" s="170"/>
      <c r="AE1143" s="170"/>
      <c r="AF1143" s="170"/>
      <c r="AG1143" s="170"/>
      <c r="AH1143" s="170"/>
      <c r="AI1143" s="170"/>
      <c r="AJ1143" s="172"/>
      <c r="AK1143" s="50"/>
      <c r="AL1143" s="25"/>
      <c r="AM1143" s="25"/>
      <c r="AN1143" s="25"/>
      <c r="AO1143" s="165"/>
      <c r="AP1143" s="78"/>
      <c r="AQ1143" s="25"/>
      <c r="AR1143" s="25"/>
      <c r="AS1143" s="25"/>
      <c r="AT1143" s="25"/>
      <c r="AU1143" s="25"/>
      <c r="AV1143" s="25"/>
      <c r="AW1143" s="25"/>
      <c r="AX1143" s="25"/>
      <c r="AY1143" s="25"/>
      <c r="AZ1143" s="25"/>
      <c r="BA1143" s="25"/>
      <c r="BB1143" s="25"/>
      <c r="BC1143" s="25"/>
      <c r="BD1143" s="25"/>
      <c r="BE1143" s="25"/>
      <c r="BF1143" s="25"/>
      <c r="BG1143" s="25"/>
      <c r="BH1143" s="25"/>
      <c r="BI1143" s="25"/>
      <c r="BJ1143" s="25"/>
      <c r="BK1143" s="25"/>
      <c r="BL1143" s="25"/>
      <c r="BM1143" s="25"/>
      <c r="BN1143" s="25"/>
      <c r="BO1143" s="25"/>
      <c r="BP1143" s="25"/>
    </row>
    <row r="1144">
      <c r="A1144" s="25"/>
      <c r="B1144" s="168"/>
      <c r="C1144" s="25"/>
      <c r="D1144" s="25"/>
      <c r="E1144" s="25"/>
      <c r="F1144" s="25"/>
      <c r="G1144" s="84"/>
      <c r="H1144" s="25"/>
      <c r="I1144" s="25"/>
      <c r="J1144" s="25"/>
      <c r="K1144" s="169"/>
      <c r="L1144" s="169"/>
      <c r="M1144" s="170" t="b">
        <v>0</v>
      </c>
      <c r="N1144" s="170" t="b">
        <v>0</v>
      </c>
      <c r="O1144" s="48"/>
      <c r="P1144" s="170" t="b">
        <v>0</v>
      </c>
      <c r="Q1144" s="170" t="b">
        <v>0</v>
      </c>
      <c r="R1144" s="170" t="b">
        <v>0</v>
      </c>
      <c r="S1144" s="48"/>
      <c r="T1144" s="60"/>
      <c r="U1144" s="170" t="b">
        <v>0</v>
      </c>
      <c r="V1144" s="170"/>
      <c r="W1144" s="170" t="b">
        <v>0</v>
      </c>
      <c r="X1144" s="170" t="b">
        <v>0</v>
      </c>
      <c r="Y1144" s="170"/>
      <c r="Z1144" s="170"/>
      <c r="AA1144" s="170"/>
      <c r="AB1144" s="170"/>
      <c r="AC1144" s="171"/>
      <c r="AD1144" s="170"/>
      <c r="AE1144" s="170"/>
      <c r="AF1144" s="170"/>
      <c r="AG1144" s="170"/>
      <c r="AH1144" s="170"/>
      <c r="AI1144" s="170"/>
      <c r="AJ1144" s="172"/>
      <c r="AK1144" s="50"/>
      <c r="AL1144" s="25"/>
      <c r="AM1144" s="25"/>
      <c r="AN1144" s="25"/>
      <c r="AO1144" s="165"/>
      <c r="AP1144" s="78"/>
      <c r="AQ1144" s="25"/>
      <c r="AR1144" s="25"/>
      <c r="AS1144" s="25"/>
      <c r="AT1144" s="25"/>
      <c r="AU1144" s="25"/>
      <c r="AV1144" s="25"/>
      <c r="AW1144" s="25"/>
      <c r="AX1144" s="25"/>
      <c r="AY1144" s="25"/>
      <c r="AZ1144" s="25"/>
      <c r="BA1144" s="25"/>
      <c r="BB1144" s="25"/>
      <c r="BC1144" s="25"/>
      <c r="BD1144" s="25"/>
      <c r="BE1144" s="25"/>
      <c r="BF1144" s="25"/>
      <c r="BG1144" s="25"/>
      <c r="BH1144" s="25"/>
      <c r="BI1144" s="25"/>
      <c r="BJ1144" s="25"/>
      <c r="BK1144" s="25"/>
      <c r="BL1144" s="25"/>
      <c r="BM1144" s="25"/>
      <c r="BN1144" s="25"/>
      <c r="BO1144" s="25"/>
      <c r="BP1144" s="25"/>
    </row>
    <row r="1145">
      <c r="A1145" s="25"/>
      <c r="B1145" s="168"/>
      <c r="C1145" s="25"/>
      <c r="D1145" s="25"/>
      <c r="E1145" s="25"/>
      <c r="F1145" s="25"/>
      <c r="G1145" s="84"/>
      <c r="H1145" s="25"/>
      <c r="I1145" s="25"/>
      <c r="J1145" s="25"/>
      <c r="K1145" s="169"/>
      <c r="L1145" s="169"/>
      <c r="M1145" s="170" t="b">
        <v>0</v>
      </c>
      <c r="N1145" s="170" t="b">
        <v>0</v>
      </c>
      <c r="O1145" s="48"/>
      <c r="P1145" s="170" t="b">
        <v>0</v>
      </c>
      <c r="Q1145" s="170" t="b">
        <v>0</v>
      </c>
      <c r="R1145" s="170" t="b">
        <v>0</v>
      </c>
      <c r="S1145" s="48"/>
      <c r="T1145" s="60"/>
      <c r="U1145" s="170" t="b">
        <v>0</v>
      </c>
      <c r="V1145" s="170"/>
      <c r="W1145" s="170" t="b">
        <v>0</v>
      </c>
      <c r="X1145" s="170" t="b">
        <v>0</v>
      </c>
      <c r="Y1145" s="170"/>
      <c r="Z1145" s="170"/>
      <c r="AA1145" s="170"/>
      <c r="AB1145" s="170"/>
      <c r="AC1145" s="171"/>
      <c r="AD1145" s="170"/>
      <c r="AE1145" s="170"/>
      <c r="AF1145" s="170"/>
      <c r="AG1145" s="170"/>
      <c r="AH1145" s="170"/>
      <c r="AI1145" s="170"/>
      <c r="AJ1145" s="172"/>
      <c r="AK1145" s="50"/>
      <c r="AL1145" s="25"/>
      <c r="AM1145" s="25"/>
      <c r="AN1145" s="25"/>
      <c r="AO1145" s="165"/>
      <c r="AP1145" s="78"/>
      <c r="AQ1145" s="25"/>
      <c r="AR1145" s="25"/>
      <c r="AS1145" s="25"/>
      <c r="AT1145" s="25"/>
      <c r="AU1145" s="25"/>
      <c r="AV1145" s="25"/>
      <c r="AW1145" s="25"/>
      <c r="AX1145" s="25"/>
      <c r="AY1145" s="25"/>
      <c r="AZ1145" s="25"/>
      <c r="BA1145" s="25"/>
      <c r="BB1145" s="25"/>
      <c r="BC1145" s="25"/>
      <c r="BD1145" s="25"/>
      <c r="BE1145" s="25"/>
      <c r="BF1145" s="25"/>
      <c r="BG1145" s="25"/>
      <c r="BH1145" s="25"/>
      <c r="BI1145" s="25"/>
      <c r="BJ1145" s="25"/>
      <c r="BK1145" s="25"/>
      <c r="BL1145" s="25"/>
      <c r="BM1145" s="25"/>
      <c r="BN1145" s="25"/>
      <c r="BO1145" s="25"/>
      <c r="BP1145" s="25"/>
    </row>
    <row r="1146">
      <c r="A1146" s="25"/>
      <c r="B1146" s="168"/>
      <c r="C1146" s="25"/>
      <c r="D1146" s="25"/>
      <c r="E1146" s="25"/>
      <c r="F1146" s="25"/>
      <c r="G1146" s="84"/>
      <c r="H1146" s="25"/>
      <c r="I1146" s="25"/>
      <c r="J1146" s="25"/>
      <c r="K1146" s="169"/>
      <c r="L1146" s="169"/>
      <c r="M1146" s="170" t="b">
        <v>0</v>
      </c>
      <c r="N1146" s="170" t="b">
        <v>0</v>
      </c>
      <c r="O1146" s="48"/>
      <c r="P1146" s="170" t="b">
        <v>0</v>
      </c>
      <c r="Q1146" s="170" t="b">
        <v>0</v>
      </c>
      <c r="R1146" s="170" t="b">
        <v>0</v>
      </c>
      <c r="S1146" s="48"/>
      <c r="T1146" s="60"/>
      <c r="U1146" s="170" t="b">
        <v>0</v>
      </c>
      <c r="V1146" s="170"/>
      <c r="W1146" s="170" t="b">
        <v>0</v>
      </c>
      <c r="X1146" s="170" t="b">
        <v>0</v>
      </c>
      <c r="Y1146" s="170"/>
      <c r="Z1146" s="170"/>
      <c r="AA1146" s="170"/>
      <c r="AB1146" s="170"/>
      <c r="AC1146" s="171"/>
      <c r="AD1146" s="170"/>
      <c r="AE1146" s="170"/>
      <c r="AF1146" s="170"/>
      <c r="AG1146" s="170"/>
      <c r="AH1146" s="170"/>
      <c r="AI1146" s="170"/>
      <c r="AJ1146" s="172"/>
      <c r="AK1146" s="50"/>
      <c r="AL1146" s="25"/>
      <c r="AM1146" s="25"/>
      <c r="AN1146" s="25"/>
      <c r="AO1146" s="165"/>
      <c r="AP1146" s="78"/>
      <c r="AQ1146" s="25"/>
      <c r="AR1146" s="25"/>
      <c r="AS1146" s="25"/>
      <c r="AT1146" s="25"/>
      <c r="AU1146" s="25"/>
      <c r="AV1146" s="25"/>
      <c r="AW1146" s="25"/>
      <c r="AX1146" s="25"/>
      <c r="AY1146" s="25"/>
      <c r="AZ1146" s="25"/>
      <c r="BA1146" s="25"/>
      <c r="BB1146" s="25"/>
      <c r="BC1146" s="25"/>
      <c r="BD1146" s="25"/>
      <c r="BE1146" s="25"/>
      <c r="BF1146" s="25"/>
      <c r="BG1146" s="25"/>
      <c r="BH1146" s="25"/>
      <c r="BI1146" s="25"/>
      <c r="BJ1146" s="25"/>
      <c r="BK1146" s="25"/>
      <c r="BL1146" s="25"/>
      <c r="BM1146" s="25"/>
      <c r="BN1146" s="25"/>
      <c r="BO1146" s="25"/>
      <c r="BP1146" s="25"/>
    </row>
    <row r="1147">
      <c r="A1147" s="25"/>
      <c r="B1147" s="168"/>
      <c r="C1147" s="25"/>
      <c r="D1147" s="25"/>
      <c r="E1147" s="25"/>
      <c r="F1147" s="25"/>
      <c r="G1147" s="84"/>
      <c r="H1147" s="25"/>
      <c r="I1147" s="25"/>
      <c r="J1147" s="25"/>
      <c r="K1147" s="169"/>
      <c r="L1147" s="169"/>
      <c r="M1147" s="170" t="b">
        <v>0</v>
      </c>
      <c r="N1147" s="170" t="b">
        <v>0</v>
      </c>
      <c r="O1147" s="48"/>
      <c r="P1147" s="170" t="b">
        <v>0</v>
      </c>
      <c r="Q1147" s="170" t="b">
        <v>0</v>
      </c>
      <c r="R1147" s="170" t="b">
        <v>0</v>
      </c>
      <c r="S1147" s="48"/>
      <c r="T1147" s="60"/>
      <c r="U1147" s="170" t="b">
        <v>0</v>
      </c>
      <c r="V1147" s="170"/>
      <c r="W1147" s="170" t="b">
        <v>0</v>
      </c>
      <c r="X1147" s="170" t="b">
        <v>0</v>
      </c>
      <c r="Y1147" s="170"/>
      <c r="Z1147" s="170"/>
      <c r="AA1147" s="170"/>
      <c r="AB1147" s="170"/>
      <c r="AC1147" s="171"/>
      <c r="AD1147" s="170"/>
      <c r="AE1147" s="170"/>
      <c r="AF1147" s="170"/>
      <c r="AG1147" s="170"/>
      <c r="AH1147" s="170"/>
      <c r="AI1147" s="170"/>
      <c r="AJ1147" s="172"/>
      <c r="AK1147" s="50"/>
      <c r="AL1147" s="25"/>
      <c r="AM1147" s="25"/>
      <c r="AN1147" s="25"/>
      <c r="AO1147" s="165"/>
      <c r="AP1147" s="78"/>
      <c r="AQ1147" s="25"/>
      <c r="AR1147" s="25"/>
      <c r="AS1147" s="25"/>
      <c r="AT1147" s="25"/>
      <c r="AU1147" s="25"/>
      <c r="AV1147" s="25"/>
      <c r="AW1147" s="25"/>
      <c r="AX1147" s="25"/>
      <c r="AY1147" s="25"/>
      <c r="AZ1147" s="25"/>
      <c r="BA1147" s="25"/>
      <c r="BB1147" s="25"/>
      <c r="BC1147" s="25"/>
      <c r="BD1147" s="25"/>
      <c r="BE1147" s="25"/>
      <c r="BF1147" s="25"/>
      <c r="BG1147" s="25"/>
      <c r="BH1147" s="25"/>
      <c r="BI1147" s="25"/>
      <c r="BJ1147" s="25"/>
      <c r="BK1147" s="25"/>
      <c r="BL1147" s="25"/>
      <c r="BM1147" s="25"/>
      <c r="BN1147" s="25"/>
      <c r="BO1147" s="25"/>
      <c r="BP1147" s="25"/>
    </row>
    <row r="1148">
      <c r="A1148" s="25"/>
      <c r="B1148" s="168"/>
      <c r="C1148" s="25"/>
      <c r="D1148" s="25"/>
      <c r="E1148" s="25"/>
      <c r="F1148" s="25"/>
      <c r="G1148" s="84"/>
      <c r="H1148" s="25"/>
      <c r="I1148" s="25"/>
      <c r="J1148" s="25"/>
      <c r="K1148" s="169"/>
      <c r="L1148" s="169"/>
      <c r="M1148" s="170" t="b">
        <v>0</v>
      </c>
      <c r="N1148" s="170" t="b">
        <v>0</v>
      </c>
      <c r="O1148" s="48"/>
      <c r="P1148" s="170" t="b">
        <v>0</v>
      </c>
      <c r="Q1148" s="170" t="b">
        <v>0</v>
      </c>
      <c r="R1148" s="170" t="b">
        <v>0</v>
      </c>
      <c r="S1148" s="48"/>
      <c r="T1148" s="60"/>
      <c r="U1148" s="170" t="b">
        <v>0</v>
      </c>
      <c r="V1148" s="170"/>
      <c r="W1148" s="170" t="b">
        <v>0</v>
      </c>
      <c r="X1148" s="170" t="b">
        <v>0</v>
      </c>
      <c r="Y1148" s="170"/>
      <c r="Z1148" s="170"/>
      <c r="AA1148" s="170"/>
      <c r="AB1148" s="170"/>
      <c r="AC1148" s="171"/>
      <c r="AD1148" s="170"/>
      <c r="AE1148" s="170"/>
      <c r="AF1148" s="170"/>
      <c r="AG1148" s="170"/>
      <c r="AH1148" s="170"/>
      <c r="AI1148" s="170"/>
      <c r="AJ1148" s="172"/>
      <c r="AK1148" s="50"/>
      <c r="AL1148" s="25"/>
      <c r="AM1148" s="25"/>
      <c r="AN1148" s="25"/>
      <c r="AO1148" s="165"/>
      <c r="AP1148" s="78"/>
      <c r="AQ1148" s="25"/>
      <c r="AR1148" s="25"/>
      <c r="AS1148" s="25"/>
      <c r="AT1148" s="25"/>
      <c r="AU1148" s="25"/>
      <c r="AV1148" s="25"/>
      <c r="AW1148" s="25"/>
      <c r="AX1148" s="25"/>
      <c r="AY1148" s="25"/>
      <c r="AZ1148" s="25"/>
      <c r="BA1148" s="25"/>
      <c r="BB1148" s="25"/>
      <c r="BC1148" s="25"/>
      <c r="BD1148" s="25"/>
      <c r="BE1148" s="25"/>
      <c r="BF1148" s="25"/>
      <c r="BG1148" s="25"/>
      <c r="BH1148" s="25"/>
      <c r="BI1148" s="25"/>
      <c r="BJ1148" s="25"/>
      <c r="BK1148" s="25"/>
      <c r="BL1148" s="25"/>
      <c r="BM1148" s="25"/>
      <c r="BN1148" s="25"/>
      <c r="BO1148" s="25"/>
      <c r="BP1148" s="25"/>
    </row>
    <row r="1149">
      <c r="A1149" s="25"/>
      <c r="B1149" s="168"/>
      <c r="C1149" s="25"/>
      <c r="D1149" s="25"/>
      <c r="E1149" s="25"/>
      <c r="F1149" s="25"/>
      <c r="G1149" s="84"/>
      <c r="H1149" s="25"/>
      <c r="I1149" s="25"/>
      <c r="J1149" s="25"/>
      <c r="K1149" s="169"/>
      <c r="L1149" s="169"/>
      <c r="M1149" s="170" t="b">
        <v>0</v>
      </c>
      <c r="N1149" s="170" t="b">
        <v>0</v>
      </c>
      <c r="O1149" s="48"/>
      <c r="P1149" s="170" t="b">
        <v>0</v>
      </c>
      <c r="Q1149" s="170" t="b">
        <v>0</v>
      </c>
      <c r="R1149" s="170" t="b">
        <v>0</v>
      </c>
      <c r="S1149" s="48"/>
      <c r="T1149" s="60"/>
      <c r="U1149" s="170" t="b">
        <v>0</v>
      </c>
      <c r="V1149" s="170"/>
      <c r="W1149" s="170" t="b">
        <v>0</v>
      </c>
      <c r="X1149" s="170" t="b">
        <v>0</v>
      </c>
      <c r="Y1149" s="170"/>
      <c r="Z1149" s="170"/>
      <c r="AA1149" s="170"/>
      <c r="AB1149" s="170"/>
      <c r="AC1149" s="171"/>
      <c r="AD1149" s="170"/>
      <c r="AE1149" s="170"/>
      <c r="AF1149" s="170"/>
      <c r="AG1149" s="170"/>
      <c r="AH1149" s="170"/>
      <c r="AI1149" s="170"/>
      <c r="AJ1149" s="172"/>
      <c r="AK1149" s="50"/>
      <c r="AL1149" s="25"/>
      <c r="AM1149" s="25"/>
      <c r="AN1149" s="25"/>
      <c r="AO1149" s="165"/>
      <c r="AP1149" s="78"/>
      <c r="AQ1149" s="25"/>
      <c r="AR1149" s="25"/>
      <c r="AS1149" s="25"/>
      <c r="AT1149" s="25"/>
      <c r="AU1149" s="25"/>
      <c r="AV1149" s="25"/>
      <c r="AW1149" s="25"/>
      <c r="AX1149" s="25"/>
      <c r="AY1149" s="25"/>
      <c r="AZ1149" s="25"/>
      <c r="BA1149" s="25"/>
      <c r="BB1149" s="25"/>
      <c r="BC1149" s="25"/>
      <c r="BD1149" s="25"/>
      <c r="BE1149" s="25"/>
      <c r="BF1149" s="25"/>
      <c r="BG1149" s="25"/>
      <c r="BH1149" s="25"/>
      <c r="BI1149" s="25"/>
      <c r="BJ1149" s="25"/>
      <c r="BK1149" s="25"/>
      <c r="BL1149" s="25"/>
      <c r="BM1149" s="25"/>
      <c r="BN1149" s="25"/>
      <c r="BO1149" s="25"/>
      <c r="BP1149" s="25"/>
    </row>
    <row r="1150">
      <c r="A1150" s="25"/>
      <c r="B1150" s="168"/>
      <c r="C1150" s="25"/>
      <c r="D1150" s="25"/>
      <c r="E1150" s="25"/>
      <c r="F1150" s="25"/>
      <c r="G1150" s="84"/>
      <c r="H1150" s="25"/>
      <c r="I1150" s="25"/>
      <c r="J1150" s="25"/>
      <c r="K1150" s="169"/>
      <c r="L1150" s="169"/>
      <c r="M1150" s="170" t="b">
        <v>0</v>
      </c>
      <c r="N1150" s="170" t="b">
        <v>0</v>
      </c>
      <c r="O1150" s="48"/>
      <c r="P1150" s="170" t="b">
        <v>0</v>
      </c>
      <c r="Q1150" s="170" t="b">
        <v>0</v>
      </c>
      <c r="R1150" s="170" t="b">
        <v>0</v>
      </c>
      <c r="S1150" s="48"/>
      <c r="T1150" s="60"/>
      <c r="U1150" s="170" t="b">
        <v>0</v>
      </c>
      <c r="V1150" s="170"/>
      <c r="W1150" s="170" t="b">
        <v>0</v>
      </c>
      <c r="X1150" s="170" t="b">
        <v>0</v>
      </c>
      <c r="Y1150" s="170"/>
      <c r="Z1150" s="170"/>
      <c r="AA1150" s="170"/>
      <c r="AB1150" s="170"/>
      <c r="AC1150" s="171"/>
      <c r="AD1150" s="170"/>
      <c r="AE1150" s="170"/>
      <c r="AF1150" s="170"/>
      <c r="AG1150" s="170"/>
      <c r="AH1150" s="170"/>
      <c r="AI1150" s="170"/>
      <c r="AJ1150" s="172"/>
      <c r="AK1150" s="50"/>
      <c r="AL1150" s="25"/>
      <c r="AM1150" s="25"/>
      <c r="AN1150" s="25"/>
      <c r="AO1150" s="165"/>
      <c r="AP1150" s="78"/>
      <c r="AQ1150" s="25"/>
      <c r="AR1150" s="25"/>
      <c r="AS1150" s="25"/>
      <c r="AT1150" s="25"/>
      <c r="AU1150" s="25"/>
      <c r="AV1150" s="25"/>
      <c r="AW1150" s="25"/>
      <c r="AX1150" s="25"/>
      <c r="AY1150" s="25"/>
      <c r="AZ1150" s="25"/>
      <c r="BA1150" s="25"/>
      <c r="BB1150" s="25"/>
      <c r="BC1150" s="25"/>
      <c r="BD1150" s="25"/>
      <c r="BE1150" s="25"/>
      <c r="BF1150" s="25"/>
      <c r="BG1150" s="25"/>
      <c r="BH1150" s="25"/>
      <c r="BI1150" s="25"/>
      <c r="BJ1150" s="25"/>
      <c r="BK1150" s="25"/>
      <c r="BL1150" s="25"/>
      <c r="BM1150" s="25"/>
      <c r="BN1150" s="25"/>
      <c r="BO1150" s="25"/>
      <c r="BP1150" s="25"/>
    </row>
    <row r="1151">
      <c r="A1151" s="25"/>
      <c r="B1151" s="168"/>
      <c r="C1151" s="25"/>
      <c r="D1151" s="25"/>
      <c r="E1151" s="25"/>
      <c r="F1151" s="25"/>
      <c r="G1151" s="84"/>
      <c r="H1151" s="25"/>
      <c r="I1151" s="25"/>
      <c r="J1151" s="25"/>
      <c r="K1151" s="169"/>
      <c r="L1151" s="169"/>
      <c r="M1151" s="170" t="b">
        <v>0</v>
      </c>
      <c r="N1151" s="170" t="b">
        <v>0</v>
      </c>
      <c r="O1151" s="48"/>
      <c r="P1151" s="170" t="b">
        <v>0</v>
      </c>
      <c r="Q1151" s="170" t="b">
        <v>0</v>
      </c>
      <c r="R1151" s="170" t="b">
        <v>0</v>
      </c>
      <c r="S1151" s="48"/>
      <c r="T1151" s="60"/>
      <c r="U1151" s="170" t="b">
        <v>0</v>
      </c>
      <c r="V1151" s="170"/>
      <c r="W1151" s="170" t="b">
        <v>0</v>
      </c>
      <c r="X1151" s="170" t="b">
        <v>0</v>
      </c>
      <c r="Y1151" s="170"/>
      <c r="Z1151" s="170"/>
      <c r="AA1151" s="170"/>
      <c r="AB1151" s="170"/>
      <c r="AC1151" s="171"/>
      <c r="AD1151" s="170"/>
      <c r="AE1151" s="170"/>
      <c r="AF1151" s="170"/>
      <c r="AG1151" s="170"/>
      <c r="AH1151" s="170"/>
      <c r="AI1151" s="170"/>
      <c r="AJ1151" s="172"/>
      <c r="AK1151" s="50"/>
      <c r="AL1151" s="25"/>
      <c r="AM1151" s="25"/>
      <c r="AN1151" s="25"/>
      <c r="AO1151" s="165"/>
      <c r="AP1151" s="78"/>
      <c r="AQ1151" s="25"/>
      <c r="AR1151" s="25"/>
      <c r="AS1151" s="25"/>
      <c r="AT1151" s="25"/>
      <c r="AU1151" s="25"/>
      <c r="AV1151" s="25"/>
      <c r="AW1151" s="25"/>
      <c r="AX1151" s="25"/>
      <c r="AY1151" s="25"/>
      <c r="AZ1151" s="25"/>
      <c r="BA1151" s="25"/>
      <c r="BB1151" s="25"/>
      <c r="BC1151" s="25"/>
      <c r="BD1151" s="25"/>
      <c r="BE1151" s="25"/>
      <c r="BF1151" s="25"/>
      <c r="BG1151" s="25"/>
      <c r="BH1151" s="25"/>
      <c r="BI1151" s="25"/>
      <c r="BJ1151" s="25"/>
      <c r="BK1151" s="25"/>
      <c r="BL1151" s="25"/>
      <c r="BM1151" s="25"/>
      <c r="BN1151" s="25"/>
      <c r="BO1151" s="25"/>
      <c r="BP1151" s="25"/>
    </row>
    <row r="1152">
      <c r="A1152" s="25"/>
      <c r="B1152" s="168"/>
      <c r="C1152" s="25"/>
      <c r="D1152" s="25"/>
      <c r="E1152" s="25"/>
      <c r="F1152" s="25"/>
      <c r="G1152" s="84"/>
      <c r="H1152" s="25"/>
      <c r="I1152" s="25"/>
      <c r="J1152" s="25"/>
      <c r="K1152" s="169"/>
      <c r="L1152" s="169"/>
      <c r="M1152" s="170" t="b">
        <v>0</v>
      </c>
      <c r="N1152" s="170" t="b">
        <v>0</v>
      </c>
      <c r="O1152" s="48"/>
      <c r="P1152" s="170" t="b">
        <v>0</v>
      </c>
      <c r="Q1152" s="170" t="b">
        <v>0</v>
      </c>
      <c r="R1152" s="170" t="b">
        <v>0</v>
      </c>
      <c r="S1152" s="48"/>
      <c r="T1152" s="60"/>
      <c r="U1152" s="170" t="b">
        <v>0</v>
      </c>
      <c r="V1152" s="170"/>
      <c r="W1152" s="170" t="b">
        <v>0</v>
      </c>
      <c r="X1152" s="170" t="b">
        <v>0</v>
      </c>
      <c r="Y1152" s="170"/>
      <c r="Z1152" s="170"/>
      <c r="AA1152" s="170"/>
      <c r="AB1152" s="170"/>
      <c r="AC1152" s="171"/>
      <c r="AD1152" s="170"/>
      <c r="AE1152" s="170"/>
      <c r="AF1152" s="170"/>
      <c r="AG1152" s="170"/>
      <c r="AH1152" s="170"/>
      <c r="AI1152" s="170"/>
      <c r="AJ1152" s="172"/>
      <c r="AK1152" s="50"/>
      <c r="AL1152" s="25"/>
      <c r="AM1152" s="25"/>
      <c r="AN1152" s="25"/>
      <c r="AO1152" s="165"/>
      <c r="AP1152" s="78"/>
      <c r="AQ1152" s="25"/>
      <c r="AR1152" s="25"/>
      <c r="AS1152" s="25"/>
      <c r="AT1152" s="25"/>
      <c r="AU1152" s="25"/>
      <c r="AV1152" s="25"/>
      <c r="AW1152" s="25"/>
      <c r="AX1152" s="25"/>
      <c r="AY1152" s="25"/>
      <c r="AZ1152" s="25"/>
      <c r="BA1152" s="25"/>
      <c r="BB1152" s="25"/>
      <c r="BC1152" s="25"/>
      <c r="BD1152" s="25"/>
      <c r="BE1152" s="25"/>
      <c r="BF1152" s="25"/>
      <c r="BG1152" s="25"/>
      <c r="BH1152" s="25"/>
      <c r="BI1152" s="25"/>
      <c r="BJ1152" s="25"/>
      <c r="BK1152" s="25"/>
      <c r="BL1152" s="25"/>
      <c r="BM1152" s="25"/>
      <c r="BN1152" s="25"/>
      <c r="BO1152" s="25"/>
      <c r="BP1152" s="25"/>
    </row>
    <row r="1153">
      <c r="A1153" s="25"/>
      <c r="B1153" s="168"/>
      <c r="C1153" s="25"/>
      <c r="D1153" s="25"/>
      <c r="E1153" s="25"/>
      <c r="F1153" s="25"/>
      <c r="G1153" s="84"/>
      <c r="H1153" s="25"/>
      <c r="I1153" s="25"/>
      <c r="J1153" s="25"/>
      <c r="K1153" s="169"/>
      <c r="L1153" s="169"/>
      <c r="M1153" s="170" t="b">
        <v>0</v>
      </c>
      <c r="N1153" s="170" t="b">
        <v>0</v>
      </c>
      <c r="O1153" s="48"/>
      <c r="P1153" s="170" t="b">
        <v>0</v>
      </c>
      <c r="Q1153" s="170" t="b">
        <v>0</v>
      </c>
      <c r="R1153" s="170" t="b">
        <v>0</v>
      </c>
      <c r="S1153" s="48"/>
      <c r="T1153" s="60"/>
      <c r="U1153" s="170" t="b">
        <v>0</v>
      </c>
      <c r="V1153" s="170"/>
      <c r="W1153" s="170" t="b">
        <v>0</v>
      </c>
      <c r="X1153" s="170" t="b">
        <v>0</v>
      </c>
      <c r="Y1153" s="170"/>
      <c r="Z1153" s="170"/>
      <c r="AA1153" s="170"/>
      <c r="AB1153" s="170"/>
      <c r="AC1153" s="171"/>
      <c r="AD1153" s="170"/>
      <c r="AE1153" s="170"/>
      <c r="AF1153" s="170"/>
      <c r="AG1153" s="170"/>
      <c r="AH1153" s="170"/>
      <c r="AI1153" s="170"/>
      <c r="AJ1153" s="172"/>
      <c r="AK1153" s="50"/>
      <c r="AL1153" s="25"/>
      <c r="AM1153" s="25"/>
      <c r="AN1153" s="25"/>
      <c r="AO1153" s="165"/>
      <c r="AP1153" s="78"/>
      <c r="AQ1153" s="25"/>
      <c r="AR1153" s="25"/>
      <c r="AS1153" s="25"/>
      <c r="AT1153" s="25"/>
      <c r="AU1153" s="25"/>
      <c r="AV1153" s="25"/>
      <c r="AW1153" s="25"/>
      <c r="AX1153" s="25"/>
      <c r="AY1153" s="25"/>
      <c r="AZ1153" s="25"/>
      <c r="BA1153" s="25"/>
      <c r="BB1153" s="25"/>
      <c r="BC1153" s="25"/>
      <c r="BD1153" s="25"/>
      <c r="BE1153" s="25"/>
      <c r="BF1153" s="25"/>
      <c r="BG1153" s="25"/>
      <c r="BH1153" s="25"/>
      <c r="BI1153" s="25"/>
      <c r="BJ1153" s="25"/>
      <c r="BK1153" s="25"/>
      <c r="BL1153" s="25"/>
      <c r="BM1153" s="25"/>
      <c r="BN1153" s="25"/>
      <c r="BO1153" s="25"/>
      <c r="BP1153" s="25"/>
    </row>
    <row r="1154">
      <c r="A1154" s="25"/>
      <c r="B1154" s="168"/>
      <c r="C1154" s="25"/>
      <c r="D1154" s="25"/>
      <c r="E1154" s="25"/>
      <c r="F1154" s="25"/>
      <c r="G1154" s="84"/>
      <c r="H1154" s="25"/>
      <c r="I1154" s="25"/>
      <c r="J1154" s="25"/>
      <c r="K1154" s="169"/>
      <c r="L1154" s="169"/>
      <c r="M1154" s="170" t="b">
        <v>0</v>
      </c>
      <c r="N1154" s="170" t="b">
        <v>0</v>
      </c>
      <c r="O1154" s="48"/>
      <c r="P1154" s="170" t="b">
        <v>0</v>
      </c>
      <c r="Q1154" s="170" t="b">
        <v>0</v>
      </c>
      <c r="R1154" s="170" t="b">
        <v>0</v>
      </c>
      <c r="S1154" s="48"/>
      <c r="T1154" s="60"/>
      <c r="U1154" s="170" t="b">
        <v>0</v>
      </c>
      <c r="V1154" s="170"/>
      <c r="W1154" s="170" t="b">
        <v>0</v>
      </c>
      <c r="X1154" s="170" t="b">
        <v>0</v>
      </c>
      <c r="Y1154" s="170"/>
      <c r="Z1154" s="170"/>
      <c r="AA1154" s="170"/>
      <c r="AB1154" s="170"/>
      <c r="AC1154" s="171"/>
      <c r="AD1154" s="170"/>
      <c r="AE1154" s="170"/>
      <c r="AF1154" s="170"/>
      <c r="AG1154" s="170"/>
      <c r="AH1154" s="170"/>
      <c r="AI1154" s="170"/>
      <c r="AJ1154" s="172"/>
      <c r="AK1154" s="50"/>
      <c r="AL1154" s="25"/>
      <c r="AM1154" s="25"/>
      <c r="AN1154" s="25"/>
      <c r="AO1154" s="165"/>
      <c r="AP1154" s="78"/>
      <c r="AQ1154" s="25"/>
      <c r="AR1154" s="25"/>
      <c r="AS1154" s="25"/>
      <c r="AT1154" s="25"/>
      <c r="AU1154" s="25"/>
      <c r="AV1154" s="25"/>
      <c r="AW1154" s="25"/>
      <c r="AX1154" s="25"/>
      <c r="AY1154" s="25"/>
      <c r="AZ1154" s="25"/>
      <c r="BA1154" s="25"/>
      <c r="BB1154" s="25"/>
      <c r="BC1154" s="25"/>
      <c r="BD1154" s="25"/>
      <c r="BE1154" s="25"/>
      <c r="BF1154" s="25"/>
      <c r="BG1154" s="25"/>
      <c r="BH1154" s="25"/>
      <c r="BI1154" s="25"/>
      <c r="BJ1154" s="25"/>
      <c r="BK1154" s="25"/>
      <c r="BL1154" s="25"/>
      <c r="BM1154" s="25"/>
      <c r="BN1154" s="25"/>
      <c r="BO1154" s="25"/>
      <c r="BP1154" s="25"/>
    </row>
    <row r="1155">
      <c r="A1155" s="25"/>
      <c r="B1155" s="168"/>
      <c r="C1155" s="25"/>
      <c r="D1155" s="25"/>
      <c r="E1155" s="25"/>
      <c r="F1155" s="25"/>
      <c r="G1155" s="84"/>
      <c r="H1155" s="25"/>
      <c r="I1155" s="25"/>
      <c r="J1155" s="25"/>
      <c r="K1155" s="169"/>
      <c r="L1155" s="169"/>
      <c r="M1155" s="170" t="b">
        <v>0</v>
      </c>
      <c r="N1155" s="170" t="b">
        <v>0</v>
      </c>
      <c r="O1155" s="48"/>
      <c r="P1155" s="170" t="b">
        <v>0</v>
      </c>
      <c r="Q1155" s="170" t="b">
        <v>0</v>
      </c>
      <c r="R1155" s="170" t="b">
        <v>0</v>
      </c>
      <c r="S1155" s="48"/>
      <c r="T1155" s="60"/>
      <c r="U1155" s="170" t="b">
        <v>0</v>
      </c>
      <c r="V1155" s="170"/>
      <c r="W1155" s="170" t="b">
        <v>0</v>
      </c>
      <c r="X1155" s="170" t="b">
        <v>0</v>
      </c>
      <c r="Y1155" s="170"/>
      <c r="Z1155" s="170"/>
      <c r="AA1155" s="170"/>
      <c r="AB1155" s="170"/>
      <c r="AC1155" s="171"/>
      <c r="AD1155" s="170"/>
      <c r="AE1155" s="170"/>
      <c r="AF1155" s="170"/>
      <c r="AG1155" s="170"/>
      <c r="AH1155" s="170"/>
      <c r="AI1155" s="170"/>
      <c r="AJ1155" s="172"/>
      <c r="AK1155" s="50"/>
      <c r="AL1155" s="25"/>
      <c r="AM1155" s="25"/>
      <c r="AN1155" s="25"/>
      <c r="AO1155" s="165"/>
      <c r="AP1155" s="78"/>
      <c r="AQ1155" s="25"/>
      <c r="AR1155" s="25"/>
      <c r="AS1155" s="25"/>
      <c r="AT1155" s="25"/>
      <c r="AU1155" s="25"/>
      <c r="AV1155" s="25"/>
      <c r="AW1155" s="25"/>
      <c r="AX1155" s="25"/>
      <c r="AY1155" s="25"/>
      <c r="AZ1155" s="25"/>
      <c r="BA1155" s="25"/>
      <c r="BB1155" s="25"/>
      <c r="BC1155" s="25"/>
      <c r="BD1155" s="25"/>
      <c r="BE1155" s="25"/>
      <c r="BF1155" s="25"/>
      <c r="BG1155" s="25"/>
      <c r="BH1155" s="25"/>
      <c r="BI1155" s="25"/>
      <c r="BJ1155" s="25"/>
      <c r="BK1155" s="25"/>
      <c r="BL1155" s="25"/>
      <c r="BM1155" s="25"/>
      <c r="BN1155" s="25"/>
      <c r="BO1155" s="25"/>
      <c r="BP1155" s="25"/>
    </row>
    <row r="1156">
      <c r="A1156" s="25"/>
      <c r="B1156" s="168"/>
      <c r="C1156" s="25"/>
      <c r="D1156" s="25"/>
      <c r="E1156" s="25"/>
      <c r="F1156" s="25"/>
      <c r="G1156" s="84"/>
      <c r="H1156" s="25"/>
      <c r="I1156" s="25"/>
      <c r="J1156" s="25"/>
      <c r="K1156" s="169"/>
      <c r="L1156" s="169"/>
      <c r="M1156" s="170" t="b">
        <v>0</v>
      </c>
      <c r="N1156" s="170" t="b">
        <v>0</v>
      </c>
      <c r="O1156" s="48"/>
      <c r="P1156" s="170" t="b">
        <v>0</v>
      </c>
      <c r="Q1156" s="170" t="b">
        <v>0</v>
      </c>
      <c r="R1156" s="170" t="b">
        <v>0</v>
      </c>
      <c r="S1156" s="48"/>
      <c r="T1156" s="60"/>
      <c r="U1156" s="170" t="b">
        <v>0</v>
      </c>
      <c r="V1156" s="170"/>
      <c r="W1156" s="170" t="b">
        <v>0</v>
      </c>
      <c r="X1156" s="170" t="b">
        <v>0</v>
      </c>
      <c r="Y1156" s="170"/>
      <c r="Z1156" s="170"/>
      <c r="AA1156" s="170"/>
      <c r="AB1156" s="170"/>
      <c r="AC1156" s="171"/>
      <c r="AD1156" s="170"/>
      <c r="AE1156" s="170"/>
      <c r="AF1156" s="170"/>
      <c r="AG1156" s="170"/>
      <c r="AH1156" s="170"/>
      <c r="AI1156" s="170"/>
      <c r="AJ1156" s="172"/>
      <c r="AK1156" s="50"/>
      <c r="AL1156" s="25"/>
      <c r="AM1156" s="25"/>
      <c r="AN1156" s="25"/>
      <c r="AO1156" s="165"/>
      <c r="AP1156" s="78"/>
      <c r="AQ1156" s="25"/>
      <c r="AR1156" s="25"/>
      <c r="AS1156" s="25"/>
      <c r="AT1156" s="25"/>
      <c r="AU1156" s="25"/>
      <c r="AV1156" s="25"/>
      <c r="AW1156" s="25"/>
      <c r="AX1156" s="25"/>
      <c r="AY1156" s="25"/>
      <c r="AZ1156" s="25"/>
      <c r="BA1156" s="25"/>
      <c r="BB1156" s="25"/>
      <c r="BC1156" s="25"/>
      <c r="BD1156" s="25"/>
      <c r="BE1156" s="25"/>
      <c r="BF1156" s="25"/>
      <c r="BG1156" s="25"/>
      <c r="BH1156" s="25"/>
      <c r="BI1156" s="25"/>
      <c r="BJ1156" s="25"/>
      <c r="BK1156" s="25"/>
      <c r="BL1156" s="25"/>
      <c r="BM1156" s="25"/>
      <c r="BN1156" s="25"/>
      <c r="BO1156" s="25"/>
      <c r="BP1156" s="25"/>
    </row>
    <row r="1157">
      <c r="A1157" s="25"/>
      <c r="B1157" s="168"/>
      <c r="C1157" s="25"/>
      <c r="D1157" s="25"/>
      <c r="E1157" s="25"/>
      <c r="F1157" s="25"/>
      <c r="G1157" s="84"/>
      <c r="H1157" s="25"/>
      <c r="I1157" s="25"/>
      <c r="J1157" s="25"/>
      <c r="K1157" s="169"/>
      <c r="L1157" s="169"/>
      <c r="M1157" s="170" t="b">
        <v>0</v>
      </c>
      <c r="N1157" s="170" t="b">
        <v>0</v>
      </c>
      <c r="O1157" s="48"/>
      <c r="P1157" s="170" t="b">
        <v>0</v>
      </c>
      <c r="Q1157" s="170" t="b">
        <v>0</v>
      </c>
      <c r="R1157" s="170" t="b">
        <v>0</v>
      </c>
      <c r="S1157" s="48"/>
      <c r="T1157" s="60"/>
      <c r="U1157" s="170" t="b">
        <v>0</v>
      </c>
      <c r="V1157" s="170"/>
      <c r="W1157" s="170" t="b">
        <v>0</v>
      </c>
      <c r="X1157" s="170" t="b">
        <v>0</v>
      </c>
      <c r="Y1157" s="170"/>
      <c r="Z1157" s="170"/>
      <c r="AA1157" s="170"/>
      <c r="AB1157" s="170"/>
      <c r="AC1157" s="171"/>
      <c r="AD1157" s="170"/>
      <c r="AE1157" s="170"/>
      <c r="AF1157" s="170"/>
      <c r="AG1157" s="170"/>
      <c r="AH1157" s="170"/>
      <c r="AI1157" s="170"/>
      <c r="AJ1157" s="172"/>
      <c r="AK1157" s="50"/>
      <c r="AL1157" s="25"/>
      <c r="AM1157" s="25"/>
      <c r="AN1157" s="25"/>
      <c r="AO1157" s="165"/>
      <c r="AP1157" s="78"/>
      <c r="AQ1157" s="25"/>
      <c r="AR1157" s="25"/>
      <c r="AS1157" s="25"/>
      <c r="AT1157" s="25"/>
      <c r="AU1157" s="25"/>
      <c r="AV1157" s="25"/>
      <c r="AW1157" s="25"/>
      <c r="AX1157" s="25"/>
      <c r="AY1157" s="25"/>
      <c r="AZ1157" s="25"/>
      <c r="BA1157" s="25"/>
      <c r="BB1157" s="25"/>
      <c r="BC1157" s="25"/>
      <c r="BD1157" s="25"/>
      <c r="BE1157" s="25"/>
      <c r="BF1157" s="25"/>
      <c r="BG1157" s="25"/>
      <c r="BH1157" s="25"/>
      <c r="BI1157" s="25"/>
      <c r="BJ1157" s="25"/>
      <c r="BK1157" s="25"/>
      <c r="BL1157" s="25"/>
      <c r="BM1157" s="25"/>
      <c r="BN1157" s="25"/>
      <c r="BO1157" s="25"/>
      <c r="BP1157" s="25"/>
    </row>
    <row r="1158">
      <c r="A1158" s="25"/>
      <c r="B1158" s="168"/>
      <c r="C1158" s="25"/>
      <c r="D1158" s="25"/>
      <c r="E1158" s="25"/>
      <c r="F1158" s="25"/>
      <c r="G1158" s="84"/>
      <c r="H1158" s="25"/>
      <c r="I1158" s="25"/>
      <c r="J1158" s="25"/>
      <c r="K1158" s="169"/>
      <c r="L1158" s="169"/>
      <c r="M1158" s="170" t="b">
        <v>0</v>
      </c>
      <c r="N1158" s="170" t="b">
        <v>0</v>
      </c>
      <c r="O1158" s="48"/>
      <c r="P1158" s="170" t="b">
        <v>0</v>
      </c>
      <c r="Q1158" s="170" t="b">
        <v>0</v>
      </c>
      <c r="R1158" s="170" t="b">
        <v>0</v>
      </c>
      <c r="S1158" s="48"/>
      <c r="T1158" s="60"/>
      <c r="U1158" s="170" t="b">
        <v>0</v>
      </c>
      <c r="V1158" s="170"/>
      <c r="W1158" s="170" t="b">
        <v>0</v>
      </c>
      <c r="X1158" s="170" t="b">
        <v>0</v>
      </c>
      <c r="Y1158" s="170"/>
      <c r="Z1158" s="170"/>
      <c r="AA1158" s="170"/>
      <c r="AB1158" s="170"/>
      <c r="AC1158" s="171"/>
      <c r="AD1158" s="170"/>
      <c r="AE1158" s="170"/>
      <c r="AF1158" s="170"/>
      <c r="AG1158" s="170"/>
      <c r="AH1158" s="170"/>
      <c r="AI1158" s="170"/>
      <c r="AJ1158" s="172"/>
      <c r="AK1158" s="50"/>
      <c r="AL1158" s="25"/>
      <c r="AM1158" s="25"/>
      <c r="AN1158" s="25"/>
      <c r="AO1158" s="165"/>
      <c r="AP1158" s="78"/>
      <c r="AQ1158" s="25"/>
      <c r="AR1158" s="25"/>
      <c r="AS1158" s="25"/>
      <c r="AT1158" s="25"/>
      <c r="AU1158" s="25"/>
      <c r="AV1158" s="25"/>
      <c r="AW1158" s="25"/>
      <c r="AX1158" s="25"/>
      <c r="AY1158" s="25"/>
      <c r="AZ1158" s="25"/>
      <c r="BA1158" s="25"/>
      <c r="BB1158" s="25"/>
      <c r="BC1158" s="25"/>
      <c r="BD1158" s="25"/>
      <c r="BE1158" s="25"/>
      <c r="BF1158" s="25"/>
      <c r="BG1158" s="25"/>
      <c r="BH1158" s="25"/>
      <c r="BI1158" s="25"/>
      <c r="BJ1158" s="25"/>
      <c r="BK1158" s="25"/>
      <c r="BL1158" s="25"/>
      <c r="BM1158" s="25"/>
      <c r="BN1158" s="25"/>
      <c r="BO1158" s="25"/>
      <c r="BP1158" s="25"/>
    </row>
    <row r="1159">
      <c r="A1159" s="25"/>
      <c r="B1159" s="168"/>
      <c r="C1159" s="25"/>
      <c r="D1159" s="25"/>
      <c r="E1159" s="25"/>
      <c r="F1159" s="25"/>
      <c r="G1159" s="84"/>
      <c r="H1159" s="25"/>
      <c r="I1159" s="25"/>
      <c r="J1159" s="25"/>
      <c r="K1159" s="169"/>
      <c r="L1159" s="169"/>
      <c r="M1159" s="170" t="b">
        <v>0</v>
      </c>
      <c r="N1159" s="170" t="b">
        <v>0</v>
      </c>
      <c r="O1159" s="48"/>
      <c r="P1159" s="170" t="b">
        <v>0</v>
      </c>
      <c r="Q1159" s="170" t="b">
        <v>0</v>
      </c>
      <c r="R1159" s="170" t="b">
        <v>0</v>
      </c>
      <c r="S1159" s="48"/>
      <c r="T1159" s="60"/>
      <c r="U1159" s="170" t="b">
        <v>0</v>
      </c>
      <c r="V1159" s="170"/>
      <c r="W1159" s="170" t="b">
        <v>0</v>
      </c>
      <c r="X1159" s="170" t="b">
        <v>0</v>
      </c>
      <c r="Y1159" s="170"/>
      <c r="Z1159" s="170"/>
      <c r="AA1159" s="170"/>
      <c r="AB1159" s="170"/>
      <c r="AC1159" s="171"/>
      <c r="AD1159" s="170"/>
      <c r="AE1159" s="170"/>
      <c r="AF1159" s="170"/>
      <c r="AG1159" s="170"/>
      <c r="AH1159" s="170"/>
      <c r="AI1159" s="170"/>
      <c r="AJ1159" s="172"/>
      <c r="AK1159" s="50"/>
      <c r="AL1159" s="25"/>
      <c r="AM1159" s="25"/>
      <c r="AN1159" s="25"/>
      <c r="AO1159" s="165"/>
      <c r="AP1159" s="78"/>
      <c r="AQ1159" s="25"/>
      <c r="AR1159" s="25"/>
      <c r="AS1159" s="25"/>
      <c r="AT1159" s="25"/>
      <c r="AU1159" s="25"/>
      <c r="AV1159" s="25"/>
      <c r="AW1159" s="25"/>
      <c r="AX1159" s="25"/>
      <c r="AY1159" s="25"/>
      <c r="AZ1159" s="25"/>
      <c r="BA1159" s="25"/>
      <c r="BB1159" s="25"/>
      <c r="BC1159" s="25"/>
      <c r="BD1159" s="25"/>
      <c r="BE1159" s="25"/>
      <c r="BF1159" s="25"/>
      <c r="BG1159" s="25"/>
      <c r="BH1159" s="25"/>
      <c r="BI1159" s="25"/>
      <c r="BJ1159" s="25"/>
      <c r="BK1159" s="25"/>
      <c r="BL1159" s="25"/>
      <c r="BM1159" s="25"/>
      <c r="BN1159" s="25"/>
      <c r="BO1159" s="25"/>
      <c r="BP1159" s="25"/>
    </row>
    <row r="1160">
      <c r="A1160" s="25"/>
      <c r="B1160" s="168"/>
      <c r="C1160" s="25"/>
      <c r="D1160" s="25"/>
      <c r="E1160" s="25"/>
      <c r="F1160" s="25"/>
      <c r="G1160" s="84"/>
      <c r="H1160" s="25"/>
      <c r="I1160" s="25"/>
      <c r="J1160" s="25"/>
      <c r="K1160" s="169"/>
      <c r="L1160" s="169"/>
      <c r="M1160" s="170" t="b">
        <v>0</v>
      </c>
      <c r="N1160" s="170" t="b">
        <v>0</v>
      </c>
      <c r="O1160" s="48"/>
      <c r="P1160" s="170" t="b">
        <v>0</v>
      </c>
      <c r="Q1160" s="170" t="b">
        <v>0</v>
      </c>
      <c r="R1160" s="170" t="b">
        <v>0</v>
      </c>
      <c r="S1160" s="48"/>
      <c r="T1160" s="60"/>
      <c r="U1160" s="170" t="b">
        <v>0</v>
      </c>
      <c r="V1160" s="170"/>
      <c r="W1160" s="170" t="b">
        <v>0</v>
      </c>
      <c r="X1160" s="170" t="b">
        <v>0</v>
      </c>
      <c r="Y1160" s="170"/>
      <c r="Z1160" s="170"/>
      <c r="AA1160" s="170"/>
      <c r="AB1160" s="170"/>
      <c r="AC1160" s="171"/>
      <c r="AD1160" s="170"/>
      <c r="AE1160" s="170"/>
      <c r="AF1160" s="170"/>
      <c r="AG1160" s="170"/>
      <c r="AH1160" s="170"/>
      <c r="AI1160" s="170"/>
      <c r="AJ1160" s="172"/>
      <c r="AK1160" s="50"/>
      <c r="AL1160" s="25"/>
      <c r="AM1160" s="25"/>
      <c r="AN1160" s="25"/>
      <c r="AO1160" s="165"/>
      <c r="AP1160" s="78"/>
      <c r="AQ1160" s="25"/>
      <c r="AR1160" s="25"/>
      <c r="AS1160" s="25"/>
      <c r="AT1160" s="25"/>
      <c r="AU1160" s="25"/>
      <c r="AV1160" s="25"/>
      <c r="AW1160" s="25"/>
      <c r="AX1160" s="25"/>
      <c r="AY1160" s="25"/>
      <c r="AZ1160" s="25"/>
      <c r="BA1160" s="25"/>
      <c r="BB1160" s="25"/>
      <c r="BC1160" s="25"/>
      <c r="BD1160" s="25"/>
      <c r="BE1160" s="25"/>
      <c r="BF1160" s="25"/>
      <c r="BG1160" s="25"/>
      <c r="BH1160" s="25"/>
      <c r="BI1160" s="25"/>
      <c r="BJ1160" s="25"/>
      <c r="BK1160" s="25"/>
      <c r="BL1160" s="25"/>
      <c r="BM1160" s="25"/>
      <c r="BN1160" s="25"/>
      <c r="BO1160" s="25"/>
      <c r="BP1160" s="25"/>
    </row>
    <row r="1161">
      <c r="A1161" s="25"/>
      <c r="B1161" s="168"/>
      <c r="C1161" s="25"/>
      <c r="D1161" s="25"/>
      <c r="E1161" s="25"/>
      <c r="F1161" s="25"/>
      <c r="G1161" s="84"/>
      <c r="H1161" s="25"/>
      <c r="I1161" s="25"/>
      <c r="J1161" s="25"/>
      <c r="K1161" s="169"/>
      <c r="L1161" s="169"/>
      <c r="M1161" s="170" t="b">
        <v>0</v>
      </c>
      <c r="N1161" s="170" t="b">
        <v>0</v>
      </c>
      <c r="O1161" s="48"/>
      <c r="P1161" s="170" t="b">
        <v>0</v>
      </c>
      <c r="Q1161" s="170" t="b">
        <v>0</v>
      </c>
      <c r="R1161" s="170" t="b">
        <v>0</v>
      </c>
      <c r="S1161" s="48"/>
      <c r="T1161" s="60"/>
      <c r="U1161" s="170" t="b">
        <v>0</v>
      </c>
      <c r="V1161" s="170"/>
      <c r="W1161" s="170" t="b">
        <v>0</v>
      </c>
      <c r="X1161" s="170" t="b">
        <v>0</v>
      </c>
      <c r="Y1161" s="170"/>
      <c r="Z1161" s="170"/>
      <c r="AA1161" s="170"/>
      <c r="AB1161" s="170"/>
      <c r="AC1161" s="171"/>
      <c r="AD1161" s="170"/>
      <c r="AE1161" s="170"/>
      <c r="AF1161" s="170"/>
      <c r="AG1161" s="170"/>
      <c r="AH1161" s="170"/>
      <c r="AI1161" s="170"/>
      <c r="AJ1161" s="172"/>
      <c r="AK1161" s="50"/>
      <c r="AL1161" s="25"/>
      <c r="AM1161" s="25"/>
      <c r="AN1161" s="25"/>
      <c r="AO1161" s="165"/>
      <c r="AP1161" s="78"/>
      <c r="AQ1161" s="25"/>
      <c r="AR1161" s="25"/>
      <c r="AS1161" s="25"/>
      <c r="AT1161" s="25"/>
      <c r="AU1161" s="25"/>
      <c r="AV1161" s="25"/>
      <c r="AW1161" s="25"/>
      <c r="AX1161" s="25"/>
      <c r="AY1161" s="25"/>
      <c r="AZ1161" s="25"/>
      <c r="BA1161" s="25"/>
      <c r="BB1161" s="25"/>
      <c r="BC1161" s="25"/>
      <c r="BD1161" s="25"/>
      <c r="BE1161" s="25"/>
      <c r="BF1161" s="25"/>
      <c r="BG1161" s="25"/>
      <c r="BH1161" s="25"/>
      <c r="BI1161" s="25"/>
      <c r="BJ1161" s="25"/>
      <c r="BK1161" s="25"/>
      <c r="BL1161" s="25"/>
      <c r="BM1161" s="25"/>
      <c r="BN1161" s="25"/>
      <c r="BO1161" s="25"/>
      <c r="BP1161" s="25"/>
    </row>
    <row r="1162">
      <c r="A1162" s="25"/>
      <c r="B1162" s="168"/>
      <c r="C1162" s="25"/>
      <c r="D1162" s="25"/>
      <c r="E1162" s="25"/>
      <c r="F1162" s="25"/>
      <c r="G1162" s="84"/>
      <c r="H1162" s="25"/>
      <c r="I1162" s="25"/>
      <c r="J1162" s="25"/>
      <c r="K1162" s="169"/>
      <c r="L1162" s="169"/>
      <c r="M1162" s="170" t="b">
        <v>0</v>
      </c>
      <c r="N1162" s="170" t="b">
        <v>0</v>
      </c>
      <c r="O1162" s="48"/>
      <c r="P1162" s="170" t="b">
        <v>0</v>
      </c>
      <c r="Q1162" s="170" t="b">
        <v>0</v>
      </c>
      <c r="R1162" s="170" t="b">
        <v>0</v>
      </c>
      <c r="S1162" s="48"/>
      <c r="T1162" s="60"/>
      <c r="U1162" s="170" t="b">
        <v>0</v>
      </c>
      <c r="V1162" s="170"/>
      <c r="W1162" s="170" t="b">
        <v>0</v>
      </c>
      <c r="X1162" s="170" t="b">
        <v>0</v>
      </c>
      <c r="Y1162" s="170"/>
      <c r="Z1162" s="170"/>
      <c r="AA1162" s="170"/>
      <c r="AB1162" s="170"/>
      <c r="AC1162" s="171"/>
      <c r="AD1162" s="170"/>
      <c r="AE1162" s="170"/>
      <c r="AF1162" s="170"/>
      <c r="AG1162" s="170"/>
      <c r="AH1162" s="170"/>
      <c r="AI1162" s="170"/>
      <c r="AJ1162" s="172"/>
      <c r="AK1162" s="50"/>
      <c r="AL1162" s="25"/>
      <c r="AM1162" s="25"/>
      <c r="AN1162" s="25"/>
      <c r="AO1162" s="165"/>
      <c r="AP1162" s="78"/>
      <c r="AQ1162" s="25"/>
      <c r="AR1162" s="25"/>
      <c r="AS1162" s="25"/>
      <c r="AT1162" s="25"/>
      <c r="AU1162" s="25"/>
      <c r="AV1162" s="25"/>
      <c r="AW1162" s="25"/>
      <c r="AX1162" s="25"/>
      <c r="AY1162" s="25"/>
      <c r="AZ1162" s="25"/>
      <c r="BA1162" s="25"/>
      <c r="BB1162" s="25"/>
      <c r="BC1162" s="25"/>
      <c r="BD1162" s="25"/>
      <c r="BE1162" s="25"/>
      <c r="BF1162" s="25"/>
      <c r="BG1162" s="25"/>
      <c r="BH1162" s="25"/>
      <c r="BI1162" s="25"/>
      <c r="BJ1162" s="25"/>
      <c r="BK1162" s="25"/>
      <c r="BL1162" s="25"/>
      <c r="BM1162" s="25"/>
      <c r="BN1162" s="25"/>
      <c r="BO1162" s="25"/>
      <c r="BP1162" s="25"/>
    </row>
    <row r="1163">
      <c r="A1163" s="25"/>
      <c r="B1163" s="168"/>
      <c r="C1163" s="25"/>
      <c r="D1163" s="25"/>
      <c r="E1163" s="25"/>
      <c r="F1163" s="25"/>
      <c r="G1163" s="84"/>
      <c r="H1163" s="25"/>
      <c r="I1163" s="25"/>
      <c r="J1163" s="25"/>
      <c r="K1163" s="169"/>
      <c r="L1163" s="169"/>
      <c r="M1163" s="170" t="b">
        <v>0</v>
      </c>
      <c r="N1163" s="170" t="b">
        <v>0</v>
      </c>
      <c r="O1163" s="48"/>
      <c r="P1163" s="170" t="b">
        <v>0</v>
      </c>
      <c r="Q1163" s="170" t="b">
        <v>0</v>
      </c>
      <c r="R1163" s="170" t="b">
        <v>0</v>
      </c>
      <c r="S1163" s="48"/>
      <c r="T1163" s="60"/>
      <c r="U1163" s="170" t="b">
        <v>0</v>
      </c>
      <c r="V1163" s="170"/>
      <c r="W1163" s="170" t="b">
        <v>0</v>
      </c>
      <c r="X1163" s="170" t="b">
        <v>0</v>
      </c>
      <c r="Y1163" s="170"/>
      <c r="Z1163" s="170"/>
      <c r="AA1163" s="170"/>
      <c r="AB1163" s="170"/>
      <c r="AC1163" s="171"/>
      <c r="AD1163" s="170"/>
      <c r="AE1163" s="170"/>
      <c r="AF1163" s="170"/>
      <c r="AG1163" s="170"/>
      <c r="AH1163" s="170"/>
      <c r="AI1163" s="170"/>
      <c r="AJ1163" s="172"/>
      <c r="AK1163" s="50"/>
      <c r="AL1163" s="25"/>
      <c r="AM1163" s="25"/>
      <c r="AN1163" s="25"/>
      <c r="AO1163" s="165"/>
      <c r="AP1163" s="78"/>
      <c r="AQ1163" s="25"/>
      <c r="AR1163" s="25"/>
      <c r="AS1163" s="25"/>
      <c r="AT1163" s="25"/>
      <c r="AU1163" s="25"/>
      <c r="AV1163" s="25"/>
      <c r="AW1163" s="25"/>
      <c r="AX1163" s="25"/>
      <c r="AY1163" s="25"/>
      <c r="AZ1163" s="25"/>
      <c r="BA1163" s="25"/>
      <c r="BB1163" s="25"/>
      <c r="BC1163" s="25"/>
      <c r="BD1163" s="25"/>
      <c r="BE1163" s="25"/>
      <c r="BF1163" s="25"/>
      <c r="BG1163" s="25"/>
      <c r="BH1163" s="25"/>
      <c r="BI1163" s="25"/>
      <c r="BJ1163" s="25"/>
      <c r="BK1163" s="25"/>
      <c r="BL1163" s="25"/>
      <c r="BM1163" s="25"/>
      <c r="BN1163" s="25"/>
      <c r="BO1163" s="25"/>
      <c r="BP1163" s="25"/>
    </row>
    <row r="1164">
      <c r="A1164" s="25"/>
      <c r="B1164" s="168"/>
      <c r="C1164" s="25"/>
      <c r="D1164" s="25"/>
      <c r="E1164" s="25"/>
      <c r="F1164" s="25"/>
      <c r="G1164" s="84"/>
      <c r="H1164" s="25"/>
      <c r="I1164" s="25"/>
      <c r="J1164" s="25"/>
      <c r="K1164" s="169"/>
      <c r="L1164" s="169"/>
      <c r="M1164" s="170" t="b">
        <v>0</v>
      </c>
      <c r="N1164" s="170" t="b">
        <v>0</v>
      </c>
      <c r="O1164" s="48"/>
      <c r="P1164" s="170" t="b">
        <v>0</v>
      </c>
      <c r="Q1164" s="170" t="b">
        <v>0</v>
      </c>
      <c r="R1164" s="170" t="b">
        <v>0</v>
      </c>
      <c r="S1164" s="48"/>
      <c r="T1164" s="60"/>
      <c r="U1164" s="170" t="b">
        <v>0</v>
      </c>
      <c r="V1164" s="170"/>
      <c r="W1164" s="170" t="b">
        <v>0</v>
      </c>
      <c r="X1164" s="170" t="b">
        <v>0</v>
      </c>
      <c r="Y1164" s="170"/>
      <c r="Z1164" s="170"/>
      <c r="AA1164" s="170"/>
      <c r="AB1164" s="170"/>
      <c r="AC1164" s="171"/>
      <c r="AD1164" s="170"/>
      <c r="AE1164" s="170"/>
      <c r="AF1164" s="170"/>
      <c r="AG1164" s="170"/>
      <c r="AH1164" s="170"/>
      <c r="AI1164" s="170"/>
      <c r="AJ1164" s="172"/>
      <c r="AK1164" s="50"/>
      <c r="AL1164" s="25"/>
      <c r="AM1164" s="25"/>
      <c r="AN1164" s="25"/>
      <c r="AO1164" s="165"/>
      <c r="AP1164" s="78"/>
      <c r="AQ1164" s="25"/>
      <c r="AR1164" s="25"/>
      <c r="AS1164" s="25"/>
      <c r="AT1164" s="25"/>
      <c r="AU1164" s="25"/>
      <c r="AV1164" s="25"/>
      <c r="AW1164" s="25"/>
      <c r="AX1164" s="25"/>
      <c r="AY1164" s="25"/>
      <c r="AZ1164" s="25"/>
      <c r="BA1164" s="25"/>
      <c r="BB1164" s="25"/>
      <c r="BC1164" s="25"/>
      <c r="BD1164" s="25"/>
      <c r="BE1164" s="25"/>
      <c r="BF1164" s="25"/>
      <c r="BG1164" s="25"/>
      <c r="BH1164" s="25"/>
      <c r="BI1164" s="25"/>
      <c r="BJ1164" s="25"/>
      <c r="BK1164" s="25"/>
      <c r="BL1164" s="25"/>
      <c r="BM1164" s="25"/>
      <c r="BN1164" s="25"/>
      <c r="BO1164" s="25"/>
      <c r="BP1164" s="25"/>
    </row>
    <row r="1165">
      <c r="A1165" s="25"/>
      <c r="B1165" s="168"/>
      <c r="C1165" s="25"/>
      <c r="D1165" s="25"/>
      <c r="E1165" s="25"/>
      <c r="F1165" s="25"/>
      <c r="G1165" s="84"/>
      <c r="H1165" s="25"/>
      <c r="I1165" s="25"/>
      <c r="J1165" s="25"/>
      <c r="K1165" s="169"/>
      <c r="L1165" s="169"/>
      <c r="M1165" s="170" t="b">
        <v>0</v>
      </c>
      <c r="N1165" s="170" t="b">
        <v>0</v>
      </c>
      <c r="O1165" s="48"/>
      <c r="P1165" s="170" t="b">
        <v>0</v>
      </c>
      <c r="Q1165" s="170" t="b">
        <v>0</v>
      </c>
      <c r="R1165" s="170" t="b">
        <v>0</v>
      </c>
      <c r="S1165" s="48"/>
      <c r="T1165" s="60"/>
      <c r="U1165" s="170" t="b">
        <v>0</v>
      </c>
      <c r="V1165" s="170"/>
      <c r="W1165" s="170" t="b">
        <v>0</v>
      </c>
      <c r="X1165" s="170" t="b">
        <v>0</v>
      </c>
      <c r="Y1165" s="170"/>
      <c r="Z1165" s="170"/>
      <c r="AA1165" s="170"/>
      <c r="AB1165" s="170"/>
      <c r="AC1165" s="171"/>
      <c r="AD1165" s="170"/>
      <c r="AE1165" s="170"/>
      <c r="AF1165" s="170"/>
      <c r="AG1165" s="170"/>
      <c r="AH1165" s="170"/>
      <c r="AI1165" s="170"/>
      <c r="AJ1165" s="172"/>
      <c r="AK1165" s="50"/>
      <c r="AL1165" s="25"/>
      <c r="AM1165" s="25"/>
      <c r="AN1165" s="25"/>
      <c r="AO1165" s="165"/>
      <c r="AP1165" s="78"/>
      <c r="AQ1165" s="25"/>
      <c r="AR1165" s="25"/>
      <c r="AS1165" s="25"/>
      <c r="AT1165" s="25"/>
      <c r="AU1165" s="25"/>
      <c r="AV1165" s="25"/>
      <c r="AW1165" s="25"/>
      <c r="AX1165" s="25"/>
      <c r="AY1165" s="25"/>
      <c r="AZ1165" s="25"/>
      <c r="BA1165" s="25"/>
      <c r="BB1165" s="25"/>
      <c r="BC1165" s="25"/>
      <c r="BD1165" s="25"/>
      <c r="BE1165" s="25"/>
      <c r="BF1165" s="25"/>
      <c r="BG1165" s="25"/>
      <c r="BH1165" s="25"/>
      <c r="BI1165" s="25"/>
      <c r="BJ1165" s="25"/>
      <c r="BK1165" s="25"/>
      <c r="BL1165" s="25"/>
      <c r="BM1165" s="25"/>
      <c r="BN1165" s="25"/>
      <c r="BO1165" s="25"/>
      <c r="BP1165" s="25"/>
    </row>
    <row r="1166">
      <c r="A1166" s="25"/>
      <c r="B1166" s="168"/>
      <c r="C1166" s="25"/>
      <c r="D1166" s="25"/>
      <c r="E1166" s="25"/>
      <c r="F1166" s="25"/>
      <c r="G1166" s="84"/>
      <c r="H1166" s="25"/>
      <c r="I1166" s="25"/>
      <c r="J1166" s="25"/>
      <c r="K1166" s="169"/>
      <c r="L1166" s="169"/>
      <c r="M1166" s="170" t="b">
        <v>0</v>
      </c>
      <c r="N1166" s="170" t="b">
        <v>0</v>
      </c>
      <c r="O1166" s="48"/>
      <c r="P1166" s="170" t="b">
        <v>0</v>
      </c>
      <c r="Q1166" s="170" t="b">
        <v>0</v>
      </c>
      <c r="R1166" s="170" t="b">
        <v>0</v>
      </c>
      <c r="S1166" s="48"/>
      <c r="T1166" s="60"/>
      <c r="U1166" s="170" t="b">
        <v>0</v>
      </c>
      <c r="V1166" s="170"/>
      <c r="W1166" s="170" t="b">
        <v>0</v>
      </c>
      <c r="X1166" s="170" t="b">
        <v>0</v>
      </c>
      <c r="Y1166" s="170"/>
      <c r="Z1166" s="170"/>
      <c r="AA1166" s="170"/>
      <c r="AB1166" s="170"/>
      <c r="AC1166" s="171"/>
      <c r="AD1166" s="170"/>
      <c r="AE1166" s="170"/>
      <c r="AF1166" s="170"/>
      <c r="AG1166" s="170"/>
      <c r="AH1166" s="170"/>
      <c r="AI1166" s="170"/>
      <c r="AJ1166" s="172"/>
      <c r="AK1166" s="50"/>
      <c r="AL1166" s="25"/>
      <c r="AM1166" s="25"/>
      <c r="AN1166" s="25"/>
      <c r="AO1166" s="165"/>
      <c r="AP1166" s="78"/>
      <c r="AQ1166" s="25"/>
      <c r="AR1166" s="25"/>
      <c r="AS1166" s="25"/>
      <c r="AT1166" s="25"/>
      <c r="AU1166" s="25"/>
      <c r="AV1166" s="25"/>
      <c r="AW1166" s="25"/>
      <c r="AX1166" s="25"/>
      <c r="AY1166" s="25"/>
      <c r="AZ1166" s="25"/>
      <c r="BA1166" s="25"/>
      <c r="BB1166" s="25"/>
      <c r="BC1166" s="25"/>
      <c r="BD1166" s="25"/>
      <c r="BE1166" s="25"/>
      <c r="BF1166" s="25"/>
      <c r="BG1166" s="25"/>
      <c r="BH1166" s="25"/>
      <c r="BI1166" s="25"/>
      <c r="BJ1166" s="25"/>
      <c r="BK1166" s="25"/>
      <c r="BL1166" s="25"/>
      <c r="BM1166" s="25"/>
      <c r="BN1166" s="25"/>
      <c r="BO1166" s="25"/>
      <c r="BP1166" s="25"/>
    </row>
    <row r="1167">
      <c r="A1167" s="25"/>
      <c r="B1167" s="168"/>
      <c r="C1167" s="25"/>
      <c r="D1167" s="25"/>
      <c r="E1167" s="25"/>
      <c r="F1167" s="25"/>
      <c r="G1167" s="84"/>
      <c r="H1167" s="25"/>
      <c r="I1167" s="25"/>
      <c r="J1167" s="25"/>
      <c r="K1167" s="169"/>
      <c r="L1167" s="169"/>
      <c r="M1167" s="170" t="b">
        <v>0</v>
      </c>
      <c r="N1167" s="170" t="b">
        <v>0</v>
      </c>
      <c r="O1167" s="48"/>
      <c r="P1167" s="170" t="b">
        <v>0</v>
      </c>
      <c r="Q1167" s="170" t="b">
        <v>0</v>
      </c>
      <c r="R1167" s="170" t="b">
        <v>0</v>
      </c>
      <c r="S1167" s="48"/>
      <c r="T1167" s="60"/>
      <c r="U1167" s="170" t="b">
        <v>0</v>
      </c>
      <c r="V1167" s="170"/>
      <c r="W1167" s="170" t="b">
        <v>0</v>
      </c>
      <c r="X1167" s="170" t="b">
        <v>0</v>
      </c>
      <c r="Y1167" s="170"/>
      <c r="Z1167" s="170"/>
      <c r="AA1167" s="170"/>
      <c r="AB1167" s="170"/>
      <c r="AC1167" s="171"/>
      <c r="AD1167" s="170"/>
      <c r="AE1167" s="170"/>
      <c r="AF1167" s="170"/>
      <c r="AG1167" s="170"/>
      <c r="AH1167" s="170"/>
      <c r="AI1167" s="170"/>
      <c r="AJ1167" s="172"/>
      <c r="AK1167" s="50"/>
      <c r="AL1167" s="25"/>
      <c r="AM1167" s="25"/>
      <c r="AN1167" s="25"/>
      <c r="AO1167" s="165"/>
      <c r="AP1167" s="78"/>
      <c r="AQ1167" s="25"/>
      <c r="AR1167" s="25"/>
      <c r="AS1167" s="25"/>
      <c r="AT1167" s="25"/>
      <c r="AU1167" s="25"/>
      <c r="AV1167" s="25"/>
      <c r="AW1167" s="25"/>
      <c r="AX1167" s="25"/>
      <c r="AY1167" s="25"/>
      <c r="AZ1167" s="25"/>
      <c r="BA1167" s="25"/>
      <c r="BB1167" s="25"/>
      <c r="BC1167" s="25"/>
      <c r="BD1167" s="25"/>
      <c r="BE1167" s="25"/>
      <c r="BF1167" s="25"/>
      <c r="BG1167" s="25"/>
      <c r="BH1167" s="25"/>
      <c r="BI1167" s="25"/>
      <c r="BJ1167" s="25"/>
      <c r="BK1167" s="25"/>
      <c r="BL1167" s="25"/>
      <c r="BM1167" s="25"/>
      <c r="BN1167" s="25"/>
      <c r="BO1167" s="25"/>
      <c r="BP1167" s="25"/>
    </row>
    <row r="1168">
      <c r="A1168" s="25"/>
      <c r="B1168" s="168"/>
      <c r="C1168" s="25"/>
      <c r="D1168" s="25"/>
      <c r="E1168" s="25"/>
      <c r="F1168" s="25"/>
      <c r="G1168" s="84"/>
      <c r="H1168" s="25"/>
      <c r="I1168" s="25"/>
      <c r="J1168" s="25"/>
      <c r="K1168" s="169"/>
      <c r="L1168" s="169"/>
      <c r="M1168" s="170" t="b">
        <v>0</v>
      </c>
      <c r="N1168" s="170" t="b">
        <v>0</v>
      </c>
      <c r="O1168" s="48"/>
      <c r="P1168" s="170" t="b">
        <v>0</v>
      </c>
      <c r="Q1168" s="170" t="b">
        <v>0</v>
      </c>
      <c r="R1168" s="170" t="b">
        <v>0</v>
      </c>
      <c r="S1168" s="48"/>
      <c r="T1168" s="60"/>
      <c r="U1168" s="170" t="b">
        <v>0</v>
      </c>
      <c r="V1168" s="170"/>
      <c r="W1168" s="170" t="b">
        <v>0</v>
      </c>
      <c r="X1168" s="170" t="b">
        <v>0</v>
      </c>
      <c r="Y1168" s="170"/>
      <c r="Z1168" s="170"/>
      <c r="AA1168" s="170"/>
      <c r="AB1168" s="170"/>
      <c r="AC1168" s="171"/>
      <c r="AD1168" s="170"/>
      <c r="AE1168" s="170"/>
      <c r="AF1168" s="170"/>
      <c r="AG1168" s="170"/>
      <c r="AH1168" s="170"/>
      <c r="AI1168" s="170"/>
      <c r="AJ1168" s="172"/>
      <c r="AK1168" s="50"/>
      <c r="AL1168" s="25"/>
      <c r="AM1168" s="25"/>
      <c r="AN1168" s="25"/>
      <c r="AO1168" s="165"/>
      <c r="AP1168" s="78"/>
      <c r="AQ1168" s="25"/>
      <c r="AR1168" s="25"/>
      <c r="AS1168" s="25"/>
      <c r="AT1168" s="25"/>
      <c r="AU1168" s="25"/>
      <c r="AV1168" s="25"/>
      <c r="AW1168" s="25"/>
      <c r="AX1168" s="25"/>
      <c r="AY1168" s="25"/>
      <c r="AZ1168" s="25"/>
      <c r="BA1168" s="25"/>
      <c r="BB1168" s="25"/>
      <c r="BC1168" s="25"/>
      <c r="BD1168" s="25"/>
      <c r="BE1168" s="25"/>
      <c r="BF1168" s="25"/>
      <c r="BG1168" s="25"/>
      <c r="BH1168" s="25"/>
      <c r="BI1168" s="25"/>
      <c r="BJ1168" s="25"/>
      <c r="BK1168" s="25"/>
      <c r="BL1168" s="25"/>
      <c r="BM1168" s="25"/>
      <c r="BN1168" s="25"/>
      <c r="BO1168" s="25"/>
      <c r="BP1168" s="25"/>
    </row>
    <row r="1169">
      <c r="A1169" s="25"/>
      <c r="B1169" s="168"/>
      <c r="C1169" s="25"/>
      <c r="D1169" s="25"/>
      <c r="E1169" s="25"/>
      <c r="F1169" s="25"/>
      <c r="G1169" s="84"/>
      <c r="H1169" s="25"/>
      <c r="I1169" s="25"/>
      <c r="J1169" s="25"/>
      <c r="K1169" s="169"/>
      <c r="L1169" s="169"/>
      <c r="M1169" s="170" t="b">
        <v>0</v>
      </c>
      <c r="N1169" s="170" t="b">
        <v>0</v>
      </c>
      <c r="O1169" s="48"/>
      <c r="P1169" s="170" t="b">
        <v>0</v>
      </c>
      <c r="Q1169" s="170" t="b">
        <v>0</v>
      </c>
      <c r="R1169" s="170" t="b">
        <v>0</v>
      </c>
      <c r="S1169" s="48"/>
      <c r="T1169" s="60"/>
      <c r="U1169" s="170" t="b">
        <v>0</v>
      </c>
      <c r="V1169" s="170"/>
      <c r="W1169" s="170" t="b">
        <v>0</v>
      </c>
      <c r="X1169" s="170" t="b">
        <v>0</v>
      </c>
      <c r="Y1169" s="170"/>
      <c r="Z1169" s="170"/>
      <c r="AA1169" s="170"/>
      <c r="AB1169" s="170"/>
      <c r="AC1169" s="171"/>
      <c r="AD1169" s="170"/>
      <c r="AE1169" s="170"/>
      <c r="AF1169" s="170"/>
      <c r="AG1169" s="170"/>
      <c r="AH1169" s="170"/>
      <c r="AI1169" s="170"/>
      <c r="AJ1169" s="172"/>
      <c r="AK1169" s="50"/>
      <c r="AL1169" s="25"/>
      <c r="AM1169" s="25"/>
      <c r="AN1169" s="25"/>
      <c r="AO1169" s="165"/>
      <c r="AP1169" s="78"/>
      <c r="AQ1169" s="25"/>
      <c r="AR1169" s="25"/>
      <c r="AS1169" s="25"/>
      <c r="AT1169" s="25"/>
      <c r="AU1169" s="25"/>
      <c r="AV1169" s="25"/>
      <c r="AW1169" s="25"/>
      <c r="AX1169" s="25"/>
      <c r="AY1169" s="25"/>
      <c r="AZ1169" s="25"/>
      <c r="BA1169" s="25"/>
      <c r="BB1169" s="25"/>
      <c r="BC1169" s="25"/>
      <c r="BD1169" s="25"/>
      <c r="BE1169" s="25"/>
      <c r="BF1169" s="25"/>
      <c r="BG1169" s="25"/>
      <c r="BH1169" s="25"/>
      <c r="BI1169" s="25"/>
      <c r="BJ1169" s="25"/>
      <c r="BK1169" s="25"/>
      <c r="BL1169" s="25"/>
      <c r="BM1169" s="25"/>
      <c r="BN1169" s="25"/>
      <c r="BO1169" s="25"/>
      <c r="BP1169" s="25"/>
    </row>
    <row r="1170">
      <c r="A1170" s="25"/>
      <c r="B1170" s="168"/>
      <c r="C1170" s="25"/>
      <c r="D1170" s="25"/>
      <c r="E1170" s="25"/>
      <c r="F1170" s="25"/>
      <c r="G1170" s="84"/>
      <c r="H1170" s="25"/>
      <c r="I1170" s="25"/>
      <c r="J1170" s="25"/>
      <c r="K1170" s="169"/>
      <c r="L1170" s="169"/>
      <c r="M1170" s="170" t="b">
        <v>0</v>
      </c>
      <c r="N1170" s="170" t="b">
        <v>0</v>
      </c>
      <c r="O1170" s="48"/>
      <c r="P1170" s="170" t="b">
        <v>0</v>
      </c>
      <c r="Q1170" s="170" t="b">
        <v>0</v>
      </c>
      <c r="R1170" s="170" t="b">
        <v>0</v>
      </c>
      <c r="S1170" s="48"/>
      <c r="T1170" s="60"/>
      <c r="U1170" s="170" t="b">
        <v>0</v>
      </c>
      <c r="V1170" s="170"/>
      <c r="W1170" s="170" t="b">
        <v>0</v>
      </c>
      <c r="X1170" s="170" t="b">
        <v>0</v>
      </c>
      <c r="Y1170" s="170"/>
      <c r="Z1170" s="170"/>
      <c r="AA1170" s="170"/>
      <c r="AB1170" s="170"/>
      <c r="AC1170" s="171"/>
      <c r="AD1170" s="170"/>
      <c r="AE1170" s="170"/>
      <c r="AF1170" s="170"/>
      <c r="AG1170" s="170"/>
      <c r="AH1170" s="170"/>
      <c r="AI1170" s="170"/>
      <c r="AJ1170" s="172"/>
      <c r="AK1170" s="50"/>
      <c r="AL1170" s="25"/>
      <c r="AM1170" s="25"/>
      <c r="AN1170" s="25"/>
      <c r="AO1170" s="165"/>
      <c r="AP1170" s="78"/>
      <c r="AQ1170" s="25"/>
      <c r="AR1170" s="25"/>
      <c r="AS1170" s="25"/>
      <c r="AT1170" s="25"/>
      <c r="AU1170" s="25"/>
      <c r="AV1170" s="25"/>
      <c r="AW1170" s="25"/>
      <c r="AX1170" s="25"/>
      <c r="AY1170" s="25"/>
      <c r="AZ1170" s="25"/>
      <c r="BA1170" s="25"/>
      <c r="BB1170" s="25"/>
      <c r="BC1170" s="25"/>
      <c r="BD1170" s="25"/>
      <c r="BE1170" s="25"/>
      <c r="BF1170" s="25"/>
      <c r="BG1170" s="25"/>
      <c r="BH1170" s="25"/>
      <c r="BI1170" s="25"/>
      <c r="BJ1170" s="25"/>
      <c r="BK1170" s="25"/>
      <c r="BL1170" s="25"/>
      <c r="BM1170" s="25"/>
      <c r="BN1170" s="25"/>
      <c r="BO1170" s="25"/>
      <c r="BP1170" s="25"/>
    </row>
    <row r="1171">
      <c r="A1171" s="25"/>
      <c r="B1171" s="168"/>
      <c r="C1171" s="25"/>
      <c r="D1171" s="25"/>
      <c r="E1171" s="25"/>
      <c r="F1171" s="25"/>
      <c r="G1171" s="84"/>
      <c r="H1171" s="25"/>
      <c r="I1171" s="25"/>
      <c r="J1171" s="25"/>
      <c r="K1171" s="169"/>
      <c r="L1171" s="169"/>
      <c r="M1171" s="170" t="b">
        <v>0</v>
      </c>
      <c r="N1171" s="170" t="b">
        <v>0</v>
      </c>
      <c r="O1171" s="48"/>
      <c r="P1171" s="170" t="b">
        <v>0</v>
      </c>
      <c r="Q1171" s="170" t="b">
        <v>0</v>
      </c>
      <c r="R1171" s="170" t="b">
        <v>0</v>
      </c>
      <c r="S1171" s="48"/>
      <c r="T1171" s="60"/>
      <c r="U1171" s="170" t="b">
        <v>0</v>
      </c>
      <c r="V1171" s="170"/>
      <c r="W1171" s="170" t="b">
        <v>0</v>
      </c>
      <c r="X1171" s="170" t="b">
        <v>0</v>
      </c>
      <c r="Y1171" s="170"/>
      <c r="Z1171" s="170"/>
      <c r="AA1171" s="170"/>
      <c r="AB1171" s="170"/>
      <c r="AC1171" s="171"/>
      <c r="AD1171" s="170"/>
      <c r="AE1171" s="170"/>
      <c r="AF1171" s="170"/>
      <c r="AG1171" s="170"/>
      <c r="AH1171" s="170"/>
      <c r="AI1171" s="170"/>
      <c r="AJ1171" s="172"/>
      <c r="AK1171" s="50"/>
      <c r="AL1171" s="25"/>
      <c r="AM1171" s="25"/>
      <c r="AN1171" s="25"/>
      <c r="AO1171" s="165"/>
      <c r="AP1171" s="78"/>
      <c r="AQ1171" s="25"/>
      <c r="AR1171" s="25"/>
      <c r="AS1171" s="25"/>
      <c r="AT1171" s="25"/>
      <c r="AU1171" s="25"/>
      <c r="AV1171" s="25"/>
      <c r="AW1171" s="25"/>
      <c r="AX1171" s="25"/>
      <c r="AY1171" s="25"/>
      <c r="AZ1171" s="25"/>
      <c r="BA1171" s="25"/>
      <c r="BB1171" s="25"/>
      <c r="BC1171" s="25"/>
      <c r="BD1171" s="25"/>
      <c r="BE1171" s="25"/>
      <c r="BF1171" s="25"/>
      <c r="BG1171" s="25"/>
      <c r="BH1171" s="25"/>
      <c r="BI1171" s="25"/>
      <c r="BJ1171" s="25"/>
      <c r="BK1171" s="25"/>
      <c r="BL1171" s="25"/>
      <c r="BM1171" s="25"/>
      <c r="BN1171" s="25"/>
      <c r="BO1171" s="25"/>
      <c r="BP1171" s="25"/>
    </row>
    <row r="1172">
      <c r="A1172" s="25"/>
      <c r="B1172" s="168"/>
      <c r="C1172" s="25"/>
      <c r="D1172" s="25"/>
      <c r="E1172" s="25"/>
      <c r="F1172" s="25"/>
      <c r="G1172" s="84"/>
      <c r="H1172" s="25"/>
      <c r="I1172" s="25"/>
      <c r="J1172" s="25"/>
      <c r="K1172" s="169"/>
      <c r="L1172" s="169"/>
      <c r="M1172" s="170" t="b">
        <v>0</v>
      </c>
      <c r="N1172" s="170" t="b">
        <v>0</v>
      </c>
      <c r="O1172" s="48"/>
      <c r="P1172" s="170" t="b">
        <v>0</v>
      </c>
      <c r="Q1172" s="170" t="b">
        <v>0</v>
      </c>
      <c r="R1172" s="170" t="b">
        <v>0</v>
      </c>
      <c r="S1172" s="48"/>
      <c r="T1172" s="60"/>
      <c r="U1172" s="170" t="b">
        <v>0</v>
      </c>
      <c r="V1172" s="170"/>
      <c r="W1172" s="170" t="b">
        <v>0</v>
      </c>
      <c r="X1172" s="170" t="b">
        <v>0</v>
      </c>
      <c r="Y1172" s="170"/>
      <c r="Z1172" s="170"/>
      <c r="AA1172" s="170"/>
      <c r="AB1172" s="170"/>
      <c r="AC1172" s="171"/>
      <c r="AD1172" s="170"/>
      <c r="AE1172" s="170"/>
      <c r="AF1172" s="170"/>
      <c r="AG1172" s="170"/>
      <c r="AH1172" s="170"/>
      <c r="AI1172" s="170"/>
      <c r="AJ1172" s="172"/>
      <c r="AK1172" s="50"/>
      <c r="AL1172" s="25"/>
      <c r="AM1172" s="25"/>
      <c r="AN1172" s="25"/>
      <c r="AO1172" s="165"/>
      <c r="AP1172" s="78"/>
      <c r="AQ1172" s="25"/>
      <c r="AR1172" s="25"/>
      <c r="AS1172" s="25"/>
      <c r="AT1172" s="25"/>
      <c r="AU1172" s="25"/>
      <c r="AV1172" s="25"/>
      <c r="AW1172" s="25"/>
      <c r="AX1172" s="25"/>
      <c r="AY1172" s="25"/>
      <c r="AZ1172" s="25"/>
      <c r="BA1172" s="25"/>
      <c r="BB1172" s="25"/>
      <c r="BC1172" s="25"/>
      <c r="BD1172" s="25"/>
      <c r="BE1172" s="25"/>
      <c r="BF1172" s="25"/>
      <c r="BG1172" s="25"/>
      <c r="BH1172" s="25"/>
      <c r="BI1172" s="25"/>
      <c r="BJ1172" s="25"/>
      <c r="BK1172" s="25"/>
      <c r="BL1172" s="25"/>
      <c r="BM1172" s="25"/>
      <c r="BN1172" s="25"/>
      <c r="BO1172" s="25"/>
      <c r="BP1172" s="25"/>
    </row>
    <row r="1173">
      <c r="A1173" s="25"/>
      <c r="B1173" s="168"/>
      <c r="C1173" s="25"/>
      <c r="D1173" s="25"/>
      <c r="E1173" s="25"/>
      <c r="F1173" s="25"/>
      <c r="G1173" s="84"/>
      <c r="H1173" s="25"/>
      <c r="I1173" s="25"/>
      <c r="J1173" s="25"/>
      <c r="K1173" s="169"/>
      <c r="L1173" s="169"/>
      <c r="M1173" s="170" t="b">
        <v>0</v>
      </c>
      <c r="N1173" s="170" t="b">
        <v>0</v>
      </c>
      <c r="O1173" s="48"/>
      <c r="P1173" s="170" t="b">
        <v>0</v>
      </c>
      <c r="Q1173" s="170" t="b">
        <v>0</v>
      </c>
      <c r="R1173" s="170" t="b">
        <v>0</v>
      </c>
      <c r="S1173" s="48"/>
      <c r="T1173" s="60"/>
      <c r="U1173" s="170" t="b">
        <v>0</v>
      </c>
      <c r="V1173" s="170"/>
      <c r="W1173" s="170" t="b">
        <v>0</v>
      </c>
      <c r="X1173" s="170" t="b">
        <v>0</v>
      </c>
      <c r="Y1173" s="170"/>
      <c r="Z1173" s="170"/>
      <c r="AA1173" s="170"/>
      <c r="AB1173" s="170"/>
      <c r="AC1173" s="171"/>
      <c r="AD1173" s="170"/>
      <c r="AE1173" s="170"/>
      <c r="AF1173" s="170"/>
      <c r="AG1173" s="170"/>
      <c r="AH1173" s="170"/>
      <c r="AI1173" s="170"/>
      <c r="AJ1173" s="172"/>
      <c r="AK1173" s="50"/>
      <c r="AL1173" s="25"/>
      <c r="AM1173" s="25"/>
      <c r="AN1173" s="25"/>
      <c r="AO1173" s="165"/>
      <c r="AP1173" s="78"/>
      <c r="AQ1173" s="25"/>
      <c r="AR1173" s="25"/>
      <c r="AS1173" s="25"/>
      <c r="AT1173" s="25"/>
      <c r="AU1173" s="25"/>
      <c r="AV1173" s="25"/>
      <c r="AW1173" s="25"/>
      <c r="AX1173" s="25"/>
      <c r="AY1173" s="25"/>
      <c r="AZ1173" s="25"/>
      <c r="BA1173" s="25"/>
      <c r="BB1173" s="25"/>
      <c r="BC1173" s="25"/>
      <c r="BD1173" s="25"/>
      <c r="BE1173" s="25"/>
      <c r="BF1173" s="25"/>
      <c r="BG1173" s="25"/>
      <c r="BH1173" s="25"/>
      <c r="BI1173" s="25"/>
      <c r="BJ1173" s="25"/>
      <c r="BK1173" s="25"/>
      <c r="BL1173" s="25"/>
      <c r="BM1173" s="25"/>
      <c r="BN1173" s="25"/>
      <c r="BO1173" s="25"/>
      <c r="BP1173" s="25"/>
    </row>
    <row r="1174">
      <c r="A1174" s="25"/>
      <c r="B1174" s="168"/>
      <c r="C1174" s="25"/>
      <c r="D1174" s="25"/>
      <c r="E1174" s="25"/>
      <c r="F1174" s="25"/>
      <c r="G1174" s="84"/>
      <c r="H1174" s="25"/>
      <c r="I1174" s="25"/>
      <c r="J1174" s="25"/>
      <c r="K1174" s="169"/>
      <c r="L1174" s="169"/>
      <c r="M1174" s="170" t="b">
        <v>0</v>
      </c>
      <c r="N1174" s="170" t="b">
        <v>0</v>
      </c>
      <c r="O1174" s="48"/>
      <c r="P1174" s="170" t="b">
        <v>0</v>
      </c>
      <c r="Q1174" s="170" t="b">
        <v>0</v>
      </c>
      <c r="R1174" s="170" t="b">
        <v>0</v>
      </c>
      <c r="S1174" s="48"/>
      <c r="T1174" s="60"/>
      <c r="U1174" s="170" t="b">
        <v>0</v>
      </c>
      <c r="V1174" s="170"/>
      <c r="W1174" s="170" t="b">
        <v>0</v>
      </c>
      <c r="X1174" s="170" t="b">
        <v>0</v>
      </c>
      <c r="Y1174" s="170"/>
      <c r="Z1174" s="170"/>
      <c r="AA1174" s="170"/>
      <c r="AB1174" s="170"/>
      <c r="AC1174" s="171"/>
      <c r="AD1174" s="170"/>
      <c r="AE1174" s="170"/>
      <c r="AF1174" s="170"/>
      <c r="AG1174" s="170"/>
      <c r="AH1174" s="170"/>
      <c r="AI1174" s="170"/>
      <c r="AJ1174" s="172"/>
      <c r="AK1174" s="50"/>
      <c r="AL1174" s="25"/>
      <c r="AM1174" s="25"/>
      <c r="AN1174" s="25"/>
      <c r="AO1174" s="165"/>
      <c r="AP1174" s="78"/>
      <c r="AQ1174" s="25"/>
      <c r="AR1174" s="25"/>
      <c r="AS1174" s="25"/>
      <c r="AT1174" s="25"/>
      <c r="AU1174" s="25"/>
      <c r="AV1174" s="25"/>
      <c r="AW1174" s="25"/>
      <c r="AX1174" s="25"/>
      <c r="AY1174" s="25"/>
      <c r="AZ1174" s="25"/>
      <c r="BA1174" s="25"/>
      <c r="BB1174" s="25"/>
      <c r="BC1174" s="25"/>
      <c r="BD1174" s="25"/>
      <c r="BE1174" s="25"/>
      <c r="BF1174" s="25"/>
      <c r="BG1174" s="25"/>
      <c r="BH1174" s="25"/>
      <c r="BI1174" s="25"/>
      <c r="BJ1174" s="25"/>
      <c r="BK1174" s="25"/>
      <c r="BL1174" s="25"/>
      <c r="BM1174" s="25"/>
      <c r="BN1174" s="25"/>
      <c r="BO1174" s="25"/>
      <c r="BP1174" s="25"/>
    </row>
    <row r="1175">
      <c r="A1175" s="25"/>
      <c r="B1175" s="168"/>
      <c r="C1175" s="25"/>
      <c r="D1175" s="25"/>
      <c r="E1175" s="25"/>
      <c r="F1175" s="25"/>
      <c r="G1175" s="84"/>
      <c r="H1175" s="25"/>
      <c r="I1175" s="25"/>
      <c r="J1175" s="25"/>
      <c r="K1175" s="169"/>
      <c r="L1175" s="169"/>
      <c r="M1175" s="170" t="b">
        <v>0</v>
      </c>
      <c r="N1175" s="170" t="b">
        <v>0</v>
      </c>
      <c r="O1175" s="48"/>
      <c r="P1175" s="170" t="b">
        <v>0</v>
      </c>
      <c r="Q1175" s="170" t="b">
        <v>0</v>
      </c>
      <c r="R1175" s="170" t="b">
        <v>0</v>
      </c>
      <c r="S1175" s="48"/>
      <c r="T1175" s="60"/>
      <c r="U1175" s="170" t="b">
        <v>0</v>
      </c>
      <c r="V1175" s="170"/>
      <c r="W1175" s="170" t="b">
        <v>0</v>
      </c>
      <c r="X1175" s="170" t="b">
        <v>0</v>
      </c>
      <c r="Y1175" s="170"/>
      <c r="Z1175" s="170"/>
      <c r="AA1175" s="170"/>
      <c r="AB1175" s="170"/>
      <c r="AC1175" s="171"/>
      <c r="AD1175" s="170"/>
      <c r="AE1175" s="170"/>
      <c r="AF1175" s="170"/>
      <c r="AG1175" s="170"/>
      <c r="AH1175" s="170"/>
      <c r="AI1175" s="170"/>
      <c r="AJ1175" s="172"/>
      <c r="AK1175" s="50"/>
      <c r="AL1175" s="25"/>
      <c r="AM1175" s="25"/>
      <c r="AN1175" s="25"/>
      <c r="AO1175" s="165"/>
      <c r="AP1175" s="78"/>
      <c r="AQ1175" s="25"/>
      <c r="AR1175" s="25"/>
      <c r="AS1175" s="25"/>
      <c r="AT1175" s="25"/>
      <c r="AU1175" s="25"/>
      <c r="AV1175" s="25"/>
      <c r="AW1175" s="25"/>
      <c r="AX1175" s="25"/>
      <c r="AY1175" s="25"/>
      <c r="AZ1175" s="25"/>
      <c r="BA1175" s="25"/>
      <c r="BB1175" s="25"/>
      <c r="BC1175" s="25"/>
      <c r="BD1175" s="25"/>
      <c r="BE1175" s="25"/>
      <c r="BF1175" s="25"/>
      <c r="BG1175" s="25"/>
      <c r="BH1175" s="25"/>
      <c r="BI1175" s="25"/>
      <c r="BJ1175" s="25"/>
      <c r="BK1175" s="25"/>
      <c r="BL1175" s="25"/>
      <c r="BM1175" s="25"/>
      <c r="BN1175" s="25"/>
      <c r="BO1175" s="25"/>
      <c r="BP1175" s="25"/>
    </row>
    <row r="1176">
      <c r="A1176" s="25"/>
      <c r="B1176" s="168"/>
      <c r="C1176" s="25"/>
      <c r="D1176" s="25"/>
      <c r="E1176" s="25"/>
      <c r="F1176" s="25"/>
      <c r="G1176" s="84"/>
      <c r="H1176" s="25"/>
      <c r="I1176" s="25"/>
      <c r="J1176" s="25"/>
      <c r="K1176" s="169"/>
      <c r="L1176" s="169"/>
      <c r="M1176" s="170" t="b">
        <v>0</v>
      </c>
      <c r="N1176" s="170" t="b">
        <v>0</v>
      </c>
      <c r="O1176" s="48"/>
      <c r="P1176" s="170" t="b">
        <v>0</v>
      </c>
      <c r="Q1176" s="170" t="b">
        <v>0</v>
      </c>
      <c r="R1176" s="170" t="b">
        <v>0</v>
      </c>
      <c r="S1176" s="48"/>
      <c r="T1176" s="60"/>
      <c r="U1176" s="170" t="b">
        <v>0</v>
      </c>
      <c r="V1176" s="170"/>
      <c r="W1176" s="170" t="b">
        <v>0</v>
      </c>
      <c r="X1176" s="170" t="b">
        <v>0</v>
      </c>
      <c r="Y1176" s="170"/>
      <c r="Z1176" s="170"/>
      <c r="AA1176" s="170"/>
      <c r="AB1176" s="170"/>
      <c r="AC1176" s="171"/>
      <c r="AD1176" s="170"/>
      <c r="AE1176" s="170"/>
      <c r="AF1176" s="170"/>
      <c r="AG1176" s="170"/>
      <c r="AH1176" s="170"/>
      <c r="AI1176" s="170"/>
      <c r="AJ1176" s="172"/>
      <c r="AK1176" s="50"/>
      <c r="AL1176" s="25"/>
      <c r="AM1176" s="25"/>
      <c r="AN1176" s="25"/>
      <c r="AO1176" s="165"/>
      <c r="AP1176" s="78"/>
      <c r="AQ1176" s="25"/>
      <c r="AR1176" s="25"/>
      <c r="AS1176" s="25"/>
      <c r="AT1176" s="25"/>
      <c r="AU1176" s="25"/>
      <c r="AV1176" s="25"/>
      <c r="AW1176" s="25"/>
      <c r="AX1176" s="25"/>
      <c r="AY1176" s="25"/>
      <c r="AZ1176" s="25"/>
      <c r="BA1176" s="25"/>
      <c r="BB1176" s="25"/>
      <c r="BC1176" s="25"/>
      <c r="BD1176" s="25"/>
      <c r="BE1176" s="25"/>
      <c r="BF1176" s="25"/>
      <c r="BG1176" s="25"/>
      <c r="BH1176" s="25"/>
      <c r="BI1176" s="25"/>
      <c r="BJ1176" s="25"/>
      <c r="BK1176" s="25"/>
      <c r="BL1176" s="25"/>
      <c r="BM1176" s="25"/>
      <c r="BN1176" s="25"/>
      <c r="BO1176" s="25"/>
      <c r="BP1176" s="25"/>
    </row>
    <row r="1177">
      <c r="A1177" s="25"/>
      <c r="B1177" s="168"/>
      <c r="C1177" s="25"/>
      <c r="D1177" s="25"/>
      <c r="E1177" s="25"/>
      <c r="F1177" s="25"/>
      <c r="G1177" s="84"/>
      <c r="H1177" s="25"/>
      <c r="I1177" s="25"/>
      <c r="J1177" s="25"/>
      <c r="K1177" s="169"/>
      <c r="L1177" s="169"/>
      <c r="M1177" s="170" t="b">
        <v>0</v>
      </c>
      <c r="N1177" s="170" t="b">
        <v>0</v>
      </c>
      <c r="O1177" s="48"/>
      <c r="P1177" s="170" t="b">
        <v>0</v>
      </c>
      <c r="Q1177" s="170" t="b">
        <v>0</v>
      </c>
      <c r="R1177" s="170" t="b">
        <v>0</v>
      </c>
      <c r="S1177" s="48"/>
      <c r="T1177" s="60"/>
      <c r="U1177" s="170" t="b">
        <v>0</v>
      </c>
      <c r="V1177" s="170"/>
      <c r="W1177" s="170" t="b">
        <v>0</v>
      </c>
      <c r="X1177" s="170" t="b">
        <v>0</v>
      </c>
      <c r="Y1177" s="170"/>
      <c r="Z1177" s="170"/>
      <c r="AA1177" s="170"/>
      <c r="AB1177" s="170"/>
      <c r="AC1177" s="171"/>
      <c r="AD1177" s="170"/>
      <c r="AE1177" s="170"/>
      <c r="AF1177" s="170"/>
      <c r="AG1177" s="170"/>
      <c r="AH1177" s="170"/>
      <c r="AI1177" s="170"/>
      <c r="AJ1177" s="172"/>
      <c r="AK1177" s="50"/>
      <c r="AL1177" s="25"/>
      <c r="AM1177" s="25"/>
      <c r="AN1177" s="25"/>
      <c r="AO1177" s="165"/>
      <c r="AP1177" s="78"/>
      <c r="AQ1177" s="25"/>
      <c r="AR1177" s="25"/>
      <c r="AS1177" s="25"/>
      <c r="AT1177" s="25"/>
      <c r="AU1177" s="25"/>
      <c r="AV1177" s="25"/>
      <c r="AW1177" s="25"/>
      <c r="AX1177" s="25"/>
      <c r="AY1177" s="25"/>
      <c r="AZ1177" s="25"/>
      <c r="BA1177" s="25"/>
      <c r="BB1177" s="25"/>
      <c r="BC1177" s="25"/>
      <c r="BD1177" s="25"/>
      <c r="BE1177" s="25"/>
      <c r="BF1177" s="25"/>
      <c r="BG1177" s="25"/>
      <c r="BH1177" s="25"/>
      <c r="BI1177" s="25"/>
      <c r="BJ1177" s="25"/>
      <c r="BK1177" s="25"/>
      <c r="BL1177" s="25"/>
      <c r="BM1177" s="25"/>
      <c r="BN1177" s="25"/>
      <c r="BO1177" s="25"/>
      <c r="BP1177" s="25"/>
    </row>
    <row r="1178">
      <c r="A1178" s="25"/>
      <c r="B1178" s="168"/>
      <c r="C1178" s="25"/>
      <c r="D1178" s="25"/>
      <c r="E1178" s="25"/>
      <c r="F1178" s="25"/>
      <c r="G1178" s="84"/>
      <c r="H1178" s="25"/>
      <c r="I1178" s="25"/>
      <c r="J1178" s="25"/>
      <c r="K1178" s="169"/>
      <c r="L1178" s="169"/>
      <c r="M1178" s="170" t="b">
        <v>0</v>
      </c>
      <c r="N1178" s="170" t="b">
        <v>0</v>
      </c>
      <c r="O1178" s="48"/>
      <c r="P1178" s="170" t="b">
        <v>0</v>
      </c>
      <c r="Q1178" s="170" t="b">
        <v>0</v>
      </c>
      <c r="R1178" s="170" t="b">
        <v>0</v>
      </c>
      <c r="S1178" s="48"/>
      <c r="T1178" s="60"/>
      <c r="U1178" s="170" t="b">
        <v>0</v>
      </c>
      <c r="V1178" s="170"/>
      <c r="W1178" s="170" t="b">
        <v>0</v>
      </c>
      <c r="X1178" s="170" t="b">
        <v>0</v>
      </c>
      <c r="Y1178" s="170"/>
      <c r="Z1178" s="170"/>
      <c r="AA1178" s="170"/>
      <c r="AB1178" s="170"/>
      <c r="AC1178" s="171"/>
      <c r="AD1178" s="170"/>
      <c r="AE1178" s="170"/>
      <c r="AF1178" s="170"/>
      <c r="AG1178" s="170"/>
      <c r="AH1178" s="170"/>
      <c r="AI1178" s="170"/>
      <c r="AJ1178" s="172"/>
      <c r="AK1178" s="50"/>
      <c r="AL1178" s="25"/>
      <c r="AM1178" s="25"/>
      <c r="AN1178" s="25"/>
      <c r="AO1178" s="165"/>
      <c r="AP1178" s="78"/>
      <c r="AQ1178" s="25"/>
      <c r="AR1178" s="25"/>
      <c r="AS1178" s="25"/>
      <c r="AT1178" s="25"/>
      <c r="AU1178" s="25"/>
      <c r="AV1178" s="25"/>
      <c r="AW1178" s="25"/>
      <c r="AX1178" s="25"/>
      <c r="AY1178" s="25"/>
      <c r="AZ1178" s="25"/>
      <c r="BA1178" s="25"/>
      <c r="BB1178" s="25"/>
      <c r="BC1178" s="25"/>
      <c r="BD1178" s="25"/>
      <c r="BE1178" s="25"/>
      <c r="BF1178" s="25"/>
      <c r="BG1178" s="25"/>
      <c r="BH1178" s="25"/>
      <c r="BI1178" s="25"/>
      <c r="BJ1178" s="25"/>
      <c r="BK1178" s="25"/>
      <c r="BL1178" s="25"/>
      <c r="BM1178" s="25"/>
      <c r="BN1178" s="25"/>
      <c r="BO1178" s="25"/>
      <c r="BP1178" s="25"/>
    </row>
    <row r="1179">
      <c r="A1179" s="25"/>
      <c r="B1179" s="168"/>
      <c r="C1179" s="25"/>
      <c r="D1179" s="25"/>
      <c r="E1179" s="25"/>
      <c r="F1179" s="25"/>
      <c r="G1179" s="84"/>
      <c r="H1179" s="25"/>
      <c r="I1179" s="25"/>
      <c r="J1179" s="25"/>
      <c r="K1179" s="169"/>
      <c r="L1179" s="169"/>
      <c r="M1179" s="170" t="b">
        <v>0</v>
      </c>
      <c r="N1179" s="170" t="b">
        <v>0</v>
      </c>
      <c r="O1179" s="48"/>
      <c r="P1179" s="170" t="b">
        <v>0</v>
      </c>
      <c r="Q1179" s="170" t="b">
        <v>0</v>
      </c>
      <c r="R1179" s="170" t="b">
        <v>0</v>
      </c>
      <c r="S1179" s="48"/>
      <c r="T1179" s="60"/>
      <c r="U1179" s="170" t="b">
        <v>0</v>
      </c>
      <c r="V1179" s="170"/>
      <c r="W1179" s="170" t="b">
        <v>0</v>
      </c>
      <c r="X1179" s="170" t="b">
        <v>0</v>
      </c>
      <c r="Y1179" s="170"/>
      <c r="Z1179" s="170"/>
      <c r="AA1179" s="170"/>
      <c r="AB1179" s="170"/>
      <c r="AC1179" s="171"/>
      <c r="AD1179" s="170"/>
      <c r="AE1179" s="170"/>
      <c r="AF1179" s="170"/>
      <c r="AG1179" s="170"/>
      <c r="AH1179" s="170"/>
      <c r="AI1179" s="170"/>
      <c r="AJ1179" s="172"/>
      <c r="AK1179" s="50"/>
      <c r="AL1179" s="25"/>
      <c r="AM1179" s="25"/>
      <c r="AN1179" s="25"/>
      <c r="AO1179" s="165"/>
      <c r="AP1179" s="78"/>
      <c r="AQ1179" s="25"/>
      <c r="AR1179" s="25"/>
      <c r="AS1179" s="25"/>
      <c r="AT1179" s="25"/>
      <c r="AU1179" s="25"/>
      <c r="AV1179" s="25"/>
      <c r="AW1179" s="25"/>
      <c r="AX1179" s="25"/>
      <c r="AY1179" s="25"/>
      <c r="AZ1179" s="25"/>
      <c r="BA1179" s="25"/>
      <c r="BB1179" s="25"/>
      <c r="BC1179" s="25"/>
      <c r="BD1179" s="25"/>
      <c r="BE1179" s="25"/>
      <c r="BF1179" s="25"/>
      <c r="BG1179" s="25"/>
      <c r="BH1179" s="25"/>
      <c r="BI1179" s="25"/>
      <c r="BJ1179" s="25"/>
      <c r="BK1179" s="25"/>
      <c r="BL1179" s="25"/>
      <c r="BM1179" s="25"/>
      <c r="BN1179" s="25"/>
      <c r="BO1179" s="25"/>
      <c r="BP1179" s="25"/>
    </row>
    <row r="1180">
      <c r="A1180" s="25"/>
      <c r="B1180" s="168"/>
      <c r="C1180" s="25"/>
      <c r="D1180" s="25"/>
      <c r="E1180" s="25"/>
      <c r="F1180" s="25"/>
      <c r="G1180" s="84"/>
      <c r="H1180" s="25"/>
      <c r="I1180" s="25"/>
      <c r="J1180" s="25"/>
      <c r="K1180" s="169"/>
      <c r="L1180" s="169"/>
      <c r="M1180" s="170" t="b">
        <v>0</v>
      </c>
      <c r="N1180" s="170" t="b">
        <v>0</v>
      </c>
      <c r="O1180" s="48"/>
      <c r="P1180" s="170" t="b">
        <v>0</v>
      </c>
      <c r="Q1180" s="170" t="b">
        <v>0</v>
      </c>
      <c r="R1180" s="170" t="b">
        <v>0</v>
      </c>
      <c r="S1180" s="48"/>
      <c r="T1180" s="60"/>
      <c r="U1180" s="170" t="b">
        <v>0</v>
      </c>
      <c r="V1180" s="170"/>
      <c r="W1180" s="170" t="b">
        <v>0</v>
      </c>
      <c r="X1180" s="170" t="b">
        <v>0</v>
      </c>
      <c r="Y1180" s="170"/>
      <c r="Z1180" s="170"/>
      <c r="AA1180" s="170"/>
      <c r="AB1180" s="170"/>
      <c r="AC1180" s="171"/>
      <c r="AD1180" s="170"/>
      <c r="AE1180" s="170"/>
      <c r="AF1180" s="170"/>
      <c r="AG1180" s="170"/>
      <c r="AH1180" s="170"/>
      <c r="AI1180" s="170"/>
      <c r="AJ1180" s="172"/>
      <c r="AK1180" s="50"/>
      <c r="AL1180" s="25"/>
      <c r="AM1180" s="25"/>
      <c r="AN1180" s="25"/>
      <c r="AO1180" s="165"/>
      <c r="AP1180" s="78"/>
      <c r="AQ1180" s="25"/>
      <c r="AR1180" s="25"/>
      <c r="AS1180" s="25"/>
      <c r="AT1180" s="25"/>
      <c r="AU1180" s="25"/>
      <c r="AV1180" s="25"/>
      <c r="AW1180" s="25"/>
      <c r="AX1180" s="25"/>
      <c r="AY1180" s="25"/>
      <c r="AZ1180" s="25"/>
      <c r="BA1180" s="25"/>
      <c r="BB1180" s="25"/>
      <c r="BC1180" s="25"/>
      <c r="BD1180" s="25"/>
      <c r="BE1180" s="25"/>
      <c r="BF1180" s="25"/>
      <c r="BG1180" s="25"/>
      <c r="BH1180" s="25"/>
      <c r="BI1180" s="25"/>
      <c r="BJ1180" s="25"/>
      <c r="BK1180" s="25"/>
      <c r="BL1180" s="25"/>
      <c r="BM1180" s="25"/>
      <c r="BN1180" s="25"/>
      <c r="BO1180" s="25"/>
      <c r="BP1180" s="25"/>
    </row>
    <row r="1181">
      <c r="A1181" s="25"/>
      <c r="B1181" s="168"/>
      <c r="C1181" s="25"/>
      <c r="D1181" s="25"/>
      <c r="E1181" s="25"/>
      <c r="F1181" s="25"/>
      <c r="G1181" s="84"/>
      <c r="H1181" s="25"/>
      <c r="I1181" s="25"/>
      <c r="J1181" s="25"/>
      <c r="K1181" s="169"/>
      <c r="L1181" s="169"/>
      <c r="M1181" s="170" t="b">
        <v>0</v>
      </c>
      <c r="N1181" s="170" t="b">
        <v>0</v>
      </c>
      <c r="O1181" s="48"/>
      <c r="P1181" s="170" t="b">
        <v>0</v>
      </c>
      <c r="Q1181" s="170" t="b">
        <v>0</v>
      </c>
      <c r="R1181" s="170" t="b">
        <v>0</v>
      </c>
      <c r="S1181" s="48"/>
      <c r="T1181" s="60"/>
      <c r="U1181" s="170" t="b">
        <v>0</v>
      </c>
      <c r="V1181" s="170"/>
      <c r="W1181" s="170" t="b">
        <v>0</v>
      </c>
      <c r="X1181" s="170" t="b">
        <v>0</v>
      </c>
      <c r="Y1181" s="170"/>
      <c r="Z1181" s="170"/>
      <c r="AA1181" s="170"/>
      <c r="AB1181" s="170"/>
      <c r="AC1181" s="171"/>
      <c r="AD1181" s="170"/>
      <c r="AE1181" s="170"/>
      <c r="AF1181" s="170"/>
      <c r="AG1181" s="170"/>
      <c r="AH1181" s="170"/>
      <c r="AI1181" s="170"/>
      <c r="AJ1181" s="172"/>
      <c r="AK1181" s="50"/>
      <c r="AL1181" s="25"/>
      <c r="AM1181" s="25"/>
      <c r="AN1181" s="25"/>
      <c r="AO1181" s="165"/>
      <c r="AP1181" s="78"/>
      <c r="AQ1181" s="25"/>
      <c r="AR1181" s="25"/>
      <c r="AS1181" s="25"/>
      <c r="AT1181" s="25"/>
      <c r="AU1181" s="25"/>
      <c r="AV1181" s="25"/>
      <c r="AW1181" s="25"/>
      <c r="AX1181" s="25"/>
      <c r="AY1181" s="25"/>
      <c r="AZ1181" s="25"/>
      <c r="BA1181" s="25"/>
      <c r="BB1181" s="25"/>
      <c r="BC1181" s="25"/>
      <c r="BD1181" s="25"/>
      <c r="BE1181" s="25"/>
      <c r="BF1181" s="25"/>
      <c r="BG1181" s="25"/>
      <c r="BH1181" s="25"/>
      <c r="BI1181" s="25"/>
      <c r="BJ1181" s="25"/>
      <c r="BK1181" s="25"/>
      <c r="BL1181" s="25"/>
      <c r="BM1181" s="25"/>
      <c r="BN1181" s="25"/>
      <c r="BO1181" s="25"/>
      <c r="BP1181" s="25"/>
    </row>
    <row r="1182">
      <c r="A1182" s="25"/>
      <c r="B1182" s="168"/>
      <c r="C1182" s="25"/>
      <c r="D1182" s="25"/>
      <c r="E1182" s="25"/>
      <c r="F1182" s="25"/>
      <c r="G1182" s="84"/>
      <c r="H1182" s="25"/>
      <c r="I1182" s="25"/>
      <c r="J1182" s="25"/>
      <c r="K1182" s="169"/>
      <c r="L1182" s="169"/>
      <c r="M1182" s="170" t="b">
        <v>0</v>
      </c>
      <c r="N1182" s="170" t="b">
        <v>0</v>
      </c>
      <c r="O1182" s="48"/>
      <c r="P1182" s="170" t="b">
        <v>0</v>
      </c>
      <c r="Q1182" s="170" t="b">
        <v>0</v>
      </c>
      <c r="R1182" s="170" t="b">
        <v>0</v>
      </c>
      <c r="S1182" s="48"/>
      <c r="T1182" s="60"/>
      <c r="U1182" s="170" t="b">
        <v>0</v>
      </c>
      <c r="V1182" s="170"/>
      <c r="W1182" s="170" t="b">
        <v>0</v>
      </c>
      <c r="X1182" s="170" t="b">
        <v>0</v>
      </c>
      <c r="Y1182" s="170"/>
      <c r="Z1182" s="170"/>
      <c r="AA1182" s="170"/>
      <c r="AB1182" s="170"/>
      <c r="AC1182" s="171"/>
      <c r="AD1182" s="170"/>
      <c r="AE1182" s="170"/>
      <c r="AF1182" s="170"/>
      <c r="AG1182" s="170"/>
      <c r="AH1182" s="170"/>
      <c r="AI1182" s="170"/>
      <c r="AJ1182" s="172"/>
      <c r="AK1182" s="50"/>
      <c r="AL1182" s="25"/>
      <c r="AM1182" s="25"/>
      <c r="AN1182" s="25"/>
      <c r="AO1182" s="165"/>
      <c r="AP1182" s="78"/>
      <c r="AQ1182" s="25"/>
      <c r="AR1182" s="25"/>
      <c r="AS1182" s="25"/>
      <c r="AT1182" s="25"/>
      <c r="AU1182" s="25"/>
      <c r="AV1182" s="25"/>
      <c r="AW1182" s="25"/>
      <c r="AX1182" s="25"/>
      <c r="AY1182" s="25"/>
      <c r="AZ1182" s="25"/>
      <c r="BA1182" s="25"/>
      <c r="BB1182" s="25"/>
      <c r="BC1182" s="25"/>
      <c r="BD1182" s="25"/>
      <c r="BE1182" s="25"/>
      <c r="BF1182" s="25"/>
      <c r="BG1182" s="25"/>
      <c r="BH1182" s="25"/>
      <c r="BI1182" s="25"/>
      <c r="BJ1182" s="25"/>
      <c r="BK1182" s="25"/>
      <c r="BL1182" s="25"/>
      <c r="BM1182" s="25"/>
      <c r="BN1182" s="25"/>
      <c r="BO1182" s="25"/>
      <c r="BP1182" s="25"/>
    </row>
    <row r="1183">
      <c r="A1183" s="25"/>
      <c r="B1183" s="168"/>
      <c r="C1183" s="25"/>
      <c r="D1183" s="25"/>
      <c r="E1183" s="25"/>
      <c r="F1183" s="25"/>
      <c r="G1183" s="84"/>
      <c r="H1183" s="25"/>
      <c r="I1183" s="25"/>
      <c r="J1183" s="25"/>
      <c r="K1183" s="169"/>
      <c r="L1183" s="169"/>
      <c r="M1183" s="170" t="b">
        <v>0</v>
      </c>
      <c r="N1183" s="170" t="b">
        <v>0</v>
      </c>
      <c r="O1183" s="48"/>
      <c r="P1183" s="170" t="b">
        <v>0</v>
      </c>
      <c r="Q1183" s="170" t="b">
        <v>0</v>
      </c>
      <c r="R1183" s="170" t="b">
        <v>0</v>
      </c>
      <c r="S1183" s="48"/>
      <c r="T1183" s="60"/>
      <c r="U1183" s="170" t="b">
        <v>0</v>
      </c>
      <c r="V1183" s="170"/>
      <c r="W1183" s="170" t="b">
        <v>0</v>
      </c>
      <c r="X1183" s="170" t="b">
        <v>0</v>
      </c>
      <c r="Y1183" s="170"/>
      <c r="Z1183" s="170"/>
      <c r="AA1183" s="170"/>
      <c r="AB1183" s="170"/>
      <c r="AC1183" s="171"/>
      <c r="AD1183" s="170"/>
      <c r="AE1183" s="170"/>
      <c r="AF1183" s="170"/>
      <c r="AG1183" s="170"/>
      <c r="AH1183" s="170"/>
      <c r="AI1183" s="170"/>
      <c r="AJ1183" s="172"/>
      <c r="AK1183" s="50"/>
      <c r="AL1183" s="25"/>
      <c r="AM1183" s="25"/>
      <c r="AN1183" s="25"/>
      <c r="AO1183" s="165"/>
      <c r="AP1183" s="78"/>
      <c r="AQ1183" s="25"/>
      <c r="AR1183" s="25"/>
      <c r="AS1183" s="25"/>
      <c r="AT1183" s="25"/>
      <c r="AU1183" s="25"/>
      <c r="AV1183" s="25"/>
      <c r="AW1183" s="25"/>
      <c r="AX1183" s="25"/>
      <c r="AY1183" s="25"/>
      <c r="AZ1183" s="25"/>
      <c r="BA1183" s="25"/>
      <c r="BB1183" s="25"/>
      <c r="BC1183" s="25"/>
      <c r="BD1183" s="25"/>
      <c r="BE1183" s="25"/>
      <c r="BF1183" s="25"/>
      <c r="BG1183" s="25"/>
      <c r="BH1183" s="25"/>
      <c r="BI1183" s="25"/>
      <c r="BJ1183" s="25"/>
      <c r="BK1183" s="25"/>
      <c r="BL1183" s="25"/>
      <c r="BM1183" s="25"/>
      <c r="BN1183" s="25"/>
      <c r="BO1183" s="25"/>
      <c r="BP1183" s="25"/>
    </row>
    <row r="1184">
      <c r="A1184" s="25"/>
      <c r="B1184" s="168"/>
      <c r="C1184" s="25"/>
      <c r="D1184" s="25"/>
      <c r="E1184" s="25"/>
      <c r="F1184" s="25"/>
      <c r="G1184" s="84"/>
      <c r="H1184" s="25"/>
      <c r="I1184" s="25"/>
      <c r="J1184" s="25"/>
      <c r="K1184" s="169"/>
      <c r="L1184" s="169"/>
      <c r="M1184" s="170" t="b">
        <v>0</v>
      </c>
      <c r="N1184" s="170" t="b">
        <v>0</v>
      </c>
      <c r="O1184" s="48"/>
      <c r="P1184" s="170" t="b">
        <v>0</v>
      </c>
      <c r="Q1184" s="170" t="b">
        <v>0</v>
      </c>
      <c r="R1184" s="170" t="b">
        <v>0</v>
      </c>
      <c r="S1184" s="48"/>
      <c r="T1184" s="60"/>
      <c r="U1184" s="170" t="b">
        <v>0</v>
      </c>
      <c r="V1184" s="170"/>
      <c r="W1184" s="170" t="b">
        <v>0</v>
      </c>
      <c r="X1184" s="170" t="b">
        <v>0</v>
      </c>
      <c r="Y1184" s="170"/>
      <c r="Z1184" s="170"/>
      <c r="AA1184" s="170"/>
      <c r="AB1184" s="170"/>
      <c r="AC1184" s="171"/>
      <c r="AD1184" s="170"/>
      <c r="AE1184" s="170"/>
      <c r="AF1184" s="170"/>
      <c r="AG1184" s="170"/>
      <c r="AH1184" s="170"/>
      <c r="AI1184" s="170"/>
      <c r="AJ1184" s="172"/>
      <c r="AK1184" s="50"/>
      <c r="AL1184" s="25"/>
      <c r="AM1184" s="25"/>
      <c r="AN1184" s="25"/>
      <c r="AO1184" s="165"/>
      <c r="AP1184" s="78"/>
      <c r="AQ1184" s="25"/>
      <c r="AR1184" s="25"/>
      <c r="AS1184" s="25"/>
      <c r="AT1184" s="25"/>
      <c r="AU1184" s="25"/>
      <c r="AV1184" s="25"/>
      <c r="AW1184" s="25"/>
      <c r="AX1184" s="25"/>
      <c r="AY1184" s="25"/>
      <c r="AZ1184" s="25"/>
      <c r="BA1184" s="25"/>
      <c r="BB1184" s="25"/>
      <c r="BC1184" s="25"/>
      <c r="BD1184" s="25"/>
      <c r="BE1184" s="25"/>
      <c r="BF1184" s="25"/>
      <c r="BG1184" s="25"/>
      <c r="BH1184" s="25"/>
      <c r="BI1184" s="25"/>
      <c r="BJ1184" s="25"/>
      <c r="BK1184" s="25"/>
      <c r="BL1184" s="25"/>
      <c r="BM1184" s="25"/>
      <c r="BN1184" s="25"/>
      <c r="BO1184" s="25"/>
      <c r="BP1184" s="25"/>
    </row>
    <row r="1185">
      <c r="A1185" s="25"/>
      <c r="B1185" s="168"/>
      <c r="C1185" s="25"/>
      <c r="D1185" s="25"/>
      <c r="E1185" s="25"/>
      <c r="F1185" s="25"/>
      <c r="G1185" s="84"/>
      <c r="H1185" s="25"/>
      <c r="I1185" s="25"/>
      <c r="J1185" s="25"/>
      <c r="K1185" s="169"/>
      <c r="L1185" s="169"/>
      <c r="M1185" s="170" t="b">
        <v>0</v>
      </c>
      <c r="N1185" s="170" t="b">
        <v>0</v>
      </c>
      <c r="O1185" s="48"/>
      <c r="P1185" s="170" t="b">
        <v>0</v>
      </c>
      <c r="Q1185" s="170" t="b">
        <v>0</v>
      </c>
      <c r="R1185" s="170" t="b">
        <v>0</v>
      </c>
      <c r="S1185" s="48"/>
      <c r="T1185" s="60"/>
      <c r="U1185" s="170" t="b">
        <v>0</v>
      </c>
      <c r="V1185" s="170"/>
      <c r="W1185" s="170" t="b">
        <v>0</v>
      </c>
      <c r="X1185" s="170" t="b">
        <v>0</v>
      </c>
      <c r="Y1185" s="170"/>
      <c r="Z1185" s="170"/>
      <c r="AA1185" s="170"/>
      <c r="AB1185" s="170"/>
      <c r="AC1185" s="171"/>
      <c r="AD1185" s="170"/>
      <c r="AE1185" s="170"/>
      <c r="AF1185" s="170"/>
      <c r="AG1185" s="170"/>
      <c r="AH1185" s="170"/>
      <c r="AI1185" s="170"/>
      <c r="AJ1185" s="172"/>
      <c r="AK1185" s="50"/>
      <c r="AL1185" s="25"/>
      <c r="AM1185" s="25"/>
      <c r="AN1185" s="25"/>
      <c r="AO1185" s="165"/>
      <c r="AP1185" s="78"/>
      <c r="AQ1185" s="25"/>
      <c r="AR1185" s="25"/>
      <c r="AS1185" s="25"/>
      <c r="AT1185" s="25"/>
      <c r="AU1185" s="25"/>
      <c r="AV1185" s="25"/>
      <c r="AW1185" s="25"/>
      <c r="AX1185" s="25"/>
      <c r="AY1185" s="25"/>
      <c r="AZ1185" s="25"/>
      <c r="BA1185" s="25"/>
      <c r="BB1185" s="25"/>
      <c r="BC1185" s="25"/>
      <c r="BD1185" s="25"/>
      <c r="BE1185" s="25"/>
      <c r="BF1185" s="25"/>
      <c r="BG1185" s="25"/>
      <c r="BH1185" s="25"/>
      <c r="BI1185" s="25"/>
      <c r="BJ1185" s="25"/>
      <c r="BK1185" s="25"/>
      <c r="BL1185" s="25"/>
      <c r="BM1185" s="25"/>
      <c r="BN1185" s="25"/>
      <c r="BO1185" s="25"/>
      <c r="BP1185" s="25"/>
    </row>
    <row r="1186">
      <c r="A1186" s="25"/>
      <c r="B1186" s="168"/>
      <c r="C1186" s="25"/>
      <c r="D1186" s="25"/>
      <c r="E1186" s="25"/>
      <c r="F1186" s="25"/>
      <c r="G1186" s="84"/>
      <c r="H1186" s="25"/>
      <c r="I1186" s="25"/>
      <c r="J1186" s="25"/>
      <c r="K1186" s="169"/>
      <c r="L1186" s="169"/>
      <c r="M1186" s="170" t="b">
        <v>0</v>
      </c>
      <c r="N1186" s="170" t="b">
        <v>0</v>
      </c>
      <c r="O1186" s="48"/>
      <c r="P1186" s="170" t="b">
        <v>0</v>
      </c>
      <c r="Q1186" s="170" t="b">
        <v>0</v>
      </c>
      <c r="R1186" s="170" t="b">
        <v>0</v>
      </c>
      <c r="S1186" s="48"/>
      <c r="T1186" s="60"/>
      <c r="U1186" s="170" t="b">
        <v>0</v>
      </c>
      <c r="V1186" s="170"/>
      <c r="W1186" s="170" t="b">
        <v>0</v>
      </c>
      <c r="X1186" s="170" t="b">
        <v>0</v>
      </c>
      <c r="Y1186" s="170"/>
      <c r="Z1186" s="170"/>
      <c r="AA1186" s="170"/>
      <c r="AB1186" s="170"/>
      <c r="AC1186" s="171"/>
      <c r="AD1186" s="170"/>
      <c r="AE1186" s="170"/>
      <c r="AF1186" s="170"/>
      <c r="AG1186" s="170"/>
      <c r="AH1186" s="170"/>
      <c r="AI1186" s="170"/>
      <c r="AJ1186" s="172"/>
      <c r="AK1186" s="50"/>
      <c r="AL1186" s="25"/>
      <c r="AM1186" s="25"/>
      <c r="AN1186" s="25"/>
      <c r="AO1186" s="165"/>
      <c r="AP1186" s="78"/>
      <c r="AQ1186" s="25"/>
      <c r="AR1186" s="25"/>
      <c r="AS1186" s="25"/>
      <c r="AT1186" s="25"/>
      <c r="AU1186" s="25"/>
      <c r="AV1186" s="25"/>
      <c r="AW1186" s="25"/>
      <c r="AX1186" s="25"/>
      <c r="AY1186" s="25"/>
      <c r="AZ1186" s="25"/>
      <c r="BA1186" s="25"/>
      <c r="BB1186" s="25"/>
      <c r="BC1186" s="25"/>
      <c r="BD1186" s="25"/>
      <c r="BE1186" s="25"/>
      <c r="BF1186" s="25"/>
      <c r="BG1186" s="25"/>
      <c r="BH1186" s="25"/>
      <c r="BI1186" s="25"/>
      <c r="BJ1186" s="25"/>
      <c r="BK1186" s="25"/>
      <c r="BL1186" s="25"/>
      <c r="BM1186" s="25"/>
      <c r="BN1186" s="25"/>
      <c r="BO1186" s="25"/>
      <c r="BP1186" s="25"/>
    </row>
    <row r="1187">
      <c r="A1187" s="25"/>
      <c r="B1187" s="168"/>
      <c r="C1187" s="25"/>
      <c r="D1187" s="25"/>
      <c r="E1187" s="25"/>
      <c r="F1187" s="25"/>
      <c r="G1187" s="84"/>
      <c r="H1187" s="25"/>
      <c r="I1187" s="25"/>
      <c r="J1187" s="25"/>
      <c r="K1187" s="169"/>
      <c r="L1187" s="169"/>
      <c r="M1187" s="170" t="b">
        <v>0</v>
      </c>
      <c r="N1187" s="170" t="b">
        <v>0</v>
      </c>
      <c r="O1187" s="48"/>
      <c r="P1187" s="170" t="b">
        <v>0</v>
      </c>
      <c r="Q1187" s="170" t="b">
        <v>0</v>
      </c>
      <c r="R1187" s="170" t="b">
        <v>0</v>
      </c>
      <c r="S1187" s="48"/>
      <c r="T1187" s="60"/>
      <c r="U1187" s="170" t="b">
        <v>0</v>
      </c>
      <c r="V1187" s="170"/>
      <c r="W1187" s="170" t="b">
        <v>0</v>
      </c>
      <c r="X1187" s="170" t="b">
        <v>0</v>
      </c>
      <c r="Y1187" s="170"/>
      <c r="Z1187" s="170"/>
      <c r="AA1187" s="170"/>
      <c r="AB1187" s="170"/>
      <c r="AC1187" s="171"/>
      <c r="AD1187" s="170"/>
      <c r="AE1187" s="170"/>
      <c r="AF1187" s="170"/>
      <c r="AG1187" s="170"/>
      <c r="AH1187" s="170"/>
      <c r="AI1187" s="170"/>
      <c r="AJ1187" s="172"/>
      <c r="AK1187" s="50"/>
      <c r="AL1187" s="25"/>
      <c r="AM1187" s="25"/>
      <c r="AN1187" s="25"/>
      <c r="AO1187" s="165"/>
      <c r="AP1187" s="78"/>
      <c r="AQ1187" s="25"/>
      <c r="AR1187" s="25"/>
      <c r="AS1187" s="25"/>
      <c r="AT1187" s="25"/>
      <c r="AU1187" s="25"/>
      <c r="AV1187" s="25"/>
      <c r="AW1187" s="25"/>
      <c r="AX1187" s="25"/>
      <c r="AY1187" s="25"/>
      <c r="AZ1187" s="25"/>
      <c r="BA1187" s="25"/>
      <c r="BB1187" s="25"/>
      <c r="BC1187" s="25"/>
      <c r="BD1187" s="25"/>
      <c r="BE1187" s="25"/>
      <c r="BF1187" s="25"/>
      <c r="BG1187" s="25"/>
      <c r="BH1187" s="25"/>
      <c r="BI1187" s="25"/>
      <c r="BJ1187" s="25"/>
      <c r="BK1187" s="25"/>
      <c r="BL1187" s="25"/>
      <c r="BM1187" s="25"/>
      <c r="BN1187" s="25"/>
      <c r="BO1187" s="25"/>
      <c r="BP1187" s="25"/>
    </row>
    <row r="1188">
      <c r="A1188" s="25"/>
      <c r="B1188" s="168"/>
      <c r="C1188" s="25"/>
      <c r="D1188" s="25"/>
      <c r="E1188" s="25"/>
      <c r="F1188" s="25"/>
      <c r="G1188" s="84"/>
      <c r="H1188" s="25"/>
      <c r="I1188" s="25"/>
      <c r="J1188" s="25"/>
      <c r="K1188" s="169"/>
      <c r="L1188" s="169"/>
      <c r="M1188" s="170" t="b">
        <v>0</v>
      </c>
      <c r="N1188" s="170" t="b">
        <v>0</v>
      </c>
      <c r="O1188" s="48"/>
      <c r="P1188" s="170" t="b">
        <v>0</v>
      </c>
      <c r="Q1188" s="170" t="b">
        <v>0</v>
      </c>
      <c r="R1188" s="170" t="b">
        <v>0</v>
      </c>
      <c r="S1188" s="48"/>
      <c r="T1188" s="60"/>
      <c r="U1188" s="170" t="b">
        <v>0</v>
      </c>
      <c r="V1188" s="170"/>
      <c r="W1188" s="170" t="b">
        <v>0</v>
      </c>
      <c r="X1188" s="170" t="b">
        <v>0</v>
      </c>
      <c r="Y1188" s="170"/>
      <c r="Z1188" s="170"/>
      <c r="AA1188" s="170"/>
      <c r="AB1188" s="170"/>
      <c r="AC1188" s="171"/>
      <c r="AD1188" s="170"/>
      <c r="AE1188" s="170"/>
      <c r="AF1188" s="170"/>
      <c r="AG1188" s="170"/>
      <c r="AH1188" s="170"/>
      <c r="AI1188" s="170"/>
      <c r="AJ1188" s="172"/>
      <c r="AK1188" s="50"/>
      <c r="AL1188" s="25"/>
      <c r="AM1188" s="25"/>
      <c r="AN1188" s="25"/>
      <c r="AO1188" s="165"/>
      <c r="AP1188" s="78"/>
      <c r="AQ1188" s="25"/>
      <c r="AR1188" s="25"/>
      <c r="AS1188" s="25"/>
      <c r="AT1188" s="25"/>
      <c r="AU1188" s="25"/>
      <c r="AV1188" s="25"/>
      <c r="AW1188" s="25"/>
      <c r="AX1188" s="25"/>
      <c r="AY1188" s="25"/>
      <c r="AZ1188" s="25"/>
      <c r="BA1188" s="25"/>
      <c r="BB1188" s="25"/>
      <c r="BC1188" s="25"/>
      <c r="BD1188" s="25"/>
      <c r="BE1188" s="25"/>
      <c r="BF1188" s="25"/>
      <c r="BG1188" s="25"/>
      <c r="BH1188" s="25"/>
      <c r="BI1188" s="25"/>
      <c r="BJ1188" s="25"/>
      <c r="BK1188" s="25"/>
      <c r="BL1188" s="25"/>
      <c r="BM1188" s="25"/>
      <c r="BN1188" s="25"/>
      <c r="BO1188" s="25"/>
      <c r="BP1188" s="25"/>
    </row>
    <row r="1189">
      <c r="A1189" s="25"/>
      <c r="B1189" s="168"/>
      <c r="C1189" s="25"/>
      <c r="D1189" s="25"/>
      <c r="E1189" s="25"/>
      <c r="F1189" s="25"/>
      <c r="G1189" s="84"/>
      <c r="H1189" s="25"/>
      <c r="I1189" s="25"/>
      <c r="J1189" s="25"/>
      <c r="K1189" s="169"/>
      <c r="L1189" s="169"/>
      <c r="M1189" s="170" t="b">
        <v>0</v>
      </c>
      <c r="N1189" s="170" t="b">
        <v>0</v>
      </c>
      <c r="O1189" s="48"/>
      <c r="P1189" s="170" t="b">
        <v>0</v>
      </c>
      <c r="Q1189" s="170" t="b">
        <v>0</v>
      </c>
      <c r="R1189" s="170" t="b">
        <v>0</v>
      </c>
      <c r="S1189" s="48"/>
      <c r="T1189" s="60"/>
      <c r="U1189" s="170" t="b">
        <v>0</v>
      </c>
      <c r="V1189" s="170"/>
      <c r="W1189" s="170" t="b">
        <v>0</v>
      </c>
      <c r="X1189" s="170" t="b">
        <v>0</v>
      </c>
      <c r="Y1189" s="170"/>
      <c r="Z1189" s="170"/>
      <c r="AA1189" s="170"/>
      <c r="AB1189" s="170"/>
      <c r="AC1189" s="171"/>
      <c r="AD1189" s="170"/>
      <c r="AE1189" s="170"/>
      <c r="AF1189" s="170"/>
      <c r="AG1189" s="170"/>
      <c r="AH1189" s="170"/>
      <c r="AI1189" s="170"/>
      <c r="AJ1189" s="172"/>
      <c r="AK1189" s="50"/>
      <c r="AL1189" s="25"/>
      <c r="AM1189" s="25"/>
      <c r="AN1189" s="25"/>
      <c r="AO1189" s="165"/>
      <c r="AP1189" s="78"/>
      <c r="AQ1189" s="25"/>
      <c r="AR1189" s="25"/>
      <c r="AS1189" s="25"/>
      <c r="AT1189" s="25"/>
      <c r="AU1189" s="25"/>
      <c r="AV1189" s="25"/>
      <c r="AW1189" s="25"/>
      <c r="AX1189" s="25"/>
      <c r="AY1189" s="25"/>
      <c r="AZ1189" s="25"/>
      <c r="BA1189" s="25"/>
      <c r="BB1189" s="25"/>
      <c r="BC1189" s="25"/>
      <c r="BD1189" s="25"/>
      <c r="BE1189" s="25"/>
      <c r="BF1189" s="25"/>
      <c r="BG1189" s="25"/>
      <c r="BH1189" s="25"/>
      <c r="BI1189" s="25"/>
      <c r="BJ1189" s="25"/>
      <c r="BK1189" s="25"/>
      <c r="BL1189" s="25"/>
      <c r="BM1189" s="25"/>
      <c r="BN1189" s="25"/>
      <c r="BO1189" s="25"/>
      <c r="BP1189" s="25"/>
    </row>
    <row r="1190">
      <c r="A1190" s="25"/>
      <c r="B1190" s="168"/>
      <c r="C1190" s="25"/>
      <c r="D1190" s="25"/>
      <c r="E1190" s="25"/>
      <c r="F1190" s="25"/>
      <c r="G1190" s="84"/>
      <c r="H1190" s="25"/>
      <c r="I1190" s="25"/>
      <c r="J1190" s="25"/>
      <c r="K1190" s="169"/>
      <c r="L1190" s="169"/>
      <c r="M1190" s="170" t="b">
        <v>0</v>
      </c>
      <c r="N1190" s="170" t="b">
        <v>0</v>
      </c>
      <c r="O1190" s="48"/>
      <c r="P1190" s="170" t="b">
        <v>0</v>
      </c>
      <c r="Q1190" s="170" t="b">
        <v>0</v>
      </c>
      <c r="R1190" s="170" t="b">
        <v>0</v>
      </c>
      <c r="S1190" s="48"/>
      <c r="T1190" s="60"/>
      <c r="U1190" s="170" t="b">
        <v>0</v>
      </c>
      <c r="V1190" s="170"/>
      <c r="W1190" s="170" t="b">
        <v>0</v>
      </c>
      <c r="X1190" s="170" t="b">
        <v>0</v>
      </c>
      <c r="Y1190" s="170"/>
      <c r="Z1190" s="170"/>
      <c r="AA1190" s="170"/>
      <c r="AB1190" s="170"/>
      <c r="AC1190" s="171"/>
      <c r="AD1190" s="170"/>
      <c r="AE1190" s="170"/>
      <c r="AF1190" s="170"/>
      <c r="AG1190" s="170"/>
      <c r="AH1190" s="170"/>
      <c r="AI1190" s="170"/>
      <c r="AJ1190" s="172"/>
      <c r="AK1190" s="50"/>
      <c r="AL1190" s="25"/>
      <c r="AM1190" s="25"/>
      <c r="AN1190" s="25"/>
      <c r="AO1190" s="165"/>
      <c r="AP1190" s="78"/>
      <c r="AQ1190" s="25"/>
      <c r="AR1190" s="25"/>
      <c r="AS1190" s="25"/>
      <c r="AT1190" s="25"/>
      <c r="AU1190" s="25"/>
      <c r="AV1190" s="25"/>
      <c r="AW1190" s="25"/>
      <c r="AX1190" s="25"/>
      <c r="AY1190" s="25"/>
      <c r="AZ1190" s="25"/>
      <c r="BA1190" s="25"/>
      <c r="BB1190" s="25"/>
      <c r="BC1190" s="25"/>
      <c r="BD1190" s="25"/>
      <c r="BE1190" s="25"/>
      <c r="BF1190" s="25"/>
      <c r="BG1190" s="25"/>
      <c r="BH1190" s="25"/>
      <c r="BI1190" s="25"/>
      <c r="BJ1190" s="25"/>
      <c r="BK1190" s="25"/>
      <c r="BL1190" s="25"/>
      <c r="BM1190" s="25"/>
      <c r="BN1190" s="25"/>
      <c r="BO1190" s="25"/>
      <c r="BP1190" s="25"/>
    </row>
    <row r="1191">
      <c r="A1191" s="25"/>
      <c r="B1191" s="168"/>
      <c r="C1191" s="25"/>
      <c r="D1191" s="25"/>
      <c r="E1191" s="25"/>
      <c r="F1191" s="25"/>
      <c r="G1191" s="84"/>
      <c r="H1191" s="25"/>
      <c r="I1191" s="25"/>
      <c r="J1191" s="25"/>
      <c r="K1191" s="169"/>
      <c r="L1191" s="169"/>
      <c r="M1191" s="170" t="b">
        <v>0</v>
      </c>
      <c r="N1191" s="170" t="b">
        <v>0</v>
      </c>
      <c r="O1191" s="48"/>
      <c r="P1191" s="170" t="b">
        <v>0</v>
      </c>
      <c r="Q1191" s="170" t="b">
        <v>0</v>
      </c>
      <c r="R1191" s="170" t="b">
        <v>0</v>
      </c>
      <c r="S1191" s="48"/>
      <c r="T1191" s="60"/>
      <c r="U1191" s="170" t="b">
        <v>0</v>
      </c>
      <c r="V1191" s="170"/>
      <c r="W1191" s="170" t="b">
        <v>0</v>
      </c>
      <c r="X1191" s="170" t="b">
        <v>0</v>
      </c>
      <c r="Y1191" s="170"/>
      <c r="Z1191" s="170"/>
      <c r="AA1191" s="170"/>
      <c r="AB1191" s="170"/>
      <c r="AC1191" s="171"/>
      <c r="AD1191" s="170"/>
      <c r="AE1191" s="170"/>
      <c r="AF1191" s="170"/>
      <c r="AG1191" s="170"/>
      <c r="AH1191" s="170"/>
      <c r="AI1191" s="170"/>
      <c r="AJ1191" s="172"/>
      <c r="AK1191" s="50"/>
      <c r="AL1191" s="25"/>
      <c r="AM1191" s="25"/>
      <c r="AN1191" s="25"/>
      <c r="AO1191" s="165"/>
      <c r="AP1191" s="78"/>
      <c r="AQ1191" s="25"/>
      <c r="AR1191" s="25"/>
      <c r="AS1191" s="25"/>
      <c r="AT1191" s="25"/>
      <c r="AU1191" s="25"/>
      <c r="AV1191" s="25"/>
      <c r="AW1191" s="25"/>
      <c r="AX1191" s="25"/>
      <c r="AY1191" s="25"/>
      <c r="AZ1191" s="25"/>
      <c r="BA1191" s="25"/>
      <c r="BB1191" s="25"/>
      <c r="BC1191" s="25"/>
      <c r="BD1191" s="25"/>
      <c r="BE1191" s="25"/>
      <c r="BF1191" s="25"/>
      <c r="BG1191" s="25"/>
      <c r="BH1191" s="25"/>
      <c r="BI1191" s="25"/>
      <c r="BJ1191" s="25"/>
      <c r="BK1191" s="25"/>
      <c r="BL1191" s="25"/>
      <c r="BM1191" s="25"/>
      <c r="BN1191" s="25"/>
      <c r="BO1191" s="25"/>
      <c r="BP1191" s="25"/>
    </row>
    <row r="1192">
      <c r="A1192" s="25"/>
      <c r="B1192" s="168"/>
      <c r="C1192" s="25"/>
      <c r="D1192" s="25"/>
      <c r="E1192" s="25"/>
      <c r="F1192" s="25"/>
      <c r="G1192" s="84"/>
      <c r="H1192" s="25"/>
      <c r="I1192" s="25"/>
      <c r="J1192" s="25"/>
      <c r="K1192" s="169"/>
      <c r="L1192" s="169"/>
      <c r="M1192" s="170" t="b">
        <v>0</v>
      </c>
      <c r="N1192" s="170" t="b">
        <v>0</v>
      </c>
      <c r="O1192" s="48"/>
      <c r="P1192" s="170" t="b">
        <v>0</v>
      </c>
      <c r="Q1192" s="170" t="b">
        <v>0</v>
      </c>
      <c r="R1192" s="170" t="b">
        <v>0</v>
      </c>
      <c r="S1192" s="48"/>
      <c r="T1192" s="60"/>
      <c r="U1192" s="170" t="b">
        <v>0</v>
      </c>
      <c r="V1192" s="170"/>
      <c r="W1192" s="170" t="b">
        <v>0</v>
      </c>
      <c r="X1192" s="170" t="b">
        <v>0</v>
      </c>
      <c r="Y1192" s="170"/>
      <c r="Z1192" s="170"/>
      <c r="AA1192" s="170"/>
      <c r="AB1192" s="170"/>
      <c r="AC1192" s="171"/>
      <c r="AD1192" s="170"/>
      <c r="AE1192" s="170"/>
      <c r="AF1192" s="170"/>
      <c r="AG1192" s="170"/>
      <c r="AH1192" s="170"/>
      <c r="AI1192" s="170"/>
      <c r="AJ1192" s="172"/>
      <c r="AK1192" s="50"/>
      <c r="AL1192" s="25"/>
      <c r="AM1192" s="25"/>
      <c r="AN1192" s="25"/>
      <c r="AO1192" s="165"/>
      <c r="AP1192" s="78"/>
      <c r="AQ1192" s="25"/>
      <c r="AR1192" s="25"/>
      <c r="AS1192" s="25"/>
      <c r="AT1192" s="25"/>
      <c r="AU1192" s="25"/>
      <c r="AV1192" s="25"/>
      <c r="AW1192" s="25"/>
      <c r="AX1192" s="25"/>
      <c r="AY1192" s="25"/>
      <c r="AZ1192" s="25"/>
      <c r="BA1192" s="25"/>
      <c r="BB1192" s="25"/>
      <c r="BC1192" s="25"/>
      <c r="BD1192" s="25"/>
      <c r="BE1192" s="25"/>
      <c r="BF1192" s="25"/>
      <c r="BG1192" s="25"/>
      <c r="BH1192" s="25"/>
      <c r="BI1192" s="25"/>
      <c r="BJ1192" s="25"/>
      <c r="BK1192" s="25"/>
      <c r="BL1192" s="25"/>
      <c r="BM1192" s="25"/>
      <c r="BN1192" s="25"/>
      <c r="BO1192" s="25"/>
      <c r="BP1192" s="25"/>
    </row>
    <row r="1193">
      <c r="A1193" s="25"/>
      <c r="B1193" s="168"/>
      <c r="C1193" s="25"/>
      <c r="D1193" s="25"/>
      <c r="E1193" s="25"/>
      <c r="F1193" s="25"/>
      <c r="G1193" s="84"/>
      <c r="H1193" s="25"/>
      <c r="I1193" s="25"/>
      <c r="J1193" s="25"/>
      <c r="K1193" s="169"/>
      <c r="L1193" s="169"/>
      <c r="M1193" s="170" t="b">
        <v>0</v>
      </c>
      <c r="N1193" s="170" t="b">
        <v>0</v>
      </c>
      <c r="O1193" s="48"/>
      <c r="P1193" s="170" t="b">
        <v>0</v>
      </c>
      <c r="Q1193" s="170" t="b">
        <v>0</v>
      </c>
      <c r="R1193" s="170" t="b">
        <v>0</v>
      </c>
      <c r="S1193" s="48"/>
      <c r="T1193" s="60"/>
      <c r="U1193" s="170" t="b">
        <v>0</v>
      </c>
      <c r="V1193" s="170"/>
      <c r="W1193" s="170" t="b">
        <v>0</v>
      </c>
      <c r="X1193" s="170" t="b">
        <v>0</v>
      </c>
      <c r="Y1193" s="170"/>
      <c r="Z1193" s="170"/>
      <c r="AA1193" s="170"/>
      <c r="AB1193" s="170"/>
      <c r="AC1193" s="171"/>
      <c r="AD1193" s="170"/>
      <c r="AE1193" s="170"/>
      <c r="AF1193" s="170"/>
      <c r="AG1193" s="170"/>
      <c r="AH1193" s="170"/>
      <c r="AI1193" s="170"/>
      <c r="AJ1193" s="172"/>
      <c r="AK1193" s="50"/>
      <c r="AL1193" s="25"/>
      <c r="AM1193" s="25"/>
      <c r="AN1193" s="25"/>
      <c r="AO1193" s="165"/>
      <c r="AP1193" s="78"/>
      <c r="AQ1193" s="25"/>
      <c r="AR1193" s="25"/>
      <c r="AS1193" s="25"/>
      <c r="AT1193" s="25"/>
      <c r="AU1193" s="25"/>
      <c r="AV1193" s="25"/>
      <c r="AW1193" s="25"/>
      <c r="AX1193" s="25"/>
      <c r="AY1193" s="25"/>
      <c r="AZ1193" s="25"/>
      <c r="BA1193" s="25"/>
      <c r="BB1193" s="25"/>
      <c r="BC1193" s="25"/>
      <c r="BD1193" s="25"/>
      <c r="BE1193" s="25"/>
      <c r="BF1193" s="25"/>
      <c r="BG1193" s="25"/>
      <c r="BH1193" s="25"/>
      <c r="BI1193" s="25"/>
      <c r="BJ1193" s="25"/>
      <c r="BK1193" s="25"/>
      <c r="BL1193" s="25"/>
      <c r="BM1193" s="25"/>
      <c r="BN1193" s="25"/>
      <c r="BO1193" s="25"/>
      <c r="BP1193" s="25"/>
    </row>
    <row r="1194">
      <c r="A1194" s="25"/>
      <c r="B1194" s="168"/>
      <c r="C1194" s="25"/>
      <c r="D1194" s="25"/>
      <c r="E1194" s="25"/>
      <c r="F1194" s="25"/>
      <c r="G1194" s="84"/>
      <c r="H1194" s="25"/>
      <c r="I1194" s="25"/>
      <c r="J1194" s="25"/>
      <c r="K1194" s="169"/>
      <c r="L1194" s="169"/>
      <c r="M1194" s="170" t="b">
        <v>0</v>
      </c>
      <c r="N1194" s="170" t="b">
        <v>0</v>
      </c>
      <c r="O1194" s="48"/>
      <c r="P1194" s="170" t="b">
        <v>0</v>
      </c>
      <c r="Q1194" s="170" t="b">
        <v>0</v>
      </c>
      <c r="R1194" s="170" t="b">
        <v>0</v>
      </c>
      <c r="S1194" s="48"/>
      <c r="T1194" s="60"/>
      <c r="U1194" s="170" t="b">
        <v>0</v>
      </c>
      <c r="V1194" s="170"/>
      <c r="W1194" s="170" t="b">
        <v>0</v>
      </c>
      <c r="X1194" s="170" t="b">
        <v>0</v>
      </c>
      <c r="Y1194" s="170"/>
      <c r="Z1194" s="170"/>
      <c r="AA1194" s="170"/>
      <c r="AB1194" s="170"/>
      <c r="AC1194" s="171"/>
      <c r="AD1194" s="170"/>
      <c r="AE1194" s="170"/>
      <c r="AF1194" s="170"/>
      <c r="AG1194" s="170"/>
      <c r="AH1194" s="170"/>
      <c r="AI1194" s="170"/>
      <c r="AJ1194" s="172"/>
      <c r="AK1194" s="50"/>
      <c r="AL1194" s="25"/>
      <c r="AM1194" s="25"/>
      <c r="AN1194" s="25"/>
      <c r="AO1194" s="165"/>
      <c r="AP1194" s="78"/>
      <c r="AQ1194" s="25"/>
      <c r="AR1194" s="25"/>
      <c r="AS1194" s="25"/>
      <c r="AT1194" s="25"/>
      <c r="AU1194" s="25"/>
      <c r="AV1194" s="25"/>
      <c r="AW1194" s="25"/>
      <c r="AX1194" s="25"/>
      <c r="AY1194" s="25"/>
      <c r="AZ1194" s="25"/>
      <c r="BA1194" s="25"/>
      <c r="BB1194" s="25"/>
      <c r="BC1194" s="25"/>
      <c r="BD1194" s="25"/>
      <c r="BE1194" s="25"/>
      <c r="BF1194" s="25"/>
      <c r="BG1194" s="25"/>
      <c r="BH1194" s="25"/>
      <c r="BI1194" s="25"/>
      <c r="BJ1194" s="25"/>
      <c r="BK1194" s="25"/>
      <c r="BL1194" s="25"/>
      <c r="BM1194" s="25"/>
      <c r="BN1194" s="25"/>
      <c r="BO1194" s="25"/>
      <c r="BP1194" s="25"/>
    </row>
    <row r="1195">
      <c r="A1195" s="25"/>
      <c r="B1195" s="168"/>
      <c r="C1195" s="25"/>
      <c r="D1195" s="25"/>
      <c r="E1195" s="25"/>
      <c r="F1195" s="25"/>
      <c r="G1195" s="84"/>
      <c r="H1195" s="25"/>
      <c r="I1195" s="25"/>
      <c r="J1195" s="25"/>
      <c r="K1195" s="169"/>
      <c r="L1195" s="169"/>
      <c r="M1195" s="170" t="b">
        <v>0</v>
      </c>
      <c r="N1195" s="170" t="b">
        <v>0</v>
      </c>
      <c r="O1195" s="48"/>
      <c r="P1195" s="170" t="b">
        <v>0</v>
      </c>
      <c r="Q1195" s="170" t="b">
        <v>0</v>
      </c>
      <c r="R1195" s="170" t="b">
        <v>0</v>
      </c>
      <c r="S1195" s="48"/>
      <c r="T1195" s="60"/>
      <c r="U1195" s="170" t="b">
        <v>0</v>
      </c>
      <c r="V1195" s="170"/>
      <c r="W1195" s="170" t="b">
        <v>0</v>
      </c>
      <c r="X1195" s="170" t="b">
        <v>0</v>
      </c>
      <c r="Y1195" s="170"/>
      <c r="Z1195" s="170"/>
      <c r="AA1195" s="170"/>
      <c r="AB1195" s="170"/>
      <c r="AC1195" s="171"/>
      <c r="AD1195" s="170"/>
      <c r="AE1195" s="170"/>
      <c r="AF1195" s="170"/>
      <c r="AG1195" s="170"/>
      <c r="AH1195" s="170"/>
      <c r="AI1195" s="170"/>
      <c r="AJ1195" s="172"/>
      <c r="AK1195" s="50"/>
      <c r="AL1195" s="25"/>
      <c r="AM1195" s="25"/>
      <c r="AN1195" s="25"/>
      <c r="AO1195" s="165"/>
      <c r="AP1195" s="78"/>
      <c r="AQ1195" s="25"/>
      <c r="AR1195" s="25"/>
      <c r="AS1195" s="25"/>
      <c r="AT1195" s="25"/>
      <c r="AU1195" s="25"/>
      <c r="AV1195" s="25"/>
      <c r="AW1195" s="25"/>
      <c r="AX1195" s="25"/>
      <c r="AY1195" s="25"/>
      <c r="AZ1195" s="25"/>
      <c r="BA1195" s="25"/>
      <c r="BB1195" s="25"/>
      <c r="BC1195" s="25"/>
      <c r="BD1195" s="25"/>
      <c r="BE1195" s="25"/>
      <c r="BF1195" s="25"/>
      <c r="BG1195" s="25"/>
      <c r="BH1195" s="25"/>
      <c r="BI1195" s="25"/>
      <c r="BJ1195" s="25"/>
      <c r="BK1195" s="25"/>
      <c r="BL1195" s="25"/>
      <c r="BM1195" s="25"/>
      <c r="BN1195" s="25"/>
      <c r="BO1195" s="25"/>
      <c r="BP1195" s="25"/>
    </row>
    <row r="1196">
      <c r="A1196" s="25"/>
      <c r="B1196" s="168"/>
      <c r="C1196" s="25"/>
      <c r="D1196" s="25"/>
      <c r="E1196" s="25"/>
      <c r="F1196" s="25"/>
      <c r="G1196" s="84"/>
      <c r="H1196" s="25"/>
      <c r="I1196" s="25"/>
      <c r="J1196" s="25"/>
      <c r="K1196" s="169"/>
      <c r="L1196" s="169"/>
      <c r="M1196" s="170" t="b">
        <v>0</v>
      </c>
      <c r="N1196" s="170" t="b">
        <v>0</v>
      </c>
      <c r="O1196" s="48"/>
      <c r="P1196" s="170" t="b">
        <v>0</v>
      </c>
      <c r="Q1196" s="170" t="b">
        <v>0</v>
      </c>
      <c r="R1196" s="170" t="b">
        <v>0</v>
      </c>
      <c r="S1196" s="48"/>
      <c r="T1196" s="60"/>
      <c r="U1196" s="170" t="b">
        <v>0</v>
      </c>
      <c r="V1196" s="170"/>
      <c r="W1196" s="170" t="b">
        <v>0</v>
      </c>
      <c r="X1196" s="170" t="b">
        <v>0</v>
      </c>
      <c r="Y1196" s="170"/>
      <c r="Z1196" s="170"/>
      <c r="AA1196" s="170"/>
      <c r="AB1196" s="170"/>
      <c r="AC1196" s="171"/>
      <c r="AD1196" s="170"/>
      <c r="AE1196" s="170"/>
      <c r="AF1196" s="170"/>
      <c r="AG1196" s="170"/>
      <c r="AH1196" s="170"/>
      <c r="AI1196" s="170"/>
      <c r="AJ1196" s="172"/>
      <c r="AK1196" s="50"/>
      <c r="AL1196" s="25"/>
      <c r="AM1196" s="25"/>
      <c r="AN1196" s="25"/>
      <c r="AO1196" s="165"/>
      <c r="AP1196" s="78"/>
      <c r="AQ1196" s="25"/>
      <c r="AR1196" s="25"/>
      <c r="AS1196" s="25"/>
      <c r="AT1196" s="25"/>
      <c r="AU1196" s="25"/>
      <c r="AV1196" s="25"/>
      <c r="AW1196" s="25"/>
      <c r="AX1196" s="25"/>
      <c r="AY1196" s="25"/>
      <c r="AZ1196" s="25"/>
      <c r="BA1196" s="25"/>
      <c r="BB1196" s="25"/>
      <c r="BC1196" s="25"/>
      <c r="BD1196" s="25"/>
      <c r="BE1196" s="25"/>
      <c r="BF1196" s="25"/>
      <c r="BG1196" s="25"/>
      <c r="BH1196" s="25"/>
      <c r="BI1196" s="25"/>
      <c r="BJ1196" s="25"/>
      <c r="BK1196" s="25"/>
      <c r="BL1196" s="25"/>
      <c r="BM1196" s="25"/>
      <c r="BN1196" s="25"/>
      <c r="BO1196" s="25"/>
      <c r="BP1196" s="25"/>
    </row>
    <row r="1197">
      <c r="A1197" s="25"/>
      <c r="B1197" s="168"/>
      <c r="C1197" s="25"/>
      <c r="D1197" s="25"/>
      <c r="E1197" s="25"/>
      <c r="F1197" s="25"/>
      <c r="G1197" s="84"/>
      <c r="H1197" s="25"/>
      <c r="I1197" s="25"/>
      <c r="J1197" s="25"/>
      <c r="K1197" s="169"/>
      <c r="L1197" s="169"/>
      <c r="M1197" s="170" t="b">
        <v>0</v>
      </c>
      <c r="N1197" s="170" t="b">
        <v>0</v>
      </c>
      <c r="O1197" s="48"/>
      <c r="P1197" s="170" t="b">
        <v>0</v>
      </c>
      <c r="Q1197" s="170" t="b">
        <v>0</v>
      </c>
      <c r="R1197" s="170" t="b">
        <v>0</v>
      </c>
      <c r="S1197" s="48"/>
      <c r="T1197" s="60"/>
      <c r="U1197" s="170" t="b">
        <v>0</v>
      </c>
      <c r="V1197" s="170"/>
      <c r="W1197" s="170" t="b">
        <v>0</v>
      </c>
      <c r="X1197" s="170" t="b">
        <v>0</v>
      </c>
      <c r="Y1197" s="170"/>
      <c r="Z1197" s="170"/>
      <c r="AA1197" s="170"/>
      <c r="AB1197" s="170"/>
      <c r="AC1197" s="171"/>
      <c r="AD1197" s="170"/>
      <c r="AE1197" s="170"/>
      <c r="AF1197" s="170"/>
      <c r="AG1197" s="170"/>
      <c r="AH1197" s="170"/>
      <c r="AI1197" s="170"/>
      <c r="AJ1197" s="172"/>
      <c r="AK1197" s="50"/>
      <c r="AL1197" s="25"/>
      <c r="AM1197" s="25"/>
      <c r="AN1197" s="25"/>
      <c r="AO1197" s="165"/>
      <c r="AP1197" s="78"/>
      <c r="AQ1197" s="25"/>
      <c r="AR1197" s="25"/>
      <c r="AS1197" s="25"/>
      <c r="AT1197" s="25"/>
      <c r="AU1197" s="25"/>
      <c r="AV1197" s="25"/>
      <c r="AW1197" s="25"/>
      <c r="AX1197" s="25"/>
      <c r="AY1197" s="25"/>
      <c r="AZ1197" s="25"/>
      <c r="BA1197" s="25"/>
      <c r="BB1197" s="25"/>
      <c r="BC1197" s="25"/>
      <c r="BD1197" s="25"/>
      <c r="BE1197" s="25"/>
      <c r="BF1197" s="25"/>
      <c r="BG1197" s="25"/>
      <c r="BH1197" s="25"/>
      <c r="BI1197" s="25"/>
      <c r="BJ1197" s="25"/>
      <c r="BK1197" s="25"/>
      <c r="BL1197" s="25"/>
      <c r="BM1197" s="25"/>
      <c r="BN1197" s="25"/>
      <c r="BO1197" s="25"/>
      <c r="BP1197" s="25"/>
    </row>
    <row r="1198">
      <c r="A1198" s="25"/>
      <c r="B1198" s="168"/>
      <c r="C1198" s="25"/>
      <c r="D1198" s="25"/>
      <c r="E1198" s="25"/>
      <c r="F1198" s="25"/>
      <c r="G1198" s="84"/>
      <c r="H1198" s="25"/>
      <c r="I1198" s="25"/>
      <c r="J1198" s="25"/>
      <c r="K1198" s="169"/>
      <c r="L1198" s="169"/>
      <c r="M1198" s="170" t="b">
        <v>0</v>
      </c>
      <c r="N1198" s="170" t="b">
        <v>0</v>
      </c>
      <c r="O1198" s="48"/>
      <c r="P1198" s="170" t="b">
        <v>0</v>
      </c>
      <c r="Q1198" s="170" t="b">
        <v>0</v>
      </c>
      <c r="R1198" s="170" t="b">
        <v>0</v>
      </c>
      <c r="S1198" s="48"/>
      <c r="T1198" s="60"/>
      <c r="U1198" s="170" t="b">
        <v>0</v>
      </c>
      <c r="V1198" s="170"/>
      <c r="W1198" s="170" t="b">
        <v>0</v>
      </c>
      <c r="X1198" s="170" t="b">
        <v>0</v>
      </c>
      <c r="Y1198" s="170"/>
      <c r="Z1198" s="170"/>
      <c r="AA1198" s="170"/>
      <c r="AB1198" s="170"/>
      <c r="AC1198" s="171"/>
      <c r="AD1198" s="170"/>
      <c r="AE1198" s="170"/>
      <c r="AF1198" s="170"/>
      <c r="AG1198" s="170"/>
      <c r="AH1198" s="170"/>
      <c r="AI1198" s="170"/>
      <c r="AJ1198" s="172"/>
      <c r="AK1198" s="50"/>
      <c r="AL1198" s="25"/>
      <c r="AM1198" s="25"/>
      <c r="AN1198" s="25"/>
      <c r="AO1198" s="165"/>
      <c r="AP1198" s="78"/>
      <c r="AQ1198" s="25"/>
      <c r="AR1198" s="25"/>
      <c r="AS1198" s="25"/>
      <c r="AT1198" s="25"/>
      <c r="AU1198" s="25"/>
      <c r="AV1198" s="25"/>
      <c r="AW1198" s="25"/>
      <c r="AX1198" s="25"/>
      <c r="AY1198" s="25"/>
      <c r="AZ1198" s="25"/>
      <c r="BA1198" s="25"/>
      <c r="BB1198" s="25"/>
      <c r="BC1198" s="25"/>
      <c r="BD1198" s="25"/>
      <c r="BE1198" s="25"/>
      <c r="BF1198" s="25"/>
      <c r="BG1198" s="25"/>
      <c r="BH1198" s="25"/>
      <c r="BI1198" s="25"/>
      <c r="BJ1198" s="25"/>
      <c r="BK1198" s="25"/>
      <c r="BL1198" s="25"/>
      <c r="BM1198" s="25"/>
      <c r="BN1198" s="25"/>
      <c r="BO1198" s="25"/>
      <c r="BP1198" s="25"/>
    </row>
    <row r="1199">
      <c r="A1199" s="25"/>
      <c r="B1199" s="168"/>
      <c r="C1199" s="25"/>
      <c r="D1199" s="25"/>
      <c r="E1199" s="25"/>
      <c r="F1199" s="25"/>
      <c r="G1199" s="84"/>
      <c r="H1199" s="25"/>
      <c r="I1199" s="25"/>
      <c r="J1199" s="25"/>
      <c r="K1199" s="169"/>
      <c r="L1199" s="169"/>
      <c r="M1199" s="170" t="b">
        <v>0</v>
      </c>
      <c r="N1199" s="170" t="b">
        <v>0</v>
      </c>
      <c r="O1199" s="48"/>
      <c r="P1199" s="170" t="b">
        <v>0</v>
      </c>
      <c r="Q1199" s="170" t="b">
        <v>0</v>
      </c>
      <c r="R1199" s="170" t="b">
        <v>0</v>
      </c>
      <c r="S1199" s="48"/>
      <c r="T1199" s="60"/>
      <c r="U1199" s="170" t="b">
        <v>0</v>
      </c>
      <c r="V1199" s="170"/>
      <c r="W1199" s="170" t="b">
        <v>0</v>
      </c>
      <c r="X1199" s="170" t="b">
        <v>0</v>
      </c>
      <c r="Y1199" s="170"/>
      <c r="Z1199" s="170"/>
      <c r="AA1199" s="170"/>
      <c r="AB1199" s="170"/>
      <c r="AC1199" s="171"/>
      <c r="AD1199" s="170"/>
      <c r="AE1199" s="170"/>
      <c r="AF1199" s="170"/>
      <c r="AG1199" s="170"/>
      <c r="AH1199" s="170"/>
      <c r="AI1199" s="170"/>
      <c r="AJ1199" s="172"/>
      <c r="AK1199" s="50"/>
      <c r="AL1199" s="25"/>
      <c r="AM1199" s="25"/>
      <c r="AN1199" s="25"/>
      <c r="AO1199" s="165"/>
      <c r="AP1199" s="78"/>
      <c r="AQ1199" s="25"/>
      <c r="AR1199" s="25"/>
      <c r="AS1199" s="25"/>
      <c r="AT1199" s="25"/>
      <c r="AU1199" s="25"/>
      <c r="AV1199" s="25"/>
      <c r="AW1199" s="25"/>
      <c r="AX1199" s="25"/>
      <c r="AY1199" s="25"/>
      <c r="AZ1199" s="25"/>
      <c r="BA1199" s="25"/>
      <c r="BB1199" s="25"/>
      <c r="BC1199" s="25"/>
      <c r="BD1199" s="25"/>
      <c r="BE1199" s="25"/>
      <c r="BF1199" s="25"/>
      <c r="BG1199" s="25"/>
      <c r="BH1199" s="25"/>
      <c r="BI1199" s="25"/>
      <c r="BJ1199" s="25"/>
      <c r="BK1199" s="25"/>
      <c r="BL1199" s="25"/>
      <c r="BM1199" s="25"/>
      <c r="BN1199" s="25"/>
      <c r="BO1199" s="25"/>
      <c r="BP1199" s="25"/>
    </row>
    <row r="1200">
      <c r="A1200" s="25"/>
      <c r="B1200" s="168"/>
      <c r="C1200" s="25"/>
      <c r="D1200" s="25"/>
      <c r="E1200" s="25"/>
      <c r="F1200" s="25"/>
      <c r="G1200" s="84"/>
      <c r="H1200" s="25"/>
      <c r="I1200" s="25"/>
      <c r="J1200" s="25"/>
      <c r="K1200" s="169"/>
      <c r="L1200" s="169"/>
      <c r="M1200" s="170" t="b">
        <v>0</v>
      </c>
      <c r="N1200" s="170" t="b">
        <v>0</v>
      </c>
      <c r="O1200" s="48"/>
      <c r="P1200" s="170" t="b">
        <v>0</v>
      </c>
      <c r="Q1200" s="170" t="b">
        <v>0</v>
      </c>
      <c r="R1200" s="170" t="b">
        <v>0</v>
      </c>
      <c r="S1200" s="48"/>
      <c r="T1200" s="60"/>
      <c r="U1200" s="170" t="b">
        <v>0</v>
      </c>
      <c r="V1200" s="170"/>
      <c r="W1200" s="170" t="b">
        <v>0</v>
      </c>
      <c r="X1200" s="170" t="b">
        <v>0</v>
      </c>
      <c r="Y1200" s="170"/>
      <c r="Z1200" s="170"/>
      <c r="AA1200" s="170"/>
      <c r="AB1200" s="170"/>
      <c r="AC1200" s="171"/>
      <c r="AD1200" s="170"/>
      <c r="AE1200" s="170"/>
      <c r="AF1200" s="170"/>
      <c r="AG1200" s="170"/>
      <c r="AH1200" s="170"/>
      <c r="AI1200" s="170"/>
      <c r="AJ1200" s="172"/>
      <c r="AK1200" s="50"/>
      <c r="AL1200" s="25"/>
      <c r="AM1200" s="25"/>
      <c r="AN1200" s="25"/>
      <c r="AO1200" s="165"/>
      <c r="AP1200" s="78"/>
      <c r="AQ1200" s="25"/>
      <c r="AR1200" s="25"/>
      <c r="AS1200" s="25"/>
      <c r="AT1200" s="25"/>
      <c r="AU1200" s="25"/>
      <c r="AV1200" s="25"/>
      <c r="AW1200" s="25"/>
      <c r="AX1200" s="25"/>
      <c r="AY1200" s="25"/>
      <c r="AZ1200" s="25"/>
      <c r="BA1200" s="25"/>
      <c r="BB1200" s="25"/>
      <c r="BC1200" s="25"/>
      <c r="BD1200" s="25"/>
      <c r="BE1200" s="25"/>
      <c r="BF1200" s="25"/>
      <c r="BG1200" s="25"/>
      <c r="BH1200" s="25"/>
      <c r="BI1200" s="25"/>
      <c r="BJ1200" s="25"/>
      <c r="BK1200" s="25"/>
      <c r="BL1200" s="25"/>
      <c r="BM1200" s="25"/>
      <c r="BN1200" s="25"/>
      <c r="BO1200" s="25"/>
      <c r="BP1200" s="25"/>
    </row>
    <row r="1201">
      <c r="A1201" s="25"/>
      <c r="B1201" s="168"/>
      <c r="C1201" s="25"/>
      <c r="D1201" s="25"/>
      <c r="E1201" s="25"/>
      <c r="F1201" s="25"/>
      <c r="G1201" s="84"/>
      <c r="H1201" s="25"/>
      <c r="I1201" s="25"/>
      <c r="J1201" s="25"/>
      <c r="K1201" s="169"/>
      <c r="L1201" s="169"/>
      <c r="M1201" s="170" t="b">
        <v>0</v>
      </c>
      <c r="N1201" s="170" t="b">
        <v>0</v>
      </c>
      <c r="O1201" s="48"/>
      <c r="P1201" s="170" t="b">
        <v>0</v>
      </c>
      <c r="Q1201" s="170" t="b">
        <v>0</v>
      </c>
      <c r="R1201" s="170" t="b">
        <v>0</v>
      </c>
      <c r="S1201" s="48"/>
      <c r="T1201" s="60"/>
      <c r="U1201" s="170" t="b">
        <v>0</v>
      </c>
      <c r="V1201" s="170"/>
      <c r="W1201" s="170" t="b">
        <v>0</v>
      </c>
      <c r="X1201" s="170" t="b">
        <v>0</v>
      </c>
      <c r="Y1201" s="170"/>
      <c r="Z1201" s="170"/>
      <c r="AA1201" s="170"/>
      <c r="AB1201" s="170"/>
      <c r="AC1201" s="171"/>
      <c r="AD1201" s="170"/>
      <c r="AE1201" s="170"/>
      <c r="AF1201" s="170"/>
      <c r="AG1201" s="170"/>
      <c r="AH1201" s="170"/>
      <c r="AI1201" s="170"/>
      <c r="AJ1201" s="172"/>
      <c r="AK1201" s="50"/>
      <c r="AL1201" s="25"/>
      <c r="AM1201" s="25"/>
      <c r="AN1201" s="25"/>
      <c r="AO1201" s="165"/>
      <c r="AP1201" s="78"/>
      <c r="AQ1201" s="25"/>
      <c r="AR1201" s="25"/>
      <c r="AS1201" s="25"/>
      <c r="AT1201" s="25"/>
      <c r="AU1201" s="25"/>
      <c r="AV1201" s="25"/>
      <c r="AW1201" s="25"/>
      <c r="AX1201" s="25"/>
      <c r="AY1201" s="25"/>
      <c r="AZ1201" s="25"/>
      <c r="BA1201" s="25"/>
      <c r="BB1201" s="25"/>
      <c r="BC1201" s="25"/>
      <c r="BD1201" s="25"/>
      <c r="BE1201" s="25"/>
      <c r="BF1201" s="25"/>
      <c r="BG1201" s="25"/>
      <c r="BH1201" s="25"/>
      <c r="BI1201" s="25"/>
      <c r="BJ1201" s="25"/>
      <c r="BK1201" s="25"/>
      <c r="BL1201" s="25"/>
      <c r="BM1201" s="25"/>
      <c r="BN1201" s="25"/>
      <c r="BO1201" s="25"/>
      <c r="BP1201" s="25"/>
    </row>
    <row r="1202">
      <c r="A1202" s="25"/>
      <c r="B1202" s="168"/>
      <c r="C1202" s="25"/>
      <c r="D1202" s="25"/>
      <c r="E1202" s="25"/>
      <c r="F1202" s="25"/>
      <c r="G1202" s="84"/>
      <c r="H1202" s="25"/>
      <c r="I1202" s="25"/>
      <c r="J1202" s="25"/>
      <c r="K1202" s="169"/>
      <c r="L1202" s="169"/>
      <c r="M1202" s="170" t="b">
        <v>0</v>
      </c>
      <c r="N1202" s="170" t="b">
        <v>0</v>
      </c>
      <c r="O1202" s="48"/>
      <c r="P1202" s="170" t="b">
        <v>0</v>
      </c>
      <c r="Q1202" s="170" t="b">
        <v>0</v>
      </c>
      <c r="R1202" s="170" t="b">
        <v>0</v>
      </c>
      <c r="S1202" s="48"/>
      <c r="T1202" s="60"/>
      <c r="U1202" s="170" t="b">
        <v>0</v>
      </c>
      <c r="V1202" s="170"/>
      <c r="W1202" s="170" t="b">
        <v>0</v>
      </c>
      <c r="X1202" s="170" t="b">
        <v>0</v>
      </c>
      <c r="Y1202" s="170"/>
      <c r="Z1202" s="170"/>
      <c r="AA1202" s="170"/>
      <c r="AB1202" s="170"/>
      <c r="AC1202" s="171"/>
      <c r="AD1202" s="170"/>
      <c r="AE1202" s="170"/>
      <c r="AF1202" s="170"/>
      <c r="AG1202" s="170"/>
      <c r="AH1202" s="170"/>
      <c r="AI1202" s="170"/>
      <c r="AJ1202" s="172"/>
      <c r="AK1202" s="50"/>
      <c r="AL1202" s="25"/>
      <c r="AM1202" s="25"/>
      <c r="AN1202" s="25"/>
      <c r="AO1202" s="165"/>
      <c r="AP1202" s="78"/>
      <c r="AQ1202" s="25"/>
      <c r="AR1202" s="25"/>
      <c r="AS1202" s="25"/>
      <c r="AT1202" s="25"/>
      <c r="AU1202" s="25"/>
      <c r="AV1202" s="25"/>
      <c r="AW1202" s="25"/>
      <c r="AX1202" s="25"/>
      <c r="AY1202" s="25"/>
      <c r="AZ1202" s="25"/>
      <c r="BA1202" s="25"/>
      <c r="BB1202" s="25"/>
      <c r="BC1202" s="25"/>
      <c r="BD1202" s="25"/>
      <c r="BE1202" s="25"/>
      <c r="BF1202" s="25"/>
      <c r="BG1202" s="25"/>
      <c r="BH1202" s="25"/>
      <c r="BI1202" s="25"/>
      <c r="BJ1202" s="25"/>
      <c r="BK1202" s="25"/>
      <c r="BL1202" s="25"/>
      <c r="BM1202" s="25"/>
      <c r="BN1202" s="25"/>
      <c r="BO1202" s="25"/>
      <c r="BP1202" s="25"/>
    </row>
    <row r="1203">
      <c r="A1203" s="25"/>
      <c r="B1203" s="168"/>
      <c r="C1203" s="25"/>
      <c r="D1203" s="25"/>
      <c r="E1203" s="25"/>
      <c r="F1203" s="25"/>
      <c r="G1203" s="84"/>
      <c r="H1203" s="25"/>
      <c r="I1203" s="25"/>
      <c r="J1203" s="25"/>
      <c r="K1203" s="169"/>
      <c r="L1203" s="169"/>
      <c r="M1203" s="170" t="b">
        <v>0</v>
      </c>
      <c r="N1203" s="170" t="b">
        <v>0</v>
      </c>
      <c r="O1203" s="48"/>
      <c r="P1203" s="170" t="b">
        <v>0</v>
      </c>
      <c r="Q1203" s="170" t="b">
        <v>0</v>
      </c>
      <c r="R1203" s="170" t="b">
        <v>0</v>
      </c>
      <c r="S1203" s="48"/>
      <c r="T1203" s="60"/>
      <c r="U1203" s="170" t="b">
        <v>0</v>
      </c>
      <c r="V1203" s="170"/>
      <c r="W1203" s="170" t="b">
        <v>0</v>
      </c>
      <c r="X1203" s="170" t="b">
        <v>0</v>
      </c>
      <c r="Y1203" s="170"/>
      <c r="Z1203" s="170"/>
      <c r="AA1203" s="170"/>
      <c r="AB1203" s="170"/>
      <c r="AC1203" s="171"/>
      <c r="AD1203" s="170"/>
      <c r="AE1203" s="170"/>
      <c r="AF1203" s="170"/>
      <c r="AG1203" s="170"/>
      <c r="AH1203" s="170"/>
      <c r="AI1203" s="170"/>
      <c r="AJ1203" s="172"/>
      <c r="AK1203" s="50"/>
      <c r="AL1203" s="25"/>
      <c r="AM1203" s="25"/>
      <c r="AN1203" s="25"/>
      <c r="AO1203" s="165"/>
      <c r="AP1203" s="78"/>
      <c r="AQ1203" s="25"/>
      <c r="AR1203" s="25"/>
      <c r="AS1203" s="25"/>
      <c r="AT1203" s="25"/>
      <c r="AU1203" s="25"/>
      <c r="AV1203" s="25"/>
      <c r="AW1203" s="25"/>
      <c r="AX1203" s="25"/>
      <c r="AY1203" s="25"/>
      <c r="AZ1203" s="25"/>
      <c r="BA1203" s="25"/>
      <c r="BB1203" s="25"/>
      <c r="BC1203" s="25"/>
      <c r="BD1203" s="25"/>
      <c r="BE1203" s="25"/>
      <c r="BF1203" s="25"/>
      <c r="BG1203" s="25"/>
      <c r="BH1203" s="25"/>
      <c r="BI1203" s="25"/>
      <c r="BJ1203" s="25"/>
      <c r="BK1203" s="25"/>
      <c r="BL1203" s="25"/>
      <c r="BM1203" s="25"/>
      <c r="BN1203" s="25"/>
      <c r="BO1203" s="25"/>
      <c r="BP1203" s="25"/>
    </row>
    <row r="1204">
      <c r="A1204" s="25"/>
      <c r="B1204" s="168"/>
      <c r="C1204" s="25"/>
      <c r="D1204" s="25"/>
      <c r="E1204" s="25"/>
      <c r="F1204" s="25"/>
      <c r="G1204" s="84"/>
      <c r="H1204" s="25"/>
      <c r="I1204" s="25"/>
      <c r="J1204" s="25"/>
      <c r="K1204" s="169"/>
      <c r="L1204" s="169"/>
      <c r="M1204" s="170" t="b">
        <v>0</v>
      </c>
      <c r="N1204" s="170" t="b">
        <v>0</v>
      </c>
      <c r="O1204" s="48"/>
      <c r="P1204" s="170" t="b">
        <v>0</v>
      </c>
      <c r="Q1204" s="170" t="b">
        <v>0</v>
      </c>
      <c r="R1204" s="170" t="b">
        <v>0</v>
      </c>
      <c r="S1204" s="48"/>
      <c r="T1204" s="60"/>
      <c r="U1204" s="170" t="b">
        <v>0</v>
      </c>
      <c r="V1204" s="170"/>
      <c r="W1204" s="170" t="b">
        <v>0</v>
      </c>
      <c r="X1204" s="170" t="b">
        <v>0</v>
      </c>
      <c r="Y1204" s="170"/>
      <c r="Z1204" s="170"/>
      <c r="AA1204" s="170"/>
      <c r="AB1204" s="170"/>
      <c r="AC1204" s="171"/>
      <c r="AD1204" s="170"/>
      <c r="AE1204" s="170"/>
      <c r="AF1204" s="170"/>
      <c r="AG1204" s="170"/>
      <c r="AH1204" s="170"/>
      <c r="AI1204" s="170"/>
      <c r="AJ1204" s="172"/>
      <c r="AK1204" s="50"/>
      <c r="AL1204" s="25"/>
      <c r="AM1204" s="25"/>
      <c r="AN1204" s="25"/>
      <c r="AO1204" s="165"/>
      <c r="AP1204" s="78"/>
      <c r="AQ1204" s="25"/>
      <c r="AR1204" s="25"/>
      <c r="AS1204" s="25"/>
      <c r="AT1204" s="25"/>
      <c r="AU1204" s="25"/>
      <c r="AV1204" s="25"/>
      <c r="AW1204" s="25"/>
      <c r="AX1204" s="25"/>
      <c r="AY1204" s="25"/>
      <c r="AZ1204" s="25"/>
      <c r="BA1204" s="25"/>
      <c r="BB1204" s="25"/>
      <c r="BC1204" s="25"/>
      <c r="BD1204" s="25"/>
      <c r="BE1204" s="25"/>
      <c r="BF1204" s="25"/>
      <c r="BG1204" s="25"/>
      <c r="BH1204" s="25"/>
      <c r="BI1204" s="25"/>
      <c r="BJ1204" s="25"/>
      <c r="BK1204" s="25"/>
      <c r="BL1204" s="25"/>
      <c r="BM1204" s="25"/>
      <c r="BN1204" s="25"/>
      <c r="BO1204" s="25"/>
      <c r="BP1204" s="25"/>
    </row>
    <row r="1205">
      <c r="A1205" s="25"/>
      <c r="B1205" s="168"/>
      <c r="C1205" s="25"/>
      <c r="D1205" s="25"/>
      <c r="E1205" s="25"/>
      <c r="F1205" s="25"/>
      <c r="G1205" s="84"/>
      <c r="H1205" s="25"/>
      <c r="I1205" s="25"/>
      <c r="J1205" s="25"/>
      <c r="K1205" s="169"/>
      <c r="L1205" s="169"/>
      <c r="M1205" s="170" t="b">
        <v>0</v>
      </c>
      <c r="N1205" s="170" t="b">
        <v>0</v>
      </c>
      <c r="O1205" s="48"/>
      <c r="P1205" s="170" t="b">
        <v>0</v>
      </c>
      <c r="Q1205" s="170" t="b">
        <v>0</v>
      </c>
      <c r="R1205" s="170" t="b">
        <v>0</v>
      </c>
      <c r="S1205" s="48"/>
      <c r="T1205" s="60"/>
      <c r="U1205" s="170" t="b">
        <v>0</v>
      </c>
      <c r="V1205" s="170"/>
      <c r="W1205" s="170" t="b">
        <v>0</v>
      </c>
      <c r="X1205" s="170" t="b">
        <v>0</v>
      </c>
      <c r="Y1205" s="170"/>
      <c r="Z1205" s="170"/>
      <c r="AA1205" s="170"/>
      <c r="AB1205" s="170"/>
      <c r="AC1205" s="171"/>
      <c r="AD1205" s="170"/>
      <c r="AE1205" s="170"/>
      <c r="AF1205" s="170"/>
      <c r="AG1205" s="170"/>
      <c r="AH1205" s="170"/>
      <c r="AI1205" s="170"/>
      <c r="AJ1205" s="172"/>
      <c r="AK1205" s="50"/>
      <c r="AL1205" s="25"/>
      <c r="AM1205" s="25"/>
      <c r="AN1205" s="25"/>
      <c r="AO1205" s="165"/>
      <c r="AP1205" s="78"/>
      <c r="AQ1205" s="25"/>
      <c r="AR1205" s="25"/>
      <c r="AS1205" s="25"/>
      <c r="AT1205" s="25"/>
      <c r="AU1205" s="25"/>
      <c r="AV1205" s="25"/>
      <c r="AW1205" s="25"/>
      <c r="AX1205" s="25"/>
      <c r="AY1205" s="25"/>
      <c r="AZ1205" s="25"/>
      <c r="BA1205" s="25"/>
      <c r="BB1205" s="25"/>
      <c r="BC1205" s="25"/>
      <c r="BD1205" s="25"/>
      <c r="BE1205" s="25"/>
      <c r="BF1205" s="25"/>
      <c r="BG1205" s="25"/>
      <c r="BH1205" s="25"/>
      <c r="BI1205" s="25"/>
      <c r="BJ1205" s="25"/>
      <c r="BK1205" s="25"/>
      <c r="BL1205" s="25"/>
      <c r="BM1205" s="25"/>
      <c r="BN1205" s="25"/>
      <c r="BO1205" s="25"/>
      <c r="BP1205" s="25"/>
    </row>
    <row r="1206">
      <c r="A1206" s="25"/>
      <c r="B1206" s="168"/>
      <c r="C1206" s="25"/>
      <c r="D1206" s="25"/>
      <c r="E1206" s="25"/>
      <c r="F1206" s="25"/>
      <c r="G1206" s="84"/>
      <c r="H1206" s="25"/>
      <c r="I1206" s="25"/>
      <c r="J1206" s="25"/>
      <c r="K1206" s="169"/>
      <c r="L1206" s="169"/>
      <c r="M1206" s="170" t="b">
        <v>0</v>
      </c>
      <c r="N1206" s="170" t="b">
        <v>0</v>
      </c>
      <c r="O1206" s="48"/>
      <c r="P1206" s="170" t="b">
        <v>0</v>
      </c>
      <c r="Q1206" s="170" t="b">
        <v>0</v>
      </c>
      <c r="R1206" s="170" t="b">
        <v>0</v>
      </c>
      <c r="S1206" s="48"/>
      <c r="T1206" s="60"/>
      <c r="U1206" s="170" t="b">
        <v>0</v>
      </c>
      <c r="V1206" s="170"/>
      <c r="W1206" s="170" t="b">
        <v>0</v>
      </c>
      <c r="X1206" s="170" t="b">
        <v>0</v>
      </c>
      <c r="Y1206" s="170"/>
      <c r="Z1206" s="170"/>
      <c r="AA1206" s="170"/>
      <c r="AB1206" s="170"/>
      <c r="AC1206" s="171"/>
      <c r="AD1206" s="170"/>
      <c r="AE1206" s="170"/>
      <c r="AF1206" s="170"/>
      <c r="AG1206" s="170"/>
      <c r="AH1206" s="170"/>
      <c r="AI1206" s="170"/>
      <c r="AJ1206" s="172"/>
      <c r="AK1206" s="50"/>
      <c r="AL1206" s="25"/>
      <c r="AM1206" s="25"/>
      <c r="AN1206" s="25"/>
      <c r="AO1206" s="165"/>
      <c r="AP1206" s="78"/>
      <c r="AQ1206" s="25"/>
      <c r="AR1206" s="25"/>
      <c r="AS1206" s="25"/>
      <c r="AT1206" s="25"/>
      <c r="AU1206" s="25"/>
      <c r="AV1206" s="25"/>
      <c r="AW1206" s="25"/>
      <c r="AX1206" s="25"/>
      <c r="AY1206" s="25"/>
      <c r="AZ1206" s="25"/>
      <c r="BA1206" s="25"/>
      <c r="BB1206" s="25"/>
      <c r="BC1206" s="25"/>
      <c r="BD1206" s="25"/>
      <c r="BE1206" s="25"/>
      <c r="BF1206" s="25"/>
      <c r="BG1206" s="25"/>
      <c r="BH1206" s="25"/>
      <c r="BI1206" s="25"/>
      <c r="BJ1206" s="25"/>
      <c r="BK1206" s="25"/>
      <c r="BL1206" s="25"/>
      <c r="BM1206" s="25"/>
      <c r="BN1206" s="25"/>
      <c r="BO1206" s="25"/>
      <c r="BP1206" s="25"/>
    </row>
    <row r="1207">
      <c r="A1207" s="25"/>
      <c r="B1207" s="168"/>
      <c r="C1207" s="25"/>
      <c r="D1207" s="25"/>
      <c r="E1207" s="25"/>
      <c r="F1207" s="25"/>
      <c r="G1207" s="84"/>
      <c r="H1207" s="25"/>
      <c r="I1207" s="25"/>
      <c r="J1207" s="25"/>
      <c r="K1207" s="169"/>
      <c r="L1207" s="169"/>
      <c r="M1207" s="170" t="b">
        <v>0</v>
      </c>
      <c r="N1207" s="170" t="b">
        <v>0</v>
      </c>
      <c r="O1207" s="48"/>
      <c r="P1207" s="170" t="b">
        <v>0</v>
      </c>
      <c r="Q1207" s="170" t="b">
        <v>0</v>
      </c>
      <c r="R1207" s="170" t="b">
        <v>0</v>
      </c>
      <c r="S1207" s="48"/>
      <c r="T1207" s="60"/>
      <c r="U1207" s="170" t="b">
        <v>0</v>
      </c>
      <c r="V1207" s="170"/>
      <c r="W1207" s="170" t="b">
        <v>0</v>
      </c>
      <c r="X1207" s="170" t="b">
        <v>0</v>
      </c>
      <c r="Y1207" s="170"/>
      <c r="Z1207" s="170"/>
      <c r="AA1207" s="170"/>
      <c r="AB1207" s="170"/>
      <c r="AC1207" s="171"/>
      <c r="AD1207" s="170"/>
      <c r="AE1207" s="170"/>
      <c r="AF1207" s="170"/>
      <c r="AG1207" s="170"/>
      <c r="AH1207" s="170"/>
      <c r="AI1207" s="170"/>
      <c r="AJ1207" s="172"/>
      <c r="AK1207" s="50"/>
      <c r="AL1207" s="25"/>
      <c r="AM1207" s="25"/>
      <c r="AN1207" s="25"/>
      <c r="AO1207" s="165"/>
      <c r="AP1207" s="78"/>
      <c r="AQ1207" s="25"/>
      <c r="AR1207" s="25"/>
      <c r="AS1207" s="25"/>
      <c r="AT1207" s="25"/>
      <c r="AU1207" s="25"/>
      <c r="AV1207" s="25"/>
      <c r="AW1207" s="25"/>
      <c r="AX1207" s="25"/>
      <c r="AY1207" s="25"/>
      <c r="AZ1207" s="25"/>
      <c r="BA1207" s="25"/>
      <c r="BB1207" s="25"/>
      <c r="BC1207" s="25"/>
      <c r="BD1207" s="25"/>
      <c r="BE1207" s="25"/>
      <c r="BF1207" s="25"/>
      <c r="BG1207" s="25"/>
      <c r="BH1207" s="25"/>
      <c r="BI1207" s="25"/>
      <c r="BJ1207" s="25"/>
      <c r="BK1207" s="25"/>
      <c r="BL1207" s="25"/>
      <c r="BM1207" s="25"/>
      <c r="BN1207" s="25"/>
      <c r="BO1207" s="25"/>
      <c r="BP1207" s="25"/>
    </row>
    <row r="1208">
      <c r="A1208" s="25"/>
      <c r="B1208" s="168"/>
      <c r="C1208" s="25"/>
      <c r="D1208" s="25"/>
      <c r="E1208" s="25"/>
      <c r="F1208" s="25"/>
      <c r="G1208" s="84"/>
      <c r="H1208" s="25"/>
      <c r="I1208" s="25"/>
      <c r="J1208" s="25"/>
      <c r="K1208" s="169"/>
      <c r="L1208" s="169"/>
      <c r="M1208" s="170" t="b">
        <v>0</v>
      </c>
      <c r="N1208" s="170" t="b">
        <v>0</v>
      </c>
      <c r="O1208" s="48"/>
      <c r="P1208" s="170" t="b">
        <v>0</v>
      </c>
      <c r="Q1208" s="170" t="b">
        <v>0</v>
      </c>
      <c r="R1208" s="170" t="b">
        <v>0</v>
      </c>
      <c r="S1208" s="48"/>
      <c r="T1208" s="60"/>
      <c r="U1208" s="170" t="b">
        <v>0</v>
      </c>
      <c r="V1208" s="170"/>
      <c r="W1208" s="170" t="b">
        <v>0</v>
      </c>
      <c r="X1208" s="170" t="b">
        <v>0</v>
      </c>
      <c r="Y1208" s="170"/>
      <c r="Z1208" s="170"/>
      <c r="AA1208" s="170"/>
      <c r="AB1208" s="170"/>
      <c r="AC1208" s="171"/>
      <c r="AD1208" s="170"/>
      <c r="AE1208" s="170"/>
      <c r="AF1208" s="170"/>
      <c r="AG1208" s="170"/>
      <c r="AH1208" s="170"/>
      <c r="AI1208" s="170"/>
      <c r="AJ1208" s="172"/>
      <c r="AK1208" s="50"/>
      <c r="AL1208" s="25"/>
      <c r="AM1208" s="25"/>
      <c r="AN1208" s="25"/>
      <c r="AO1208" s="165"/>
      <c r="AP1208" s="78"/>
      <c r="AQ1208" s="25"/>
      <c r="AR1208" s="25"/>
      <c r="AS1208" s="25"/>
      <c r="AT1208" s="25"/>
      <c r="AU1208" s="25"/>
      <c r="AV1208" s="25"/>
      <c r="AW1208" s="25"/>
      <c r="AX1208" s="25"/>
      <c r="AY1208" s="25"/>
      <c r="AZ1208" s="25"/>
      <c r="BA1208" s="25"/>
      <c r="BB1208" s="25"/>
      <c r="BC1208" s="25"/>
      <c r="BD1208" s="25"/>
      <c r="BE1208" s="25"/>
      <c r="BF1208" s="25"/>
      <c r="BG1208" s="25"/>
      <c r="BH1208" s="25"/>
      <c r="BI1208" s="25"/>
      <c r="BJ1208" s="25"/>
      <c r="BK1208" s="25"/>
      <c r="BL1208" s="25"/>
      <c r="BM1208" s="25"/>
      <c r="BN1208" s="25"/>
      <c r="BO1208" s="25"/>
      <c r="BP1208" s="25"/>
    </row>
    <row r="1209">
      <c r="A1209" s="25"/>
      <c r="B1209" s="168"/>
      <c r="C1209" s="25"/>
      <c r="D1209" s="25"/>
      <c r="E1209" s="25"/>
      <c r="F1209" s="25"/>
      <c r="G1209" s="84"/>
      <c r="H1209" s="25"/>
      <c r="I1209" s="25"/>
      <c r="J1209" s="25"/>
      <c r="K1209" s="169"/>
      <c r="L1209" s="169"/>
      <c r="M1209" s="170" t="b">
        <v>0</v>
      </c>
      <c r="N1209" s="170" t="b">
        <v>0</v>
      </c>
      <c r="O1209" s="48"/>
      <c r="P1209" s="170" t="b">
        <v>0</v>
      </c>
      <c r="Q1209" s="170" t="b">
        <v>0</v>
      </c>
      <c r="R1209" s="170" t="b">
        <v>0</v>
      </c>
      <c r="S1209" s="48"/>
      <c r="T1209" s="60"/>
      <c r="U1209" s="170" t="b">
        <v>0</v>
      </c>
      <c r="V1209" s="170"/>
      <c r="W1209" s="170" t="b">
        <v>0</v>
      </c>
      <c r="X1209" s="170" t="b">
        <v>0</v>
      </c>
      <c r="Y1209" s="170"/>
      <c r="Z1209" s="170"/>
      <c r="AA1209" s="170"/>
      <c r="AB1209" s="170"/>
      <c r="AC1209" s="171"/>
      <c r="AD1209" s="170"/>
      <c r="AE1209" s="170"/>
      <c r="AF1209" s="170"/>
      <c r="AG1209" s="170"/>
      <c r="AH1209" s="170"/>
      <c r="AI1209" s="170"/>
      <c r="AJ1209" s="172"/>
      <c r="AK1209" s="50"/>
      <c r="AL1209" s="25"/>
      <c r="AM1209" s="25"/>
      <c r="AN1209" s="25"/>
      <c r="AO1209" s="165"/>
      <c r="AP1209" s="78"/>
      <c r="AQ1209" s="25"/>
      <c r="AR1209" s="25"/>
      <c r="AS1209" s="25"/>
      <c r="AT1209" s="25"/>
      <c r="AU1209" s="25"/>
      <c r="AV1209" s="25"/>
      <c r="AW1209" s="25"/>
      <c r="AX1209" s="25"/>
      <c r="AY1209" s="25"/>
      <c r="AZ1209" s="25"/>
      <c r="BA1209" s="25"/>
      <c r="BB1209" s="25"/>
      <c r="BC1209" s="25"/>
      <c r="BD1209" s="25"/>
      <c r="BE1209" s="25"/>
      <c r="BF1209" s="25"/>
      <c r="BG1209" s="25"/>
      <c r="BH1209" s="25"/>
      <c r="BI1209" s="25"/>
      <c r="BJ1209" s="25"/>
      <c r="BK1209" s="25"/>
      <c r="BL1209" s="25"/>
      <c r="BM1209" s="25"/>
      <c r="BN1209" s="25"/>
      <c r="BO1209" s="25"/>
      <c r="BP1209" s="25"/>
    </row>
    <row r="1210">
      <c r="A1210" s="25"/>
      <c r="B1210" s="168"/>
      <c r="C1210" s="25"/>
      <c r="D1210" s="25"/>
      <c r="E1210" s="25"/>
      <c r="F1210" s="25"/>
      <c r="G1210" s="84"/>
      <c r="H1210" s="25"/>
      <c r="I1210" s="25"/>
      <c r="J1210" s="25"/>
      <c r="K1210" s="169"/>
      <c r="L1210" s="169"/>
      <c r="M1210" s="170" t="b">
        <v>0</v>
      </c>
      <c r="N1210" s="170" t="b">
        <v>0</v>
      </c>
      <c r="O1210" s="48"/>
      <c r="P1210" s="170" t="b">
        <v>0</v>
      </c>
      <c r="Q1210" s="170" t="b">
        <v>0</v>
      </c>
      <c r="R1210" s="170" t="b">
        <v>0</v>
      </c>
      <c r="S1210" s="48"/>
      <c r="T1210" s="60"/>
      <c r="U1210" s="170" t="b">
        <v>0</v>
      </c>
      <c r="V1210" s="170"/>
      <c r="W1210" s="170" t="b">
        <v>0</v>
      </c>
      <c r="X1210" s="170" t="b">
        <v>0</v>
      </c>
      <c r="Y1210" s="170"/>
      <c r="Z1210" s="170"/>
      <c r="AA1210" s="170"/>
      <c r="AB1210" s="170"/>
      <c r="AC1210" s="171"/>
      <c r="AD1210" s="170"/>
      <c r="AE1210" s="170"/>
      <c r="AF1210" s="170"/>
      <c r="AG1210" s="170"/>
      <c r="AH1210" s="170"/>
      <c r="AI1210" s="170"/>
      <c r="AJ1210" s="172"/>
      <c r="AK1210" s="50"/>
      <c r="AL1210" s="25"/>
      <c r="AM1210" s="25"/>
      <c r="AN1210" s="25"/>
      <c r="AO1210" s="165"/>
      <c r="AP1210" s="78"/>
      <c r="AQ1210" s="25"/>
      <c r="AR1210" s="25"/>
      <c r="AS1210" s="25"/>
      <c r="AT1210" s="25"/>
      <c r="AU1210" s="25"/>
      <c r="AV1210" s="25"/>
      <c r="AW1210" s="25"/>
      <c r="AX1210" s="25"/>
      <c r="AY1210" s="25"/>
      <c r="AZ1210" s="25"/>
      <c r="BA1210" s="25"/>
      <c r="BB1210" s="25"/>
      <c r="BC1210" s="25"/>
      <c r="BD1210" s="25"/>
      <c r="BE1210" s="25"/>
      <c r="BF1210" s="25"/>
      <c r="BG1210" s="25"/>
      <c r="BH1210" s="25"/>
      <c r="BI1210" s="25"/>
      <c r="BJ1210" s="25"/>
      <c r="BK1210" s="25"/>
      <c r="BL1210" s="25"/>
      <c r="BM1210" s="25"/>
      <c r="BN1210" s="25"/>
      <c r="BO1210" s="25"/>
      <c r="BP1210" s="25"/>
    </row>
    <row r="1211">
      <c r="A1211" s="25"/>
      <c r="B1211" s="168"/>
      <c r="C1211" s="25"/>
      <c r="D1211" s="25"/>
      <c r="E1211" s="25"/>
      <c r="F1211" s="25"/>
      <c r="G1211" s="84"/>
      <c r="H1211" s="25"/>
      <c r="I1211" s="25"/>
      <c r="J1211" s="25"/>
      <c r="K1211" s="169"/>
      <c r="L1211" s="169"/>
      <c r="M1211" s="170" t="b">
        <v>0</v>
      </c>
      <c r="N1211" s="170" t="b">
        <v>0</v>
      </c>
      <c r="O1211" s="48"/>
      <c r="P1211" s="170" t="b">
        <v>0</v>
      </c>
      <c r="Q1211" s="170" t="b">
        <v>0</v>
      </c>
      <c r="R1211" s="170" t="b">
        <v>0</v>
      </c>
      <c r="S1211" s="48"/>
      <c r="T1211" s="60"/>
      <c r="U1211" s="170" t="b">
        <v>0</v>
      </c>
      <c r="V1211" s="170"/>
      <c r="W1211" s="170" t="b">
        <v>0</v>
      </c>
      <c r="X1211" s="170" t="b">
        <v>0</v>
      </c>
      <c r="Y1211" s="170"/>
      <c r="Z1211" s="170"/>
      <c r="AA1211" s="170"/>
      <c r="AB1211" s="170"/>
      <c r="AC1211" s="171"/>
      <c r="AD1211" s="170"/>
      <c r="AE1211" s="170"/>
      <c r="AF1211" s="170"/>
      <c r="AG1211" s="170"/>
      <c r="AH1211" s="170"/>
      <c r="AI1211" s="170"/>
      <c r="AJ1211" s="172"/>
      <c r="AK1211" s="50"/>
      <c r="AL1211" s="25"/>
      <c r="AM1211" s="25"/>
      <c r="AN1211" s="25"/>
      <c r="AO1211" s="165"/>
      <c r="AP1211" s="78"/>
      <c r="AQ1211" s="25"/>
      <c r="AR1211" s="25"/>
      <c r="AS1211" s="25"/>
      <c r="AT1211" s="25"/>
      <c r="AU1211" s="25"/>
      <c r="AV1211" s="25"/>
      <c r="AW1211" s="25"/>
      <c r="AX1211" s="25"/>
      <c r="AY1211" s="25"/>
      <c r="AZ1211" s="25"/>
      <c r="BA1211" s="25"/>
      <c r="BB1211" s="25"/>
      <c r="BC1211" s="25"/>
      <c r="BD1211" s="25"/>
      <c r="BE1211" s="25"/>
      <c r="BF1211" s="25"/>
      <c r="BG1211" s="25"/>
      <c r="BH1211" s="25"/>
      <c r="BI1211" s="25"/>
      <c r="BJ1211" s="25"/>
      <c r="BK1211" s="25"/>
      <c r="BL1211" s="25"/>
      <c r="BM1211" s="25"/>
      <c r="BN1211" s="25"/>
      <c r="BO1211" s="25"/>
      <c r="BP1211" s="25"/>
    </row>
    <row r="1212">
      <c r="A1212" s="25"/>
      <c r="B1212" s="168"/>
      <c r="C1212" s="25"/>
      <c r="D1212" s="25"/>
      <c r="E1212" s="25"/>
      <c r="F1212" s="25"/>
      <c r="G1212" s="84"/>
      <c r="H1212" s="25"/>
      <c r="I1212" s="25"/>
      <c r="J1212" s="25"/>
      <c r="K1212" s="169"/>
      <c r="L1212" s="169"/>
      <c r="M1212" s="170" t="b">
        <v>0</v>
      </c>
      <c r="N1212" s="170" t="b">
        <v>0</v>
      </c>
      <c r="O1212" s="48"/>
      <c r="P1212" s="170" t="b">
        <v>0</v>
      </c>
      <c r="Q1212" s="170" t="b">
        <v>0</v>
      </c>
      <c r="R1212" s="170" t="b">
        <v>0</v>
      </c>
      <c r="S1212" s="48"/>
      <c r="T1212" s="60"/>
      <c r="U1212" s="170" t="b">
        <v>0</v>
      </c>
      <c r="V1212" s="170"/>
      <c r="W1212" s="170" t="b">
        <v>0</v>
      </c>
      <c r="X1212" s="170" t="b">
        <v>0</v>
      </c>
      <c r="Y1212" s="170"/>
      <c r="Z1212" s="170"/>
      <c r="AA1212" s="170"/>
      <c r="AB1212" s="170"/>
      <c r="AC1212" s="171"/>
      <c r="AD1212" s="170"/>
      <c r="AE1212" s="170"/>
      <c r="AF1212" s="170"/>
      <c r="AG1212" s="170"/>
      <c r="AH1212" s="170"/>
      <c r="AI1212" s="170"/>
      <c r="AJ1212" s="172"/>
      <c r="AK1212" s="50"/>
      <c r="AL1212" s="25"/>
      <c r="AM1212" s="25"/>
      <c r="AN1212" s="25"/>
      <c r="AO1212" s="165"/>
      <c r="AP1212" s="78"/>
      <c r="AQ1212" s="25"/>
      <c r="AR1212" s="25"/>
      <c r="AS1212" s="25"/>
      <c r="AT1212" s="25"/>
      <c r="AU1212" s="25"/>
      <c r="AV1212" s="25"/>
      <c r="AW1212" s="25"/>
      <c r="AX1212" s="25"/>
      <c r="AY1212" s="25"/>
      <c r="AZ1212" s="25"/>
      <c r="BA1212" s="25"/>
      <c r="BB1212" s="25"/>
      <c r="BC1212" s="25"/>
      <c r="BD1212" s="25"/>
      <c r="BE1212" s="25"/>
      <c r="BF1212" s="25"/>
      <c r="BG1212" s="25"/>
      <c r="BH1212" s="25"/>
      <c r="BI1212" s="25"/>
      <c r="BJ1212" s="25"/>
      <c r="BK1212" s="25"/>
      <c r="BL1212" s="25"/>
      <c r="BM1212" s="25"/>
      <c r="BN1212" s="25"/>
      <c r="BO1212" s="25"/>
      <c r="BP1212" s="25"/>
    </row>
    <row r="1213">
      <c r="A1213" s="25"/>
      <c r="B1213" s="168"/>
      <c r="C1213" s="25"/>
      <c r="D1213" s="25"/>
      <c r="E1213" s="25"/>
      <c r="F1213" s="25"/>
      <c r="G1213" s="84"/>
      <c r="H1213" s="25"/>
      <c r="I1213" s="25"/>
      <c r="J1213" s="25"/>
      <c r="K1213" s="169"/>
      <c r="L1213" s="169"/>
      <c r="M1213" s="170" t="b">
        <v>0</v>
      </c>
      <c r="N1213" s="170" t="b">
        <v>0</v>
      </c>
      <c r="O1213" s="48"/>
      <c r="P1213" s="170" t="b">
        <v>0</v>
      </c>
      <c r="Q1213" s="170" t="b">
        <v>0</v>
      </c>
      <c r="R1213" s="170" t="b">
        <v>0</v>
      </c>
      <c r="S1213" s="48"/>
      <c r="T1213" s="60"/>
      <c r="U1213" s="170" t="b">
        <v>0</v>
      </c>
      <c r="V1213" s="170"/>
      <c r="W1213" s="170" t="b">
        <v>0</v>
      </c>
      <c r="X1213" s="170" t="b">
        <v>0</v>
      </c>
      <c r="Y1213" s="170"/>
      <c r="Z1213" s="170"/>
      <c r="AA1213" s="170"/>
      <c r="AB1213" s="170"/>
      <c r="AC1213" s="171"/>
      <c r="AD1213" s="170"/>
      <c r="AE1213" s="170"/>
      <c r="AF1213" s="170"/>
      <c r="AG1213" s="170"/>
      <c r="AH1213" s="170"/>
      <c r="AI1213" s="170"/>
      <c r="AJ1213" s="172"/>
      <c r="AK1213" s="50"/>
      <c r="AL1213" s="25"/>
      <c r="AM1213" s="25"/>
      <c r="AN1213" s="25"/>
      <c r="AO1213" s="165"/>
      <c r="AP1213" s="78"/>
      <c r="AQ1213" s="25"/>
      <c r="AR1213" s="25"/>
      <c r="AS1213" s="25"/>
      <c r="AT1213" s="25"/>
      <c r="AU1213" s="25"/>
      <c r="AV1213" s="25"/>
      <c r="AW1213" s="25"/>
      <c r="AX1213" s="25"/>
      <c r="AY1213" s="25"/>
      <c r="AZ1213" s="25"/>
      <c r="BA1213" s="25"/>
      <c r="BB1213" s="25"/>
      <c r="BC1213" s="25"/>
      <c r="BD1213" s="25"/>
      <c r="BE1213" s="25"/>
      <c r="BF1213" s="25"/>
      <c r="BG1213" s="25"/>
      <c r="BH1213" s="25"/>
      <c r="BI1213" s="25"/>
      <c r="BJ1213" s="25"/>
      <c r="BK1213" s="25"/>
      <c r="BL1213" s="25"/>
      <c r="BM1213" s="25"/>
      <c r="BN1213" s="25"/>
      <c r="BO1213" s="25"/>
      <c r="BP1213" s="25"/>
    </row>
    <row r="1214">
      <c r="A1214" s="25"/>
      <c r="B1214" s="168"/>
      <c r="C1214" s="25"/>
      <c r="D1214" s="25"/>
      <c r="E1214" s="25"/>
      <c r="F1214" s="25"/>
      <c r="G1214" s="84"/>
      <c r="H1214" s="25"/>
      <c r="I1214" s="25"/>
      <c r="J1214" s="25"/>
      <c r="K1214" s="169"/>
      <c r="L1214" s="169"/>
      <c r="M1214" s="170" t="b">
        <v>0</v>
      </c>
      <c r="N1214" s="170" t="b">
        <v>0</v>
      </c>
      <c r="O1214" s="48"/>
      <c r="P1214" s="170" t="b">
        <v>0</v>
      </c>
      <c r="Q1214" s="170" t="b">
        <v>0</v>
      </c>
      <c r="R1214" s="170" t="b">
        <v>0</v>
      </c>
      <c r="S1214" s="48"/>
      <c r="T1214" s="60"/>
      <c r="U1214" s="170" t="b">
        <v>0</v>
      </c>
      <c r="V1214" s="170"/>
      <c r="W1214" s="170" t="b">
        <v>0</v>
      </c>
      <c r="X1214" s="170" t="b">
        <v>0</v>
      </c>
      <c r="Y1214" s="170"/>
      <c r="Z1214" s="170"/>
      <c r="AA1214" s="170"/>
      <c r="AB1214" s="170"/>
      <c r="AC1214" s="171"/>
      <c r="AD1214" s="170"/>
      <c r="AE1214" s="170"/>
      <c r="AF1214" s="170"/>
      <c r="AG1214" s="170"/>
      <c r="AH1214" s="170"/>
      <c r="AI1214" s="170"/>
      <c r="AJ1214" s="172"/>
      <c r="AK1214" s="50"/>
      <c r="AL1214" s="25"/>
      <c r="AM1214" s="25"/>
      <c r="AN1214" s="25"/>
      <c r="AO1214" s="165"/>
      <c r="AP1214" s="78"/>
      <c r="AQ1214" s="25"/>
      <c r="AR1214" s="25"/>
      <c r="AS1214" s="25"/>
      <c r="AT1214" s="25"/>
      <c r="AU1214" s="25"/>
      <c r="AV1214" s="25"/>
      <c r="AW1214" s="25"/>
      <c r="AX1214" s="25"/>
      <c r="AY1214" s="25"/>
      <c r="AZ1214" s="25"/>
      <c r="BA1214" s="25"/>
      <c r="BB1214" s="25"/>
      <c r="BC1214" s="25"/>
      <c r="BD1214" s="25"/>
      <c r="BE1214" s="25"/>
      <c r="BF1214" s="25"/>
      <c r="BG1214" s="25"/>
      <c r="BH1214" s="25"/>
      <c r="BI1214" s="25"/>
      <c r="BJ1214" s="25"/>
      <c r="BK1214" s="25"/>
      <c r="BL1214" s="25"/>
      <c r="BM1214" s="25"/>
      <c r="BN1214" s="25"/>
      <c r="BO1214" s="25"/>
      <c r="BP1214" s="25"/>
    </row>
    <row r="1215">
      <c r="A1215" s="25"/>
      <c r="B1215" s="168"/>
      <c r="C1215" s="25"/>
      <c r="D1215" s="25"/>
      <c r="E1215" s="25"/>
      <c r="F1215" s="25"/>
      <c r="G1215" s="84"/>
      <c r="H1215" s="25"/>
      <c r="I1215" s="25"/>
      <c r="J1215" s="25"/>
      <c r="K1215" s="169"/>
      <c r="L1215" s="169"/>
      <c r="M1215" s="170" t="b">
        <v>0</v>
      </c>
      <c r="N1215" s="170" t="b">
        <v>0</v>
      </c>
      <c r="O1215" s="48"/>
      <c r="P1215" s="170" t="b">
        <v>0</v>
      </c>
      <c r="Q1215" s="170" t="b">
        <v>0</v>
      </c>
      <c r="R1215" s="170" t="b">
        <v>0</v>
      </c>
      <c r="S1215" s="48"/>
      <c r="T1215" s="60"/>
      <c r="U1215" s="170" t="b">
        <v>0</v>
      </c>
      <c r="V1215" s="170"/>
      <c r="W1215" s="170" t="b">
        <v>0</v>
      </c>
      <c r="X1215" s="170" t="b">
        <v>0</v>
      </c>
      <c r="Y1215" s="170"/>
      <c r="Z1215" s="170"/>
      <c r="AA1215" s="170"/>
      <c r="AB1215" s="170"/>
      <c r="AC1215" s="171"/>
      <c r="AD1215" s="170"/>
      <c r="AE1215" s="170"/>
      <c r="AF1215" s="170"/>
      <c r="AG1215" s="170"/>
      <c r="AH1215" s="170"/>
      <c r="AI1215" s="170"/>
      <c r="AJ1215" s="172"/>
      <c r="AK1215" s="50"/>
      <c r="AL1215" s="25"/>
      <c r="AM1215" s="25"/>
      <c r="AN1215" s="25"/>
      <c r="AO1215" s="165"/>
      <c r="AP1215" s="78"/>
      <c r="AQ1215" s="25"/>
      <c r="AR1215" s="25"/>
      <c r="AS1215" s="25"/>
      <c r="AT1215" s="25"/>
      <c r="AU1215" s="25"/>
      <c r="AV1215" s="25"/>
      <c r="AW1215" s="25"/>
      <c r="AX1215" s="25"/>
      <c r="AY1215" s="25"/>
      <c r="AZ1215" s="25"/>
      <c r="BA1215" s="25"/>
      <c r="BB1215" s="25"/>
      <c r="BC1215" s="25"/>
      <c r="BD1215" s="25"/>
      <c r="BE1215" s="25"/>
      <c r="BF1215" s="25"/>
      <c r="BG1215" s="25"/>
      <c r="BH1215" s="25"/>
      <c r="BI1215" s="25"/>
      <c r="BJ1215" s="25"/>
      <c r="BK1215" s="25"/>
      <c r="BL1215" s="25"/>
      <c r="BM1215" s="25"/>
      <c r="BN1215" s="25"/>
      <c r="BO1215" s="25"/>
      <c r="BP1215" s="25"/>
    </row>
    <row r="1216">
      <c r="A1216" s="25"/>
      <c r="B1216" s="168"/>
      <c r="C1216" s="25"/>
      <c r="D1216" s="25"/>
      <c r="E1216" s="25"/>
      <c r="F1216" s="25"/>
      <c r="G1216" s="84"/>
      <c r="H1216" s="25"/>
      <c r="I1216" s="25"/>
      <c r="J1216" s="25"/>
      <c r="K1216" s="169"/>
      <c r="L1216" s="169"/>
      <c r="M1216" s="170" t="b">
        <v>0</v>
      </c>
      <c r="N1216" s="170" t="b">
        <v>0</v>
      </c>
      <c r="O1216" s="48"/>
      <c r="P1216" s="170" t="b">
        <v>0</v>
      </c>
      <c r="Q1216" s="170" t="b">
        <v>0</v>
      </c>
      <c r="R1216" s="170" t="b">
        <v>0</v>
      </c>
      <c r="S1216" s="48"/>
      <c r="T1216" s="60"/>
      <c r="U1216" s="170" t="b">
        <v>0</v>
      </c>
      <c r="V1216" s="170"/>
      <c r="W1216" s="170" t="b">
        <v>0</v>
      </c>
      <c r="X1216" s="170" t="b">
        <v>0</v>
      </c>
      <c r="Y1216" s="170"/>
      <c r="Z1216" s="170"/>
      <c r="AA1216" s="170"/>
      <c r="AB1216" s="170"/>
      <c r="AC1216" s="171"/>
      <c r="AD1216" s="170"/>
      <c r="AE1216" s="170"/>
      <c r="AF1216" s="170"/>
      <c r="AG1216" s="170"/>
      <c r="AH1216" s="170"/>
      <c r="AI1216" s="170"/>
      <c r="AJ1216" s="172"/>
      <c r="AK1216" s="50"/>
      <c r="AL1216" s="25"/>
      <c r="AM1216" s="25"/>
      <c r="AN1216" s="25"/>
      <c r="AO1216" s="165"/>
      <c r="AP1216" s="78"/>
      <c r="AQ1216" s="25"/>
      <c r="AR1216" s="25"/>
      <c r="AS1216" s="25"/>
      <c r="AT1216" s="25"/>
      <c r="AU1216" s="25"/>
      <c r="AV1216" s="25"/>
      <c r="AW1216" s="25"/>
      <c r="AX1216" s="25"/>
      <c r="AY1216" s="25"/>
      <c r="AZ1216" s="25"/>
      <c r="BA1216" s="25"/>
      <c r="BB1216" s="25"/>
      <c r="BC1216" s="25"/>
      <c r="BD1216" s="25"/>
      <c r="BE1216" s="25"/>
      <c r="BF1216" s="25"/>
      <c r="BG1216" s="25"/>
      <c r="BH1216" s="25"/>
      <c r="BI1216" s="25"/>
      <c r="BJ1216" s="25"/>
      <c r="BK1216" s="25"/>
      <c r="BL1216" s="25"/>
      <c r="BM1216" s="25"/>
      <c r="BN1216" s="25"/>
      <c r="BO1216" s="25"/>
      <c r="BP1216" s="25"/>
    </row>
    <row r="1217">
      <c r="A1217" s="25"/>
      <c r="B1217" s="168"/>
      <c r="C1217" s="25"/>
      <c r="D1217" s="25"/>
      <c r="E1217" s="25"/>
      <c r="F1217" s="25"/>
      <c r="G1217" s="84"/>
      <c r="H1217" s="25"/>
      <c r="I1217" s="25"/>
      <c r="J1217" s="25"/>
      <c r="K1217" s="169"/>
      <c r="L1217" s="169"/>
      <c r="M1217" s="170" t="b">
        <v>0</v>
      </c>
      <c r="N1217" s="170" t="b">
        <v>0</v>
      </c>
      <c r="O1217" s="48"/>
      <c r="P1217" s="170" t="b">
        <v>0</v>
      </c>
      <c r="Q1217" s="170" t="b">
        <v>0</v>
      </c>
      <c r="R1217" s="170" t="b">
        <v>0</v>
      </c>
      <c r="S1217" s="48"/>
      <c r="T1217" s="60"/>
      <c r="U1217" s="170" t="b">
        <v>0</v>
      </c>
      <c r="V1217" s="170"/>
      <c r="W1217" s="170" t="b">
        <v>0</v>
      </c>
      <c r="X1217" s="170" t="b">
        <v>0</v>
      </c>
      <c r="Y1217" s="170"/>
      <c r="Z1217" s="170"/>
      <c r="AA1217" s="170"/>
      <c r="AB1217" s="170"/>
      <c r="AC1217" s="171"/>
      <c r="AD1217" s="170"/>
      <c r="AE1217" s="170"/>
      <c r="AF1217" s="170"/>
      <c r="AG1217" s="170"/>
      <c r="AH1217" s="170"/>
      <c r="AI1217" s="170"/>
      <c r="AJ1217" s="172"/>
      <c r="AK1217" s="50"/>
      <c r="AL1217" s="25"/>
      <c r="AM1217" s="25"/>
      <c r="AN1217" s="25"/>
      <c r="AO1217" s="165"/>
      <c r="AP1217" s="78"/>
      <c r="AQ1217" s="25"/>
      <c r="AR1217" s="25"/>
      <c r="AS1217" s="25"/>
      <c r="AT1217" s="25"/>
      <c r="AU1217" s="25"/>
      <c r="AV1217" s="25"/>
      <c r="AW1217" s="25"/>
      <c r="AX1217" s="25"/>
      <c r="AY1217" s="25"/>
      <c r="AZ1217" s="25"/>
      <c r="BA1217" s="25"/>
      <c r="BB1217" s="25"/>
      <c r="BC1217" s="25"/>
      <c r="BD1217" s="25"/>
      <c r="BE1217" s="25"/>
      <c r="BF1217" s="25"/>
      <c r="BG1217" s="25"/>
      <c r="BH1217" s="25"/>
      <c r="BI1217" s="25"/>
      <c r="BJ1217" s="25"/>
      <c r="BK1217" s="25"/>
      <c r="BL1217" s="25"/>
      <c r="BM1217" s="25"/>
      <c r="BN1217" s="25"/>
      <c r="BO1217" s="25"/>
      <c r="BP1217" s="25"/>
    </row>
    <row r="1218">
      <c r="A1218" s="25"/>
      <c r="B1218" s="168"/>
      <c r="C1218" s="25"/>
      <c r="D1218" s="25"/>
      <c r="E1218" s="25"/>
      <c r="F1218" s="25"/>
      <c r="G1218" s="84"/>
      <c r="H1218" s="25"/>
      <c r="I1218" s="25"/>
      <c r="J1218" s="25"/>
      <c r="K1218" s="169"/>
      <c r="L1218" s="169"/>
      <c r="M1218" s="170" t="b">
        <v>0</v>
      </c>
      <c r="N1218" s="170" t="b">
        <v>0</v>
      </c>
      <c r="O1218" s="48"/>
      <c r="P1218" s="170" t="b">
        <v>0</v>
      </c>
      <c r="Q1218" s="170" t="b">
        <v>0</v>
      </c>
      <c r="R1218" s="170" t="b">
        <v>0</v>
      </c>
      <c r="S1218" s="48"/>
      <c r="T1218" s="60"/>
      <c r="U1218" s="170" t="b">
        <v>0</v>
      </c>
      <c r="V1218" s="170"/>
      <c r="W1218" s="170" t="b">
        <v>0</v>
      </c>
      <c r="X1218" s="170" t="b">
        <v>0</v>
      </c>
      <c r="Y1218" s="170"/>
      <c r="Z1218" s="170"/>
      <c r="AA1218" s="170"/>
      <c r="AB1218" s="170"/>
      <c r="AC1218" s="171"/>
      <c r="AD1218" s="170"/>
      <c r="AE1218" s="170"/>
      <c r="AF1218" s="170"/>
      <c r="AG1218" s="170"/>
      <c r="AH1218" s="170"/>
      <c r="AI1218" s="170"/>
      <c r="AJ1218" s="172"/>
      <c r="AK1218" s="50"/>
      <c r="AL1218" s="25"/>
      <c r="AM1218" s="25"/>
      <c r="AN1218" s="25"/>
      <c r="AO1218" s="165"/>
      <c r="AP1218" s="78"/>
      <c r="AQ1218" s="25"/>
      <c r="AR1218" s="25"/>
      <c r="AS1218" s="25"/>
      <c r="AT1218" s="25"/>
      <c r="AU1218" s="25"/>
      <c r="AV1218" s="25"/>
      <c r="AW1218" s="25"/>
      <c r="AX1218" s="25"/>
      <c r="AY1218" s="25"/>
      <c r="AZ1218" s="25"/>
      <c r="BA1218" s="25"/>
      <c r="BB1218" s="25"/>
      <c r="BC1218" s="25"/>
      <c r="BD1218" s="25"/>
      <c r="BE1218" s="25"/>
      <c r="BF1218" s="25"/>
      <c r="BG1218" s="25"/>
      <c r="BH1218" s="25"/>
      <c r="BI1218" s="25"/>
      <c r="BJ1218" s="25"/>
      <c r="BK1218" s="25"/>
      <c r="BL1218" s="25"/>
      <c r="BM1218" s="25"/>
      <c r="BN1218" s="25"/>
      <c r="BO1218" s="25"/>
      <c r="BP1218" s="25"/>
    </row>
    <row r="1219">
      <c r="A1219" s="25"/>
      <c r="B1219" s="168"/>
      <c r="C1219" s="25"/>
      <c r="D1219" s="25"/>
      <c r="E1219" s="25"/>
      <c r="F1219" s="25"/>
      <c r="G1219" s="84"/>
      <c r="H1219" s="25"/>
      <c r="I1219" s="25"/>
      <c r="J1219" s="25"/>
      <c r="K1219" s="169"/>
      <c r="L1219" s="169"/>
      <c r="M1219" s="170" t="b">
        <v>0</v>
      </c>
      <c r="N1219" s="170" t="b">
        <v>0</v>
      </c>
      <c r="O1219" s="48"/>
      <c r="P1219" s="170" t="b">
        <v>0</v>
      </c>
      <c r="Q1219" s="170" t="b">
        <v>0</v>
      </c>
      <c r="R1219" s="170" t="b">
        <v>0</v>
      </c>
      <c r="S1219" s="48"/>
      <c r="T1219" s="60"/>
      <c r="U1219" s="170" t="b">
        <v>0</v>
      </c>
      <c r="V1219" s="170"/>
      <c r="W1219" s="170" t="b">
        <v>0</v>
      </c>
      <c r="X1219" s="170" t="b">
        <v>0</v>
      </c>
      <c r="Y1219" s="170"/>
      <c r="Z1219" s="170"/>
      <c r="AA1219" s="170"/>
      <c r="AB1219" s="170"/>
      <c r="AC1219" s="171"/>
      <c r="AD1219" s="170"/>
      <c r="AE1219" s="170"/>
      <c r="AF1219" s="170"/>
      <c r="AG1219" s="170"/>
      <c r="AH1219" s="170"/>
      <c r="AI1219" s="170"/>
      <c r="AJ1219" s="172"/>
      <c r="AK1219" s="50"/>
      <c r="AL1219" s="25"/>
      <c r="AM1219" s="25"/>
      <c r="AN1219" s="25"/>
      <c r="AO1219" s="165"/>
      <c r="AP1219" s="78"/>
      <c r="AQ1219" s="25"/>
      <c r="AR1219" s="25"/>
      <c r="AS1219" s="25"/>
      <c r="AT1219" s="25"/>
      <c r="AU1219" s="25"/>
      <c r="AV1219" s="25"/>
      <c r="AW1219" s="25"/>
      <c r="AX1219" s="25"/>
      <c r="AY1219" s="25"/>
      <c r="AZ1219" s="25"/>
      <c r="BA1219" s="25"/>
      <c r="BB1219" s="25"/>
      <c r="BC1219" s="25"/>
      <c r="BD1219" s="25"/>
      <c r="BE1219" s="25"/>
      <c r="BF1219" s="25"/>
      <c r="BG1219" s="25"/>
      <c r="BH1219" s="25"/>
      <c r="BI1219" s="25"/>
      <c r="BJ1219" s="25"/>
      <c r="BK1219" s="25"/>
      <c r="BL1219" s="25"/>
      <c r="BM1219" s="25"/>
      <c r="BN1219" s="25"/>
      <c r="BO1219" s="25"/>
      <c r="BP1219" s="25"/>
    </row>
    <row r="1220">
      <c r="A1220" s="25"/>
      <c r="B1220" s="168"/>
      <c r="C1220" s="25"/>
      <c r="D1220" s="25"/>
      <c r="E1220" s="25"/>
      <c r="F1220" s="25"/>
      <c r="G1220" s="84"/>
      <c r="H1220" s="25"/>
      <c r="I1220" s="25"/>
      <c r="J1220" s="25"/>
      <c r="K1220" s="169"/>
      <c r="L1220" s="169"/>
      <c r="M1220" s="170" t="b">
        <v>0</v>
      </c>
      <c r="N1220" s="170" t="b">
        <v>0</v>
      </c>
      <c r="O1220" s="48"/>
      <c r="P1220" s="170" t="b">
        <v>0</v>
      </c>
      <c r="Q1220" s="170" t="b">
        <v>0</v>
      </c>
      <c r="R1220" s="170" t="b">
        <v>0</v>
      </c>
      <c r="S1220" s="48"/>
      <c r="T1220" s="60"/>
      <c r="U1220" s="170" t="b">
        <v>0</v>
      </c>
      <c r="V1220" s="170"/>
      <c r="W1220" s="170" t="b">
        <v>0</v>
      </c>
      <c r="X1220" s="170" t="b">
        <v>0</v>
      </c>
      <c r="Y1220" s="170"/>
      <c r="Z1220" s="170"/>
      <c r="AA1220" s="170"/>
      <c r="AB1220" s="170"/>
      <c r="AC1220" s="171"/>
      <c r="AD1220" s="170"/>
      <c r="AE1220" s="170"/>
      <c r="AF1220" s="170"/>
      <c r="AG1220" s="170"/>
      <c r="AH1220" s="170"/>
      <c r="AI1220" s="170"/>
      <c r="AJ1220" s="172"/>
      <c r="AK1220" s="50"/>
      <c r="AL1220" s="25"/>
      <c r="AM1220" s="25"/>
      <c r="AN1220" s="25"/>
      <c r="AO1220" s="165"/>
      <c r="AP1220" s="78"/>
      <c r="AQ1220" s="25"/>
      <c r="AR1220" s="25"/>
      <c r="AS1220" s="25"/>
      <c r="AT1220" s="25"/>
      <c r="AU1220" s="25"/>
      <c r="AV1220" s="25"/>
      <c r="AW1220" s="25"/>
      <c r="AX1220" s="25"/>
      <c r="AY1220" s="25"/>
      <c r="AZ1220" s="25"/>
      <c r="BA1220" s="25"/>
      <c r="BB1220" s="25"/>
      <c r="BC1220" s="25"/>
      <c r="BD1220" s="25"/>
      <c r="BE1220" s="25"/>
      <c r="BF1220" s="25"/>
      <c r="BG1220" s="25"/>
      <c r="BH1220" s="25"/>
      <c r="BI1220" s="25"/>
      <c r="BJ1220" s="25"/>
      <c r="BK1220" s="25"/>
      <c r="BL1220" s="25"/>
      <c r="BM1220" s="25"/>
      <c r="BN1220" s="25"/>
      <c r="BO1220" s="25"/>
      <c r="BP1220" s="25"/>
    </row>
    <row r="1221">
      <c r="A1221" s="25"/>
      <c r="B1221" s="168"/>
      <c r="C1221" s="25"/>
      <c r="D1221" s="25"/>
      <c r="E1221" s="25"/>
      <c r="F1221" s="25"/>
      <c r="G1221" s="84"/>
      <c r="H1221" s="25"/>
      <c r="I1221" s="25"/>
      <c r="J1221" s="25"/>
      <c r="K1221" s="169"/>
      <c r="L1221" s="169"/>
      <c r="M1221" s="170" t="b">
        <v>0</v>
      </c>
      <c r="N1221" s="170" t="b">
        <v>0</v>
      </c>
      <c r="O1221" s="48"/>
      <c r="P1221" s="170" t="b">
        <v>0</v>
      </c>
      <c r="Q1221" s="170" t="b">
        <v>0</v>
      </c>
      <c r="R1221" s="170" t="b">
        <v>0</v>
      </c>
      <c r="S1221" s="48"/>
      <c r="T1221" s="60"/>
      <c r="U1221" s="170" t="b">
        <v>0</v>
      </c>
      <c r="V1221" s="170"/>
      <c r="W1221" s="170" t="b">
        <v>0</v>
      </c>
      <c r="X1221" s="170" t="b">
        <v>0</v>
      </c>
      <c r="Y1221" s="170"/>
      <c r="Z1221" s="170"/>
      <c r="AA1221" s="170"/>
      <c r="AB1221" s="170"/>
      <c r="AC1221" s="171"/>
      <c r="AD1221" s="170"/>
      <c r="AE1221" s="170"/>
      <c r="AF1221" s="170"/>
      <c r="AG1221" s="170"/>
      <c r="AH1221" s="170"/>
      <c r="AI1221" s="170"/>
      <c r="AJ1221" s="172"/>
      <c r="AK1221" s="50"/>
      <c r="AL1221" s="25"/>
      <c r="AM1221" s="25"/>
      <c r="AN1221" s="25"/>
      <c r="AO1221" s="165"/>
      <c r="AP1221" s="78"/>
      <c r="AQ1221" s="25"/>
      <c r="AR1221" s="25"/>
      <c r="AS1221" s="25"/>
      <c r="AT1221" s="25"/>
      <c r="AU1221" s="25"/>
      <c r="AV1221" s="25"/>
      <c r="AW1221" s="25"/>
      <c r="AX1221" s="25"/>
      <c r="AY1221" s="25"/>
      <c r="AZ1221" s="25"/>
      <c r="BA1221" s="25"/>
      <c r="BB1221" s="25"/>
      <c r="BC1221" s="25"/>
      <c r="BD1221" s="25"/>
      <c r="BE1221" s="25"/>
      <c r="BF1221" s="25"/>
      <c r="BG1221" s="25"/>
      <c r="BH1221" s="25"/>
      <c r="BI1221" s="25"/>
      <c r="BJ1221" s="25"/>
      <c r="BK1221" s="25"/>
      <c r="BL1221" s="25"/>
      <c r="BM1221" s="25"/>
      <c r="BN1221" s="25"/>
      <c r="BO1221" s="25"/>
      <c r="BP1221" s="25"/>
    </row>
    <row r="1222">
      <c r="A1222" s="25"/>
      <c r="B1222" s="168"/>
      <c r="C1222" s="25"/>
      <c r="D1222" s="25"/>
      <c r="E1222" s="25"/>
      <c r="F1222" s="25"/>
      <c r="G1222" s="84"/>
      <c r="H1222" s="25"/>
      <c r="I1222" s="25"/>
      <c r="J1222" s="25"/>
      <c r="K1222" s="169"/>
      <c r="L1222" s="169"/>
      <c r="M1222" s="170" t="b">
        <v>0</v>
      </c>
      <c r="N1222" s="170" t="b">
        <v>0</v>
      </c>
      <c r="O1222" s="48"/>
      <c r="P1222" s="170" t="b">
        <v>0</v>
      </c>
      <c r="Q1222" s="170" t="b">
        <v>0</v>
      </c>
      <c r="R1222" s="170" t="b">
        <v>0</v>
      </c>
      <c r="S1222" s="48"/>
      <c r="T1222" s="60"/>
      <c r="U1222" s="170" t="b">
        <v>0</v>
      </c>
      <c r="V1222" s="170"/>
      <c r="W1222" s="170" t="b">
        <v>0</v>
      </c>
      <c r="X1222" s="170" t="b">
        <v>0</v>
      </c>
      <c r="Y1222" s="170"/>
      <c r="Z1222" s="170"/>
      <c r="AA1222" s="170"/>
      <c r="AB1222" s="170"/>
      <c r="AC1222" s="171"/>
      <c r="AD1222" s="170"/>
      <c r="AE1222" s="170"/>
      <c r="AF1222" s="170"/>
      <c r="AG1222" s="170"/>
      <c r="AH1222" s="170"/>
      <c r="AI1222" s="170"/>
      <c r="AJ1222" s="172"/>
      <c r="AK1222" s="50"/>
      <c r="AL1222" s="25"/>
      <c r="AM1222" s="25"/>
      <c r="AN1222" s="25"/>
      <c r="AO1222" s="165"/>
      <c r="AP1222" s="78"/>
      <c r="AQ1222" s="25"/>
      <c r="AR1222" s="25"/>
      <c r="AS1222" s="25"/>
      <c r="AT1222" s="25"/>
      <c r="AU1222" s="25"/>
      <c r="AV1222" s="25"/>
      <c r="AW1222" s="25"/>
      <c r="AX1222" s="25"/>
      <c r="AY1222" s="25"/>
      <c r="AZ1222" s="25"/>
      <c r="BA1222" s="25"/>
      <c r="BB1222" s="25"/>
      <c r="BC1222" s="25"/>
      <c r="BD1222" s="25"/>
      <c r="BE1222" s="25"/>
      <c r="BF1222" s="25"/>
      <c r="BG1222" s="25"/>
      <c r="BH1222" s="25"/>
      <c r="BI1222" s="25"/>
      <c r="BJ1222" s="25"/>
      <c r="BK1222" s="25"/>
      <c r="BL1222" s="25"/>
      <c r="BM1222" s="25"/>
      <c r="BN1222" s="25"/>
      <c r="BO1222" s="25"/>
      <c r="BP1222" s="25"/>
    </row>
    <row r="1223">
      <c r="A1223" s="25"/>
      <c r="B1223" s="168"/>
      <c r="C1223" s="25"/>
      <c r="D1223" s="25"/>
      <c r="E1223" s="25"/>
      <c r="F1223" s="25"/>
      <c r="G1223" s="84"/>
      <c r="H1223" s="25"/>
      <c r="I1223" s="25"/>
      <c r="J1223" s="25"/>
      <c r="K1223" s="169"/>
      <c r="L1223" s="169"/>
      <c r="M1223" s="170" t="b">
        <v>0</v>
      </c>
      <c r="N1223" s="170" t="b">
        <v>0</v>
      </c>
      <c r="O1223" s="48"/>
      <c r="P1223" s="170" t="b">
        <v>0</v>
      </c>
      <c r="Q1223" s="170" t="b">
        <v>0</v>
      </c>
      <c r="R1223" s="170" t="b">
        <v>0</v>
      </c>
      <c r="S1223" s="48"/>
      <c r="T1223" s="60"/>
      <c r="U1223" s="170" t="b">
        <v>0</v>
      </c>
      <c r="V1223" s="170"/>
      <c r="W1223" s="170" t="b">
        <v>0</v>
      </c>
      <c r="X1223" s="170" t="b">
        <v>0</v>
      </c>
      <c r="Y1223" s="170"/>
      <c r="Z1223" s="170"/>
      <c r="AA1223" s="170"/>
      <c r="AB1223" s="170"/>
      <c r="AC1223" s="171"/>
      <c r="AD1223" s="170"/>
      <c r="AE1223" s="170"/>
      <c r="AF1223" s="170"/>
      <c r="AG1223" s="170"/>
      <c r="AH1223" s="170"/>
      <c r="AI1223" s="170"/>
      <c r="AJ1223" s="172"/>
      <c r="AK1223" s="50"/>
      <c r="AL1223" s="25"/>
      <c r="AM1223" s="25"/>
      <c r="AN1223" s="25"/>
      <c r="AO1223" s="165"/>
      <c r="AP1223" s="78"/>
      <c r="AQ1223" s="25"/>
      <c r="AR1223" s="25"/>
      <c r="AS1223" s="25"/>
      <c r="AT1223" s="25"/>
      <c r="AU1223" s="25"/>
      <c r="AV1223" s="25"/>
      <c r="AW1223" s="25"/>
      <c r="AX1223" s="25"/>
      <c r="AY1223" s="25"/>
      <c r="AZ1223" s="25"/>
      <c r="BA1223" s="25"/>
      <c r="BB1223" s="25"/>
      <c r="BC1223" s="25"/>
      <c r="BD1223" s="25"/>
      <c r="BE1223" s="25"/>
      <c r="BF1223" s="25"/>
      <c r="BG1223" s="25"/>
      <c r="BH1223" s="25"/>
      <c r="BI1223" s="25"/>
      <c r="BJ1223" s="25"/>
      <c r="BK1223" s="25"/>
      <c r="BL1223" s="25"/>
      <c r="BM1223" s="25"/>
      <c r="BN1223" s="25"/>
      <c r="BO1223" s="25"/>
      <c r="BP1223" s="25"/>
    </row>
    <row r="1224">
      <c r="A1224" s="25"/>
      <c r="B1224" s="168"/>
      <c r="C1224" s="25"/>
      <c r="D1224" s="25"/>
      <c r="E1224" s="25"/>
      <c r="F1224" s="25"/>
      <c r="G1224" s="84"/>
      <c r="H1224" s="25"/>
      <c r="I1224" s="25"/>
      <c r="J1224" s="25"/>
      <c r="K1224" s="169"/>
      <c r="L1224" s="169"/>
      <c r="M1224" s="170" t="b">
        <v>0</v>
      </c>
      <c r="N1224" s="170" t="b">
        <v>0</v>
      </c>
      <c r="O1224" s="48"/>
      <c r="P1224" s="170" t="b">
        <v>0</v>
      </c>
      <c r="Q1224" s="170" t="b">
        <v>0</v>
      </c>
      <c r="R1224" s="170" t="b">
        <v>0</v>
      </c>
      <c r="S1224" s="48"/>
      <c r="T1224" s="60"/>
      <c r="U1224" s="170" t="b">
        <v>0</v>
      </c>
      <c r="V1224" s="170"/>
      <c r="W1224" s="170" t="b">
        <v>0</v>
      </c>
      <c r="X1224" s="170" t="b">
        <v>0</v>
      </c>
      <c r="Y1224" s="170"/>
      <c r="Z1224" s="170"/>
      <c r="AA1224" s="170"/>
      <c r="AB1224" s="170"/>
      <c r="AC1224" s="171"/>
      <c r="AD1224" s="170"/>
      <c r="AE1224" s="170"/>
      <c r="AF1224" s="170"/>
      <c r="AG1224" s="170"/>
      <c r="AH1224" s="170"/>
      <c r="AI1224" s="170"/>
      <c r="AJ1224" s="172"/>
      <c r="AK1224" s="50"/>
      <c r="AL1224" s="25"/>
      <c r="AM1224" s="25"/>
      <c r="AN1224" s="25"/>
      <c r="AO1224" s="165"/>
      <c r="AP1224" s="78"/>
      <c r="AQ1224" s="25"/>
      <c r="AR1224" s="25"/>
      <c r="AS1224" s="25"/>
      <c r="AT1224" s="25"/>
      <c r="AU1224" s="25"/>
      <c r="AV1224" s="25"/>
      <c r="AW1224" s="25"/>
      <c r="AX1224" s="25"/>
      <c r="AY1224" s="25"/>
      <c r="AZ1224" s="25"/>
      <c r="BA1224" s="25"/>
      <c r="BB1224" s="25"/>
      <c r="BC1224" s="25"/>
      <c r="BD1224" s="25"/>
      <c r="BE1224" s="25"/>
      <c r="BF1224" s="25"/>
      <c r="BG1224" s="25"/>
      <c r="BH1224" s="25"/>
      <c r="BI1224" s="25"/>
      <c r="BJ1224" s="25"/>
      <c r="BK1224" s="25"/>
      <c r="BL1224" s="25"/>
      <c r="BM1224" s="25"/>
      <c r="BN1224" s="25"/>
      <c r="BO1224" s="25"/>
      <c r="BP1224" s="25"/>
    </row>
    <row r="1225">
      <c r="A1225" s="25"/>
      <c r="B1225" s="168"/>
      <c r="C1225" s="25"/>
      <c r="D1225" s="25"/>
      <c r="E1225" s="25"/>
      <c r="F1225" s="25"/>
      <c r="G1225" s="84"/>
      <c r="H1225" s="25"/>
      <c r="I1225" s="25"/>
      <c r="J1225" s="25"/>
      <c r="K1225" s="169"/>
      <c r="L1225" s="169"/>
      <c r="M1225" s="170" t="b">
        <v>0</v>
      </c>
      <c r="N1225" s="170" t="b">
        <v>0</v>
      </c>
      <c r="O1225" s="48"/>
      <c r="P1225" s="170" t="b">
        <v>0</v>
      </c>
      <c r="Q1225" s="170" t="b">
        <v>0</v>
      </c>
      <c r="R1225" s="170" t="b">
        <v>0</v>
      </c>
      <c r="S1225" s="48"/>
      <c r="T1225" s="60"/>
      <c r="U1225" s="170" t="b">
        <v>0</v>
      </c>
      <c r="V1225" s="170"/>
      <c r="W1225" s="170" t="b">
        <v>0</v>
      </c>
      <c r="X1225" s="170" t="b">
        <v>0</v>
      </c>
      <c r="Y1225" s="170"/>
      <c r="Z1225" s="170"/>
      <c r="AA1225" s="170"/>
      <c r="AB1225" s="170"/>
      <c r="AC1225" s="171"/>
      <c r="AD1225" s="170"/>
      <c r="AE1225" s="170"/>
      <c r="AF1225" s="170"/>
      <c r="AG1225" s="170"/>
      <c r="AH1225" s="170"/>
      <c r="AI1225" s="170"/>
      <c r="AJ1225" s="172"/>
      <c r="AK1225" s="50"/>
      <c r="AL1225" s="25"/>
      <c r="AM1225" s="25"/>
      <c r="AN1225" s="25"/>
      <c r="AO1225" s="165"/>
      <c r="AP1225" s="78"/>
      <c r="AQ1225" s="25"/>
      <c r="AR1225" s="25"/>
      <c r="AS1225" s="25"/>
      <c r="AT1225" s="25"/>
      <c r="AU1225" s="25"/>
      <c r="AV1225" s="25"/>
      <c r="AW1225" s="25"/>
      <c r="AX1225" s="25"/>
      <c r="AY1225" s="25"/>
      <c r="AZ1225" s="25"/>
      <c r="BA1225" s="25"/>
      <c r="BB1225" s="25"/>
      <c r="BC1225" s="25"/>
      <c r="BD1225" s="25"/>
      <c r="BE1225" s="25"/>
      <c r="BF1225" s="25"/>
      <c r="BG1225" s="25"/>
      <c r="BH1225" s="25"/>
      <c r="BI1225" s="25"/>
      <c r="BJ1225" s="25"/>
      <c r="BK1225" s="25"/>
      <c r="BL1225" s="25"/>
      <c r="BM1225" s="25"/>
      <c r="BN1225" s="25"/>
      <c r="BO1225" s="25"/>
      <c r="BP1225" s="25"/>
    </row>
    <row r="1226">
      <c r="A1226" s="25"/>
      <c r="B1226" s="168"/>
      <c r="C1226" s="25"/>
      <c r="D1226" s="25"/>
      <c r="E1226" s="25"/>
      <c r="F1226" s="25"/>
      <c r="G1226" s="84"/>
      <c r="H1226" s="25"/>
      <c r="I1226" s="25"/>
      <c r="J1226" s="25"/>
      <c r="K1226" s="169"/>
      <c r="L1226" s="169"/>
      <c r="M1226" s="170" t="b">
        <v>0</v>
      </c>
      <c r="N1226" s="170" t="b">
        <v>0</v>
      </c>
      <c r="O1226" s="48"/>
      <c r="P1226" s="170" t="b">
        <v>0</v>
      </c>
      <c r="Q1226" s="170" t="b">
        <v>0</v>
      </c>
      <c r="R1226" s="170" t="b">
        <v>0</v>
      </c>
      <c r="S1226" s="48"/>
      <c r="T1226" s="60"/>
      <c r="U1226" s="170" t="b">
        <v>0</v>
      </c>
      <c r="V1226" s="170"/>
      <c r="W1226" s="170" t="b">
        <v>0</v>
      </c>
      <c r="X1226" s="170" t="b">
        <v>0</v>
      </c>
      <c r="Y1226" s="170"/>
      <c r="Z1226" s="170"/>
      <c r="AA1226" s="170"/>
      <c r="AB1226" s="170"/>
      <c r="AC1226" s="171"/>
      <c r="AD1226" s="170"/>
      <c r="AE1226" s="170"/>
      <c r="AF1226" s="170"/>
      <c r="AG1226" s="170"/>
      <c r="AH1226" s="170"/>
      <c r="AI1226" s="170"/>
      <c r="AJ1226" s="172"/>
      <c r="AK1226" s="50"/>
      <c r="AL1226" s="25"/>
      <c r="AM1226" s="25"/>
      <c r="AN1226" s="25"/>
      <c r="AO1226" s="165"/>
      <c r="AP1226" s="78"/>
      <c r="AQ1226" s="25"/>
      <c r="AR1226" s="25"/>
      <c r="AS1226" s="25"/>
      <c r="AT1226" s="25"/>
      <c r="AU1226" s="25"/>
      <c r="AV1226" s="25"/>
      <c r="AW1226" s="25"/>
      <c r="AX1226" s="25"/>
      <c r="AY1226" s="25"/>
      <c r="AZ1226" s="25"/>
      <c r="BA1226" s="25"/>
      <c r="BB1226" s="25"/>
      <c r="BC1226" s="25"/>
      <c r="BD1226" s="25"/>
      <c r="BE1226" s="25"/>
      <c r="BF1226" s="25"/>
      <c r="BG1226" s="25"/>
      <c r="BH1226" s="25"/>
      <c r="BI1226" s="25"/>
      <c r="BJ1226" s="25"/>
      <c r="BK1226" s="25"/>
      <c r="BL1226" s="25"/>
      <c r="BM1226" s="25"/>
      <c r="BN1226" s="25"/>
      <c r="BO1226" s="25"/>
      <c r="BP1226" s="25"/>
    </row>
    <row r="1227">
      <c r="A1227" s="25"/>
      <c r="B1227" s="168"/>
      <c r="C1227" s="25"/>
      <c r="D1227" s="25"/>
      <c r="E1227" s="25"/>
      <c r="F1227" s="25"/>
      <c r="G1227" s="84"/>
      <c r="H1227" s="25"/>
      <c r="I1227" s="25"/>
      <c r="J1227" s="25"/>
      <c r="K1227" s="169"/>
      <c r="L1227" s="169"/>
      <c r="M1227" s="170" t="b">
        <v>0</v>
      </c>
      <c r="N1227" s="170" t="b">
        <v>0</v>
      </c>
      <c r="O1227" s="48"/>
      <c r="P1227" s="170" t="b">
        <v>0</v>
      </c>
      <c r="Q1227" s="170" t="b">
        <v>0</v>
      </c>
      <c r="R1227" s="170" t="b">
        <v>0</v>
      </c>
      <c r="S1227" s="48"/>
      <c r="T1227" s="60"/>
      <c r="U1227" s="170" t="b">
        <v>0</v>
      </c>
      <c r="V1227" s="170"/>
      <c r="W1227" s="170" t="b">
        <v>0</v>
      </c>
      <c r="X1227" s="170" t="b">
        <v>0</v>
      </c>
      <c r="Y1227" s="170"/>
      <c r="Z1227" s="170"/>
      <c r="AA1227" s="170"/>
      <c r="AB1227" s="170"/>
      <c r="AC1227" s="171"/>
      <c r="AD1227" s="170"/>
      <c r="AE1227" s="170"/>
      <c r="AF1227" s="170"/>
      <c r="AG1227" s="170"/>
      <c r="AH1227" s="170"/>
      <c r="AI1227" s="170"/>
      <c r="AJ1227" s="172"/>
      <c r="AK1227" s="50"/>
      <c r="AL1227" s="25"/>
      <c r="AM1227" s="25"/>
      <c r="AN1227" s="25"/>
      <c r="AO1227" s="165"/>
      <c r="AP1227" s="78"/>
      <c r="AQ1227" s="25"/>
      <c r="AR1227" s="25"/>
      <c r="AS1227" s="25"/>
      <c r="AT1227" s="25"/>
      <c r="AU1227" s="25"/>
      <c r="AV1227" s="25"/>
      <c r="AW1227" s="25"/>
      <c r="AX1227" s="25"/>
      <c r="AY1227" s="25"/>
      <c r="AZ1227" s="25"/>
      <c r="BA1227" s="25"/>
      <c r="BB1227" s="25"/>
      <c r="BC1227" s="25"/>
      <c r="BD1227" s="25"/>
      <c r="BE1227" s="25"/>
      <c r="BF1227" s="25"/>
      <c r="BG1227" s="25"/>
      <c r="BH1227" s="25"/>
      <c r="BI1227" s="25"/>
      <c r="BJ1227" s="25"/>
      <c r="BK1227" s="25"/>
      <c r="BL1227" s="25"/>
      <c r="BM1227" s="25"/>
      <c r="BN1227" s="25"/>
      <c r="BO1227" s="25"/>
      <c r="BP1227" s="25"/>
    </row>
    <row r="1228">
      <c r="A1228" s="25"/>
      <c r="B1228" s="168"/>
      <c r="C1228" s="25"/>
      <c r="D1228" s="25"/>
      <c r="E1228" s="25"/>
      <c r="F1228" s="25"/>
      <c r="G1228" s="84"/>
      <c r="H1228" s="25"/>
      <c r="I1228" s="25"/>
      <c r="J1228" s="25"/>
      <c r="K1228" s="169"/>
      <c r="L1228" s="169"/>
      <c r="M1228" s="170" t="b">
        <v>0</v>
      </c>
      <c r="N1228" s="170" t="b">
        <v>0</v>
      </c>
      <c r="O1228" s="48"/>
      <c r="P1228" s="170" t="b">
        <v>0</v>
      </c>
      <c r="Q1228" s="170" t="b">
        <v>0</v>
      </c>
      <c r="R1228" s="170" t="b">
        <v>0</v>
      </c>
      <c r="S1228" s="48"/>
      <c r="T1228" s="60"/>
      <c r="U1228" s="170" t="b">
        <v>0</v>
      </c>
      <c r="V1228" s="170"/>
      <c r="W1228" s="170" t="b">
        <v>0</v>
      </c>
      <c r="X1228" s="170" t="b">
        <v>0</v>
      </c>
      <c r="Y1228" s="170"/>
      <c r="Z1228" s="170"/>
      <c r="AA1228" s="170"/>
      <c r="AB1228" s="170"/>
      <c r="AC1228" s="171"/>
      <c r="AD1228" s="170"/>
      <c r="AE1228" s="170"/>
      <c r="AF1228" s="170"/>
      <c r="AG1228" s="170"/>
      <c r="AH1228" s="170"/>
      <c r="AI1228" s="170"/>
      <c r="AJ1228" s="172"/>
      <c r="AK1228" s="50"/>
      <c r="AL1228" s="25"/>
      <c r="AM1228" s="25"/>
      <c r="AN1228" s="25"/>
      <c r="AO1228" s="165"/>
      <c r="AP1228" s="78"/>
      <c r="AQ1228" s="25"/>
      <c r="AR1228" s="25"/>
      <c r="AS1228" s="25"/>
      <c r="AT1228" s="25"/>
      <c r="AU1228" s="25"/>
      <c r="AV1228" s="25"/>
      <c r="AW1228" s="25"/>
      <c r="AX1228" s="25"/>
      <c r="AY1228" s="25"/>
      <c r="AZ1228" s="25"/>
      <c r="BA1228" s="25"/>
      <c r="BB1228" s="25"/>
      <c r="BC1228" s="25"/>
      <c r="BD1228" s="25"/>
      <c r="BE1228" s="25"/>
      <c r="BF1228" s="25"/>
      <c r="BG1228" s="25"/>
      <c r="BH1228" s="25"/>
      <c r="BI1228" s="25"/>
      <c r="BJ1228" s="25"/>
      <c r="BK1228" s="25"/>
      <c r="BL1228" s="25"/>
      <c r="BM1228" s="25"/>
      <c r="BN1228" s="25"/>
      <c r="BO1228" s="25"/>
      <c r="BP1228" s="25"/>
    </row>
    <row r="1229">
      <c r="A1229" s="25"/>
      <c r="B1229" s="168"/>
      <c r="C1229" s="25"/>
      <c r="D1229" s="25"/>
      <c r="E1229" s="25"/>
      <c r="F1229" s="25"/>
      <c r="G1229" s="84"/>
      <c r="H1229" s="25"/>
      <c r="I1229" s="25"/>
      <c r="J1229" s="25"/>
      <c r="K1229" s="169"/>
      <c r="L1229" s="169"/>
      <c r="M1229" s="170" t="b">
        <v>0</v>
      </c>
      <c r="N1229" s="170" t="b">
        <v>0</v>
      </c>
      <c r="O1229" s="48"/>
      <c r="P1229" s="170" t="b">
        <v>0</v>
      </c>
      <c r="Q1229" s="170" t="b">
        <v>0</v>
      </c>
      <c r="R1229" s="170" t="b">
        <v>0</v>
      </c>
      <c r="S1229" s="48"/>
      <c r="T1229" s="60"/>
      <c r="U1229" s="170" t="b">
        <v>0</v>
      </c>
      <c r="V1229" s="170"/>
      <c r="W1229" s="170" t="b">
        <v>0</v>
      </c>
      <c r="X1229" s="170" t="b">
        <v>0</v>
      </c>
      <c r="Y1229" s="170"/>
      <c r="Z1229" s="170"/>
      <c r="AA1229" s="170"/>
      <c r="AB1229" s="170"/>
      <c r="AC1229" s="171"/>
      <c r="AD1229" s="170"/>
      <c r="AE1229" s="170"/>
      <c r="AF1229" s="170"/>
      <c r="AG1229" s="170"/>
      <c r="AH1229" s="170"/>
      <c r="AI1229" s="170"/>
      <c r="AJ1229" s="172"/>
      <c r="AK1229" s="50"/>
      <c r="AL1229" s="25"/>
      <c r="AM1229" s="25"/>
      <c r="AN1229" s="25"/>
      <c r="AO1229" s="165"/>
      <c r="AP1229" s="78"/>
      <c r="AQ1229" s="25"/>
      <c r="AR1229" s="25"/>
      <c r="AS1229" s="25"/>
      <c r="AT1229" s="25"/>
      <c r="AU1229" s="25"/>
      <c r="AV1229" s="25"/>
      <c r="AW1229" s="25"/>
      <c r="AX1229" s="25"/>
      <c r="AY1229" s="25"/>
      <c r="AZ1229" s="25"/>
      <c r="BA1229" s="25"/>
      <c r="BB1229" s="25"/>
      <c r="BC1229" s="25"/>
      <c r="BD1229" s="25"/>
      <c r="BE1229" s="25"/>
      <c r="BF1229" s="25"/>
      <c r="BG1229" s="25"/>
      <c r="BH1229" s="25"/>
      <c r="BI1229" s="25"/>
      <c r="BJ1229" s="25"/>
      <c r="BK1229" s="25"/>
      <c r="BL1229" s="25"/>
      <c r="BM1229" s="25"/>
      <c r="BN1229" s="25"/>
      <c r="BO1229" s="25"/>
      <c r="BP1229" s="25"/>
    </row>
    <row r="1230">
      <c r="A1230" s="25"/>
      <c r="B1230" s="168"/>
      <c r="C1230" s="25"/>
      <c r="D1230" s="25"/>
      <c r="E1230" s="25"/>
      <c r="F1230" s="25"/>
      <c r="G1230" s="84"/>
      <c r="H1230" s="25"/>
      <c r="I1230" s="25"/>
      <c r="J1230" s="25"/>
      <c r="K1230" s="169"/>
      <c r="L1230" s="169"/>
      <c r="M1230" s="170" t="b">
        <v>0</v>
      </c>
      <c r="N1230" s="170" t="b">
        <v>0</v>
      </c>
      <c r="O1230" s="48"/>
      <c r="P1230" s="170" t="b">
        <v>0</v>
      </c>
      <c r="Q1230" s="170" t="b">
        <v>0</v>
      </c>
      <c r="R1230" s="170" t="b">
        <v>0</v>
      </c>
      <c r="S1230" s="48"/>
      <c r="T1230" s="60"/>
      <c r="U1230" s="170" t="b">
        <v>0</v>
      </c>
      <c r="V1230" s="170"/>
      <c r="W1230" s="170" t="b">
        <v>0</v>
      </c>
      <c r="X1230" s="170" t="b">
        <v>0</v>
      </c>
      <c r="Y1230" s="170"/>
      <c r="Z1230" s="170"/>
      <c r="AA1230" s="170"/>
      <c r="AB1230" s="170"/>
      <c r="AC1230" s="171"/>
      <c r="AD1230" s="170"/>
      <c r="AE1230" s="170"/>
      <c r="AF1230" s="170"/>
      <c r="AG1230" s="170"/>
      <c r="AH1230" s="170"/>
      <c r="AI1230" s="170"/>
      <c r="AJ1230" s="172"/>
      <c r="AK1230" s="50"/>
      <c r="AL1230" s="25"/>
      <c r="AM1230" s="25"/>
      <c r="AN1230" s="25"/>
      <c r="AO1230" s="165"/>
      <c r="AP1230" s="78"/>
      <c r="AQ1230" s="25"/>
      <c r="AR1230" s="25"/>
      <c r="AS1230" s="25"/>
      <c r="AT1230" s="25"/>
      <c r="AU1230" s="25"/>
      <c r="AV1230" s="25"/>
      <c r="AW1230" s="25"/>
      <c r="AX1230" s="25"/>
      <c r="AY1230" s="25"/>
      <c r="AZ1230" s="25"/>
      <c r="BA1230" s="25"/>
      <c r="BB1230" s="25"/>
      <c r="BC1230" s="25"/>
      <c r="BD1230" s="25"/>
      <c r="BE1230" s="25"/>
      <c r="BF1230" s="25"/>
      <c r="BG1230" s="25"/>
      <c r="BH1230" s="25"/>
      <c r="BI1230" s="25"/>
      <c r="BJ1230" s="25"/>
      <c r="BK1230" s="25"/>
      <c r="BL1230" s="25"/>
      <c r="BM1230" s="25"/>
      <c r="BN1230" s="25"/>
      <c r="BO1230" s="25"/>
      <c r="BP1230" s="25"/>
    </row>
    <row r="1231">
      <c r="A1231" s="25"/>
      <c r="B1231" s="168"/>
      <c r="C1231" s="25"/>
      <c r="D1231" s="25"/>
      <c r="E1231" s="25"/>
      <c r="F1231" s="25"/>
      <c r="G1231" s="84"/>
      <c r="H1231" s="25"/>
      <c r="I1231" s="25"/>
      <c r="J1231" s="25"/>
      <c r="K1231" s="169"/>
      <c r="L1231" s="169"/>
      <c r="M1231" s="170" t="b">
        <v>0</v>
      </c>
      <c r="N1231" s="170" t="b">
        <v>0</v>
      </c>
      <c r="O1231" s="48"/>
      <c r="P1231" s="170" t="b">
        <v>0</v>
      </c>
      <c r="Q1231" s="170" t="b">
        <v>0</v>
      </c>
      <c r="R1231" s="170" t="b">
        <v>0</v>
      </c>
      <c r="S1231" s="48"/>
      <c r="T1231" s="60"/>
      <c r="U1231" s="170" t="b">
        <v>0</v>
      </c>
      <c r="V1231" s="170"/>
      <c r="W1231" s="170" t="b">
        <v>0</v>
      </c>
      <c r="X1231" s="170" t="b">
        <v>0</v>
      </c>
      <c r="Y1231" s="170"/>
      <c r="Z1231" s="170"/>
      <c r="AA1231" s="170"/>
      <c r="AB1231" s="170"/>
      <c r="AC1231" s="171"/>
      <c r="AD1231" s="170"/>
      <c r="AE1231" s="170"/>
      <c r="AF1231" s="170"/>
      <c r="AG1231" s="170"/>
      <c r="AH1231" s="170"/>
      <c r="AI1231" s="170"/>
      <c r="AJ1231" s="172"/>
      <c r="AK1231" s="50"/>
      <c r="AL1231" s="25"/>
      <c r="AM1231" s="25"/>
      <c r="AN1231" s="25"/>
      <c r="AO1231" s="165"/>
      <c r="AP1231" s="78"/>
      <c r="AQ1231" s="25"/>
      <c r="AR1231" s="25"/>
      <c r="AS1231" s="25"/>
      <c r="AT1231" s="25"/>
      <c r="AU1231" s="25"/>
      <c r="AV1231" s="25"/>
      <c r="AW1231" s="25"/>
      <c r="AX1231" s="25"/>
      <c r="AY1231" s="25"/>
      <c r="AZ1231" s="25"/>
      <c r="BA1231" s="25"/>
      <c r="BB1231" s="25"/>
      <c r="BC1231" s="25"/>
      <c r="BD1231" s="25"/>
      <c r="BE1231" s="25"/>
      <c r="BF1231" s="25"/>
      <c r="BG1231" s="25"/>
      <c r="BH1231" s="25"/>
      <c r="BI1231" s="25"/>
      <c r="BJ1231" s="25"/>
      <c r="BK1231" s="25"/>
      <c r="BL1231" s="25"/>
      <c r="BM1231" s="25"/>
      <c r="BN1231" s="25"/>
      <c r="BO1231" s="25"/>
      <c r="BP1231" s="25"/>
    </row>
    <row r="1232">
      <c r="A1232" s="25"/>
      <c r="B1232" s="168"/>
      <c r="C1232" s="25"/>
      <c r="D1232" s="25"/>
      <c r="E1232" s="25"/>
      <c r="F1232" s="25"/>
      <c r="G1232" s="84"/>
      <c r="H1232" s="25"/>
      <c r="I1232" s="25"/>
      <c r="J1232" s="25"/>
      <c r="K1232" s="169"/>
      <c r="L1232" s="169"/>
      <c r="M1232" s="170" t="b">
        <v>0</v>
      </c>
      <c r="N1232" s="170" t="b">
        <v>0</v>
      </c>
      <c r="O1232" s="48"/>
      <c r="P1232" s="170" t="b">
        <v>0</v>
      </c>
      <c r="Q1232" s="170" t="b">
        <v>0</v>
      </c>
      <c r="R1232" s="170" t="b">
        <v>0</v>
      </c>
      <c r="S1232" s="48"/>
      <c r="T1232" s="60"/>
      <c r="U1232" s="170" t="b">
        <v>0</v>
      </c>
      <c r="V1232" s="170"/>
      <c r="W1232" s="170" t="b">
        <v>0</v>
      </c>
      <c r="X1232" s="170" t="b">
        <v>0</v>
      </c>
      <c r="Y1232" s="170"/>
      <c r="Z1232" s="170"/>
      <c r="AA1232" s="170"/>
      <c r="AB1232" s="170"/>
      <c r="AC1232" s="171"/>
      <c r="AD1232" s="170"/>
      <c r="AE1232" s="170"/>
      <c r="AF1232" s="170"/>
      <c r="AG1232" s="170"/>
      <c r="AH1232" s="170"/>
      <c r="AI1232" s="170"/>
      <c r="AJ1232" s="172"/>
      <c r="AK1232" s="50"/>
      <c r="AL1232" s="25"/>
      <c r="AM1232" s="25"/>
      <c r="AN1232" s="25"/>
      <c r="AO1232" s="165"/>
      <c r="AP1232" s="78"/>
      <c r="AQ1232" s="25"/>
      <c r="AR1232" s="25"/>
      <c r="AS1232" s="25"/>
      <c r="AT1232" s="25"/>
      <c r="AU1232" s="25"/>
      <c r="AV1232" s="25"/>
      <c r="AW1232" s="25"/>
      <c r="AX1232" s="25"/>
      <c r="AY1232" s="25"/>
      <c r="AZ1232" s="25"/>
      <c r="BA1232" s="25"/>
      <c r="BB1232" s="25"/>
      <c r="BC1232" s="25"/>
      <c r="BD1232" s="25"/>
      <c r="BE1232" s="25"/>
      <c r="BF1232" s="25"/>
      <c r="BG1232" s="25"/>
      <c r="BH1232" s="25"/>
      <c r="BI1232" s="25"/>
      <c r="BJ1232" s="25"/>
      <c r="BK1232" s="25"/>
      <c r="BL1232" s="25"/>
      <c r="BM1232" s="25"/>
      <c r="BN1232" s="25"/>
      <c r="BO1232" s="25"/>
      <c r="BP1232" s="25"/>
    </row>
    <row r="1233">
      <c r="A1233" s="25"/>
      <c r="B1233" s="168"/>
      <c r="C1233" s="25"/>
      <c r="D1233" s="25"/>
      <c r="E1233" s="25"/>
      <c r="F1233" s="25"/>
      <c r="G1233" s="84"/>
      <c r="H1233" s="25"/>
      <c r="I1233" s="25"/>
      <c r="J1233" s="25"/>
      <c r="K1233" s="169"/>
      <c r="L1233" s="169"/>
      <c r="M1233" s="170" t="b">
        <v>0</v>
      </c>
      <c r="N1233" s="170" t="b">
        <v>0</v>
      </c>
      <c r="O1233" s="48"/>
      <c r="P1233" s="170" t="b">
        <v>0</v>
      </c>
      <c r="Q1233" s="170" t="b">
        <v>0</v>
      </c>
      <c r="R1233" s="170" t="b">
        <v>0</v>
      </c>
      <c r="S1233" s="48"/>
      <c r="T1233" s="60"/>
      <c r="U1233" s="170" t="b">
        <v>0</v>
      </c>
      <c r="V1233" s="170"/>
      <c r="W1233" s="170" t="b">
        <v>0</v>
      </c>
      <c r="X1233" s="170" t="b">
        <v>0</v>
      </c>
      <c r="Y1233" s="170"/>
      <c r="Z1233" s="170"/>
      <c r="AA1233" s="170"/>
      <c r="AB1233" s="170"/>
      <c r="AC1233" s="171"/>
      <c r="AD1233" s="170"/>
      <c r="AE1233" s="170"/>
      <c r="AF1233" s="170"/>
      <c r="AG1233" s="170"/>
      <c r="AH1233" s="170"/>
      <c r="AI1233" s="170"/>
      <c r="AJ1233" s="172"/>
      <c r="AK1233" s="50"/>
      <c r="AL1233" s="25"/>
      <c r="AM1233" s="25"/>
      <c r="AN1233" s="25"/>
      <c r="AO1233" s="165"/>
      <c r="AP1233" s="78"/>
      <c r="AQ1233" s="25"/>
      <c r="AR1233" s="25"/>
      <c r="AS1233" s="25"/>
      <c r="AT1233" s="25"/>
      <c r="AU1233" s="25"/>
      <c r="AV1233" s="25"/>
      <c r="AW1233" s="25"/>
      <c r="AX1233" s="25"/>
      <c r="AY1233" s="25"/>
      <c r="AZ1233" s="25"/>
      <c r="BA1233" s="25"/>
      <c r="BB1233" s="25"/>
      <c r="BC1233" s="25"/>
      <c r="BD1233" s="25"/>
      <c r="BE1233" s="25"/>
      <c r="BF1233" s="25"/>
      <c r="BG1233" s="25"/>
      <c r="BH1233" s="25"/>
      <c r="BI1233" s="25"/>
      <c r="BJ1233" s="25"/>
      <c r="BK1233" s="25"/>
      <c r="BL1233" s="25"/>
      <c r="BM1233" s="25"/>
      <c r="BN1233" s="25"/>
      <c r="BO1233" s="25"/>
      <c r="BP1233" s="25"/>
    </row>
    <row r="1234">
      <c r="A1234" s="25"/>
      <c r="B1234" s="168"/>
      <c r="C1234" s="25"/>
      <c r="D1234" s="25"/>
      <c r="E1234" s="25"/>
      <c r="F1234" s="25"/>
      <c r="G1234" s="84"/>
      <c r="H1234" s="25"/>
      <c r="I1234" s="25"/>
      <c r="J1234" s="25"/>
      <c r="K1234" s="169"/>
      <c r="L1234" s="169"/>
      <c r="M1234" s="170" t="b">
        <v>0</v>
      </c>
      <c r="N1234" s="170" t="b">
        <v>0</v>
      </c>
      <c r="O1234" s="48"/>
      <c r="P1234" s="170" t="b">
        <v>0</v>
      </c>
      <c r="Q1234" s="170" t="b">
        <v>0</v>
      </c>
      <c r="R1234" s="170" t="b">
        <v>0</v>
      </c>
      <c r="S1234" s="48"/>
      <c r="T1234" s="60"/>
      <c r="U1234" s="170" t="b">
        <v>0</v>
      </c>
      <c r="V1234" s="170"/>
      <c r="W1234" s="170" t="b">
        <v>0</v>
      </c>
      <c r="X1234" s="170" t="b">
        <v>0</v>
      </c>
      <c r="Y1234" s="170"/>
      <c r="Z1234" s="170"/>
      <c r="AA1234" s="170"/>
      <c r="AB1234" s="170"/>
      <c r="AC1234" s="171"/>
      <c r="AD1234" s="170"/>
      <c r="AE1234" s="170"/>
      <c r="AF1234" s="170"/>
      <c r="AG1234" s="170"/>
      <c r="AH1234" s="170"/>
      <c r="AI1234" s="170"/>
      <c r="AJ1234" s="172"/>
      <c r="AK1234" s="50"/>
      <c r="AL1234" s="25"/>
      <c r="AM1234" s="25"/>
      <c r="AN1234" s="25"/>
      <c r="AO1234" s="165"/>
      <c r="AP1234" s="78"/>
      <c r="AQ1234" s="25"/>
      <c r="AR1234" s="25"/>
      <c r="AS1234" s="25"/>
      <c r="AT1234" s="25"/>
      <c r="AU1234" s="25"/>
      <c r="AV1234" s="25"/>
      <c r="AW1234" s="25"/>
      <c r="AX1234" s="25"/>
      <c r="AY1234" s="25"/>
      <c r="AZ1234" s="25"/>
      <c r="BA1234" s="25"/>
      <c r="BB1234" s="25"/>
      <c r="BC1234" s="25"/>
      <c r="BD1234" s="25"/>
      <c r="BE1234" s="25"/>
      <c r="BF1234" s="25"/>
      <c r="BG1234" s="25"/>
      <c r="BH1234" s="25"/>
      <c r="BI1234" s="25"/>
      <c r="BJ1234" s="25"/>
      <c r="BK1234" s="25"/>
      <c r="BL1234" s="25"/>
      <c r="BM1234" s="25"/>
      <c r="BN1234" s="25"/>
      <c r="BO1234" s="25"/>
      <c r="BP1234" s="25"/>
    </row>
    <row r="1235">
      <c r="A1235" s="25"/>
      <c r="B1235" s="168"/>
      <c r="C1235" s="25"/>
      <c r="D1235" s="25"/>
      <c r="E1235" s="25"/>
      <c r="F1235" s="25"/>
      <c r="G1235" s="84"/>
      <c r="H1235" s="25"/>
      <c r="I1235" s="25"/>
      <c r="J1235" s="25"/>
      <c r="K1235" s="169"/>
      <c r="L1235" s="169"/>
      <c r="M1235" s="170" t="b">
        <v>0</v>
      </c>
      <c r="N1235" s="170" t="b">
        <v>0</v>
      </c>
      <c r="O1235" s="48"/>
      <c r="P1235" s="170" t="b">
        <v>0</v>
      </c>
      <c r="Q1235" s="170" t="b">
        <v>0</v>
      </c>
      <c r="R1235" s="170" t="b">
        <v>0</v>
      </c>
      <c r="S1235" s="48"/>
      <c r="T1235" s="60"/>
      <c r="U1235" s="170" t="b">
        <v>0</v>
      </c>
      <c r="V1235" s="170"/>
      <c r="W1235" s="170" t="b">
        <v>0</v>
      </c>
      <c r="X1235" s="170" t="b">
        <v>0</v>
      </c>
      <c r="Y1235" s="170"/>
      <c r="Z1235" s="170"/>
      <c r="AA1235" s="170"/>
      <c r="AB1235" s="170"/>
      <c r="AC1235" s="171"/>
      <c r="AD1235" s="170"/>
      <c r="AE1235" s="170"/>
      <c r="AF1235" s="170"/>
      <c r="AG1235" s="170"/>
      <c r="AH1235" s="170"/>
      <c r="AI1235" s="170"/>
      <c r="AJ1235" s="172"/>
      <c r="AK1235" s="50"/>
      <c r="AL1235" s="25"/>
      <c r="AM1235" s="25"/>
      <c r="AN1235" s="25"/>
      <c r="AO1235" s="165"/>
      <c r="AP1235" s="78"/>
      <c r="AQ1235" s="25"/>
      <c r="AR1235" s="25"/>
      <c r="AS1235" s="25"/>
      <c r="AT1235" s="25"/>
      <c r="AU1235" s="25"/>
      <c r="AV1235" s="25"/>
      <c r="AW1235" s="25"/>
      <c r="AX1235" s="25"/>
      <c r="AY1235" s="25"/>
      <c r="AZ1235" s="25"/>
      <c r="BA1235" s="25"/>
      <c r="BB1235" s="25"/>
      <c r="BC1235" s="25"/>
      <c r="BD1235" s="25"/>
      <c r="BE1235" s="25"/>
      <c r="BF1235" s="25"/>
      <c r="BG1235" s="25"/>
      <c r="BH1235" s="25"/>
      <c r="BI1235" s="25"/>
      <c r="BJ1235" s="25"/>
      <c r="BK1235" s="25"/>
      <c r="BL1235" s="25"/>
      <c r="BM1235" s="25"/>
      <c r="BN1235" s="25"/>
      <c r="BO1235" s="25"/>
      <c r="BP1235" s="25"/>
    </row>
    <row r="1236">
      <c r="A1236" s="25"/>
      <c r="B1236" s="168"/>
      <c r="C1236" s="25"/>
      <c r="D1236" s="25"/>
      <c r="E1236" s="25"/>
      <c r="F1236" s="25"/>
      <c r="G1236" s="84"/>
      <c r="H1236" s="25"/>
      <c r="I1236" s="25"/>
      <c r="J1236" s="25"/>
      <c r="K1236" s="169"/>
      <c r="L1236" s="169"/>
      <c r="M1236" s="170" t="b">
        <v>0</v>
      </c>
      <c r="N1236" s="170" t="b">
        <v>0</v>
      </c>
      <c r="O1236" s="48"/>
      <c r="P1236" s="170" t="b">
        <v>0</v>
      </c>
      <c r="Q1236" s="170" t="b">
        <v>0</v>
      </c>
      <c r="R1236" s="170" t="b">
        <v>0</v>
      </c>
      <c r="S1236" s="48"/>
      <c r="T1236" s="60"/>
      <c r="U1236" s="170" t="b">
        <v>0</v>
      </c>
      <c r="V1236" s="170"/>
      <c r="W1236" s="170" t="b">
        <v>0</v>
      </c>
      <c r="X1236" s="170" t="b">
        <v>0</v>
      </c>
      <c r="Y1236" s="170"/>
      <c r="Z1236" s="170"/>
      <c r="AA1236" s="170"/>
      <c r="AB1236" s="170"/>
      <c r="AC1236" s="171"/>
      <c r="AD1236" s="170"/>
      <c r="AE1236" s="170"/>
      <c r="AF1236" s="170"/>
      <c r="AG1236" s="170"/>
      <c r="AH1236" s="170"/>
      <c r="AI1236" s="170"/>
      <c r="AJ1236" s="172"/>
      <c r="AK1236" s="50"/>
      <c r="AL1236" s="25"/>
      <c r="AM1236" s="25"/>
      <c r="AN1236" s="25"/>
      <c r="AO1236" s="165"/>
      <c r="AP1236" s="78"/>
      <c r="AQ1236" s="25"/>
      <c r="AR1236" s="25"/>
      <c r="AS1236" s="25"/>
      <c r="AT1236" s="25"/>
      <c r="AU1236" s="25"/>
      <c r="AV1236" s="25"/>
      <c r="AW1236" s="25"/>
      <c r="AX1236" s="25"/>
      <c r="AY1236" s="25"/>
      <c r="AZ1236" s="25"/>
      <c r="BA1236" s="25"/>
      <c r="BB1236" s="25"/>
      <c r="BC1236" s="25"/>
      <c r="BD1236" s="25"/>
      <c r="BE1236" s="25"/>
      <c r="BF1236" s="25"/>
      <c r="BG1236" s="25"/>
      <c r="BH1236" s="25"/>
      <c r="BI1236" s="25"/>
      <c r="BJ1236" s="25"/>
      <c r="BK1236" s="25"/>
      <c r="BL1236" s="25"/>
      <c r="BM1236" s="25"/>
      <c r="BN1236" s="25"/>
      <c r="BO1236" s="25"/>
      <c r="BP1236" s="25"/>
    </row>
    <row r="1237">
      <c r="A1237" s="25"/>
      <c r="B1237" s="168"/>
      <c r="C1237" s="25"/>
      <c r="D1237" s="25"/>
      <c r="E1237" s="25"/>
      <c r="F1237" s="25"/>
      <c r="G1237" s="84"/>
      <c r="H1237" s="25"/>
      <c r="I1237" s="25"/>
      <c r="J1237" s="25"/>
      <c r="K1237" s="169"/>
      <c r="L1237" s="169"/>
      <c r="M1237" s="170" t="b">
        <v>0</v>
      </c>
      <c r="N1237" s="170" t="b">
        <v>0</v>
      </c>
      <c r="O1237" s="48"/>
      <c r="P1237" s="170" t="b">
        <v>0</v>
      </c>
      <c r="Q1237" s="170" t="b">
        <v>0</v>
      </c>
      <c r="R1237" s="170" t="b">
        <v>0</v>
      </c>
      <c r="S1237" s="48"/>
      <c r="T1237" s="60"/>
      <c r="U1237" s="170" t="b">
        <v>0</v>
      </c>
      <c r="V1237" s="170"/>
      <c r="W1237" s="170" t="b">
        <v>0</v>
      </c>
      <c r="X1237" s="170" t="b">
        <v>0</v>
      </c>
      <c r="Y1237" s="170"/>
      <c r="Z1237" s="170"/>
      <c r="AA1237" s="170"/>
      <c r="AB1237" s="170"/>
      <c r="AC1237" s="171"/>
      <c r="AD1237" s="170"/>
      <c r="AE1237" s="170"/>
      <c r="AF1237" s="170"/>
      <c r="AG1237" s="170"/>
      <c r="AH1237" s="170"/>
      <c r="AI1237" s="170"/>
      <c r="AJ1237" s="172"/>
      <c r="AK1237" s="50"/>
      <c r="AL1237" s="25"/>
      <c r="AM1237" s="25"/>
      <c r="AN1237" s="25"/>
      <c r="AO1237" s="165"/>
      <c r="AP1237" s="78"/>
      <c r="AQ1237" s="25"/>
      <c r="AR1237" s="25"/>
      <c r="AS1237" s="25"/>
      <c r="AT1237" s="25"/>
      <c r="AU1237" s="25"/>
      <c r="AV1237" s="25"/>
      <c r="AW1237" s="25"/>
      <c r="AX1237" s="25"/>
      <c r="AY1237" s="25"/>
      <c r="AZ1237" s="25"/>
      <c r="BA1237" s="25"/>
      <c r="BB1237" s="25"/>
      <c r="BC1237" s="25"/>
      <c r="BD1237" s="25"/>
      <c r="BE1237" s="25"/>
      <c r="BF1237" s="25"/>
      <c r="BG1237" s="25"/>
      <c r="BH1237" s="25"/>
      <c r="BI1237" s="25"/>
      <c r="BJ1237" s="25"/>
      <c r="BK1237" s="25"/>
      <c r="BL1237" s="25"/>
      <c r="BM1237" s="25"/>
      <c r="BN1237" s="25"/>
      <c r="BO1237" s="25"/>
      <c r="BP1237" s="25"/>
    </row>
    <row r="1238">
      <c r="A1238" s="25"/>
      <c r="B1238" s="168"/>
      <c r="C1238" s="25"/>
      <c r="D1238" s="25"/>
      <c r="E1238" s="25"/>
      <c r="F1238" s="25"/>
      <c r="G1238" s="84"/>
      <c r="H1238" s="25"/>
      <c r="I1238" s="25"/>
      <c r="J1238" s="25"/>
      <c r="K1238" s="169"/>
      <c r="L1238" s="169"/>
      <c r="M1238" s="170" t="b">
        <v>0</v>
      </c>
      <c r="N1238" s="170" t="b">
        <v>0</v>
      </c>
      <c r="O1238" s="48"/>
      <c r="P1238" s="170" t="b">
        <v>0</v>
      </c>
      <c r="Q1238" s="170" t="b">
        <v>0</v>
      </c>
      <c r="R1238" s="170" t="b">
        <v>0</v>
      </c>
      <c r="S1238" s="48"/>
      <c r="T1238" s="60"/>
      <c r="U1238" s="170" t="b">
        <v>0</v>
      </c>
      <c r="V1238" s="170"/>
      <c r="W1238" s="170" t="b">
        <v>0</v>
      </c>
      <c r="X1238" s="170" t="b">
        <v>0</v>
      </c>
      <c r="Y1238" s="170"/>
      <c r="Z1238" s="170"/>
      <c r="AA1238" s="170"/>
      <c r="AB1238" s="170"/>
      <c r="AC1238" s="171"/>
      <c r="AD1238" s="170"/>
      <c r="AE1238" s="170"/>
      <c r="AF1238" s="170"/>
      <c r="AG1238" s="170"/>
      <c r="AH1238" s="170"/>
      <c r="AI1238" s="170"/>
      <c r="AJ1238" s="172"/>
      <c r="AK1238" s="50"/>
      <c r="AL1238" s="25"/>
      <c r="AM1238" s="25"/>
      <c r="AN1238" s="25"/>
      <c r="AO1238" s="165"/>
      <c r="AP1238" s="78"/>
      <c r="AQ1238" s="25"/>
      <c r="AR1238" s="25"/>
      <c r="AS1238" s="25"/>
      <c r="AT1238" s="25"/>
      <c r="AU1238" s="25"/>
      <c r="AV1238" s="25"/>
      <c r="AW1238" s="25"/>
      <c r="AX1238" s="25"/>
      <c r="AY1238" s="25"/>
      <c r="AZ1238" s="25"/>
      <c r="BA1238" s="25"/>
      <c r="BB1238" s="25"/>
      <c r="BC1238" s="25"/>
      <c r="BD1238" s="25"/>
      <c r="BE1238" s="25"/>
      <c r="BF1238" s="25"/>
      <c r="BG1238" s="25"/>
      <c r="BH1238" s="25"/>
      <c r="BI1238" s="25"/>
      <c r="BJ1238" s="25"/>
      <c r="BK1238" s="25"/>
      <c r="BL1238" s="25"/>
      <c r="BM1238" s="25"/>
      <c r="BN1238" s="25"/>
      <c r="BO1238" s="25"/>
      <c r="BP1238" s="25"/>
    </row>
    <row r="1239">
      <c r="A1239" s="25"/>
      <c r="B1239" s="168"/>
      <c r="C1239" s="25"/>
      <c r="D1239" s="25"/>
      <c r="E1239" s="25"/>
      <c r="F1239" s="25"/>
      <c r="G1239" s="84"/>
      <c r="H1239" s="25"/>
      <c r="I1239" s="25"/>
      <c r="J1239" s="25"/>
      <c r="K1239" s="169"/>
      <c r="L1239" s="169"/>
      <c r="M1239" s="170" t="b">
        <v>0</v>
      </c>
      <c r="N1239" s="170" t="b">
        <v>0</v>
      </c>
      <c r="O1239" s="48"/>
      <c r="P1239" s="170" t="b">
        <v>0</v>
      </c>
      <c r="Q1239" s="170" t="b">
        <v>0</v>
      </c>
      <c r="R1239" s="170" t="b">
        <v>0</v>
      </c>
      <c r="S1239" s="48"/>
      <c r="T1239" s="60"/>
      <c r="U1239" s="170" t="b">
        <v>0</v>
      </c>
      <c r="V1239" s="170"/>
      <c r="W1239" s="170" t="b">
        <v>0</v>
      </c>
      <c r="X1239" s="170" t="b">
        <v>0</v>
      </c>
      <c r="Y1239" s="170"/>
      <c r="Z1239" s="170"/>
      <c r="AA1239" s="170"/>
      <c r="AB1239" s="170"/>
      <c r="AC1239" s="171"/>
      <c r="AD1239" s="170"/>
      <c r="AE1239" s="170"/>
      <c r="AF1239" s="170"/>
      <c r="AG1239" s="170"/>
      <c r="AH1239" s="170"/>
      <c r="AI1239" s="170"/>
      <c r="AJ1239" s="172"/>
      <c r="AK1239" s="50"/>
      <c r="AL1239" s="25"/>
      <c r="AM1239" s="25"/>
      <c r="AN1239" s="25"/>
      <c r="AO1239" s="165"/>
      <c r="AP1239" s="78"/>
      <c r="AQ1239" s="25"/>
      <c r="AR1239" s="25"/>
      <c r="AS1239" s="25"/>
      <c r="AT1239" s="25"/>
      <c r="AU1239" s="25"/>
      <c r="AV1239" s="25"/>
      <c r="AW1239" s="25"/>
      <c r="AX1239" s="25"/>
      <c r="AY1239" s="25"/>
      <c r="AZ1239" s="25"/>
      <c r="BA1239" s="25"/>
      <c r="BB1239" s="25"/>
      <c r="BC1239" s="25"/>
      <c r="BD1239" s="25"/>
      <c r="BE1239" s="25"/>
      <c r="BF1239" s="25"/>
      <c r="BG1239" s="25"/>
      <c r="BH1239" s="25"/>
      <c r="BI1239" s="25"/>
      <c r="BJ1239" s="25"/>
      <c r="BK1239" s="25"/>
      <c r="BL1239" s="25"/>
      <c r="BM1239" s="25"/>
      <c r="BN1239" s="25"/>
      <c r="BO1239" s="25"/>
      <c r="BP1239" s="25"/>
    </row>
    <row r="1240">
      <c r="A1240" s="25"/>
      <c r="B1240" s="168"/>
      <c r="C1240" s="25"/>
      <c r="D1240" s="25"/>
      <c r="E1240" s="25"/>
      <c r="F1240" s="25"/>
      <c r="G1240" s="84"/>
      <c r="H1240" s="25"/>
      <c r="I1240" s="25"/>
      <c r="J1240" s="25"/>
      <c r="K1240" s="169"/>
      <c r="L1240" s="169"/>
      <c r="M1240" s="170" t="b">
        <v>0</v>
      </c>
      <c r="N1240" s="170" t="b">
        <v>0</v>
      </c>
      <c r="O1240" s="48"/>
      <c r="P1240" s="170" t="b">
        <v>0</v>
      </c>
      <c r="Q1240" s="170" t="b">
        <v>0</v>
      </c>
      <c r="R1240" s="170" t="b">
        <v>0</v>
      </c>
      <c r="S1240" s="48"/>
      <c r="T1240" s="60"/>
      <c r="U1240" s="170" t="b">
        <v>0</v>
      </c>
      <c r="V1240" s="170"/>
      <c r="W1240" s="170" t="b">
        <v>0</v>
      </c>
      <c r="X1240" s="170" t="b">
        <v>0</v>
      </c>
      <c r="Y1240" s="170"/>
      <c r="Z1240" s="170"/>
      <c r="AA1240" s="170"/>
      <c r="AB1240" s="170"/>
      <c r="AC1240" s="171"/>
      <c r="AD1240" s="170"/>
      <c r="AE1240" s="170"/>
      <c r="AF1240" s="170"/>
      <c r="AG1240" s="170"/>
      <c r="AH1240" s="170"/>
      <c r="AI1240" s="170"/>
      <c r="AJ1240" s="172"/>
      <c r="AK1240" s="50"/>
      <c r="AL1240" s="25"/>
      <c r="AM1240" s="25"/>
      <c r="AN1240" s="25"/>
      <c r="AO1240" s="165"/>
      <c r="AP1240" s="78"/>
      <c r="AQ1240" s="25"/>
      <c r="AR1240" s="25"/>
      <c r="AS1240" s="25"/>
      <c r="AT1240" s="25"/>
      <c r="AU1240" s="25"/>
      <c r="AV1240" s="25"/>
      <c r="AW1240" s="25"/>
      <c r="AX1240" s="25"/>
      <c r="AY1240" s="25"/>
      <c r="AZ1240" s="25"/>
      <c r="BA1240" s="25"/>
      <c r="BB1240" s="25"/>
      <c r="BC1240" s="25"/>
      <c r="BD1240" s="25"/>
      <c r="BE1240" s="25"/>
      <c r="BF1240" s="25"/>
      <c r="BG1240" s="25"/>
      <c r="BH1240" s="25"/>
      <c r="BI1240" s="25"/>
      <c r="BJ1240" s="25"/>
      <c r="BK1240" s="25"/>
      <c r="BL1240" s="25"/>
      <c r="BM1240" s="25"/>
      <c r="BN1240" s="25"/>
      <c r="BO1240" s="25"/>
      <c r="BP1240" s="25"/>
    </row>
    <row r="1241">
      <c r="A1241" s="25"/>
      <c r="B1241" s="168"/>
      <c r="C1241" s="25"/>
      <c r="D1241" s="25"/>
      <c r="E1241" s="25"/>
      <c r="F1241" s="25"/>
      <c r="G1241" s="84"/>
      <c r="H1241" s="25"/>
      <c r="I1241" s="25"/>
      <c r="J1241" s="25"/>
      <c r="K1241" s="169"/>
      <c r="L1241" s="169"/>
      <c r="M1241" s="170" t="b">
        <v>0</v>
      </c>
      <c r="N1241" s="170" t="b">
        <v>0</v>
      </c>
      <c r="O1241" s="48"/>
      <c r="P1241" s="170" t="b">
        <v>0</v>
      </c>
      <c r="Q1241" s="170" t="b">
        <v>0</v>
      </c>
      <c r="R1241" s="170" t="b">
        <v>0</v>
      </c>
      <c r="S1241" s="48"/>
      <c r="T1241" s="60"/>
      <c r="U1241" s="170" t="b">
        <v>0</v>
      </c>
      <c r="V1241" s="170"/>
      <c r="W1241" s="170" t="b">
        <v>0</v>
      </c>
      <c r="X1241" s="170" t="b">
        <v>0</v>
      </c>
      <c r="Y1241" s="170"/>
      <c r="Z1241" s="170"/>
      <c r="AA1241" s="170"/>
      <c r="AB1241" s="170"/>
      <c r="AC1241" s="171"/>
      <c r="AD1241" s="170"/>
      <c r="AE1241" s="170"/>
      <c r="AF1241" s="170"/>
      <c r="AG1241" s="170"/>
      <c r="AH1241" s="170"/>
      <c r="AI1241" s="170"/>
      <c r="AJ1241" s="172"/>
      <c r="AK1241" s="50"/>
      <c r="AL1241" s="25"/>
      <c r="AM1241" s="25"/>
      <c r="AN1241" s="25"/>
      <c r="AO1241" s="165"/>
      <c r="AP1241" s="78"/>
      <c r="AQ1241" s="25"/>
      <c r="AR1241" s="25"/>
      <c r="AS1241" s="25"/>
      <c r="AT1241" s="25"/>
      <c r="AU1241" s="25"/>
      <c r="AV1241" s="25"/>
      <c r="AW1241" s="25"/>
      <c r="AX1241" s="25"/>
      <c r="AY1241" s="25"/>
      <c r="AZ1241" s="25"/>
      <c r="BA1241" s="25"/>
      <c r="BB1241" s="25"/>
      <c r="BC1241" s="25"/>
      <c r="BD1241" s="25"/>
      <c r="BE1241" s="25"/>
      <c r="BF1241" s="25"/>
      <c r="BG1241" s="25"/>
      <c r="BH1241" s="25"/>
      <c r="BI1241" s="25"/>
      <c r="BJ1241" s="25"/>
      <c r="BK1241" s="25"/>
      <c r="BL1241" s="25"/>
      <c r="BM1241" s="25"/>
      <c r="BN1241" s="25"/>
      <c r="BO1241" s="25"/>
      <c r="BP1241" s="25"/>
    </row>
    <row r="1242">
      <c r="A1242" s="25"/>
      <c r="B1242" s="168"/>
      <c r="C1242" s="25"/>
      <c r="D1242" s="25"/>
      <c r="E1242" s="25"/>
      <c r="F1242" s="25"/>
      <c r="G1242" s="84"/>
      <c r="H1242" s="25"/>
      <c r="I1242" s="25"/>
      <c r="J1242" s="25"/>
      <c r="K1242" s="169"/>
      <c r="L1242" s="169"/>
      <c r="M1242" s="170" t="b">
        <v>0</v>
      </c>
      <c r="N1242" s="170" t="b">
        <v>0</v>
      </c>
      <c r="O1242" s="48"/>
      <c r="P1242" s="170" t="b">
        <v>0</v>
      </c>
      <c r="Q1242" s="170" t="b">
        <v>0</v>
      </c>
      <c r="R1242" s="170" t="b">
        <v>0</v>
      </c>
      <c r="S1242" s="48"/>
      <c r="T1242" s="60"/>
      <c r="U1242" s="170" t="b">
        <v>0</v>
      </c>
      <c r="V1242" s="170"/>
      <c r="W1242" s="170" t="b">
        <v>0</v>
      </c>
      <c r="X1242" s="170" t="b">
        <v>0</v>
      </c>
      <c r="Y1242" s="170"/>
      <c r="Z1242" s="170"/>
      <c r="AA1242" s="170"/>
      <c r="AB1242" s="170"/>
      <c r="AC1242" s="171"/>
      <c r="AD1242" s="170"/>
      <c r="AE1242" s="170"/>
      <c r="AF1242" s="170"/>
      <c r="AG1242" s="170"/>
      <c r="AH1242" s="170"/>
      <c r="AI1242" s="170"/>
      <c r="AJ1242" s="172"/>
      <c r="AK1242" s="50"/>
      <c r="AL1242" s="25"/>
      <c r="AM1242" s="25"/>
      <c r="AN1242" s="25"/>
      <c r="AO1242" s="165"/>
      <c r="AP1242" s="78"/>
      <c r="AQ1242" s="25"/>
      <c r="AR1242" s="25"/>
      <c r="AS1242" s="25"/>
      <c r="AT1242" s="25"/>
      <c r="AU1242" s="25"/>
      <c r="AV1242" s="25"/>
      <c r="AW1242" s="25"/>
      <c r="AX1242" s="25"/>
      <c r="AY1242" s="25"/>
      <c r="AZ1242" s="25"/>
      <c r="BA1242" s="25"/>
      <c r="BB1242" s="25"/>
      <c r="BC1242" s="25"/>
      <c r="BD1242" s="25"/>
      <c r="BE1242" s="25"/>
      <c r="BF1242" s="25"/>
      <c r="BG1242" s="25"/>
      <c r="BH1242" s="25"/>
      <c r="BI1242" s="25"/>
      <c r="BJ1242" s="25"/>
      <c r="BK1242" s="25"/>
      <c r="BL1242" s="25"/>
      <c r="BM1242" s="25"/>
      <c r="BN1242" s="25"/>
      <c r="BO1242" s="25"/>
      <c r="BP1242" s="25"/>
    </row>
    <row r="1243">
      <c r="A1243" s="25"/>
      <c r="B1243" s="168"/>
      <c r="C1243" s="25"/>
      <c r="D1243" s="25"/>
      <c r="E1243" s="25"/>
      <c r="F1243" s="25"/>
      <c r="G1243" s="84"/>
      <c r="H1243" s="25"/>
      <c r="I1243" s="25"/>
      <c r="J1243" s="25"/>
      <c r="K1243" s="169"/>
      <c r="L1243" s="169"/>
      <c r="M1243" s="170" t="b">
        <v>0</v>
      </c>
      <c r="N1243" s="170" t="b">
        <v>0</v>
      </c>
      <c r="O1243" s="48"/>
      <c r="P1243" s="170" t="b">
        <v>0</v>
      </c>
      <c r="Q1243" s="170" t="b">
        <v>0</v>
      </c>
      <c r="R1243" s="170" t="b">
        <v>0</v>
      </c>
      <c r="S1243" s="48"/>
      <c r="T1243" s="60"/>
      <c r="U1243" s="170" t="b">
        <v>0</v>
      </c>
      <c r="V1243" s="170"/>
      <c r="W1243" s="170" t="b">
        <v>0</v>
      </c>
      <c r="X1243" s="170" t="b">
        <v>0</v>
      </c>
      <c r="Y1243" s="170"/>
      <c r="Z1243" s="170"/>
      <c r="AA1243" s="170"/>
      <c r="AB1243" s="170"/>
      <c r="AC1243" s="171"/>
      <c r="AD1243" s="170"/>
      <c r="AE1243" s="170"/>
      <c r="AF1243" s="170"/>
      <c r="AG1243" s="170"/>
      <c r="AH1243" s="170"/>
      <c r="AI1243" s="170"/>
      <c r="AJ1243" s="172"/>
      <c r="AK1243" s="50"/>
      <c r="AL1243" s="25"/>
      <c r="AM1243" s="25"/>
      <c r="AN1243" s="25"/>
      <c r="AO1243" s="165"/>
      <c r="AP1243" s="78"/>
      <c r="AQ1243" s="25"/>
      <c r="AR1243" s="25"/>
      <c r="AS1243" s="25"/>
      <c r="AT1243" s="25"/>
      <c r="AU1243" s="25"/>
      <c r="AV1243" s="25"/>
      <c r="AW1243" s="25"/>
      <c r="AX1243" s="25"/>
      <c r="AY1243" s="25"/>
      <c r="AZ1243" s="25"/>
      <c r="BA1243" s="25"/>
      <c r="BB1243" s="25"/>
      <c r="BC1243" s="25"/>
      <c r="BD1243" s="25"/>
      <c r="BE1243" s="25"/>
      <c r="BF1243" s="25"/>
      <c r="BG1243" s="25"/>
      <c r="BH1243" s="25"/>
      <c r="BI1243" s="25"/>
      <c r="BJ1243" s="25"/>
      <c r="BK1243" s="25"/>
      <c r="BL1243" s="25"/>
      <c r="BM1243" s="25"/>
      <c r="BN1243" s="25"/>
      <c r="BO1243" s="25"/>
      <c r="BP1243" s="25"/>
    </row>
    <row r="1244">
      <c r="A1244" s="25"/>
      <c r="B1244" s="168"/>
      <c r="C1244" s="25"/>
      <c r="D1244" s="25"/>
      <c r="E1244" s="25"/>
      <c r="F1244" s="25"/>
      <c r="G1244" s="84"/>
      <c r="H1244" s="25"/>
      <c r="I1244" s="25"/>
      <c r="J1244" s="25"/>
      <c r="K1244" s="169"/>
      <c r="L1244" s="169"/>
      <c r="M1244" s="170" t="b">
        <v>0</v>
      </c>
      <c r="N1244" s="170" t="b">
        <v>0</v>
      </c>
      <c r="O1244" s="48"/>
      <c r="P1244" s="170" t="b">
        <v>0</v>
      </c>
      <c r="Q1244" s="170" t="b">
        <v>0</v>
      </c>
      <c r="R1244" s="170" t="b">
        <v>0</v>
      </c>
      <c r="S1244" s="48"/>
      <c r="T1244" s="60"/>
      <c r="U1244" s="170" t="b">
        <v>0</v>
      </c>
      <c r="V1244" s="170"/>
      <c r="W1244" s="170" t="b">
        <v>0</v>
      </c>
      <c r="X1244" s="170" t="b">
        <v>0</v>
      </c>
      <c r="Y1244" s="170"/>
      <c r="Z1244" s="170"/>
      <c r="AA1244" s="170"/>
      <c r="AB1244" s="170"/>
      <c r="AC1244" s="171"/>
      <c r="AD1244" s="170"/>
      <c r="AE1244" s="170"/>
      <c r="AF1244" s="170"/>
      <c r="AG1244" s="170"/>
      <c r="AH1244" s="170"/>
      <c r="AI1244" s="170"/>
      <c r="AJ1244" s="172"/>
      <c r="AK1244" s="50"/>
      <c r="AL1244" s="25"/>
      <c r="AM1244" s="25"/>
      <c r="AN1244" s="25"/>
      <c r="AO1244" s="165"/>
      <c r="AP1244" s="78"/>
      <c r="AQ1244" s="25"/>
      <c r="AR1244" s="25"/>
      <c r="AS1244" s="25"/>
      <c r="AT1244" s="25"/>
      <c r="AU1244" s="25"/>
      <c r="AV1244" s="25"/>
      <c r="AW1244" s="25"/>
      <c r="AX1244" s="25"/>
      <c r="AY1244" s="25"/>
      <c r="AZ1244" s="25"/>
      <c r="BA1244" s="25"/>
      <c r="BB1244" s="25"/>
      <c r="BC1244" s="25"/>
      <c r="BD1244" s="25"/>
      <c r="BE1244" s="25"/>
      <c r="BF1244" s="25"/>
      <c r="BG1244" s="25"/>
      <c r="BH1244" s="25"/>
      <c r="BI1244" s="25"/>
      <c r="BJ1244" s="25"/>
      <c r="BK1244" s="25"/>
      <c r="BL1244" s="25"/>
      <c r="BM1244" s="25"/>
      <c r="BN1244" s="25"/>
      <c r="BO1244" s="25"/>
      <c r="BP1244" s="25"/>
    </row>
    <row r="1245">
      <c r="A1245" s="25"/>
      <c r="B1245" s="168"/>
      <c r="C1245" s="25"/>
      <c r="D1245" s="25"/>
      <c r="E1245" s="25"/>
      <c r="F1245" s="25"/>
      <c r="G1245" s="84"/>
      <c r="H1245" s="25"/>
      <c r="I1245" s="25"/>
      <c r="J1245" s="25"/>
      <c r="K1245" s="169"/>
      <c r="L1245" s="169"/>
      <c r="M1245" s="170" t="b">
        <v>0</v>
      </c>
      <c r="N1245" s="170" t="b">
        <v>0</v>
      </c>
      <c r="O1245" s="48"/>
      <c r="P1245" s="170" t="b">
        <v>0</v>
      </c>
      <c r="Q1245" s="170" t="b">
        <v>0</v>
      </c>
      <c r="R1245" s="170" t="b">
        <v>0</v>
      </c>
      <c r="S1245" s="48"/>
      <c r="T1245" s="60"/>
      <c r="U1245" s="170" t="b">
        <v>0</v>
      </c>
      <c r="V1245" s="170"/>
      <c r="W1245" s="170" t="b">
        <v>0</v>
      </c>
      <c r="X1245" s="170" t="b">
        <v>0</v>
      </c>
      <c r="Y1245" s="170"/>
      <c r="Z1245" s="170"/>
      <c r="AA1245" s="170"/>
      <c r="AB1245" s="170"/>
      <c r="AC1245" s="171"/>
      <c r="AD1245" s="170"/>
      <c r="AE1245" s="170"/>
      <c r="AF1245" s="170"/>
      <c r="AG1245" s="170"/>
      <c r="AH1245" s="170"/>
      <c r="AI1245" s="170"/>
      <c r="AJ1245" s="172"/>
      <c r="AK1245" s="50"/>
      <c r="AL1245" s="25"/>
      <c r="AM1245" s="25"/>
      <c r="AN1245" s="25"/>
      <c r="AO1245" s="165"/>
      <c r="AP1245" s="78"/>
      <c r="AQ1245" s="25"/>
      <c r="AR1245" s="25"/>
      <c r="AS1245" s="25"/>
      <c r="AT1245" s="25"/>
      <c r="AU1245" s="25"/>
      <c r="AV1245" s="25"/>
      <c r="AW1245" s="25"/>
      <c r="AX1245" s="25"/>
      <c r="AY1245" s="25"/>
      <c r="AZ1245" s="25"/>
      <c r="BA1245" s="25"/>
      <c r="BB1245" s="25"/>
      <c r="BC1245" s="25"/>
      <c r="BD1245" s="25"/>
      <c r="BE1245" s="25"/>
      <c r="BF1245" s="25"/>
      <c r="BG1245" s="25"/>
      <c r="BH1245" s="25"/>
      <c r="BI1245" s="25"/>
      <c r="BJ1245" s="25"/>
      <c r="BK1245" s="25"/>
      <c r="BL1245" s="25"/>
      <c r="BM1245" s="25"/>
      <c r="BN1245" s="25"/>
      <c r="BO1245" s="25"/>
      <c r="BP1245" s="25"/>
    </row>
    <row r="1246">
      <c r="A1246" s="25"/>
      <c r="B1246" s="168"/>
      <c r="C1246" s="25"/>
      <c r="D1246" s="25"/>
      <c r="E1246" s="25"/>
      <c r="F1246" s="25"/>
      <c r="G1246" s="84"/>
      <c r="H1246" s="25"/>
      <c r="I1246" s="25"/>
      <c r="J1246" s="25"/>
      <c r="K1246" s="169"/>
      <c r="L1246" s="169"/>
      <c r="M1246" s="170" t="b">
        <v>0</v>
      </c>
      <c r="N1246" s="170" t="b">
        <v>0</v>
      </c>
      <c r="O1246" s="48"/>
      <c r="P1246" s="170" t="b">
        <v>0</v>
      </c>
      <c r="Q1246" s="170" t="b">
        <v>0</v>
      </c>
      <c r="R1246" s="170" t="b">
        <v>0</v>
      </c>
      <c r="S1246" s="48"/>
      <c r="T1246" s="60"/>
      <c r="U1246" s="170" t="b">
        <v>0</v>
      </c>
      <c r="V1246" s="170"/>
      <c r="W1246" s="170" t="b">
        <v>0</v>
      </c>
      <c r="X1246" s="170" t="b">
        <v>0</v>
      </c>
      <c r="Y1246" s="170"/>
      <c r="Z1246" s="170"/>
      <c r="AA1246" s="170"/>
      <c r="AB1246" s="170"/>
      <c r="AC1246" s="171"/>
      <c r="AD1246" s="170"/>
      <c r="AE1246" s="170"/>
      <c r="AF1246" s="170"/>
      <c r="AG1246" s="170"/>
      <c r="AH1246" s="170"/>
      <c r="AI1246" s="170"/>
      <c r="AJ1246" s="172"/>
      <c r="AK1246" s="50"/>
      <c r="AL1246" s="25"/>
      <c r="AM1246" s="25"/>
      <c r="AN1246" s="25"/>
      <c r="AO1246" s="165"/>
      <c r="AP1246" s="78"/>
      <c r="AQ1246" s="25"/>
      <c r="AR1246" s="25"/>
      <c r="AS1246" s="25"/>
      <c r="AT1246" s="25"/>
      <c r="AU1246" s="25"/>
      <c r="AV1246" s="25"/>
      <c r="AW1246" s="25"/>
      <c r="AX1246" s="25"/>
      <c r="AY1246" s="25"/>
      <c r="AZ1246" s="25"/>
      <c r="BA1246" s="25"/>
      <c r="BB1246" s="25"/>
      <c r="BC1246" s="25"/>
      <c r="BD1246" s="25"/>
      <c r="BE1246" s="25"/>
      <c r="BF1246" s="25"/>
      <c r="BG1246" s="25"/>
      <c r="BH1246" s="25"/>
      <c r="BI1246" s="25"/>
      <c r="BJ1246" s="25"/>
      <c r="BK1246" s="25"/>
      <c r="BL1246" s="25"/>
      <c r="BM1246" s="25"/>
      <c r="BN1246" s="25"/>
      <c r="BO1246" s="25"/>
      <c r="BP1246" s="25"/>
    </row>
    <row r="1247">
      <c r="A1247" s="25"/>
      <c r="B1247" s="168"/>
      <c r="C1247" s="25"/>
      <c r="D1247" s="25"/>
      <c r="E1247" s="25"/>
      <c r="F1247" s="25"/>
      <c r="G1247" s="84"/>
      <c r="H1247" s="25"/>
      <c r="I1247" s="25"/>
      <c r="J1247" s="25"/>
      <c r="K1247" s="169"/>
      <c r="L1247" s="169"/>
      <c r="M1247" s="170" t="b">
        <v>0</v>
      </c>
      <c r="N1247" s="170" t="b">
        <v>0</v>
      </c>
      <c r="O1247" s="48"/>
      <c r="P1247" s="170" t="b">
        <v>0</v>
      </c>
      <c r="Q1247" s="170" t="b">
        <v>0</v>
      </c>
      <c r="R1247" s="170" t="b">
        <v>0</v>
      </c>
      <c r="S1247" s="48"/>
      <c r="T1247" s="60"/>
      <c r="U1247" s="170" t="b">
        <v>0</v>
      </c>
      <c r="V1247" s="170"/>
      <c r="W1247" s="170" t="b">
        <v>0</v>
      </c>
      <c r="X1247" s="170" t="b">
        <v>0</v>
      </c>
      <c r="Y1247" s="170"/>
      <c r="Z1247" s="170"/>
      <c r="AA1247" s="170"/>
      <c r="AB1247" s="170"/>
      <c r="AC1247" s="171"/>
      <c r="AD1247" s="170"/>
      <c r="AE1247" s="170"/>
      <c r="AF1247" s="170"/>
      <c r="AG1247" s="170"/>
      <c r="AH1247" s="170"/>
      <c r="AI1247" s="170"/>
      <c r="AJ1247" s="172"/>
      <c r="AK1247" s="50"/>
      <c r="AL1247" s="25"/>
      <c r="AM1247" s="25"/>
      <c r="AN1247" s="25"/>
      <c r="AO1247" s="165"/>
      <c r="AP1247" s="78"/>
      <c r="AQ1247" s="25"/>
      <c r="AR1247" s="25"/>
      <c r="AS1247" s="25"/>
      <c r="AT1247" s="25"/>
      <c r="AU1247" s="25"/>
      <c r="AV1247" s="25"/>
      <c r="AW1247" s="25"/>
      <c r="AX1247" s="25"/>
      <c r="AY1247" s="25"/>
      <c r="AZ1247" s="25"/>
      <c r="BA1247" s="25"/>
      <c r="BB1247" s="25"/>
      <c r="BC1247" s="25"/>
      <c r="BD1247" s="25"/>
      <c r="BE1247" s="25"/>
      <c r="BF1247" s="25"/>
      <c r="BG1247" s="25"/>
      <c r="BH1247" s="25"/>
      <c r="BI1247" s="25"/>
      <c r="BJ1247" s="25"/>
      <c r="BK1247" s="25"/>
      <c r="BL1247" s="25"/>
      <c r="BM1247" s="25"/>
      <c r="BN1247" s="25"/>
      <c r="BO1247" s="25"/>
      <c r="BP1247" s="25"/>
    </row>
    <row r="1248">
      <c r="A1248" s="25"/>
      <c r="B1248" s="168"/>
      <c r="C1248" s="25"/>
      <c r="D1248" s="25"/>
      <c r="E1248" s="25"/>
      <c r="F1248" s="25"/>
      <c r="G1248" s="84"/>
      <c r="H1248" s="25"/>
      <c r="I1248" s="25"/>
      <c r="J1248" s="25"/>
      <c r="K1248" s="169"/>
      <c r="L1248" s="169"/>
      <c r="M1248" s="170" t="b">
        <v>0</v>
      </c>
      <c r="N1248" s="170" t="b">
        <v>0</v>
      </c>
      <c r="O1248" s="48"/>
      <c r="P1248" s="170" t="b">
        <v>0</v>
      </c>
      <c r="Q1248" s="170" t="b">
        <v>0</v>
      </c>
      <c r="R1248" s="170" t="b">
        <v>0</v>
      </c>
      <c r="S1248" s="48"/>
      <c r="T1248" s="60"/>
      <c r="U1248" s="170" t="b">
        <v>0</v>
      </c>
      <c r="V1248" s="170"/>
      <c r="W1248" s="170" t="b">
        <v>0</v>
      </c>
      <c r="X1248" s="170" t="b">
        <v>0</v>
      </c>
      <c r="Y1248" s="170"/>
      <c r="Z1248" s="170"/>
      <c r="AA1248" s="170"/>
      <c r="AB1248" s="170"/>
      <c r="AC1248" s="171"/>
      <c r="AD1248" s="170"/>
      <c r="AE1248" s="170"/>
      <c r="AF1248" s="170"/>
      <c r="AG1248" s="170"/>
      <c r="AH1248" s="170"/>
      <c r="AI1248" s="170"/>
      <c r="AJ1248" s="172"/>
      <c r="AK1248" s="50"/>
      <c r="AL1248" s="25"/>
      <c r="AM1248" s="25"/>
      <c r="AN1248" s="25"/>
      <c r="AO1248" s="165"/>
      <c r="AP1248" s="78"/>
      <c r="AQ1248" s="25"/>
      <c r="AR1248" s="25"/>
      <c r="AS1248" s="25"/>
      <c r="AT1248" s="25"/>
      <c r="AU1248" s="25"/>
      <c r="AV1248" s="25"/>
      <c r="AW1248" s="25"/>
      <c r="AX1248" s="25"/>
      <c r="AY1248" s="25"/>
      <c r="AZ1248" s="25"/>
      <c r="BA1248" s="25"/>
      <c r="BB1248" s="25"/>
      <c r="BC1248" s="25"/>
      <c r="BD1248" s="25"/>
      <c r="BE1248" s="25"/>
      <c r="BF1248" s="25"/>
      <c r="BG1248" s="25"/>
      <c r="BH1248" s="25"/>
      <c r="BI1248" s="25"/>
      <c r="BJ1248" s="25"/>
      <c r="BK1248" s="25"/>
      <c r="BL1248" s="25"/>
      <c r="BM1248" s="25"/>
      <c r="BN1248" s="25"/>
      <c r="BO1248" s="25"/>
      <c r="BP1248" s="25"/>
    </row>
    <row r="1249">
      <c r="A1249" s="25"/>
      <c r="B1249" s="168"/>
      <c r="C1249" s="25"/>
      <c r="D1249" s="25"/>
      <c r="E1249" s="25"/>
      <c r="F1249" s="25"/>
      <c r="G1249" s="84"/>
      <c r="H1249" s="25"/>
      <c r="I1249" s="25"/>
      <c r="J1249" s="25"/>
      <c r="K1249" s="169"/>
      <c r="L1249" s="169"/>
      <c r="M1249" s="170" t="b">
        <v>0</v>
      </c>
      <c r="N1249" s="170" t="b">
        <v>0</v>
      </c>
      <c r="O1249" s="48"/>
      <c r="P1249" s="170" t="b">
        <v>0</v>
      </c>
      <c r="Q1249" s="170" t="b">
        <v>0</v>
      </c>
      <c r="R1249" s="170" t="b">
        <v>0</v>
      </c>
      <c r="S1249" s="48"/>
      <c r="T1249" s="60"/>
      <c r="U1249" s="170" t="b">
        <v>0</v>
      </c>
      <c r="V1249" s="170"/>
      <c r="W1249" s="170" t="b">
        <v>0</v>
      </c>
      <c r="X1249" s="170" t="b">
        <v>0</v>
      </c>
      <c r="Y1249" s="170"/>
      <c r="Z1249" s="170"/>
      <c r="AA1249" s="170"/>
      <c r="AB1249" s="170"/>
      <c r="AC1249" s="171"/>
      <c r="AD1249" s="170"/>
      <c r="AE1249" s="170"/>
      <c r="AF1249" s="170"/>
      <c r="AG1249" s="170"/>
      <c r="AH1249" s="170"/>
      <c r="AI1249" s="170"/>
      <c r="AJ1249" s="172"/>
      <c r="AK1249" s="50"/>
      <c r="AL1249" s="25"/>
      <c r="AM1249" s="25"/>
      <c r="AN1249" s="25"/>
      <c r="AO1249" s="165"/>
      <c r="AP1249" s="78"/>
      <c r="AQ1249" s="25"/>
      <c r="AR1249" s="25"/>
      <c r="AS1249" s="25"/>
      <c r="AT1249" s="25"/>
      <c r="AU1249" s="25"/>
      <c r="AV1249" s="25"/>
      <c r="AW1249" s="25"/>
      <c r="AX1249" s="25"/>
      <c r="AY1249" s="25"/>
      <c r="AZ1249" s="25"/>
      <c r="BA1249" s="25"/>
      <c r="BB1249" s="25"/>
      <c r="BC1249" s="25"/>
      <c r="BD1249" s="25"/>
      <c r="BE1249" s="25"/>
      <c r="BF1249" s="25"/>
      <c r="BG1249" s="25"/>
      <c r="BH1249" s="25"/>
      <c r="BI1249" s="25"/>
      <c r="BJ1249" s="25"/>
      <c r="BK1249" s="25"/>
      <c r="BL1249" s="25"/>
      <c r="BM1249" s="25"/>
      <c r="BN1249" s="25"/>
      <c r="BO1249" s="25"/>
      <c r="BP1249" s="25"/>
    </row>
    <row r="1250">
      <c r="A1250" s="25"/>
      <c r="B1250" s="168"/>
      <c r="C1250" s="25"/>
      <c r="D1250" s="25"/>
      <c r="E1250" s="25"/>
      <c r="F1250" s="25"/>
      <c r="G1250" s="84"/>
      <c r="H1250" s="25"/>
      <c r="I1250" s="25"/>
      <c r="J1250" s="25"/>
      <c r="K1250" s="169"/>
      <c r="L1250" s="169"/>
      <c r="M1250" s="170" t="b">
        <v>0</v>
      </c>
      <c r="N1250" s="170" t="b">
        <v>0</v>
      </c>
      <c r="O1250" s="48"/>
      <c r="P1250" s="170" t="b">
        <v>0</v>
      </c>
      <c r="Q1250" s="170" t="b">
        <v>0</v>
      </c>
      <c r="R1250" s="170" t="b">
        <v>0</v>
      </c>
      <c r="S1250" s="48"/>
      <c r="T1250" s="60"/>
      <c r="U1250" s="170" t="b">
        <v>0</v>
      </c>
      <c r="V1250" s="170"/>
      <c r="W1250" s="170" t="b">
        <v>0</v>
      </c>
      <c r="X1250" s="170" t="b">
        <v>0</v>
      </c>
      <c r="Y1250" s="170"/>
      <c r="Z1250" s="170"/>
      <c r="AA1250" s="170"/>
      <c r="AB1250" s="170"/>
      <c r="AC1250" s="171"/>
      <c r="AD1250" s="170"/>
      <c r="AE1250" s="170"/>
      <c r="AF1250" s="170"/>
      <c r="AG1250" s="170"/>
      <c r="AH1250" s="170"/>
      <c r="AI1250" s="170"/>
      <c r="AJ1250" s="172"/>
      <c r="AK1250" s="50"/>
      <c r="AL1250" s="25"/>
      <c r="AM1250" s="25"/>
      <c r="AN1250" s="25"/>
      <c r="AO1250" s="165"/>
      <c r="AP1250" s="78"/>
      <c r="AQ1250" s="25"/>
      <c r="AR1250" s="25"/>
      <c r="AS1250" s="25"/>
      <c r="AT1250" s="25"/>
      <c r="AU1250" s="25"/>
      <c r="AV1250" s="25"/>
      <c r="AW1250" s="25"/>
      <c r="AX1250" s="25"/>
      <c r="AY1250" s="25"/>
      <c r="AZ1250" s="25"/>
      <c r="BA1250" s="25"/>
      <c r="BB1250" s="25"/>
      <c r="BC1250" s="25"/>
      <c r="BD1250" s="25"/>
      <c r="BE1250" s="25"/>
      <c r="BF1250" s="25"/>
      <c r="BG1250" s="25"/>
      <c r="BH1250" s="25"/>
      <c r="BI1250" s="25"/>
      <c r="BJ1250" s="25"/>
      <c r="BK1250" s="25"/>
      <c r="BL1250" s="25"/>
      <c r="BM1250" s="25"/>
      <c r="BN1250" s="25"/>
      <c r="BO1250" s="25"/>
      <c r="BP1250" s="25"/>
    </row>
    <row r="1251">
      <c r="A1251" s="25"/>
      <c r="B1251" s="168"/>
      <c r="C1251" s="25"/>
      <c r="D1251" s="25"/>
      <c r="E1251" s="25"/>
      <c r="F1251" s="25"/>
      <c r="G1251" s="84"/>
      <c r="H1251" s="25"/>
      <c r="I1251" s="25"/>
      <c r="J1251" s="25"/>
      <c r="K1251" s="169"/>
      <c r="L1251" s="169"/>
      <c r="M1251" s="170" t="b">
        <v>0</v>
      </c>
      <c r="N1251" s="170" t="b">
        <v>0</v>
      </c>
      <c r="O1251" s="48"/>
      <c r="P1251" s="170" t="b">
        <v>0</v>
      </c>
      <c r="Q1251" s="170" t="b">
        <v>0</v>
      </c>
      <c r="R1251" s="170" t="b">
        <v>0</v>
      </c>
      <c r="S1251" s="48"/>
      <c r="T1251" s="60"/>
      <c r="U1251" s="170" t="b">
        <v>0</v>
      </c>
      <c r="V1251" s="170"/>
      <c r="W1251" s="170" t="b">
        <v>0</v>
      </c>
      <c r="X1251" s="170" t="b">
        <v>0</v>
      </c>
      <c r="Y1251" s="170"/>
      <c r="Z1251" s="170"/>
      <c r="AA1251" s="170"/>
      <c r="AB1251" s="170"/>
      <c r="AC1251" s="171"/>
      <c r="AD1251" s="170"/>
      <c r="AE1251" s="170"/>
      <c r="AF1251" s="170"/>
      <c r="AG1251" s="170"/>
      <c r="AH1251" s="170"/>
      <c r="AI1251" s="170"/>
      <c r="AJ1251" s="172"/>
      <c r="AK1251" s="50"/>
      <c r="AL1251" s="25"/>
      <c r="AM1251" s="25"/>
      <c r="AN1251" s="25"/>
      <c r="AO1251" s="165"/>
      <c r="AP1251" s="78"/>
      <c r="AQ1251" s="25"/>
      <c r="AR1251" s="25"/>
      <c r="AS1251" s="25"/>
      <c r="AT1251" s="25"/>
      <c r="AU1251" s="25"/>
      <c r="AV1251" s="25"/>
      <c r="AW1251" s="25"/>
      <c r="AX1251" s="25"/>
      <c r="AY1251" s="25"/>
      <c r="AZ1251" s="25"/>
      <c r="BA1251" s="25"/>
      <c r="BB1251" s="25"/>
      <c r="BC1251" s="25"/>
      <c r="BD1251" s="25"/>
      <c r="BE1251" s="25"/>
      <c r="BF1251" s="25"/>
      <c r="BG1251" s="25"/>
      <c r="BH1251" s="25"/>
      <c r="BI1251" s="25"/>
      <c r="BJ1251" s="25"/>
      <c r="BK1251" s="25"/>
      <c r="BL1251" s="25"/>
      <c r="BM1251" s="25"/>
      <c r="BN1251" s="25"/>
      <c r="BO1251" s="25"/>
      <c r="BP1251" s="25"/>
    </row>
    <row r="1252">
      <c r="A1252" s="25"/>
      <c r="B1252" s="168"/>
      <c r="C1252" s="25"/>
      <c r="D1252" s="25"/>
      <c r="E1252" s="25"/>
      <c r="F1252" s="25"/>
      <c r="G1252" s="84"/>
      <c r="H1252" s="25"/>
      <c r="I1252" s="25"/>
      <c r="J1252" s="25"/>
      <c r="K1252" s="169"/>
      <c r="L1252" s="169"/>
      <c r="M1252" s="170" t="b">
        <v>0</v>
      </c>
      <c r="N1252" s="170" t="b">
        <v>0</v>
      </c>
      <c r="O1252" s="48"/>
      <c r="P1252" s="170" t="b">
        <v>0</v>
      </c>
      <c r="Q1252" s="170" t="b">
        <v>0</v>
      </c>
      <c r="R1252" s="170" t="b">
        <v>0</v>
      </c>
      <c r="S1252" s="48"/>
      <c r="T1252" s="60"/>
      <c r="U1252" s="170" t="b">
        <v>0</v>
      </c>
      <c r="V1252" s="170"/>
      <c r="W1252" s="170" t="b">
        <v>0</v>
      </c>
      <c r="X1252" s="170" t="b">
        <v>0</v>
      </c>
      <c r="Y1252" s="170"/>
      <c r="Z1252" s="170"/>
      <c r="AA1252" s="170"/>
      <c r="AB1252" s="170"/>
      <c r="AC1252" s="171"/>
      <c r="AD1252" s="170"/>
      <c r="AE1252" s="170"/>
      <c r="AF1252" s="170"/>
      <c r="AG1252" s="170"/>
      <c r="AH1252" s="170"/>
      <c r="AI1252" s="170"/>
      <c r="AJ1252" s="172"/>
      <c r="AK1252" s="50"/>
      <c r="AL1252" s="25"/>
      <c r="AM1252" s="25"/>
      <c r="AN1252" s="25"/>
      <c r="AO1252" s="165"/>
      <c r="AP1252" s="78"/>
      <c r="AQ1252" s="25"/>
      <c r="AR1252" s="25"/>
      <c r="AS1252" s="25"/>
      <c r="AT1252" s="25"/>
      <c r="AU1252" s="25"/>
      <c r="AV1252" s="25"/>
      <c r="AW1252" s="25"/>
      <c r="AX1252" s="25"/>
      <c r="AY1252" s="25"/>
      <c r="AZ1252" s="25"/>
      <c r="BA1252" s="25"/>
      <c r="BB1252" s="25"/>
      <c r="BC1252" s="25"/>
      <c r="BD1252" s="25"/>
      <c r="BE1252" s="25"/>
      <c r="BF1252" s="25"/>
      <c r="BG1252" s="25"/>
      <c r="BH1252" s="25"/>
      <c r="BI1252" s="25"/>
      <c r="BJ1252" s="25"/>
      <c r="BK1252" s="25"/>
      <c r="BL1252" s="25"/>
      <c r="BM1252" s="25"/>
      <c r="BN1252" s="25"/>
      <c r="BO1252" s="25"/>
      <c r="BP1252" s="25"/>
    </row>
    <row r="1253">
      <c r="A1253" s="25"/>
      <c r="B1253" s="168"/>
      <c r="C1253" s="25"/>
      <c r="D1253" s="25"/>
      <c r="E1253" s="25"/>
      <c r="F1253" s="25"/>
      <c r="G1253" s="84"/>
      <c r="H1253" s="25"/>
      <c r="I1253" s="25"/>
      <c r="J1253" s="25"/>
      <c r="K1253" s="169"/>
      <c r="L1253" s="169"/>
      <c r="M1253" s="170" t="b">
        <v>0</v>
      </c>
      <c r="N1253" s="170" t="b">
        <v>0</v>
      </c>
      <c r="O1253" s="48"/>
      <c r="P1253" s="170" t="b">
        <v>0</v>
      </c>
      <c r="Q1253" s="170" t="b">
        <v>0</v>
      </c>
      <c r="R1253" s="170" t="b">
        <v>0</v>
      </c>
      <c r="S1253" s="48"/>
      <c r="T1253" s="60"/>
      <c r="U1253" s="170" t="b">
        <v>0</v>
      </c>
      <c r="V1253" s="170"/>
      <c r="W1253" s="170" t="b">
        <v>0</v>
      </c>
      <c r="X1253" s="170" t="b">
        <v>0</v>
      </c>
      <c r="Y1253" s="170"/>
      <c r="Z1253" s="170"/>
      <c r="AA1253" s="170"/>
      <c r="AB1253" s="170"/>
      <c r="AC1253" s="171"/>
      <c r="AD1253" s="170"/>
      <c r="AE1253" s="170"/>
      <c r="AF1253" s="170"/>
      <c r="AG1253" s="170"/>
      <c r="AH1253" s="170"/>
      <c r="AI1253" s="170"/>
      <c r="AJ1253" s="172"/>
      <c r="AK1253" s="50"/>
      <c r="AL1253" s="25"/>
      <c r="AM1253" s="25"/>
      <c r="AN1253" s="25"/>
      <c r="AO1253" s="165"/>
      <c r="AP1253" s="78"/>
      <c r="AQ1253" s="25"/>
      <c r="AR1253" s="25"/>
      <c r="AS1253" s="25"/>
      <c r="AT1253" s="25"/>
      <c r="AU1253" s="25"/>
      <c r="AV1253" s="25"/>
      <c r="AW1253" s="25"/>
      <c r="AX1253" s="25"/>
      <c r="AY1253" s="25"/>
      <c r="AZ1253" s="25"/>
      <c r="BA1253" s="25"/>
      <c r="BB1253" s="25"/>
      <c r="BC1253" s="25"/>
      <c r="BD1253" s="25"/>
      <c r="BE1253" s="25"/>
      <c r="BF1253" s="25"/>
      <c r="BG1253" s="25"/>
      <c r="BH1253" s="25"/>
      <c r="BI1253" s="25"/>
      <c r="BJ1253" s="25"/>
      <c r="BK1253" s="25"/>
      <c r="BL1253" s="25"/>
      <c r="BM1253" s="25"/>
      <c r="BN1253" s="25"/>
      <c r="BO1253" s="25"/>
      <c r="BP1253" s="25"/>
    </row>
    <row r="1254">
      <c r="A1254" s="25"/>
      <c r="B1254" s="168"/>
      <c r="C1254" s="25"/>
      <c r="D1254" s="25"/>
      <c r="E1254" s="25"/>
      <c r="F1254" s="25"/>
      <c r="G1254" s="84"/>
      <c r="H1254" s="25"/>
      <c r="I1254" s="25"/>
      <c r="J1254" s="25"/>
      <c r="K1254" s="169"/>
      <c r="L1254" s="169"/>
      <c r="M1254" s="170" t="b">
        <v>0</v>
      </c>
      <c r="N1254" s="170" t="b">
        <v>0</v>
      </c>
      <c r="O1254" s="48"/>
      <c r="P1254" s="170" t="b">
        <v>0</v>
      </c>
      <c r="Q1254" s="170" t="b">
        <v>0</v>
      </c>
      <c r="R1254" s="170" t="b">
        <v>0</v>
      </c>
      <c r="S1254" s="48"/>
      <c r="T1254" s="60"/>
      <c r="U1254" s="170" t="b">
        <v>0</v>
      </c>
      <c r="V1254" s="170"/>
      <c r="W1254" s="170" t="b">
        <v>0</v>
      </c>
      <c r="X1254" s="170" t="b">
        <v>0</v>
      </c>
      <c r="Y1254" s="170"/>
      <c r="Z1254" s="170"/>
      <c r="AA1254" s="170"/>
      <c r="AB1254" s="170"/>
      <c r="AC1254" s="171"/>
      <c r="AD1254" s="170"/>
      <c r="AE1254" s="170"/>
      <c r="AF1254" s="170"/>
      <c r="AG1254" s="170"/>
      <c r="AH1254" s="170"/>
      <c r="AI1254" s="170"/>
      <c r="AJ1254" s="172"/>
      <c r="AK1254" s="50"/>
      <c r="AL1254" s="25"/>
      <c r="AM1254" s="25"/>
      <c r="AN1254" s="25"/>
      <c r="AO1254" s="165"/>
      <c r="AP1254" s="78"/>
      <c r="AQ1254" s="25"/>
      <c r="AR1254" s="25"/>
      <c r="AS1254" s="25"/>
      <c r="AT1254" s="25"/>
      <c r="AU1254" s="25"/>
      <c r="AV1254" s="25"/>
      <c r="AW1254" s="25"/>
      <c r="AX1254" s="25"/>
      <c r="AY1254" s="25"/>
      <c r="AZ1254" s="25"/>
      <c r="BA1254" s="25"/>
      <c r="BB1254" s="25"/>
      <c r="BC1254" s="25"/>
      <c r="BD1254" s="25"/>
      <c r="BE1254" s="25"/>
      <c r="BF1254" s="25"/>
      <c r="BG1254" s="25"/>
      <c r="BH1254" s="25"/>
      <c r="BI1254" s="25"/>
      <c r="BJ1254" s="25"/>
      <c r="BK1254" s="25"/>
      <c r="BL1254" s="25"/>
      <c r="BM1254" s="25"/>
      <c r="BN1254" s="25"/>
      <c r="BO1254" s="25"/>
      <c r="BP1254" s="25"/>
    </row>
    <row r="1255">
      <c r="A1255" s="25"/>
      <c r="B1255" s="168"/>
      <c r="C1255" s="25"/>
      <c r="D1255" s="25"/>
      <c r="E1255" s="25"/>
      <c r="F1255" s="25"/>
      <c r="G1255" s="84"/>
      <c r="H1255" s="25"/>
      <c r="I1255" s="25"/>
      <c r="J1255" s="25"/>
      <c r="K1255" s="169"/>
      <c r="L1255" s="169"/>
      <c r="M1255" s="170" t="b">
        <v>0</v>
      </c>
      <c r="N1255" s="170" t="b">
        <v>0</v>
      </c>
      <c r="O1255" s="48"/>
      <c r="P1255" s="170" t="b">
        <v>0</v>
      </c>
      <c r="Q1255" s="170" t="b">
        <v>0</v>
      </c>
      <c r="R1255" s="170" t="b">
        <v>0</v>
      </c>
      <c r="S1255" s="48"/>
      <c r="T1255" s="60"/>
      <c r="U1255" s="170" t="b">
        <v>0</v>
      </c>
      <c r="V1255" s="170"/>
      <c r="W1255" s="170" t="b">
        <v>0</v>
      </c>
      <c r="X1255" s="170" t="b">
        <v>0</v>
      </c>
      <c r="Y1255" s="170"/>
      <c r="Z1255" s="170"/>
      <c r="AA1255" s="170"/>
      <c r="AB1255" s="170"/>
      <c r="AC1255" s="171"/>
      <c r="AD1255" s="170"/>
      <c r="AE1255" s="170"/>
      <c r="AF1255" s="170"/>
      <c r="AG1255" s="170"/>
      <c r="AH1255" s="170"/>
      <c r="AI1255" s="170"/>
      <c r="AJ1255" s="172"/>
      <c r="AK1255" s="50"/>
      <c r="AL1255" s="25"/>
      <c r="AM1255" s="25"/>
      <c r="AN1255" s="25"/>
      <c r="AO1255" s="165"/>
      <c r="AP1255" s="78"/>
      <c r="AQ1255" s="25"/>
      <c r="AR1255" s="25"/>
      <c r="AS1255" s="25"/>
      <c r="AT1255" s="25"/>
      <c r="AU1255" s="25"/>
      <c r="AV1255" s="25"/>
      <c r="AW1255" s="25"/>
      <c r="AX1255" s="25"/>
      <c r="AY1255" s="25"/>
      <c r="AZ1255" s="25"/>
      <c r="BA1255" s="25"/>
      <c r="BB1255" s="25"/>
      <c r="BC1255" s="25"/>
      <c r="BD1255" s="25"/>
      <c r="BE1255" s="25"/>
      <c r="BF1255" s="25"/>
      <c r="BG1255" s="25"/>
      <c r="BH1255" s="25"/>
      <c r="BI1255" s="25"/>
      <c r="BJ1255" s="25"/>
      <c r="BK1255" s="25"/>
      <c r="BL1255" s="25"/>
      <c r="BM1255" s="25"/>
      <c r="BN1255" s="25"/>
      <c r="BO1255" s="25"/>
      <c r="BP1255" s="25"/>
    </row>
    <row r="1256">
      <c r="A1256" s="25"/>
      <c r="B1256" s="168"/>
      <c r="C1256" s="25"/>
      <c r="D1256" s="25"/>
      <c r="E1256" s="25"/>
      <c r="F1256" s="25"/>
      <c r="G1256" s="84"/>
      <c r="H1256" s="25"/>
      <c r="I1256" s="25"/>
      <c r="J1256" s="25"/>
      <c r="K1256" s="169"/>
      <c r="L1256" s="169"/>
      <c r="M1256" s="170" t="b">
        <v>0</v>
      </c>
      <c r="N1256" s="170" t="b">
        <v>0</v>
      </c>
      <c r="O1256" s="48"/>
      <c r="P1256" s="170" t="b">
        <v>0</v>
      </c>
      <c r="Q1256" s="170" t="b">
        <v>0</v>
      </c>
      <c r="R1256" s="170" t="b">
        <v>0</v>
      </c>
      <c r="S1256" s="48"/>
      <c r="T1256" s="60"/>
      <c r="U1256" s="170" t="b">
        <v>0</v>
      </c>
      <c r="V1256" s="170"/>
      <c r="W1256" s="170" t="b">
        <v>0</v>
      </c>
      <c r="X1256" s="170" t="b">
        <v>0</v>
      </c>
      <c r="Y1256" s="170"/>
      <c r="Z1256" s="170"/>
      <c r="AA1256" s="170"/>
      <c r="AB1256" s="170"/>
      <c r="AC1256" s="171"/>
      <c r="AD1256" s="170"/>
      <c r="AE1256" s="170"/>
      <c r="AF1256" s="170"/>
      <c r="AG1256" s="170"/>
      <c r="AH1256" s="170"/>
      <c r="AI1256" s="170"/>
      <c r="AJ1256" s="172"/>
      <c r="AK1256" s="50"/>
      <c r="AL1256" s="25"/>
      <c r="AM1256" s="25"/>
      <c r="AN1256" s="25"/>
      <c r="AO1256" s="165"/>
      <c r="AP1256" s="78"/>
      <c r="AQ1256" s="25"/>
      <c r="AR1256" s="25"/>
      <c r="AS1256" s="25"/>
      <c r="AT1256" s="25"/>
      <c r="AU1256" s="25"/>
      <c r="AV1256" s="25"/>
      <c r="AW1256" s="25"/>
      <c r="AX1256" s="25"/>
      <c r="AY1256" s="25"/>
      <c r="AZ1256" s="25"/>
      <c r="BA1256" s="25"/>
      <c r="BB1256" s="25"/>
      <c r="BC1256" s="25"/>
      <c r="BD1256" s="25"/>
      <c r="BE1256" s="25"/>
      <c r="BF1256" s="25"/>
      <c r="BG1256" s="25"/>
      <c r="BH1256" s="25"/>
      <c r="BI1256" s="25"/>
      <c r="BJ1256" s="25"/>
      <c r="BK1256" s="25"/>
      <c r="BL1256" s="25"/>
      <c r="BM1256" s="25"/>
      <c r="BN1256" s="25"/>
      <c r="BO1256" s="25"/>
      <c r="BP1256" s="25"/>
    </row>
    <row r="1257">
      <c r="A1257" s="25"/>
      <c r="B1257" s="168"/>
      <c r="C1257" s="25"/>
      <c r="D1257" s="25"/>
      <c r="E1257" s="25"/>
      <c r="F1257" s="25"/>
      <c r="G1257" s="84"/>
      <c r="H1257" s="25"/>
      <c r="I1257" s="25"/>
      <c r="J1257" s="25"/>
      <c r="K1257" s="169"/>
      <c r="L1257" s="169"/>
      <c r="M1257" s="170" t="b">
        <v>0</v>
      </c>
      <c r="N1257" s="170" t="b">
        <v>0</v>
      </c>
      <c r="O1257" s="48"/>
      <c r="P1257" s="170" t="b">
        <v>0</v>
      </c>
      <c r="Q1257" s="170" t="b">
        <v>0</v>
      </c>
      <c r="R1257" s="170" t="b">
        <v>0</v>
      </c>
      <c r="S1257" s="48"/>
      <c r="T1257" s="60"/>
      <c r="U1257" s="170" t="b">
        <v>0</v>
      </c>
      <c r="V1257" s="170"/>
      <c r="W1257" s="170" t="b">
        <v>0</v>
      </c>
      <c r="X1257" s="170" t="b">
        <v>0</v>
      </c>
      <c r="Y1257" s="170"/>
      <c r="Z1257" s="170"/>
      <c r="AA1257" s="170"/>
      <c r="AB1257" s="170"/>
      <c r="AC1257" s="171"/>
      <c r="AD1257" s="170"/>
      <c r="AE1257" s="170"/>
      <c r="AF1257" s="170"/>
      <c r="AG1257" s="170"/>
      <c r="AH1257" s="170"/>
      <c r="AI1257" s="170"/>
      <c r="AJ1257" s="172"/>
      <c r="AK1257" s="50"/>
      <c r="AL1257" s="25"/>
      <c r="AM1257" s="25"/>
      <c r="AN1257" s="25"/>
      <c r="AO1257" s="165"/>
      <c r="AP1257" s="78"/>
      <c r="AQ1257" s="25"/>
      <c r="AR1257" s="25"/>
      <c r="AS1257" s="25"/>
      <c r="AT1257" s="25"/>
      <c r="AU1257" s="25"/>
      <c r="AV1257" s="25"/>
      <c r="AW1257" s="25"/>
      <c r="AX1257" s="25"/>
      <c r="AY1257" s="25"/>
      <c r="AZ1257" s="25"/>
      <c r="BA1257" s="25"/>
      <c r="BB1257" s="25"/>
      <c r="BC1257" s="25"/>
      <c r="BD1257" s="25"/>
      <c r="BE1257" s="25"/>
      <c r="BF1257" s="25"/>
      <c r="BG1257" s="25"/>
      <c r="BH1257" s="25"/>
      <c r="BI1257" s="25"/>
      <c r="BJ1257" s="25"/>
      <c r="BK1257" s="25"/>
      <c r="BL1257" s="25"/>
      <c r="BM1257" s="25"/>
      <c r="BN1257" s="25"/>
      <c r="BO1257" s="25"/>
      <c r="BP1257" s="25"/>
    </row>
    <row r="1258">
      <c r="A1258" s="25"/>
      <c r="B1258" s="168"/>
      <c r="C1258" s="25"/>
      <c r="D1258" s="25"/>
      <c r="E1258" s="25"/>
      <c r="F1258" s="25"/>
      <c r="G1258" s="84"/>
      <c r="H1258" s="25"/>
      <c r="I1258" s="25"/>
      <c r="J1258" s="25"/>
      <c r="K1258" s="169"/>
      <c r="L1258" s="169"/>
      <c r="M1258" s="170" t="b">
        <v>0</v>
      </c>
      <c r="N1258" s="170" t="b">
        <v>0</v>
      </c>
      <c r="O1258" s="48"/>
      <c r="P1258" s="170" t="b">
        <v>0</v>
      </c>
      <c r="Q1258" s="170" t="b">
        <v>0</v>
      </c>
      <c r="R1258" s="170" t="b">
        <v>0</v>
      </c>
      <c r="S1258" s="48"/>
      <c r="T1258" s="60"/>
      <c r="U1258" s="170" t="b">
        <v>0</v>
      </c>
      <c r="V1258" s="170"/>
      <c r="W1258" s="170" t="b">
        <v>0</v>
      </c>
      <c r="X1258" s="170" t="b">
        <v>0</v>
      </c>
      <c r="Y1258" s="170"/>
      <c r="Z1258" s="170"/>
      <c r="AA1258" s="170"/>
      <c r="AB1258" s="170"/>
      <c r="AC1258" s="171"/>
      <c r="AD1258" s="170"/>
      <c r="AE1258" s="170"/>
      <c r="AF1258" s="170"/>
      <c r="AG1258" s="170"/>
      <c r="AH1258" s="170"/>
      <c r="AI1258" s="170"/>
      <c r="AJ1258" s="172"/>
      <c r="AK1258" s="50"/>
      <c r="AL1258" s="25"/>
      <c r="AM1258" s="25"/>
      <c r="AN1258" s="25"/>
      <c r="AO1258" s="165"/>
      <c r="AP1258" s="78"/>
      <c r="AQ1258" s="25"/>
      <c r="AR1258" s="25"/>
      <c r="AS1258" s="25"/>
      <c r="AT1258" s="25"/>
      <c r="AU1258" s="25"/>
      <c r="AV1258" s="25"/>
      <c r="AW1258" s="25"/>
      <c r="AX1258" s="25"/>
      <c r="AY1258" s="25"/>
      <c r="AZ1258" s="25"/>
      <c r="BA1258" s="25"/>
      <c r="BB1258" s="25"/>
      <c r="BC1258" s="25"/>
      <c r="BD1258" s="25"/>
      <c r="BE1258" s="25"/>
      <c r="BF1258" s="25"/>
      <c r="BG1258" s="25"/>
      <c r="BH1258" s="25"/>
      <c r="BI1258" s="25"/>
      <c r="BJ1258" s="25"/>
      <c r="BK1258" s="25"/>
      <c r="BL1258" s="25"/>
      <c r="BM1258" s="25"/>
      <c r="BN1258" s="25"/>
      <c r="BO1258" s="25"/>
      <c r="BP1258" s="25"/>
    </row>
    <row r="1259">
      <c r="A1259" s="25"/>
      <c r="B1259" s="168"/>
      <c r="C1259" s="25"/>
      <c r="D1259" s="25"/>
      <c r="E1259" s="25"/>
      <c r="F1259" s="25"/>
      <c r="G1259" s="84"/>
      <c r="H1259" s="25"/>
      <c r="I1259" s="25"/>
      <c r="J1259" s="25"/>
      <c r="K1259" s="169"/>
      <c r="L1259" s="169"/>
      <c r="M1259" s="170" t="b">
        <v>0</v>
      </c>
      <c r="N1259" s="170" t="b">
        <v>0</v>
      </c>
      <c r="O1259" s="48"/>
      <c r="P1259" s="170" t="b">
        <v>0</v>
      </c>
      <c r="Q1259" s="170" t="b">
        <v>0</v>
      </c>
      <c r="R1259" s="170" t="b">
        <v>0</v>
      </c>
      <c r="S1259" s="48"/>
      <c r="T1259" s="60"/>
      <c r="U1259" s="170" t="b">
        <v>0</v>
      </c>
      <c r="V1259" s="170"/>
      <c r="W1259" s="170" t="b">
        <v>0</v>
      </c>
      <c r="X1259" s="170" t="b">
        <v>0</v>
      </c>
      <c r="Y1259" s="170"/>
      <c r="Z1259" s="170"/>
      <c r="AA1259" s="170"/>
      <c r="AB1259" s="170"/>
      <c r="AC1259" s="171"/>
      <c r="AD1259" s="170"/>
      <c r="AE1259" s="170"/>
      <c r="AF1259" s="170"/>
      <c r="AG1259" s="170"/>
      <c r="AH1259" s="170"/>
      <c r="AI1259" s="170"/>
      <c r="AJ1259" s="172"/>
      <c r="AK1259" s="50"/>
      <c r="AL1259" s="25"/>
      <c r="AM1259" s="25"/>
      <c r="AN1259" s="25"/>
      <c r="AO1259" s="165"/>
      <c r="AP1259" s="78"/>
      <c r="AQ1259" s="25"/>
      <c r="AR1259" s="25"/>
      <c r="AS1259" s="25"/>
      <c r="AT1259" s="25"/>
      <c r="AU1259" s="25"/>
      <c r="AV1259" s="25"/>
      <c r="AW1259" s="25"/>
      <c r="AX1259" s="25"/>
      <c r="AY1259" s="25"/>
      <c r="AZ1259" s="25"/>
      <c r="BA1259" s="25"/>
      <c r="BB1259" s="25"/>
      <c r="BC1259" s="25"/>
      <c r="BD1259" s="25"/>
      <c r="BE1259" s="25"/>
      <c r="BF1259" s="25"/>
      <c r="BG1259" s="25"/>
      <c r="BH1259" s="25"/>
      <c r="BI1259" s="25"/>
      <c r="BJ1259" s="25"/>
      <c r="BK1259" s="25"/>
      <c r="BL1259" s="25"/>
      <c r="BM1259" s="25"/>
      <c r="BN1259" s="25"/>
      <c r="BO1259" s="25"/>
      <c r="BP1259" s="25"/>
    </row>
    <row r="1260">
      <c r="A1260" s="25"/>
      <c r="B1260" s="168"/>
      <c r="C1260" s="25"/>
      <c r="D1260" s="25"/>
      <c r="E1260" s="25"/>
      <c r="F1260" s="25"/>
      <c r="G1260" s="84"/>
      <c r="H1260" s="25"/>
      <c r="I1260" s="25"/>
      <c r="J1260" s="25"/>
      <c r="K1260" s="169"/>
      <c r="L1260" s="169"/>
      <c r="M1260" s="170" t="b">
        <v>0</v>
      </c>
      <c r="N1260" s="170" t="b">
        <v>0</v>
      </c>
      <c r="O1260" s="48"/>
      <c r="P1260" s="170" t="b">
        <v>0</v>
      </c>
      <c r="Q1260" s="170" t="b">
        <v>0</v>
      </c>
      <c r="R1260" s="170" t="b">
        <v>0</v>
      </c>
      <c r="S1260" s="48"/>
      <c r="T1260" s="60"/>
      <c r="U1260" s="170" t="b">
        <v>0</v>
      </c>
      <c r="V1260" s="170"/>
      <c r="W1260" s="170" t="b">
        <v>0</v>
      </c>
      <c r="X1260" s="170" t="b">
        <v>0</v>
      </c>
      <c r="Y1260" s="170"/>
      <c r="Z1260" s="170"/>
      <c r="AA1260" s="170"/>
      <c r="AB1260" s="170"/>
      <c r="AC1260" s="171"/>
      <c r="AD1260" s="170"/>
      <c r="AE1260" s="170"/>
      <c r="AF1260" s="170"/>
      <c r="AG1260" s="170"/>
      <c r="AH1260" s="170"/>
      <c r="AI1260" s="170"/>
      <c r="AJ1260" s="172"/>
      <c r="AK1260" s="50"/>
      <c r="AL1260" s="25"/>
      <c r="AM1260" s="25"/>
      <c r="AN1260" s="25"/>
      <c r="AO1260" s="165"/>
      <c r="AP1260" s="78"/>
      <c r="AQ1260" s="25"/>
      <c r="AR1260" s="25"/>
      <c r="AS1260" s="25"/>
      <c r="AT1260" s="25"/>
      <c r="AU1260" s="25"/>
      <c r="AV1260" s="25"/>
      <c r="AW1260" s="25"/>
      <c r="AX1260" s="25"/>
      <c r="AY1260" s="25"/>
      <c r="AZ1260" s="25"/>
      <c r="BA1260" s="25"/>
      <c r="BB1260" s="25"/>
      <c r="BC1260" s="25"/>
      <c r="BD1260" s="25"/>
      <c r="BE1260" s="25"/>
      <c r="BF1260" s="25"/>
      <c r="BG1260" s="25"/>
      <c r="BH1260" s="25"/>
      <c r="BI1260" s="25"/>
      <c r="BJ1260" s="25"/>
      <c r="BK1260" s="25"/>
      <c r="BL1260" s="25"/>
      <c r="BM1260" s="25"/>
      <c r="BN1260" s="25"/>
      <c r="BO1260" s="25"/>
      <c r="BP1260" s="25"/>
    </row>
    <row r="1261">
      <c r="A1261" s="25"/>
      <c r="B1261" s="168"/>
      <c r="C1261" s="25"/>
      <c r="D1261" s="25"/>
      <c r="E1261" s="25"/>
      <c r="F1261" s="25"/>
      <c r="G1261" s="84"/>
      <c r="H1261" s="25"/>
      <c r="I1261" s="25"/>
      <c r="J1261" s="25"/>
      <c r="K1261" s="169"/>
      <c r="L1261" s="169"/>
      <c r="M1261" s="170" t="b">
        <v>0</v>
      </c>
      <c r="N1261" s="170" t="b">
        <v>0</v>
      </c>
      <c r="O1261" s="48"/>
      <c r="P1261" s="170" t="b">
        <v>0</v>
      </c>
      <c r="Q1261" s="170" t="b">
        <v>0</v>
      </c>
      <c r="R1261" s="170" t="b">
        <v>0</v>
      </c>
      <c r="S1261" s="48"/>
      <c r="T1261" s="60"/>
      <c r="U1261" s="170" t="b">
        <v>0</v>
      </c>
      <c r="V1261" s="170"/>
      <c r="W1261" s="170" t="b">
        <v>0</v>
      </c>
      <c r="X1261" s="170" t="b">
        <v>0</v>
      </c>
      <c r="Y1261" s="170"/>
      <c r="Z1261" s="170"/>
      <c r="AA1261" s="170"/>
      <c r="AB1261" s="170"/>
      <c r="AC1261" s="171"/>
      <c r="AD1261" s="170"/>
      <c r="AE1261" s="170"/>
      <c r="AF1261" s="170"/>
      <c r="AG1261" s="170"/>
      <c r="AH1261" s="170"/>
      <c r="AI1261" s="170"/>
      <c r="AJ1261" s="172"/>
      <c r="AK1261" s="50"/>
      <c r="AL1261" s="25"/>
      <c r="AM1261" s="25"/>
      <c r="AN1261" s="25"/>
      <c r="AO1261" s="165"/>
      <c r="AP1261" s="78"/>
      <c r="AQ1261" s="25"/>
      <c r="AR1261" s="25"/>
      <c r="AS1261" s="25"/>
      <c r="AT1261" s="25"/>
      <c r="AU1261" s="25"/>
      <c r="AV1261" s="25"/>
      <c r="AW1261" s="25"/>
      <c r="AX1261" s="25"/>
      <c r="AY1261" s="25"/>
      <c r="AZ1261" s="25"/>
      <c r="BA1261" s="25"/>
      <c r="BB1261" s="25"/>
      <c r="BC1261" s="25"/>
      <c r="BD1261" s="25"/>
      <c r="BE1261" s="25"/>
      <c r="BF1261" s="25"/>
      <c r="BG1261" s="25"/>
      <c r="BH1261" s="25"/>
      <c r="BI1261" s="25"/>
      <c r="BJ1261" s="25"/>
      <c r="BK1261" s="25"/>
      <c r="BL1261" s="25"/>
      <c r="BM1261" s="25"/>
      <c r="BN1261" s="25"/>
      <c r="BO1261" s="25"/>
      <c r="BP1261" s="25"/>
    </row>
    <row r="1262">
      <c r="A1262" s="25"/>
      <c r="B1262" s="168"/>
      <c r="C1262" s="25"/>
      <c r="D1262" s="25"/>
      <c r="E1262" s="25"/>
      <c r="F1262" s="25"/>
      <c r="G1262" s="84"/>
      <c r="H1262" s="25"/>
      <c r="I1262" s="25"/>
      <c r="J1262" s="25"/>
      <c r="K1262" s="169"/>
      <c r="L1262" s="169"/>
      <c r="M1262" s="170" t="b">
        <v>0</v>
      </c>
      <c r="N1262" s="170" t="b">
        <v>0</v>
      </c>
      <c r="O1262" s="48"/>
      <c r="P1262" s="170" t="b">
        <v>0</v>
      </c>
      <c r="Q1262" s="170" t="b">
        <v>0</v>
      </c>
      <c r="R1262" s="170" t="b">
        <v>0</v>
      </c>
      <c r="S1262" s="48"/>
      <c r="T1262" s="60"/>
      <c r="U1262" s="170" t="b">
        <v>0</v>
      </c>
      <c r="V1262" s="170"/>
      <c r="W1262" s="170" t="b">
        <v>0</v>
      </c>
      <c r="X1262" s="170" t="b">
        <v>0</v>
      </c>
      <c r="Y1262" s="170"/>
      <c r="Z1262" s="170"/>
      <c r="AA1262" s="170"/>
      <c r="AB1262" s="170"/>
      <c r="AC1262" s="171"/>
      <c r="AD1262" s="170"/>
      <c r="AE1262" s="170"/>
      <c r="AF1262" s="170"/>
      <c r="AG1262" s="170"/>
      <c r="AH1262" s="170"/>
      <c r="AI1262" s="170"/>
      <c r="AJ1262" s="172"/>
      <c r="AK1262" s="50"/>
      <c r="AL1262" s="25"/>
      <c r="AM1262" s="25"/>
      <c r="AN1262" s="25"/>
      <c r="AO1262" s="165"/>
      <c r="AP1262" s="78"/>
      <c r="AQ1262" s="25"/>
      <c r="AR1262" s="25"/>
      <c r="AS1262" s="25"/>
      <c r="AT1262" s="25"/>
      <c r="AU1262" s="25"/>
      <c r="AV1262" s="25"/>
      <c r="AW1262" s="25"/>
      <c r="AX1262" s="25"/>
      <c r="AY1262" s="25"/>
      <c r="AZ1262" s="25"/>
      <c r="BA1262" s="25"/>
      <c r="BB1262" s="25"/>
      <c r="BC1262" s="25"/>
      <c r="BD1262" s="25"/>
      <c r="BE1262" s="25"/>
      <c r="BF1262" s="25"/>
      <c r="BG1262" s="25"/>
      <c r="BH1262" s="25"/>
      <c r="BI1262" s="25"/>
      <c r="BJ1262" s="25"/>
      <c r="BK1262" s="25"/>
      <c r="BL1262" s="25"/>
      <c r="BM1262" s="25"/>
      <c r="BN1262" s="25"/>
      <c r="BO1262" s="25"/>
      <c r="BP1262" s="25"/>
    </row>
    <row r="1263">
      <c r="A1263" s="25"/>
      <c r="B1263" s="168"/>
      <c r="C1263" s="25"/>
      <c r="D1263" s="25"/>
      <c r="E1263" s="25"/>
      <c r="F1263" s="25"/>
      <c r="G1263" s="84"/>
      <c r="H1263" s="25"/>
      <c r="I1263" s="25"/>
      <c r="J1263" s="25"/>
      <c r="K1263" s="169"/>
      <c r="L1263" s="169"/>
      <c r="M1263" s="170" t="b">
        <v>0</v>
      </c>
      <c r="N1263" s="170" t="b">
        <v>0</v>
      </c>
      <c r="O1263" s="48"/>
      <c r="P1263" s="170" t="b">
        <v>0</v>
      </c>
      <c r="Q1263" s="170" t="b">
        <v>0</v>
      </c>
      <c r="R1263" s="170" t="b">
        <v>0</v>
      </c>
      <c r="S1263" s="48"/>
      <c r="T1263" s="60"/>
      <c r="U1263" s="170" t="b">
        <v>0</v>
      </c>
      <c r="V1263" s="170"/>
      <c r="W1263" s="170" t="b">
        <v>0</v>
      </c>
      <c r="X1263" s="170" t="b">
        <v>0</v>
      </c>
      <c r="Y1263" s="170"/>
      <c r="Z1263" s="170"/>
      <c r="AA1263" s="170"/>
      <c r="AB1263" s="170"/>
      <c r="AC1263" s="171"/>
      <c r="AD1263" s="170"/>
      <c r="AE1263" s="170"/>
      <c r="AF1263" s="170"/>
      <c r="AG1263" s="170"/>
      <c r="AH1263" s="170"/>
      <c r="AI1263" s="170"/>
      <c r="AJ1263" s="172"/>
      <c r="AK1263" s="50"/>
      <c r="AL1263" s="25"/>
      <c r="AM1263" s="25"/>
      <c r="AN1263" s="25"/>
      <c r="AO1263" s="165"/>
      <c r="AP1263" s="78"/>
      <c r="AQ1263" s="25"/>
      <c r="AR1263" s="25"/>
      <c r="AS1263" s="25"/>
      <c r="AT1263" s="25"/>
      <c r="AU1263" s="25"/>
      <c r="AV1263" s="25"/>
      <c r="AW1263" s="25"/>
      <c r="AX1263" s="25"/>
      <c r="AY1263" s="25"/>
      <c r="AZ1263" s="25"/>
      <c r="BA1263" s="25"/>
      <c r="BB1263" s="25"/>
      <c r="BC1263" s="25"/>
      <c r="BD1263" s="25"/>
      <c r="BE1263" s="25"/>
      <c r="BF1263" s="25"/>
      <c r="BG1263" s="25"/>
      <c r="BH1263" s="25"/>
      <c r="BI1263" s="25"/>
      <c r="BJ1263" s="25"/>
      <c r="BK1263" s="25"/>
      <c r="BL1263" s="25"/>
      <c r="BM1263" s="25"/>
      <c r="BN1263" s="25"/>
      <c r="BO1263" s="25"/>
      <c r="BP1263" s="25"/>
    </row>
    <row r="1264">
      <c r="A1264" s="25"/>
      <c r="B1264" s="168"/>
      <c r="C1264" s="25"/>
      <c r="D1264" s="25"/>
      <c r="E1264" s="25"/>
      <c r="F1264" s="25"/>
      <c r="G1264" s="84"/>
      <c r="H1264" s="25"/>
      <c r="I1264" s="25"/>
      <c r="J1264" s="25"/>
      <c r="K1264" s="169"/>
      <c r="L1264" s="169"/>
      <c r="M1264" s="170" t="b">
        <v>0</v>
      </c>
      <c r="N1264" s="170" t="b">
        <v>0</v>
      </c>
      <c r="O1264" s="48"/>
      <c r="P1264" s="170" t="b">
        <v>0</v>
      </c>
      <c r="Q1264" s="170" t="b">
        <v>0</v>
      </c>
      <c r="R1264" s="170" t="b">
        <v>0</v>
      </c>
      <c r="S1264" s="48"/>
      <c r="T1264" s="60"/>
      <c r="U1264" s="170" t="b">
        <v>0</v>
      </c>
      <c r="V1264" s="170"/>
      <c r="W1264" s="170" t="b">
        <v>0</v>
      </c>
      <c r="X1264" s="170" t="b">
        <v>0</v>
      </c>
      <c r="Y1264" s="170"/>
      <c r="Z1264" s="170"/>
      <c r="AA1264" s="170"/>
      <c r="AB1264" s="170"/>
      <c r="AC1264" s="171"/>
      <c r="AD1264" s="170"/>
      <c r="AE1264" s="170"/>
      <c r="AF1264" s="170"/>
      <c r="AG1264" s="170"/>
      <c r="AH1264" s="170"/>
      <c r="AI1264" s="170"/>
      <c r="AJ1264" s="172"/>
      <c r="AK1264" s="50"/>
      <c r="AL1264" s="25"/>
      <c r="AM1264" s="25"/>
      <c r="AN1264" s="25"/>
      <c r="AO1264" s="165"/>
      <c r="AP1264" s="78"/>
      <c r="AQ1264" s="25"/>
      <c r="AR1264" s="25"/>
      <c r="AS1264" s="25"/>
      <c r="AT1264" s="25"/>
      <c r="AU1264" s="25"/>
      <c r="AV1264" s="25"/>
      <c r="AW1264" s="25"/>
      <c r="AX1264" s="25"/>
      <c r="AY1264" s="25"/>
      <c r="AZ1264" s="25"/>
      <c r="BA1264" s="25"/>
      <c r="BB1264" s="25"/>
      <c r="BC1264" s="25"/>
      <c r="BD1264" s="25"/>
      <c r="BE1264" s="25"/>
      <c r="BF1264" s="25"/>
      <c r="BG1264" s="25"/>
      <c r="BH1264" s="25"/>
      <c r="BI1264" s="25"/>
      <c r="BJ1264" s="25"/>
      <c r="BK1264" s="25"/>
      <c r="BL1264" s="25"/>
      <c r="BM1264" s="25"/>
      <c r="BN1264" s="25"/>
      <c r="BO1264" s="25"/>
      <c r="BP1264" s="25"/>
    </row>
    <row r="1265">
      <c r="A1265" s="25"/>
      <c r="B1265" s="168"/>
      <c r="C1265" s="25"/>
      <c r="D1265" s="25"/>
      <c r="E1265" s="25"/>
      <c r="F1265" s="25"/>
      <c r="G1265" s="84"/>
      <c r="H1265" s="25"/>
      <c r="I1265" s="25"/>
      <c r="J1265" s="25"/>
      <c r="K1265" s="169"/>
      <c r="L1265" s="169"/>
      <c r="M1265" s="170" t="b">
        <v>0</v>
      </c>
      <c r="N1265" s="170" t="b">
        <v>0</v>
      </c>
      <c r="O1265" s="48"/>
      <c r="P1265" s="170" t="b">
        <v>0</v>
      </c>
      <c r="Q1265" s="170" t="b">
        <v>0</v>
      </c>
      <c r="R1265" s="170" t="b">
        <v>0</v>
      </c>
      <c r="S1265" s="48"/>
      <c r="T1265" s="60"/>
      <c r="U1265" s="170" t="b">
        <v>0</v>
      </c>
      <c r="V1265" s="170"/>
      <c r="W1265" s="170" t="b">
        <v>0</v>
      </c>
      <c r="X1265" s="170" t="b">
        <v>0</v>
      </c>
      <c r="Y1265" s="170"/>
      <c r="Z1265" s="170"/>
      <c r="AA1265" s="170"/>
      <c r="AB1265" s="170"/>
      <c r="AC1265" s="171"/>
      <c r="AD1265" s="170"/>
      <c r="AE1265" s="170"/>
      <c r="AF1265" s="170"/>
      <c r="AG1265" s="170"/>
      <c r="AH1265" s="170"/>
      <c r="AI1265" s="170"/>
      <c r="AJ1265" s="172"/>
      <c r="AK1265" s="50"/>
      <c r="AL1265" s="25"/>
      <c r="AM1265" s="25"/>
      <c r="AN1265" s="25"/>
      <c r="AO1265" s="165"/>
      <c r="AP1265" s="78"/>
      <c r="AQ1265" s="25"/>
      <c r="AR1265" s="25"/>
      <c r="AS1265" s="25"/>
      <c r="AT1265" s="25"/>
      <c r="AU1265" s="25"/>
      <c r="AV1265" s="25"/>
      <c r="AW1265" s="25"/>
      <c r="AX1265" s="25"/>
      <c r="AY1265" s="25"/>
      <c r="AZ1265" s="25"/>
      <c r="BA1265" s="25"/>
      <c r="BB1265" s="25"/>
      <c r="BC1265" s="25"/>
      <c r="BD1265" s="25"/>
      <c r="BE1265" s="25"/>
      <c r="BF1265" s="25"/>
      <c r="BG1265" s="25"/>
      <c r="BH1265" s="25"/>
      <c r="BI1265" s="25"/>
      <c r="BJ1265" s="25"/>
      <c r="BK1265" s="25"/>
      <c r="BL1265" s="25"/>
      <c r="BM1265" s="25"/>
      <c r="BN1265" s="25"/>
      <c r="BO1265" s="25"/>
      <c r="BP1265" s="25"/>
    </row>
    <row r="1266">
      <c r="A1266" s="25"/>
      <c r="B1266" s="168"/>
      <c r="C1266" s="25"/>
      <c r="D1266" s="25"/>
      <c r="E1266" s="25"/>
      <c r="F1266" s="25"/>
      <c r="G1266" s="84"/>
      <c r="H1266" s="25"/>
      <c r="I1266" s="25"/>
      <c r="J1266" s="25"/>
      <c r="K1266" s="169"/>
      <c r="L1266" s="169"/>
      <c r="M1266" s="170" t="b">
        <v>0</v>
      </c>
      <c r="N1266" s="170" t="b">
        <v>0</v>
      </c>
      <c r="O1266" s="48"/>
      <c r="P1266" s="170" t="b">
        <v>0</v>
      </c>
      <c r="Q1266" s="170" t="b">
        <v>0</v>
      </c>
      <c r="R1266" s="170" t="b">
        <v>0</v>
      </c>
      <c r="S1266" s="48"/>
      <c r="T1266" s="60"/>
      <c r="U1266" s="170" t="b">
        <v>0</v>
      </c>
      <c r="V1266" s="170"/>
      <c r="W1266" s="170" t="b">
        <v>0</v>
      </c>
      <c r="X1266" s="170" t="b">
        <v>0</v>
      </c>
      <c r="Y1266" s="170"/>
      <c r="Z1266" s="170"/>
      <c r="AA1266" s="170"/>
      <c r="AB1266" s="170"/>
      <c r="AC1266" s="171"/>
      <c r="AD1266" s="170"/>
      <c r="AE1266" s="170"/>
      <c r="AF1266" s="170"/>
      <c r="AG1266" s="170"/>
      <c r="AH1266" s="170"/>
      <c r="AI1266" s="170"/>
      <c r="AJ1266" s="172"/>
      <c r="AK1266" s="50"/>
      <c r="AL1266" s="25"/>
      <c r="AM1266" s="25"/>
      <c r="AN1266" s="25"/>
      <c r="AO1266" s="165"/>
      <c r="AP1266" s="78"/>
      <c r="AQ1266" s="25"/>
      <c r="AR1266" s="25"/>
      <c r="AS1266" s="25"/>
      <c r="AT1266" s="25"/>
      <c r="AU1266" s="25"/>
      <c r="AV1266" s="25"/>
      <c r="AW1266" s="25"/>
      <c r="AX1266" s="25"/>
      <c r="AY1266" s="25"/>
      <c r="AZ1266" s="25"/>
      <c r="BA1266" s="25"/>
      <c r="BB1266" s="25"/>
      <c r="BC1266" s="25"/>
      <c r="BD1266" s="25"/>
      <c r="BE1266" s="25"/>
      <c r="BF1266" s="25"/>
      <c r="BG1266" s="25"/>
      <c r="BH1266" s="25"/>
      <c r="BI1266" s="25"/>
      <c r="BJ1266" s="25"/>
      <c r="BK1266" s="25"/>
      <c r="BL1266" s="25"/>
      <c r="BM1266" s="25"/>
      <c r="BN1266" s="25"/>
      <c r="BO1266" s="25"/>
      <c r="BP1266" s="25"/>
    </row>
    <row r="1267">
      <c r="A1267" s="25"/>
      <c r="B1267" s="168"/>
      <c r="C1267" s="25"/>
      <c r="D1267" s="25"/>
      <c r="E1267" s="25"/>
      <c r="F1267" s="25"/>
      <c r="G1267" s="84"/>
      <c r="H1267" s="25"/>
      <c r="I1267" s="25"/>
      <c r="J1267" s="25"/>
      <c r="K1267" s="169"/>
      <c r="L1267" s="169"/>
      <c r="M1267" s="170" t="b">
        <v>0</v>
      </c>
      <c r="N1267" s="170" t="b">
        <v>0</v>
      </c>
      <c r="O1267" s="48"/>
      <c r="P1267" s="170" t="b">
        <v>0</v>
      </c>
      <c r="Q1267" s="170" t="b">
        <v>0</v>
      </c>
      <c r="R1267" s="170" t="b">
        <v>0</v>
      </c>
      <c r="S1267" s="48"/>
      <c r="T1267" s="60"/>
      <c r="U1267" s="170" t="b">
        <v>0</v>
      </c>
      <c r="V1267" s="170"/>
      <c r="W1267" s="170" t="b">
        <v>0</v>
      </c>
      <c r="X1267" s="170" t="b">
        <v>0</v>
      </c>
      <c r="Y1267" s="170"/>
      <c r="Z1267" s="170"/>
      <c r="AA1267" s="170"/>
      <c r="AB1267" s="170"/>
      <c r="AC1267" s="171"/>
      <c r="AD1267" s="170"/>
      <c r="AE1267" s="170"/>
      <c r="AF1267" s="170"/>
      <c r="AG1267" s="170"/>
      <c r="AH1267" s="170"/>
      <c r="AI1267" s="170"/>
      <c r="AJ1267" s="172"/>
      <c r="AK1267" s="50"/>
      <c r="AL1267" s="25"/>
      <c r="AM1267" s="25"/>
      <c r="AN1267" s="25"/>
      <c r="AO1267" s="165"/>
      <c r="AP1267" s="78"/>
      <c r="AQ1267" s="25"/>
      <c r="AR1267" s="25"/>
      <c r="AS1267" s="25"/>
      <c r="AT1267" s="25"/>
      <c r="AU1267" s="25"/>
      <c r="AV1267" s="25"/>
      <c r="AW1267" s="25"/>
      <c r="AX1267" s="25"/>
      <c r="AY1267" s="25"/>
      <c r="AZ1267" s="25"/>
      <c r="BA1267" s="25"/>
      <c r="BB1267" s="25"/>
      <c r="BC1267" s="25"/>
      <c r="BD1267" s="25"/>
      <c r="BE1267" s="25"/>
      <c r="BF1267" s="25"/>
      <c r="BG1267" s="25"/>
      <c r="BH1267" s="25"/>
      <c r="BI1267" s="25"/>
      <c r="BJ1267" s="25"/>
      <c r="BK1267" s="25"/>
      <c r="BL1267" s="25"/>
      <c r="BM1267" s="25"/>
      <c r="BN1267" s="25"/>
      <c r="BO1267" s="25"/>
      <c r="BP1267" s="25"/>
    </row>
    <row r="1268">
      <c r="A1268" s="25"/>
      <c r="B1268" s="168"/>
      <c r="C1268" s="25"/>
      <c r="D1268" s="25"/>
      <c r="E1268" s="25"/>
      <c r="F1268" s="25"/>
      <c r="G1268" s="84"/>
      <c r="H1268" s="25"/>
      <c r="I1268" s="25"/>
      <c r="J1268" s="25"/>
      <c r="K1268" s="169"/>
      <c r="L1268" s="169"/>
      <c r="M1268" s="170" t="b">
        <v>0</v>
      </c>
      <c r="N1268" s="170" t="b">
        <v>0</v>
      </c>
      <c r="O1268" s="48"/>
      <c r="P1268" s="170" t="b">
        <v>0</v>
      </c>
      <c r="Q1268" s="170" t="b">
        <v>0</v>
      </c>
      <c r="R1268" s="170" t="b">
        <v>0</v>
      </c>
      <c r="S1268" s="48"/>
      <c r="T1268" s="60"/>
      <c r="U1268" s="170" t="b">
        <v>0</v>
      </c>
      <c r="V1268" s="170"/>
      <c r="W1268" s="170" t="b">
        <v>0</v>
      </c>
      <c r="X1268" s="170" t="b">
        <v>0</v>
      </c>
      <c r="Y1268" s="170"/>
      <c r="Z1268" s="170"/>
      <c r="AA1268" s="170"/>
      <c r="AB1268" s="170"/>
      <c r="AC1268" s="171"/>
      <c r="AD1268" s="170"/>
      <c r="AE1268" s="170"/>
      <c r="AF1268" s="170"/>
      <c r="AG1268" s="170"/>
      <c r="AH1268" s="170"/>
      <c r="AI1268" s="170"/>
      <c r="AJ1268" s="172"/>
      <c r="AK1268" s="50"/>
      <c r="AL1268" s="25"/>
      <c r="AM1268" s="25"/>
      <c r="AN1268" s="25"/>
      <c r="AO1268" s="165"/>
      <c r="AP1268" s="78"/>
      <c r="AQ1268" s="25"/>
      <c r="AR1268" s="25"/>
      <c r="AS1268" s="25"/>
      <c r="AT1268" s="25"/>
      <c r="AU1268" s="25"/>
      <c r="AV1268" s="25"/>
      <c r="AW1268" s="25"/>
      <c r="AX1268" s="25"/>
      <c r="AY1268" s="25"/>
      <c r="AZ1268" s="25"/>
      <c r="BA1268" s="25"/>
      <c r="BB1268" s="25"/>
      <c r="BC1268" s="25"/>
      <c r="BD1268" s="25"/>
      <c r="BE1268" s="25"/>
      <c r="BF1268" s="25"/>
      <c r="BG1268" s="25"/>
      <c r="BH1268" s="25"/>
      <c r="BI1268" s="25"/>
      <c r="BJ1268" s="25"/>
      <c r="BK1268" s="25"/>
      <c r="BL1268" s="25"/>
      <c r="BM1268" s="25"/>
      <c r="BN1268" s="25"/>
      <c r="BO1268" s="25"/>
      <c r="BP1268" s="25"/>
    </row>
    <row r="1269">
      <c r="A1269" s="25"/>
      <c r="B1269" s="168"/>
      <c r="C1269" s="25"/>
      <c r="D1269" s="25"/>
      <c r="E1269" s="25"/>
      <c r="F1269" s="25"/>
      <c r="G1269" s="84"/>
      <c r="H1269" s="25"/>
      <c r="I1269" s="25"/>
      <c r="J1269" s="25"/>
      <c r="K1269" s="169"/>
      <c r="L1269" s="169"/>
      <c r="M1269" s="170" t="b">
        <v>0</v>
      </c>
      <c r="N1269" s="170" t="b">
        <v>0</v>
      </c>
      <c r="O1269" s="48"/>
      <c r="P1269" s="170" t="b">
        <v>0</v>
      </c>
      <c r="Q1269" s="170" t="b">
        <v>0</v>
      </c>
      <c r="R1269" s="170" t="b">
        <v>0</v>
      </c>
      <c r="S1269" s="48"/>
      <c r="T1269" s="60"/>
      <c r="U1269" s="170" t="b">
        <v>0</v>
      </c>
      <c r="V1269" s="170"/>
      <c r="W1269" s="170" t="b">
        <v>0</v>
      </c>
      <c r="X1269" s="170" t="b">
        <v>0</v>
      </c>
      <c r="Y1269" s="170"/>
      <c r="Z1269" s="170"/>
      <c r="AA1269" s="170"/>
      <c r="AB1269" s="170"/>
      <c r="AC1269" s="171"/>
      <c r="AD1269" s="170"/>
      <c r="AE1269" s="170"/>
      <c r="AF1269" s="170"/>
      <c r="AG1269" s="170"/>
      <c r="AH1269" s="170"/>
      <c r="AI1269" s="170"/>
      <c r="AJ1269" s="172"/>
      <c r="AK1269" s="50"/>
      <c r="AL1269" s="25"/>
      <c r="AM1269" s="25"/>
      <c r="AN1269" s="25"/>
      <c r="AO1269" s="165"/>
      <c r="AP1269" s="78"/>
      <c r="AQ1269" s="25"/>
      <c r="AR1269" s="25"/>
      <c r="AS1269" s="25"/>
      <c r="AT1269" s="25"/>
      <c r="AU1269" s="25"/>
      <c r="AV1269" s="25"/>
      <c r="AW1269" s="25"/>
      <c r="AX1269" s="25"/>
      <c r="AY1269" s="25"/>
      <c r="AZ1269" s="25"/>
      <c r="BA1269" s="25"/>
      <c r="BB1269" s="25"/>
      <c r="BC1269" s="25"/>
      <c r="BD1269" s="25"/>
      <c r="BE1269" s="25"/>
      <c r="BF1269" s="25"/>
      <c r="BG1269" s="25"/>
      <c r="BH1269" s="25"/>
      <c r="BI1269" s="25"/>
      <c r="BJ1269" s="25"/>
      <c r="BK1269" s="25"/>
      <c r="BL1269" s="25"/>
      <c r="BM1269" s="25"/>
      <c r="BN1269" s="25"/>
      <c r="BO1269" s="25"/>
      <c r="BP1269" s="25"/>
    </row>
    <row r="1270">
      <c r="A1270" s="25"/>
      <c r="B1270" s="168"/>
      <c r="C1270" s="25"/>
      <c r="D1270" s="25"/>
      <c r="E1270" s="25"/>
      <c r="F1270" s="25"/>
      <c r="G1270" s="84"/>
      <c r="H1270" s="25"/>
      <c r="I1270" s="25"/>
      <c r="J1270" s="25"/>
      <c r="K1270" s="169"/>
      <c r="L1270" s="169"/>
      <c r="M1270" s="170" t="b">
        <v>0</v>
      </c>
      <c r="N1270" s="170" t="b">
        <v>0</v>
      </c>
      <c r="O1270" s="48"/>
      <c r="P1270" s="170" t="b">
        <v>0</v>
      </c>
      <c r="Q1270" s="170" t="b">
        <v>0</v>
      </c>
      <c r="R1270" s="170" t="b">
        <v>0</v>
      </c>
      <c r="S1270" s="48"/>
      <c r="T1270" s="60"/>
      <c r="U1270" s="170" t="b">
        <v>0</v>
      </c>
      <c r="V1270" s="170"/>
      <c r="W1270" s="170" t="b">
        <v>0</v>
      </c>
      <c r="X1270" s="170" t="b">
        <v>0</v>
      </c>
      <c r="Y1270" s="170"/>
      <c r="Z1270" s="170"/>
      <c r="AA1270" s="170"/>
      <c r="AB1270" s="170"/>
      <c r="AC1270" s="171"/>
      <c r="AD1270" s="170"/>
      <c r="AE1270" s="170"/>
      <c r="AF1270" s="170"/>
      <c r="AG1270" s="170"/>
      <c r="AH1270" s="170"/>
      <c r="AI1270" s="170"/>
      <c r="AJ1270" s="172"/>
      <c r="AK1270" s="50"/>
      <c r="AL1270" s="25"/>
      <c r="AM1270" s="25"/>
      <c r="AN1270" s="25"/>
      <c r="AO1270" s="165"/>
      <c r="AP1270" s="78"/>
      <c r="AQ1270" s="25"/>
      <c r="AR1270" s="25"/>
      <c r="AS1270" s="25"/>
      <c r="AT1270" s="25"/>
      <c r="AU1270" s="25"/>
      <c r="AV1270" s="25"/>
      <c r="AW1270" s="25"/>
      <c r="AX1270" s="25"/>
      <c r="AY1270" s="25"/>
      <c r="AZ1270" s="25"/>
      <c r="BA1270" s="25"/>
      <c r="BB1270" s="25"/>
      <c r="BC1270" s="25"/>
      <c r="BD1270" s="25"/>
      <c r="BE1270" s="25"/>
      <c r="BF1270" s="25"/>
      <c r="BG1270" s="25"/>
      <c r="BH1270" s="25"/>
      <c r="BI1270" s="25"/>
      <c r="BJ1270" s="25"/>
      <c r="BK1270" s="25"/>
      <c r="BL1270" s="25"/>
      <c r="BM1270" s="25"/>
      <c r="BN1270" s="25"/>
      <c r="BO1270" s="25"/>
      <c r="BP1270" s="25"/>
    </row>
    <row r="1271">
      <c r="A1271" s="25"/>
      <c r="B1271" s="168"/>
      <c r="C1271" s="25"/>
      <c r="D1271" s="25"/>
      <c r="E1271" s="25"/>
      <c r="F1271" s="25"/>
      <c r="G1271" s="84"/>
      <c r="H1271" s="25"/>
      <c r="I1271" s="25"/>
      <c r="J1271" s="25"/>
      <c r="K1271" s="169"/>
      <c r="L1271" s="169"/>
      <c r="M1271" s="170" t="b">
        <v>0</v>
      </c>
      <c r="N1271" s="170" t="b">
        <v>0</v>
      </c>
      <c r="O1271" s="48"/>
      <c r="P1271" s="170" t="b">
        <v>0</v>
      </c>
      <c r="Q1271" s="170" t="b">
        <v>0</v>
      </c>
      <c r="R1271" s="170" t="b">
        <v>0</v>
      </c>
      <c r="S1271" s="48"/>
      <c r="T1271" s="60"/>
      <c r="U1271" s="170" t="b">
        <v>0</v>
      </c>
      <c r="V1271" s="170"/>
      <c r="W1271" s="170" t="b">
        <v>0</v>
      </c>
      <c r="X1271" s="170" t="b">
        <v>0</v>
      </c>
      <c r="Y1271" s="170"/>
      <c r="Z1271" s="170"/>
      <c r="AA1271" s="170"/>
      <c r="AB1271" s="170"/>
      <c r="AC1271" s="171"/>
      <c r="AD1271" s="170"/>
      <c r="AE1271" s="170"/>
      <c r="AF1271" s="170"/>
      <c r="AG1271" s="170"/>
      <c r="AH1271" s="170"/>
      <c r="AI1271" s="170"/>
      <c r="AJ1271" s="172"/>
      <c r="AK1271" s="50"/>
      <c r="AL1271" s="25"/>
      <c r="AM1271" s="25"/>
      <c r="AN1271" s="25"/>
      <c r="AO1271" s="165"/>
      <c r="AP1271" s="78"/>
      <c r="AQ1271" s="25"/>
      <c r="AR1271" s="25"/>
      <c r="AS1271" s="25"/>
      <c r="AT1271" s="25"/>
      <c r="AU1271" s="25"/>
      <c r="AV1271" s="25"/>
      <c r="AW1271" s="25"/>
      <c r="AX1271" s="25"/>
      <c r="AY1271" s="25"/>
      <c r="AZ1271" s="25"/>
      <c r="BA1271" s="25"/>
      <c r="BB1271" s="25"/>
      <c r="BC1271" s="25"/>
      <c r="BD1271" s="25"/>
      <c r="BE1271" s="25"/>
      <c r="BF1271" s="25"/>
      <c r="BG1271" s="25"/>
      <c r="BH1271" s="25"/>
      <c r="BI1271" s="25"/>
      <c r="BJ1271" s="25"/>
      <c r="BK1271" s="25"/>
      <c r="BL1271" s="25"/>
      <c r="BM1271" s="25"/>
      <c r="BN1271" s="25"/>
      <c r="BO1271" s="25"/>
      <c r="BP1271" s="25"/>
    </row>
    <row r="1272">
      <c r="A1272" s="25"/>
      <c r="B1272" s="168"/>
      <c r="C1272" s="25"/>
      <c r="D1272" s="25"/>
      <c r="E1272" s="25"/>
      <c r="F1272" s="25"/>
      <c r="G1272" s="84"/>
      <c r="H1272" s="25"/>
      <c r="I1272" s="25"/>
      <c r="J1272" s="25"/>
      <c r="K1272" s="169"/>
      <c r="L1272" s="169"/>
      <c r="M1272" s="170" t="b">
        <v>0</v>
      </c>
      <c r="N1272" s="170" t="b">
        <v>0</v>
      </c>
      <c r="O1272" s="48"/>
      <c r="P1272" s="170" t="b">
        <v>0</v>
      </c>
      <c r="Q1272" s="170" t="b">
        <v>0</v>
      </c>
      <c r="R1272" s="170" t="b">
        <v>0</v>
      </c>
      <c r="S1272" s="48"/>
      <c r="T1272" s="60"/>
      <c r="U1272" s="170" t="b">
        <v>0</v>
      </c>
      <c r="V1272" s="170"/>
      <c r="W1272" s="170" t="b">
        <v>0</v>
      </c>
      <c r="X1272" s="170" t="b">
        <v>0</v>
      </c>
      <c r="Y1272" s="170"/>
      <c r="Z1272" s="170"/>
      <c r="AA1272" s="170"/>
      <c r="AB1272" s="170"/>
      <c r="AC1272" s="171"/>
      <c r="AD1272" s="170"/>
      <c r="AE1272" s="170"/>
      <c r="AF1272" s="170"/>
      <c r="AG1272" s="170"/>
      <c r="AH1272" s="170"/>
      <c r="AI1272" s="170"/>
      <c r="AJ1272" s="172"/>
      <c r="AK1272" s="50"/>
      <c r="AL1272" s="25"/>
      <c r="AM1272" s="25"/>
      <c r="AN1272" s="25"/>
      <c r="AO1272" s="165"/>
      <c r="AP1272" s="78"/>
      <c r="AQ1272" s="25"/>
      <c r="AR1272" s="25"/>
      <c r="AS1272" s="25"/>
      <c r="AT1272" s="25"/>
      <c r="AU1272" s="25"/>
      <c r="AV1272" s="25"/>
      <c r="AW1272" s="25"/>
      <c r="AX1272" s="25"/>
      <c r="AY1272" s="25"/>
      <c r="AZ1272" s="25"/>
      <c r="BA1272" s="25"/>
      <c r="BB1272" s="25"/>
      <c r="BC1272" s="25"/>
      <c r="BD1272" s="25"/>
      <c r="BE1272" s="25"/>
      <c r="BF1272" s="25"/>
      <c r="BG1272" s="25"/>
      <c r="BH1272" s="25"/>
      <c r="BI1272" s="25"/>
      <c r="BJ1272" s="25"/>
      <c r="BK1272" s="25"/>
      <c r="BL1272" s="25"/>
      <c r="BM1272" s="25"/>
      <c r="BN1272" s="25"/>
      <c r="BO1272" s="25"/>
      <c r="BP1272" s="25"/>
    </row>
    <row r="1273">
      <c r="A1273" s="25"/>
      <c r="B1273" s="168"/>
      <c r="C1273" s="25"/>
      <c r="D1273" s="25"/>
      <c r="E1273" s="25"/>
      <c r="F1273" s="25"/>
      <c r="G1273" s="84"/>
      <c r="H1273" s="25"/>
      <c r="I1273" s="25"/>
      <c r="J1273" s="25"/>
      <c r="K1273" s="169"/>
      <c r="L1273" s="169"/>
      <c r="M1273" s="170" t="b">
        <v>0</v>
      </c>
      <c r="N1273" s="170" t="b">
        <v>0</v>
      </c>
      <c r="O1273" s="48"/>
      <c r="P1273" s="170" t="b">
        <v>0</v>
      </c>
      <c r="Q1273" s="170" t="b">
        <v>0</v>
      </c>
      <c r="R1273" s="170" t="b">
        <v>0</v>
      </c>
      <c r="S1273" s="48"/>
      <c r="T1273" s="60"/>
      <c r="U1273" s="170" t="b">
        <v>0</v>
      </c>
      <c r="V1273" s="170"/>
      <c r="W1273" s="170" t="b">
        <v>0</v>
      </c>
      <c r="X1273" s="170" t="b">
        <v>0</v>
      </c>
      <c r="Y1273" s="170"/>
      <c r="Z1273" s="170"/>
      <c r="AA1273" s="170"/>
      <c r="AB1273" s="170"/>
      <c r="AC1273" s="171"/>
      <c r="AD1273" s="170"/>
      <c r="AE1273" s="170"/>
      <c r="AF1273" s="170"/>
      <c r="AG1273" s="170"/>
      <c r="AH1273" s="170"/>
      <c r="AI1273" s="170"/>
      <c r="AJ1273" s="172"/>
      <c r="AK1273" s="50"/>
      <c r="AL1273" s="25"/>
      <c r="AM1273" s="25"/>
      <c r="AN1273" s="25"/>
      <c r="AO1273" s="165"/>
      <c r="AP1273" s="78"/>
      <c r="AQ1273" s="25"/>
      <c r="AR1273" s="25"/>
      <c r="AS1273" s="25"/>
      <c r="AT1273" s="25"/>
      <c r="AU1273" s="25"/>
      <c r="AV1273" s="25"/>
      <c r="AW1273" s="25"/>
      <c r="AX1273" s="25"/>
      <c r="AY1273" s="25"/>
      <c r="AZ1273" s="25"/>
      <c r="BA1273" s="25"/>
      <c r="BB1273" s="25"/>
      <c r="BC1273" s="25"/>
      <c r="BD1273" s="25"/>
      <c r="BE1273" s="25"/>
      <c r="BF1273" s="25"/>
      <c r="BG1273" s="25"/>
      <c r="BH1273" s="25"/>
      <c r="BI1273" s="25"/>
      <c r="BJ1273" s="25"/>
      <c r="BK1273" s="25"/>
      <c r="BL1273" s="25"/>
      <c r="BM1273" s="25"/>
      <c r="BN1273" s="25"/>
      <c r="BO1273" s="25"/>
      <c r="BP1273" s="25"/>
    </row>
    <row r="1274">
      <c r="A1274" s="25"/>
      <c r="B1274" s="168"/>
      <c r="C1274" s="25"/>
      <c r="D1274" s="25"/>
      <c r="E1274" s="25"/>
      <c r="F1274" s="25"/>
      <c r="G1274" s="84"/>
      <c r="H1274" s="25"/>
      <c r="I1274" s="25"/>
      <c r="J1274" s="25"/>
      <c r="K1274" s="169"/>
      <c r="L1274" s="169"/>
      <c r="M1274" s="170" t="b">
        <v>0</v>
      </c>
      <c r="N1274" s="170" t="b">
        <v>0</v>
      </c>
      <c r="O1274" s="48"/>
      <c r="P1274" s="170" t="b">
        <v>0</v>
      </c>
      <c r="Q1274" s="170" t="b">
        <v>0</v>
      </c>
      <c r="R1274" s="170" t="b">
        <v>0</v>
      </c>
      <c r="S1274" s="48"/>
      <c r="T1274" s="60"/>
      <c r="U1274" s="170" t="b">
        <v>0</v>
      </c>
      <c r="V1274" s="170"/>
      <c r="W1274" s="170" t="b">
        <v>0</v>
      </c>
      <c r="X1274" s="170" t="b">
        <v>0</v>
      </c>
      <c r="Y1274" s="170"/>
      <c r="Z1274" s="170"/>
      <c r="AA1274" s="170"/>
      <c r="AB1274" s="170"/>
      <c r="AC1274" s="171"/>
      <c r="AD1274" s="170"/>
      <c r="AE1274" s="170"/>
      <c r="AF1274" s="170"/>
      <c r="AG1274" s="170"/>
      <c r="AH1274" s="170"/>
      <c r="AI1274" s="170"/>
      <c r="AJ1274" s="172"/>
      <c r="AK1274" s="50"/>
      <c r="AL1274" s="25"/>
      <c r="AM1274" s="25"/>
      <c r="AN1274" s="25"/>
      <c r="AO1274" s="165"/>
      <c r="AP1274" s="78"/>
      <c r="AQ1274" s="25"/>
      <c r="AR1274" s="25"/>
      <c r="AS1274" s="25"/>
      <c r="AT1274" s="25"/>
      <c r="AU1274" s="25"/>
      <c r="AV1274" s="25"/>
      <c r="AW1274" s="25"/>
      <c r="AX1274" s="25"/>
      <c r="AY1274" s="25"/>
      <c r="AZ1274" s="25"/>
      <c r="BA1274" s="25"/>
      <c r="BB1274" s="25"/>
      <c r="BC1274" s="25"/>
      <c r="BD1274" s="25"/>
      <c r="BE1274" s="25"/>
      <c r="BF1274" s="25"/>
      <c r="BG1274" s="25"/>
      <c r="BH1274" s="25"/>
      <c r="BI1274" s="25"/>
      <c r="BJ1274" s="25"/>
      <c r="BK1274" s="25"/>
      <c r="BL1274" s="25"/>
      <c r="BM1274" s="25"/>
      <c r="BN1274" s="25"/>
      <c r="BO1274" s="25"/>
      <c r="BP1274" s="25"/>
    </row>
    <row r="1275">
      <c r="A1275" s="25"/>
      <c r="B1275" s="168"/>
      <c r="C1275" s="25"/>
      <c r="D1275" s="25"/>
      <c r="E1275" s="25"/>
      <c r="F1275" s="25"/>
      <c r="G1275" s="84"/>
      <c r="H1275" s="25"/>
      <c r="I1275" s="25"/>
      <c r="J1275" s="25"/>
      <c r="K1275" s="169"/>
      <c r="L1275" s="169"/>
      <c r="M1275" s="170" t="b">
        <v>0</v>
      </c>
      <c r="N1275" s="170" t="b">
        <v>0</v>
      </c>
      <c r="O1275" s="48"/>
      <c r="P1275" s="170" t="b">
        <v>0</v>
      </c>
      <c r="Q1275" s="170" t="b">
        <v>0</v>
      </c>
      <c r="R1275" s="170" t="b">
        <v>0</v>
      </c>
      <c r="S1275" s="48"/>
      <c r="T1275" s="60"/>
      <c r="U1275" s="170" t="b">
        <v>0</v>
      </c>
      <c r="V1275" s="170"/>
      <c r="W1275" s="170" t="b">
        <v>0</v>
      </c>
      <c r="X1275" s="170" t="b">
        <v>0</v>
      </c>
      <c r="Y1275" s="170"/>
      <c r="Z1275" s="170"/>
      <c r="AA1275" s="170"/>
      <c r="AB1275" s="170"/>
      <c r="AC1275" s="171"/>
      <c r="AD1275" s="170"/>
      <c r="AE1275" s="170"/>
      <c r="AF1275" s="170"/>
      <c r="AG1275" s="170"/>
      <c r="AH1275" s="170"/>
      <c r="AI1275" s="170"/>
      <c r="AJ1275" s="172"/>
      <c r="AK1275" s="50"/>
      <c r="AL1275" s="25"/>
      <c r="AM1275" s="25"/>
      <c r="AN1275" s="25"/>
      <c r="AO1275" s="165"/>
      <c r="AP1275" s="78"/>
      <c r="AQ1275" s="25"/>
      <c r="AR1275" s="25"/>
      <c r="AS1275" s="25"/>
      <c r="AT1275" s="25"/>
      <c r="AU1275" s="25"/>
      <c r="AV1275" s="25"/>
      <c r="AW1275" s="25"/>
      <c r="AX1275" s="25"/>
      <c r="AY1275" s="25"/>
      <c r="AZ1275" s="25"/>
      <c r="BA1275" s="25"/>
      <c r="BB1275" s="25"/>
      <c r="BC1275" s="25"/>
      <c r="BD1275" s="25"/>
      <c r="BE1275" s="25"/>
      <c r="BF1275" s="25"/>
      <c r="BG1275" s="25"/>
      <c r="BH1275" s="25"/>
      <c r="BI1275" s="25"/>
      <c r="BJ1275" s="25"/>
      <c r="BK1275" s="25"/>
      <c r="BL1275" s="25"/>
      <c r="BM1275" s="25"/>
      <c r="BN1275" s="25"/>
      <c r="BO1275" s="25"/>
      <c r="BP1275" s="25"/>
    </row>
    <row r="1276">
      <c r="A1276" s="25"/>
      <c r="B1276" s="168"/>
      <c r="C1276" s="25"/>
      <c r="D1276" s="25"/>
      <c r="E1276" s="25"/>
      <c r="F1276" s="25"/>
      <c r="G1276" s="84"/>
      <c r="H1276" s="25"/>
      <c r="I1276" s="25"/>
      <c r="J1276" s="25"/>
      <c r="K1276" s="169"/>
      <c r="L1276" s="169"/>
      <c r="M1276" s="170" t="b">
        <v>0</v>
      </c>
      <c r="N1276" s="170" t="b">
        <v>0</v>
      </c>
      <c r="O1276" s="48"/>
      <c r="P1276" s="170" t="b">
        <v>0</v>
      </c>
      <c r="Q1276" s="170" t="b">
        <v>0</v>
      </c>
      <c r="R1276" s="170" t="b">
        <v>0</v>
      </c>
      <c r="S1276" s="48"/>
      <c r="T1276" s="60"/>
      <c r="U1276" s="170" t="b">
        <v>0</v>
      </c>
      <c r="V1276" s="170"/>
      <c r="W1276" s="170" t="b">
        <v>0</v>
      </c>
      <c r="X1276" s="170" t="b">
        <v>0</v>
      </c>
      <c r="Y1276" s="170"/>
      <c r="Z1276" s="170"/>
      <c r="AA1276" s="170"/>
      <c r="AB1276" s="170"/>
      <c r="AC1276" s="171"/>
      <c r="AD1276" s="170"/>
      <c r="AE1276" s="170"/>
      <c r="AF1276" s="170"/>
      <c r="AG1276" s="170"/>
      <c r="AH1276" s="170"/>
      <c r="AI1276" s="170"/>
      <c r="AJ1276" s="172"/>
      <c r="AK1276" s="50"/>
      <c r="AL1276" s="25"/>
      <c r="AM1276" s="25"/>
      <c r="AN1276" s="25"/>
      <c r="AO1276" s="165"/>
      <c r="AP1276" s="78"/>
      <c r="AQ1276" s="25"/>
      <c r="AR1276" s="25"/>
      <c r="AS1276" s="25"/>
      <c r="AT1276" s="25"/>
      <c r="AU1276" s="25"/>
      <c r="AV1276" s="25"/>
      <c r="AW1276" s="25"/>
      <c r="AX1276" s="25"/>
      <c r="AY1276" s="25"/>
      <c r="AZ1276" s="25"/>
      <c r="BA1276" s="25"/>
      <c r="BB1276" s="25"/>
      <c r="BC1276" s="25"/>
      <c r="BD1276" s="25"/>
      <c r="BE1276" s="25"/>
      <c r="BF1276" s="25"/>
      <c r="BG1276" s="25"/>
      <c r="BH1276" s="25"/>
      <c r="BI1276" s="25"/>
      <c r="BJ1276" s="25"/>
      <c r="BK1276" s="25"/>
      <c r="BL1276" s="25"/>
      <c r="BM1276" s="25"/>
      <c r="BN1276" s="25"/>
      <c r="BO1276" s="25"/>
      <c r="BP1276" s="25"/>
    </row>
    <row r="1277">
      <c r="A1277" s="25"/>
      <c r="B1277" s="168"/>
      <c r="C1277" s="25"/>
      <c r="D1277" s="25"/>
      <c r="E1277" s="25"/>
      <c r="F1277" s="25"/>
      <c r="G1277" s="84"/>
      <c r="H1277" s="25"/>
      <c r="I1277" s="25"/>
      <c r="J1277" s="25"/>
      <c r="K1277" s="169"/>
      <c r="L1277" s="169"/>
      <c r="M1277" s="170" t="b">
        <v>0</v>
      </c>
      <c r="N1277" s="170" t="b">
        <v>0</v>
      </c>
      <c r="O1277" s="48"/>
      <c r="P1277" s="170" t="b">
        <v>0</v>
      </c>
      <c r="Q1277" s="170" t="b">
        <v>0</v>
      </c>
      <c r="R1277" s="170" t="b">
        <v>0</v>
      </c>
      <c r="S1277" s="48"/>
      <c r="T1277" s="60"/>
      <c r="U1277" s="170" t="b">
        <v>0</v>
      </c>
      <c r="V1277" s="170"/>
      <c r="W1277" s="170" t="b">
        <v>0</v>
      </c>
      <c r="X1277" s="170" t="b">
        <v>0</v>
      </c>
      <c r="Y1277" s="170"/>
      <c r="Z1277" s="170"/>
      <c r="AA1277" s="170"/>
      <c r="AB1277" s="170"/>
      <c r="AC1277" s="171"/>
      <c r="AD1277" s="170"/>
      <c r="AE1277" s="170"/>
      <c r="AF1277" s="170"/>
      <c r="AG1277" s="170"/>
      <c r="AH1277" s="170"/>
      <c r="AI1277" s="170"/>
      <c r="AJ1277" s="172"/>
      <c r="AK1277" s="50"/>
      <c r="AL1277" s="25"/>
      <c r="AM1277" s="25"/>
      <c r="AN1277" s="25"/>
      <c r="AO1277" s="165"/>
      <c r="AP1277" s="78"/>
      <c r="AQ1277" s="25"/>
      <c r="AR1277" s="25"/>
      <c r="AS1277" s="25"/>
      <c r="AT1277" s="25"/>
      <c r="AU1277" s="25"/>
      <c r="AV1277" s="25"/>
      <c r="AW1277" s="25"/>
      <c r="AX1277" s="25"/>
      <c r="AY1277" s="25"/>
      <c r="AZ1277" s="25"/>
      <c r="BA1277" s="25"/>
      <c r="BB1277" s="25"/>
      <c r="BC1277" s="25"/>
      <c r="BD1277" s="25"/>
      <c r="BE1277" s="25"/>
      <c r="BF1277" s="25"/>
      <c r="BG1277" s="25"/>
      <c r="BH1277" s="25"/>
      <c r="BI1277" s="25"/>
      <c r="BJ1277" s="25"/>
      <c r="BK1277" s="25"/>
      <c r="BL1277" s="25"/>
      <c r="BM1277" s="25"/>
      <c r="BN1277" s="25"/>
      <c r="BO1277" s="25"/>
      <c r="BP1277" s="25"/>
    </row>
    <row r="1278">
      <c r="A1278" s="25"/>
      <c r="B1278" s="168"/>
      <c r="C1278" s="25"/>
      <c r="D1278" s="25"/>
      <c r="E1278" s="25"/>
      <c r="F1278" s="25"/>
      <c r="G1278" s="84"/>
      <c r="H1278" s="25"/>
      <c r="I1278" s="25"/>
      <c r="J1278" s="25"/>
      <c r="K1278" s="169"/>
      <c r="L1278" s="169"/>
      <c r="M1278" s="170" t="b">
        <v>0</v>
      </c>
      <c r="N1278" s="170" t="b">
        <v>0</v>
      </c>
      <c r="O1278" s="48"/>
      <c r="P1278" s="170" t="b">
        <v>0</v>
      </c>
      <c r="Q1278" s="170" t="b">
        <v>0</v>
      </c>
      <c r="R1278" s="170" t="b">
        <v>0</v>
      </c>
      <c r="S1278" s="48"/>
      <c r="T1278" s="60"/>
      <c r="U1278" s="170" t="b">
        <v>0</v>
      </c>
      <c r="V1278" s="170"/>
      <c r="W1278" s="170" t="b">
        <v>0</v>
      </c>
      <c r="X1278" s="170" t="b">
        <v>0</v>
      </c>
      <c r="Y1278" s="170"/>
      <c r="Z1278" s="170"/>
      <c r="AA1278" s="170"/>
      <c r="AB1278" s="170"/>
      <c r="AC1278" s="171"/>
      <c r="AD1278" s="170"/>
      <c r="AE1278" s="170"/>
      <c r="AF1278" s="170"/>
      <c r="AG1278" s="170"/>
      <c r="AH1278" s="170"/>
      <c r="AI1278" s="170"/>
      <c r="AJ1278" s="172"/>
      <c r="AK1278" s="50"/>
      <c r="AL1278" s="25"/>
      <c r="AM1278" s="25"/>
      <c r="AN1278" s="25"/>
      <c r="AO1278" s="165"/>
      <c r="AP1278" s="78"/>
      <c r="AQ1278" s="25"/>
      <c r="AR1278" s="25"/>
      <c r="AS1278" s="25"/>
      <c r="AT1278" s="25"/>
      <c r="AU1278" s="25"/>
      <c r="AV1278" s="25"/>
      <c r="AW1278" s="25"/>
      <c r="AX1278" s="25"/>
      <c r="AY1278" s="25"/>
      <c r="AZ1278" s="25"/>
      <c r="BA1278" s="25"/>
      <c r="BB1278" s="25"/>
      <c r="BC1278" s="25"/>
      <c r="BD1278" s="25"/>
      <c r="BE1278" s="25"/>
      <c r="BF1278" s="25"/>
      <c r="BG1278" s="25"/>
      <c r="BH1278" s="25"/>
      <c r="BI1278" s="25"/>
      <c r="BJ1278" s="25"/>
      <c r="BK1278" s="25"/>
      <c r="BL1278" s="25"/>
      <c r="BM1278" s="25"/>
      <c r="BN1278" s="25"/>
      <c r="BO1278" s="25"/>
      <c r="BP1278" s="25"/>
    </row>
    <row r="1279">
      <c r="A1279" s="25"/>
      <c r="B1279" s="168"/>
      <c r="C1279" s="25"/>
      <c r="D1279" s="25"/>
      <c r="E1279" s="25"/>
      <c r="F1279" s="25"/>
      <c r="G1279" s="84"/>
      <c r="H1279" s="25"/>
      <c r="I1279" s="25"/>
      <c r="J1279" s="25"/>
      <c r="K1279" s="169"/>
      <c r="L1279" s="169"/>
      <c r="M1279" s="170" t="b">
        <v>0</v>
      </c>
      <c r="N1279" s="170" t="b">
        <v>0</v>
      </c>
      <c r="O1279" s="48"/>
      <c r="P1279" s="170" t="b">
        <v>0</v>
      </c>
      <c r="Q1279" s="170" t="b">
        <v>0</v>
      </c>
      <c r="R1279" s="170" t="b">
        <v>0</v>
      </c>
      <c r="S1279" s="48"/>
      <c r="T1279" s="60"/>
      <c r="U1279" s="170" t="b">
        <v>0</v>
      </c>
      <c r="V1279" s="170"/>
      <c r="W1279" s="170" t="b">
        <v>0</v>
      </c>
      <c r="X1279" s="170" t="b">
        <v>0</v>
      </c>
      <c r="Y1279" s="170"/>
      <c r="Z1279" s="170"/>
      <c r="AA1279" s="170"/>
      <c r="AB1279" s="170"/>
      <c r="AC1279" s="171"/>
      <c r="AD1279" s="170"/>
      <c r="AE1279" s="170"/>
      <c r="AF1279" s="170"/>
      <c r="AG1279" s="170"/>
      <c r="AH1279" s="170"/>
      <c r="AI1279" s="170"/>
      <c r="AJ1279" s="172"/>
      <c r="AK1279" s="50"/>
      <c r="AL1279" s="25"/>
      <c r="AM1279" s="25"/>
      <c r="AN1279" s="25"/>
      <c r="AO1279" s="165"/>
      <c r="AP1279" s="78"/>
      <c r="AQ1279" s="25"/>
      <c r="AR1279" s="25"/>
      <c r="AS1279" s="25"/>
      <c r="AT1279" s="25"/>
      <c r="AU1279" s="25"/>
      <c r="AV1279" s="25"/>
      <c r="AW1279" s="25"/>
      <c r="AX1279" s="25"/>
      <c r="AY1279" s="25"/>
      <c r="AZ1279" s="25"/>
      <c r="BA1279" s="25"/>
      <c r="BB1279" s="25"/>
      <c r="BC1279" s="25"/>
      <c r="BD1279" s="25"/>
      <c r="BE1279" s="25"/>
      <c r="BF1279" s="25"/>
      <c r="BG1279" s="25"/>
      <c r="BH1279" s="25"/>
      <c r="BI1279" s="25"/>
      <c r="BJ1279" s="25"/>
      <c r="BK1279" s="25"/>
      <c r="BL1279" s="25"/>
      <c r="BM1279" s="25"/>
      <c r="BN1279" s="25"/>
      <c r="BO1279" s="25"/>
      <c r="BP1279" s="25"/>
    </row>
    <row r="1280">
      <c r="A1280" s="25"/>
      <c r="B1280" s="168"/>
      <c r="C1280" s="25"/>
      <c r="D1280" s="25"/>
      <c r="E1280" s="25"/>
      <c r="F1280" s="25"/>
      <c r="G1280" s="84"/>
      <c r="H1280" s="25"/>
      <c r="I1280" s="25"/>
      <c r="J1280" s="25"/>
      <c r="K1280" s="169"/>
      <c r="L1280" s="169"/>
      <c r="M1280" s="170" t="b">
        <v>0</v>
      </c>
      <c r="N1280" s="170" t="b">
        <v>0</v>
      </c>
      <c r="O1280" s="48"/>
      <c r="P1280" s="170" t="b">
        <v>0</v>
      </c>
      <c r="Q1280" s="170" t="b">
        <v>0</v>
      </c>
      <c r="R1280" s="170" t="b">
        <v>0</v>
      </c>
      <c r="S1280" s="48"/>
      <c r="T1280" s="60"/>
      <c r="U1280" s="170" t="b">
        <v>0</v>
      </c>
      <c r="V1280" s="170"/>
      <c r="W1280" s="170" t="b">
        <v>0</v>
      </c>
      <c r="X1280" s="170" t="b">
        <v>0</v>
      </c>
      <c r="Y1280" s="170"/>
      <c r="Z1280" s="170"/>
      <c r="AA1280" s="170"/>
      <c r="AB1280" s="170"/>
      <c r="AC1280" s="171"/>
      <c r="AD1280" s="170"/>
      <c r="AE1280" s="170"/>
      <c r="AF1280" s="170"/>
      <c r="AG1280" s="170"/>
      <c r="AH1280" s="170"/>
      <c r="AI1280" s="170"/>
      <c r="AJ1280" s="172"/>
      <c r="AK1280" s="50"/>
      <c r="AL1280" s="25"/>
      <c r="AM1280" s="25"/>
      <c r="AN1280" s="25"/>
      <c r="AO1280" s="165"/>
      <c r="AP1280" s="78"/>
      <c r="AQ1280" s="25"/>
      <c r="AR1280" s="25"/>
      <c r="AS1280" s="25"/>
      <c r="AT1280" s="25"/>
      <c r="AU1280" s="25"/>
      <c r="AV1280" s="25"/>
      <c r="AW1280" s="25"/>
      <c r="AX1280" s="25"/>
      <c r="AY1280" s="25"/>
      <c r="AZ1280" s="25"/>
      <c r="BA1280" s="25"/>
      <c r="BB1280" s="25"/>
      <c r="BC1280" s="25"/>
      <c r="BD1280" s="25"/>
      <c r="BE1280" s="25"/>
      <c r="BF1280" s="25"/>
      <c r="BG1280" s="25"/>
      <c r="BH1280" s="25"/>
      <c r="BI1280" s="25"/>
      <c r="BJ1280" s="25"/>
      <c r="BK1280" s="25"/>
      <c r="BL1280" s="25"/>
      <c r="BM1280" s="25"/>
      <c r="BN1280" s="25"/>
      <c r="BO1280" s="25"/>
      <c r="BP1280" s="25"/>
    </row>
    <row r="1281">
      <c r="A1281" s="25"/>
      <c r="B1281" s="168"/>
      <c r="C1281" s="25"/>
      <c r="D1281" s="25"/>
      <c r="E1281" s="25"/>
      <c r="F1281" s="25"/>
      <c r="G1281" s="84"/>
      <c r="H1281" s="25"/>
      <c r="I1281" s="25"/>
      <c r="J1281" s="25"/>
      <c r="K1281" s="169"/>
      <c r="L1281" s="169"/>
      <c r="M1281" s="170" t="b">
        <v>0</v>
      </c>
      <c r="N1281" s="170" t="b">
        <v>0</v>
      </c>
      <c r="O1281" s="48"/>
      <c r="P1281" s="170" t="b">
        <v>0</v>
      </c>
      <c r="Q1281" s="170" t="b">
        <v>0</v>
      </c>
      <c r="R1281" s="170" t="b">
        <v>0</v>
      </c>
      <c r="S1281" s="48"/>
      <c r="T1281" s="60"/>
      <c r="U1281" s="170" t="b">
        <v>0</v>
      </c>
      <c r="V1281" s="170"/>
      <c r="W1281" s="170" t="b">
        <v>0</v>
      </c>
      <c r="X1281" s="170" t="b">
        <v>0</v>
      </c>
      <c r="Y1281" s="170"/>
      <c r="Z1281" s="170"/>
      <c r="AA1281" s="170"/>
      <c r="AB1281" s="170"/>
      <c r="AC1281" s="171"/>
      <c r="AD1281" s="170"/>
      <c r="AE1281" s="170"/>
      <c r="AF1281" s="170"/>
      <c r="AG1281" s="170"/>
      <c r="AH1281" s="170"/>
      <c r="AI1281" s="170"/>
      <c r="AJ1281" s="172"/>
      <c r="AK1281" s="50"/>
      <c r="AL1281" s="25"/>
      <c r="AM1281" s="25"/>
      <c r="AN1281" s="25"/>
      <c r="AO1281" s="165"/>
      <c r="AP1281" s="78"/>
      <c r="AQ1281" s="25"/>
      <c r="AR1281" s="25"/>
      <c r="AS1281" s="25"/>
      <c r="AT1281" s="25"/>
      <c r="AU1281" s="25"/>
      <c r="AV1281" s="25"/>
      <c r="AW1281" s="25"/>
      <c r="AX1281" s="25"/>
      <c r="AY1281" s="25"/>
      <c r="AZ1281" s="25"/>
      <c r="BA1281" s="25"/>
      <c r="BB1281" s="25"/>
      <c r="BC1281" s="25"/>
      <c r="BD1281" s="25"/>
      <c r="BE1281" s="25"/>
      <c r="BF1281" s="25"/>
      <c r="BG1281" s="25"/>
      <c r="BH1281" s="25"/>
      <c r="BI1281" s="25"/>
      <c r="BJ1281" s="25"/>
      <c r="BK1281" s="25"/>
      <c r="BL1281" s="25"/>
      <c r="BM1281" s="25"/>
      <c r="BN1281" s="25"/>
      <c r="BO1281" s="25"/>
      <c r="BP1281" s="25"/>
    </row>
    <row r="1282">
      <c r="A1282" s="25"/>
      <c r="B1282" s="168"/>
      <c r="C1282" s="25"/>
      <c r="D1282" s="25"/>
      <c r="E1282" s="25"/>
      <c r="F1282" s="25"/>
      <c r="G1282" s="84"/>
      <c r="H1282" s="25"/>
      <c r="I1282" s="25"/>
      <c r="J1282" s="25"/>
      <c r="K1282" s="169"/>
      <c r="L1282" s="169"/>
      <c r="M1282" s="170" t="b">
        <v>0</v>
      </c>
      <c r="N1282" s="170" t="b">
        <v>0</v>
      </c>
      <c r="O1282" s="48"/>
      <c r="P1282" s="170" t="b">
        <v>0</v>
      </c>
      <c r="Q1282" s="170" t="b">
        <v>0</v>
      </c>
      <c r="R1282" s="170" t="b">
        <v>0</v>
      </c>
      <c r="S1282" s="48"/>
      <c r="T1282" s="60"/>
      <c r="U1282" s="170" t="b">
        <v>0</v>
      </c>
      <c r="V1282" s="170"/>
      <c r="W1282" s="170" t="b">
        <v>0</v>
      </c>
      <c r="X1282" s="170" t="b">
        <v>0</v>
      </c>
      <c r="Y1282" s="170"/>
      <c r="Z1282" s="170"/>
      <c r="AA1282" s="170"/>
      <c r="AB1282" s="170"/>
      <c r="AC1282" s="171"/>
      <c r="AD1282" s="170"/>
      <c r="AE1282" s="170"/>
      <c r="AF1282" s="170"/>
      <c r="AG1282" s="170"/>
      <c r="AH1282" s="170"/>
      <c r="AI1282" s="170"/>
      <c r="AJ1282" s="172"/>
      <c r="AK1282" s="50"/>
      <c r="AL1282" s="25"/>
      <c r="AM1282" s="25"/>
      <c r="AN1282" s="25"/>
      <c r="AO1282" s="165"/>
      <c r="AP1282" s="78"/>
      <c r="AQ1282" s="25"/>
      <c r="AR1282" s="25"/>
      <c r="AS1282" s="25"/>
      <c r="AT1282" s="25"/>
      <c r="AU1282" s="25"/>
      <c r="AV1282" s="25"/>
      <c r="AW1282" s="25"/>
      <c r="AX1282" s="25"/>
      <c r="AY1282" s="25"/>
      <c r="AZ1282" s="25"/>
      <c r="BA1282" s="25"/>
      <c r="BB1282" s="25"/>
      <c r="BC1282" s="25"/>
      <c r="BD1282" s="25"/>
      <c r="BE1282" s="25"/>
      <c r="BF1282" s="25"/>
      <c r="BG1282" s="25"/>
      <c r="BH1282" s="25"/>
      <c r="BI1282" s="25"/>
      <c r="BJ1282" s="25"/>
      <c r="BK1282" s="25"/>
      <c r="BL1282" s="25"/>
      <c r="BM1282" s="25"/>
      <c r="BN1282" s="25"/>
      <c r="BO1282" s="25"/>
      <c r="BP1282" s="25"/>
    </row>
    <row r="1283">
      <c r="A1283" s="25"/>
      <c r="B1283" s="168"/>
      <c r="C1283" s="25"/>
      <c r="D1283" s="25"/>
      <c r="E1283" s="25"/>
      <c r="F1283" s="25"/>
      <c r="G1283" s="84"/>
      <c r="H1283" s="25"/>
      <c r="I1283" s="25"/>
      <c r="J1283" s="25"/>
      <c r="K1283" s="169"/>
      <c r="L1283" s="169"/>
      <c r="M1283" s="170" t="b">
        <v>0</v>
      </c>
      <c r="N1283" s="170" t="b">
        <v>0</v>
      </c>
      <c r="O1283" s="48"/>
      <c r="P1283" s="170" t="b">
        <v>0</v>
      </c>
      <c r="Q1283" s="170" t="b">
        <v>0</v>
      </c>
      <c r="R1283" s="170" t="b">
        <v>0</v>
      </c>
      <c r="S1283" s="48"/>
      <c r="T1283" s="60"/>
      <c r="U1283" s="170" t="b">
        <v>0</v>
      </c>
      <c r="V1283" s="170"/>
      <c r="W1283" s="170" t="b">
        <v>0</v>
      </c>
      <c r="X1283" s="170" t="b">
        <v>0</v>
      </c>
      <c r="Y1283" s="170"/>
      <c r="Z1283" s="170"/>
      <c r="AA1283" s="170"/>
      <c r="AB1283" s="170"/>
      <c r="AC1283" s="171"/>
      <c r="AD1283" s="170"/>
      <c r="AE1283" s="170"/>
      <c r="AF1283" s="170"/>
      <c r="AG1283" s="170"/>
      <c r="AH1283" s="170"/>
      <c r="AI1283" s="170"/>
      <c r="AJ1283" s="172"/>
      <c r="AK1283" s="50"/>
      <c r="AL1283" s="25"/>
      <c r="AM1283" s="25"/>
      <c r="AN1283" s="25"/>
      <c r="AO1283" s="165"/>
      <c r="AP1283" s="78"/>
      <c r="AQ1283" s="25"/>
      <c r="AR1283" s="25"/>
      <c r="AS1283" s="25"/>
      <c r="AT1283" s="25"/>
      <c r="AU1283" s="25"/>
      <c r="AV1283" s="25"/>
      <c r="AW1283" s="25"/>
      <c r="AX1283" s="25"/>
      <c r="AY1283" s="25"/>
      <c r="AZ1283" s="25"/>
      <c r="BA1283" s="25"/>
      <c r="BB1283" s="25"/>
      <c r="BC1283" s="25"/>
      <c r="BD1283" s="25"/>
      <c r="BE1283" s="25"/>
      <c r="BF1283" s="25"/>
      <c r="BG1283" s="25"/>
      <c r="BH1283" s="25"/>
      <c r="BI1283" s="25"/>
      <c r="BJ1283" s="25"/>
      <c r="BK1283" s="25"/>
      <c r="BL1283" s="25"/>
      <c r="BM1283" s="25"/>
      <c r="BN1283" s="25"/>
      <c r="BO1283" s="25"/>
      <c r="BP1283" s="25"/>
    </row>
    <row r="1284">
      <c r="A1284" s="25"/>
      <c r="B1284" s="168"/>
      <c r="C1284" s="25"/>
      <c r="D1284" s="25"/>
      <c r="E1284" s="25"/>
      <c r="F1284" s="25"/>
      <c r="G1284" s="84"/>
      <c r="H1284" s="25"/>
      <c r="I1284" s="25"/>
      <c r="J1284" s="25"/>
      <c r="K1284" s="169"/>
      <c r="L1284" s="169"/>
      <c r="M1284" s="170" t="b">
        <v>0</v>
      </c>
      <c r="N1284" s="170" t="b">
        <v>0</v>
      </c>
      <c r="O1284" s="48"/>
      <c r="P1284" s="170" t="b">
        <v>0</v>
      </c>
      <c r="Q1284" s="170" t="b">
        <v>0</v>
      </c>
      <c r="R1284" s="170" t="b">
        <v>0</v>
      </c>
      <c r="S1284" s="48"/>
      <c r="T1284" s="60"/>
      <c r="U1284" s="170" t="b">
        <v>0</v>
      </c>
      <c r="V1284" s="170"/>
      <c r="W1284" s="170" t="b">
        <v>0</v>
      </c>
      <c r="X1284" s="170" t="b">
        <v>0</v>
      </c>
      <c r="Y1284" s="170"/>
      <c r="Z1284" s="170"/>
      <c r="AA1284" s="170"/>
      <c r="AB1284" s="170"/>
      <c r="AC1284" s="171"/>
      <c r="AD1284" s="170"/>
      <c r="AE1284" s="170"/>
      <c r="AF1284" s="170"/>
      <c r="AG1284" s="170"/>
      <c r="AH1284" s="170"/>
      <c r="AI1284" s="170"/>
      <c r="AJ1284" s="172"/>
      <c r="AK1284" s="50"/>
      <c r="AL1284" s="25"/>
      <c r="AM1284" s="25"/>
      <c r="AN1284" s="25"/>
      <c r="AO1284" s="165"/>
      <c r="AP1284" s="78"/>
      <c r="AQ1284" s="25"/>
      <c r="AR1284" s="25"/>
      <c r="AS1284" s="25"/>
      <c r="AT1284" s="25"/>
      <c r="AU1284" s="25"/>
      <c r="AV1284" s="25"/>
      <c r="AW1284" s="25"/>
      <c r="AX1284" s="25"/>
      <c r="AY1284" s="25"/>
      <c r="AZ1284" s="25"/>
      <c r="BA1284" s="25"/>
      <c r="BB1284" s="25"/>
      <c r="BC1284" s="25"/>
      <c r="BD1284" s="25"/>
      <c r="BE1284" s="25"/>
      <c r="BF1284" s="25"/>
      <c r="BG1284" s="25"/>
      <c r="BH1284" s="25"/>
      <c r="BI1284" s="25"/>
      <c r="BJ1284" s="25"/>
      <c r="BK1284" s="25"/>
      <c r="BL1284" s="25"/>
      <c r="BM1284" s="25"/>
      <c r="BN1284" s="25"/>
      <c r="BO1284" s="25"/>
      <c r="BP1284" s="25"/>
    </row>
    <row r="1285">
      <c r="A1285" s="25"/>
      <c r="B1285" s="168"/>
      <c r="C1285" s="25"/>
      <c r="D1285" s="25"/>
      <c r="E1285" s="25"/>
      <c r="F1285" s="25"/>
      <c r="G1285" s="84"/>
      <c r="H1285" s="25"/>
      <c r="I1285" s="25"/>
      <c r="J1285" s="25"/>
      <c r="K1285" s="169"/>
      <c r="L1285" s="169"/>
      <c r="M1285" s="170" t="b">
        <v>0</v>
      </c>
      <c r="N1285" s="170" t="b">
        <v>0</v>
      </c>
      <c r="O1285" s="48"/>
      <c r="P1285" s="170" t="b">
        <v>0</v>
      </c>
      <c r="Q1285" s="170" t="b">
        <v>0</v>
      </c>
      <c r="R1285" s="170" t="b">
        <v>0</v>
      </c>
      <c r="S1285" s="48"/>
      <c r="T1285" s="60"/>
      <c r="U1285" s="170" t="b">
        <v>0</v>
      </c>
      <c r="V1285" s="170"/>
      <c r="W1285" s="170" t="b">
        <v>0</v>
      </c>
      <c r="X1285" s="170" t="b">
        <v>0</v>
      </c>
      <c r="Y1285" s="170"/>
      <c r="Z1285" s="170"/>
      <c r="AA1285" s="170"/>
      <c r="AB1285" s="170"/>
      <c r="AC1285" s="171"/>
      <c r="AD1285" s="170"/>
      <c r="AE1285" s="170"/>
      <c r="AF1285" s="170"/>
      <c r="AG1285" s="170"/>
      <c r="AH1285" s="170"/>
      <c r="AI1285" s="170"/>
      <c r="AJ1285" s="172"/>
      <c r="AK1285" s="50"/>
      <c r="AL1285" s="25"/>
      <c r="AM1285" s="25"/>
      <c r="AN1285" s="25"/>
      <c r="AO1285" s="165"/>
      <c r="AP1285" s="78"/>
      <c r="AQ1285" s="25"/>
      <c r="AR1285" s="25"/>
      <c r="AS1285" s="25"/>
      <c r="AT1285" s="25"/>
      <c r="AU1285" s="25"/>
      <c r="AV1285" s="25"/>
      <c r="AW1285" s="25"/>
      <c r="AX1285" s="25"/>
      <c r="AY1285" s="25"/>
      <c r="AZ1285" s="25"/>
      <c r="BA1285" s="25"/>
      <c r="BB1285" s="25"/>
      <c r="BC1285" s="25"/>
      <c r="BD1285" s="25"/>
      <c r="BE1285" s="25"/>
      <c r="BF1285" s="25"/>
      <c r="BG1285" s="25"/>
      <c r="BH1285" s="25"/>
      <c r="BI1285" s="25"/>
      <c r="BJ1285" s="25"/>
      <c r="BK1285" s="25"/>
      <c r="BL1285" s="25"/>
      <c r="BM1285" s="25"/>
      <c r="BN1285" s="25"/>
      <c r="BO1285" s="25"/>
      <c r="BP1285" s="25"/>
    </row>
    <row r="1286">
      <c r="A1286" s="25"/>
      <c r="B1286" s="168"/>
      <c r="C1286" s="25"/>
      <c r="D1286" s="25"/>
      <c r="E1286" s="25"/>
      <c r="F1286" s="25"/>
      <c r="G1286" s="84"/>
      <c r="H1286" s="25"/>
      <c r="I1286" s="25"/>
      <c r="J1286" s="25"/>
      <c r="K1286" s="169"/>
      <c r="L1286" s="169"/>
      <c r="M1286" s="170" t="b">
        <v>0</v>
      </c>
      <c r="N1286" s="170" t="b">
        <v>0</v>
      </c>
      <c r="O1286" s="48"/>
      <c r="P1286" s="170" t="b">
        <v>0</v>
      </c>
      <c r="Q1286" s="170" t="b">
        <v>0</v>
      </c>
      <c r="R1286" s="170" t="b">
        <v>0</v>
      </c>
      <c r="S1286" s="48"/>
      <c r="T1286" s="60"/>
      <c r="U1286" s="170" t="b">
        <v>0</v>
      </c>
      <c r="V1286" s="170"/>
      <c r="W1286" s="170" t="b">
        <v>0</v>
      </c>
      <c r="X1286" s="170" t="b">
        <v>0</v>
      </c>
      <c r="Y1286" s="170"/>
      <c r="Z1286" s="170"/>
      <c r="AA1286" s="170"/>
      <c r="AB1286" s="170"/>
      <c r="AC1286" s="171"/>
      <c r="AD1286" s="170"/>
      <c r="AE1286" s="170"/>
      <c r="AF1286" s="170"/>
      <c r="AG1286" s="170"/>
      <c r="AH1286" s="170"/>
      <c r="AI1286" s="170"/>
      <c r="AJ1286" s="172"/>
      <c r="AK1286" s="50"/>
      <c r="AL1286" s="25"/>
      <c r="AM1286" s="25"/>
      <c r="AN1286" s="25"/>
      <c r="AO1286" s="165"/>
      <c r="AP1286" s="78"/>
      <c r="AQ1286" s="25"/>
      <c r="AR1286" s="25"/>
      <c r="AS1286" s="25"/>
      <c r="AT1286" s="25"/>
      <c r="AU1286" s="25"/>
      <c r="AV1286" s="25"/>
      <c r="AW1286" s="25"/>
      <c r="AX1286" s="25"/>
      <c r="AY1286" s="25"/>
      <c r="AZ1286" s="25"/>
      <c r="BA1286" s="25"/>
      <c r="BB1286" s="25"/>
      <c r="BC1286" s="25"/>
      <c r="BD1286" s="25"/>
      <c r="BE1286" s="25"/>
      <c r="BF1286" s="25"/>
      <c r="BG1286" s="25"/>
      <c r="BH1286" s="25"/>
      <c r="BI1286" s="25"/>
      <c r="BJ1286" s="25"/>
      <c r="BK1286" s="25"/>
      <c r="BL1286" s="25"/>
      <c r="BM1286" s="25"/>
      <c r="BN1286" s="25"/>
      <c r="BO1286" s="25"/>
      <c r="BP1286" s="25"/>
    </row>
    <row r="1287">
      <c r="A1287" s="25"/>
      <c r="B1287" s="168"/>
      <c r="C1287" s="25"/>
      <c r="D1287" s="25"/>
      <c r="E1287" s="25"/>
      <c r="F1287" s="25"/>
      <c r="G1287" s="84"/>
      <c r="H1287" s="25"/>
      <c r="I1287" s="25"/>
      <c r="J1287" s="25"/>
      <c r="K1287" s="169"/>
      <c r="L1287" s="169"/>
      <c r="M1287" s="170" t="b">
        <v>0</v>
      </c>
      <c r="N1287" s="170" t="b">
        <v>0</v>
      </c>
      <c r="O1287" s="48"/>
      <c r="P1287" s="170" t="b">
        <v>0</v>
      </c>
      <c r="Q1287" s="170" t="b">
        <v>0</v>
      </c>
      <c r="R1287" s="170" t="b">
        <v>0</v>
      </c>
      <c r="S1287" s="48"/>
      <c r="T1287" s="60"/>
      <c r="U1287" s="170" t="b">
        <v>0</v>
      </c>
      <c r="V1287" s="170"/>
      <c r="W1287" s="170" t="b">
        <v>0</v>
      </c>
      <c r="X1287" s="170" t="b">
        <v>0</v>
      </c>
      <c r="Y1287" s="170"/>
      <c r="Z1287" s="170"/>
      <c r="AA1287" s="170"/>
      <c r="AB1287" s="170"/>
      <c r="AC1287" s="171"/>
      <c r="AD1287" s="170"/>
      <c r="AE1287" s="170"/>
      <c r="AF1287" s="170"/>
      <c r="AG1287" s="170"/>
      <c r="AH1287" s="170"/>
      <c r="AI1287" s="170"/>
      <c r="AJ1287" s="172"/>
      <c r="AK1287" s="50"/>
      <c r="AL1287" s="25"/>
      <c r="AM1287" s="25"/>
      <c r="AN1287" s="25"/>
      <c r="AO1287" s="165"/>
      <c r="AP1287" s="78"/>
      <c r="AQ1287" s="25"/>
      <c r="AR1287" s="25"/>
      <c r="AS1287" s="25"/>
      <c r="AT1287" s="25"/>
      <c r="AU1287" s="25"/>
      <c r="AV1287" s="25"/>
      <c r="AW1287" s="25"/>
      <c r="AX1287" s="25"/>
      <c r="AY1287" s="25"/>
      <c r="AZ1287" s="25"/>
      <c r="BA1287" s="25"/>
      <c r="BB1287" s="25"/>
      <c r="BC1287" s="25"/>
      <c r="BD1287" s="25"/>
      <c r="BE1287" s="25"/>
      <c r="BF1287" s="25"/>
      <c r="BG1287" s="25"/>
      <c r="BH1287" s="25"/>
      <c r="BI1287" s="25"/>
      <c r="BJ1287" s="25"/>
      <c r="BK1287" s="25"/>
      <c r="BL1287" s="25"/>
      <c r="BM1287" s="25"/>
      <c r="BN1287" s="25"/>
      <c r="BO1287" s="25"/>
      <c r="BP1287" s="25"/>
    </row>
    <row r="1288">
      <c r="A1288" s="25"/>
      <c r="B1288" s="168"/>
      <c r="C1288" s="25"/>
      <c r="D1288" s="25"/>
      <c r="E1288" s="25"/>
      <c r="F1288" s="25"/>
      <c r="G1288" s="84"/>
      <c r="H1288" s="25"/>
      <c r="I1288" s="25"/>
      <c r="J1288" s="25"/>
      <c r="K1288" s="169"/>
      <c r="L1288" s="169"/>
      <c r="M1288" s="170" t="b">
        <v>0</v>
      </c>
      <c r="N1288" s="170" t="b">
        <v>0</v>
      </c>
      <c r="O1288" s="48"/>
      <c r="P1288" s="170" t="b">
        <v>0</v>
      </c>
      <c r="Q1288" s="170" t="b">
        <v>0</v>
      </c>
      <c r="R1288" s="170" t="b">
        <v>0</v>
      </c>
      <c r="S1288" s="48"/>
      <c r="T1288" s="60"/>
      <c r="U1288" s="170" t="b">
        <v>0</v>
      </c>
      <c r="V1288" s="170"/>
      <c r="W1288" s="170" t="b">
        <v>0</v>
      </c>
      <c r="X1288" s="170" t="b">
        <v>0</v>
      </c>
      <c r="Y1288" s="170"/>
      <c r="Z1288" s="170"/>
      <c r="AA1288" s="170"/>
      <c r="AB1288" s="170"/>
      <c r="AC1288" s="171"/>
      <c r="AD1288" s="170"/>
      <c r="AE1288" s="170"/>
      <c r="AF1288" s="170"/>
      <c r="AG1288" s="170"/>
      <c r="AH1288" s="170"/>
      <c r="AI1288" s="170"/>
      <c r="AJ1288" s="172"/>
      <c r="AK1288" s="50"/>
      <c r="AL1288" s="25"/>
      <c r="AM1288" s="25"/>
      <c r="AN1288" s="25"/>
      <c r="AO1288" s="165"/>
      <c r="AP1288" s="78"/>
      <c r="AQ1288" s="25"/>
      <c r="AR1288" s="25"/>
      <c r="AS1288" s="25"/>
      <c r="AT1288" s="25"/>
      <c r="AU1288" s="25"/>
      <c r="AV1288" s="25"/>
      <c r="AW1288" s="25"/>
      <c r="AX1288" s="25"/>
      <c r="AY1288" s="25"/>
      <c r="AZ1288" s="25"/>
      <c r="BA1288" s="25"/>
      <c r="BB1288" s="25"/>
      <c r="BC1288" s="25"/>
      <c r="BD1288" s="25"/>
      <c r="BE1288" s="25"/>
      <c r="BF1288" s="25"/>
      <c r="BG1288" s="25"/>
      <c r="BH1288" s="25"/>
      <c r="BI1288" s="25"/>
      <c r="BJ1288" s="25"/>
      <c r="BK1288" s="25"/>
      <c r="BL1288" s="25"/>
      <c r="BM1288" s="25"/>
      <c r="BN1288" s="25"/>
      <c r="BO1288" s="25"/>
      <c r="BP1288" s="25"/>
    </row>
    <row r="1289">
      <c r="A1289" s="25"/>
      <c r="B1289" s="168"/>
      <c r="C1289" s="25"/>
      <c r="D1289" s="25"/>
      <c r="E1289" s="25"/>
      <c r="F1289" s="25"/>
      <c r="G1289" s="84"/>
      <c r="H1289" s="25"/>
      <c r="I1289" s="25"/>
      <c r="J1289" s="25"/>
      <c r="K1289" s="169"/>
      <c r="L1289" s="169"/>
      <c r="M1289" s="170" t="b">
        <v>0</v>
      </c>
      <c r="N1289" s="170" t="b">
        <v>0</v>
      </c>
      <c r="O1289" s="48"/>
      <c r="P1289" s="170" t="b">
        <v>0</v>
      </c>
      <c r="Q1289" s="170" t="b">
        <v>0</v>
      </c>
      <c r="R1289" s="170" t="b">
        <v>0</v>
      </c>
      <c r="S1289" s="48"/>
      <c r="T1289" s="60"/>
      <c r="U1289" s="170" t="b">
        <v>0</v>
      </c>
      <c r="V1289" s="170"/>
      <c r="W1289" s="170" t="b">
        <v>0</v>
      </c>
      <c r="X1289" s="170" t="b">
        <v>0</v>
      </c>
      <c r="Y1289" s="170"/>
      <c r="Z1289" s="170"/>
      <c r="AA1289" s="170"/>
      <c r="AB1289" s="170"/>
      <c r="AC1289" s="171"/>
      <c r="AD1289" s="170"/>
      <c r="AE1289" s="170"/>
      <c r="AF1289" s="170"/>
      <c r="AG1289" s="170"/>
      <c r="AH1289" s="170"/>
      <c r="AI1289" s="170"/>
      <c r="AJ1289" s="172"/>
      <c r="AK1289" s="50"/>
      <c r="AL1289" s="25"/>
      <c r="AM1289" s="25"/>
      <c r="AN1289" s="25"/>
      <c r="AO1289" s="165"/>
      <c r="AP1289" s="78"/>
      <c r="AQ1289" s="25"/>
      <c r="AR1289" s="25"/>
      <c r="AS1289" s="25"/>
      <c r="AT1289" s="25"/>
      <c r="AU1289" s="25"/>
      <c r="AV1289" s="25"/>
      <c r="AW1289" s="25"/>
      <c r="AX1289" s="25"/>
      <c r="AY1289" s="25"/>
      <c r="AZ1289" s="25"/>
      <c r="BA1289" s="25"/>
      <c r="BB1289" s="25"/>
      <c r="BC1289" s="25"/>
      <c r="BD1289" s="25"/>
      <c r="BE1289" s="25"/>
      <c r="BF1289" s="25"/>
      <c r="BG1289" s="25"/>
      <c r="BH1289" s="25"/>
      <c r="BI1289" s="25"/>
      <c r="BJ1289" s="25"/>
      <c r="BK1289" s="25"/>
      <c r="BL1289" s="25"/>
      <c r="BM1289" s="25"/>
      <c r="BN1289" s="25"/>
      <c r="BO1289" s="25"/>
      <c r="BP1289" s="25"/>
    </row>
    <row r="1290">
      <c r="A1290" s="25"/>
      <c r="B1290" s="168"/>
      <c r="C1290" s="25"/>
      <c r="D1290" s="25"/>
      <c r="E1290" s="25"/>
      <c r="F1290" s="25"/>
      <c r="G1290" s="84"/>
      <c r="H1290" s="25"/>
      <c r="I1290" s="25"/>
      <c r="J1290" s="25"/>
      <c r="K1290" s="169"/>
      <c r="L1290" s="169"/>
      <c r="M1290" s="170" t="b">
        <v>0</v>
      </c>
      <c r="N1290" s="170" t="b">
        <v>0</v>
      </c>
      <c r="O1290" s="48"/>
      <c r="P1290" s="170" t="b">
        <v>0</v>
      </c>
      <c r="Q1290" s="170" t="b">
        <v>0</v>
      </c>
      <c r="R1290" s="170" t="b">
        <v>0</v>
      </c>
      <c r="S1290" s="48"/>
      <c r="T1290" s="60"/>
      <c r="U1290" s="170" t="b">
        <v>0</v>
      </c>
      <c r="V1290" s="170"/>
      <c r="W1290" s="170" t="b">
        <v>0</v>
      </c>
      <c r="X1290" s="170" t="b">
        <v>0</v>
      </c>
      <c r="Y1290" s="170"/>
      <c r="Z1290" s="170"/>
      <c r="AA1290" s="170"/>
      <c r="AB1290" s="170"/>
      <c r="AC1290" s="171"/>
      <c r="AD1290" s="170"/>
      <c r="AE1290" s="170"/>
      <c r="AF1290" s="170"/>
      <c r="AG1290" s="170"/>
      <c r="AH1290" s="170"/>
      <c r="AI1290" s="170"/>
      <c r="AJ1290" s="172"/>
      <c r="AK1290" s="50"/>
      <c r="AL1290" s="25"/>
      <c r="AM1290" s="25"/>
      <c r="AN1290" s="25"/>
      <c r="AO1290" s="165"/>
      <c r="AP1290" s="78"/>
      <c r="AQ1290" s="25"/>
      <c r="AR1290" s="25"/>
      <c r="AS1290" s="25"/>
      <c r="AT1290" s="25"/>
      <c r="AU1290" s="25"/>
      <c r="AV1290" s="25"/>
      <c r="AW1290" s="25"/>
      <c r="AX1290" s="25"/>
      <c r="AY1290" s="25"/>
      <c r="AZ1290" s="25"/>
      <c r="BA1290" s="25"/>
      <c r="BB1290" s="25"/>
      <c r="BC1290" s="25"/>
      <c r="BD1290" s="25"/>
      <c r="BE1290" s="25"/>
      <c r="BF1290" s="25"/>
      <c r="BG1290" s="25"/>
      <c r="BH1290" s="25"/>
      <c r="BI1290" s="25"/>
      <c r="BJ1290" s="25"/>
      <c r="BK1290" s="25"/>
      <c r="BL1290" s="25"/>
      <c r="BM1290" s="25"/>
      <c r="BN1290" s="25"/>
      <c r="BO1290" s="25"/>
      <c r="BP1290" s="25"/>
    </row>
    <row r="1291">
      <c r="A1291" s="25"/>
      <c r="B1291" s="168"/>
      <c r="C1291" s="25"/>
      <c r="D1291" s="25"/>
      <c r="E1291" s="25"/>
      <c r="F1291" s="25"/>
      <c r="G1291" s="84"/>
      <c r="H1291" s="25"/>
      <c r="I1291" s="25"/>
      <c r="J1291" s="25"/>
      <c r="K1291" s="169"/>
      <c r="L1291" s="169"/>
      <c r="M1291" s="170" t="b">
        <v>0</v>
      </c>
      <c r="N1291" s="170" t="b">
        <v>0</v>
      </c>
      <c r="O1291" s="48"/>
      <c r="P1291" s="170" t="b">
        <v>0</v>
      </c>
      <c r="Q1291" s="170" t="b">
        <v>0</v>
      </c>
      <c r="R1291" s="170" t="b">
        <v>0</v>
      </c>
      <c r="S1291" s="48"/>
      <c r="T1291" s="60"/>
      <c r="U1291" s="170" t="b">
        <v>0</v>
      </c>
      <c r="V1291" s="170"/>
      <c r="W1291" s="170" t="b">
        <v>0</v>
      </c>
      <c r="X1291" s="170" t="b">
        <v>0</v>
      </c>
      <c r="Y1291" s="170"/>
      <c r="Z1291" s="170"/>
      <c r="AA1291" s="170"/>
      <c r="AB1291" s="170"/>
      <c r="AC1291" s="171"/>
      <c r="AD1291" s="170"/>
      <c r="AE1291" s="170"/>
      <c r="AF1291" s="170"/>
      <c r="AG1291" s="170"/>
      <c r="AH1291" s="170"/>
      <c r="AI1291" s="170"/>
      <c r="AJ1291" s="172"/>
      <c r="AK1291" s="50"/>
      <c r="AL1291" s="25"/>
      <c r="AM1291" s="25"/>
      <c r="AN1291" s="25"/>
      <c r="AO1291" s="165"/>
      <c r="AP1291" s="78"/>
      <c r="AQ1291" s="25"/>
      <c r="AR1291" s="25"/>
      <c r="AS1291" s="25"/>
      <c r="AT1291" s="25"/>
      <c r="AU1291" s="25"/>
      <c r="AV1291" s="25"/>
      <c r="AW1291" s="25"/>
      <c r="AX1291" s="25"/>
      <c r="AY1291" s="25"/>
      <c r="AZ1291" s="25"/>
      <c r="BA1291" s="25"/>
      <c r="BB1291" s="25"/>
      <c r="BC1291" s="25"/>
      <c r="BD1291" s="25"/>
      <c r="BE1291" s="25"/>
      <c r="BF1291" s="25"/>
      <c r="BG1291" s="25"/>
      <c r="BH1291" s="25"/>
      <c r="BI1291" s="25"/>
      <c r="BJ1291" s="25"/>
      <c r="BK1291" s="25"/>
      <c r="BL1291" s="25"/>
      <c r="BM1291" s="25"/>
      <c r="BN1291" s="25"/>
      <c r="BO1291" s="25"/>
      <c r="BP1291" s="25"/>
    </row>
    <row r="1292">
      <c r="A1292" s="25"/>
      <c r="B1292" s="168"/>
      <c r="C1292" s="25"/>
      <c r="D1292" s="25"/>
      <c r="E1292" s="25"/>
      <c r="F1292" s="25"/>
      <c r="G1292" s="84"/>
      <c r="H1292" s="25"/>
      <c r="I1292" s="25"/>
      <c r="J1292" s="25"/>
      <c r="K1292" s="169"/>
      <c r="L1292" s="169"/>
      <c r="M1292" s="170" t="b">
        <v>0</v>
      </c>
      <c r="N1292" s="170" t="b">
        <v>0</v>
      </c>
      <c r="O1292" s="48"/>
      <c r="P1292" s="170" t="b">
        <v>0</v>
      </c>
      <c r="Q1292" s="170" t="b">
        <v>0</v>
      </c>
      <c r="R1292" s="170" t="b">
        <v>0</v>
      </c>
      <c r="S1292" s="48"/>
      <c r="T1292" s="60"/>
      <c r="U1292" s="170" t="b">
        <v>0</v>
      </c>
      <c r="V1292" s="170"/>
      <c r="W1292" s="170" t="b">
        <v>0</v>
      </c>
      <c r="X1292" s="170" t="b">
        <v>0</v>
      </c>
      <c r="Y1292" s="170"/>
      <c r="Z1292" s="170"/>
      <c r="AA1292" s="170"/>
      <c r="AB1292" s="170"/>
      <c r="AC1292" s="171"/>
      <c r="AD1292" s="170"/>
      <c r="AE1292" s="170"/>
      <c r="AF1292" s="170"/>
      <c r="AG1292" s="170"/>
      <c r="AH1292" s="170"/>
      <c r="AI1292" s="170"/>
      <c r="AJ1292" s="172"/>
      <c r="AK1292" s="50"/>
      <c r="AL1292" s="25"/>
      <c r="AM1292" s="25"/>
      <c r="AN1292" s="25"/>
      <c r="AO1292" s="165"/>
      <c r="AP1292" s="78"/>
      <c r="AQ1292" s="25"/>
      <c r="AR1292" s="25"/>
      <c r="AS1292" s="25"/>
      <c r="AT1292" s="25"/>
      <c r="AU1292" s="25"/>
      <c r="AV1292" s="25"/>
      <c r="AW1292" s="25"/>
      <c r="AX1292" s="25"/>
      <c r="AY1292" s="25"/>
      <c r="AZ1292" s="25"/>
      <c r="BA1292" s="25"/>
      <c r="BB1292" s="25"/>
      <c r="BC1292" s="25"/>
      <c r="BD1292" s="25"/>
      <c r="BE1292" s="25"/>
      <c r="BF1292" s="25"/>
      <c r="BG1292" s="25"/>
      <c r="BH1292" s="25"/>
      <c r="BI1292" s="25"/>
      <c r="BJ1292" s="25"/>
      <c r="BK1292" s="25"/>
      <c r="BL1292" s="25"/>
      <c r="BM1292" s="25"/>
      <c r="BN1292" s="25"/>
      <c r="BO1292" s="25"/>
      <c r="BP1292" s="25"/>
    </row>
    <row r="1293">
      <c r="A1293" s="25"/>
      <c r="B1293" s="168"/>
      <c r="C1293" s="25"/>
      <c r="D1293" s="25"/>
      <c r="E1293" s="25"/>
      <c r="F1293" s="25"/>
      <c r="G1293" s="84"/>
      <c r="H1293" s="25"/>
      <c r="I1293" s="25"/>
      <c r="J1293" s="25"/>
      <c r="K1293" s="169"/>
      <c r="L1293" s="169"/>
      <c r="M1293" s="170" t="b">
        <v>0</v>
      </c>
      <c r="N1293" s="170" t="b">
        <v>0</v>
      </c>
      <c r="O1293" s="48"/>
      <c r="P1293" s="170" t="b">
        <v>0</v>
      </c>
      <c r="Q1293" s="170" t="b">
        <v>0</v>
      </c>
      <c r="R1293" s="170" t="b">
        <v>0</v>
      </c>
      <c r="S1293" s="48"/>
      <c r="T1293" s="60"/>
      <c r="U1293" s="170" t="b">
        <v>0</v>
      </c>
      <c r="V1293" s="170"/>
      <c r="W1293" s="170" t="b">
        <v>0</v>
      </c>
      <c r="X1293" s="170" t="b">
        <v>0</v>
      </c>
      <c r="Y1293" s="170"/>
      <c r="Z1293" s="170"/>
      <c r="AA1293" s="170"/>
      <c r="AB1293" s="170"/>
      <c r="AC1293" s="171"/>
      <c r="AD1293" s="170"/>
      <c r="AE1293" s="170"/>
      <c r="AF1293" s="170"/>
      <c r="AG1293" s="170"/>
      <c r="AH1293" s="170"/>
      <c r="AI1293" s="170"/>
      <c r="AJ1293" s="172"/>
      <c r="AK1293" s="50"/>
      <c r="AL1293" s="25"/>
      <c r="AM1293" s="25"/>
      <c r="AN1293" s="25"/>
      <c r="AO1293" s="165"/>
      <c r="AP1293" s="78"/>
      <c r="AQ1293" s="25"/>
      <c r="AR1293" s="25"/>
      <c r="AS1293" s="25"/>
      <c r="AT1293" s="25"/>
      <c r="AU1293" s="25"/>
      <c r="AV1293" s="25"/>
      <c r="AW1293" s="25"/>
      <c r="AX1293" s="25"/>
      <c r="AY1293" s="25"/>
      <c r="AZ1293" s="25"/>
      <c r="BA1293" s="25"/>
      <c r="BB1293" s="25"/>
      <c r="BC1293" s="25"/>
      <c r="BD1293" s="25"/>
      <c r="BE1293" s="25"/>
      <c r="BF1293" s="25"/>
      <c r="BG1293" s="25"/>
      <c r="BH1293" s="25"/>
      <c r="BI1293" s="25"/>
      <c r="BJ1293" s="25"/>
      <c r="BK1293" s="25"/>
      <c r="BL1293" s="25"/>
      <c r="BM1293" s="25"/>
      <c r="BN1293" s="25"/>
      <c r="BO1293" s="25"/>
      <c r="BP1293" s="25"/>
    </row>
    <row r="1294">
      <c r="A1294" s="25"/>
      <c r="B1294" s="168"/>
      <c r="C1294" s="25"/>
      <c r="D1294" s="25"/>
      <c r="E1294" s="25"/>
      <c r="F1294" s="25"/>
      <c r="G1294" s="84"/>
      <c r="H1294" s="25"/>
      <c r="I1294" s="25"/>
      <c r="J1294" s="25"/>
      <c r="K1294" s="169"/>
      <c r="L1294" s="169"/>
      <c r="M1294" s="170" t="b">
        <v>0</v>
      </c>
      <c r="N1294" s="170" t="b">
        <v>0</v>
      </c>
      <c r="O1294" s="48"/>
      <c r="P1294" s="170" t="b">
        <v>0</v>
      </c>
      <c r="Q1294" s="170" t="b">
        <v>0</v>
      </c>
      <c r="R1294" s="170" t="b">
        <v>0</v>
      </c>
      <c r="S1294" s="48"/>
      <c r="T1294" s="60"/>
      <c r="U1294" s="170" t="b">
        <v>0</v>
      </c>
      <c r="V1294" s="170"/>
      <c r="W1294" s="170" t="b">
        <v>0</v>
      </c>
      <c r="X1294" s="170" t="b">
        <v>0</v>
      </c>
      <c r="Y1294" s="170"/>
      <c r="Z1294" s="170"/>
      <c r="AA1294" s="170"/>
      <c r="AB1294" s="170"/>
      <c r="AC1294" s="171"/>
      <c r="AD1294" s="170"/>
      <c r="AE1294" s="170"/>
      <c r="AF1294" s="170"/>
      <c r="AG1294" s="170"/>
      <c r="AH1294" s="170"/>
      <c r="AI1294" s="170"/>
      <c r="AJ1294" s="172"/>
      <c r="AK1294" s="50"/>
      <c r="AL1294" s="25"/>
      <c r="AM1294" s="25"/>
      <c r="AN1294" s="25"/>
      <c r="AO1294" s="165"/>
      <c r="AP1294" s="78"/>
      <c r="AQ1294" s="25"/>
      <c r="AR1294" s="25"/>
      <c r="AS1294" s="25"/>
      <c r="AT1294" s="25"/>
      <c r="AU1294" s="25"/>
      <c r="AV1294" s="25"/>
      <c r="AW1294" s="25"/>
      <c r="AX1294" s="25"/>
      <c r="AY1294" s="25"/>
      <c r="AZ1294" s="25"/>
      <c r="BA1294" s="25"/>
      <c r="BB1294" s="25"/>
      <c r="BC1294" s="25"/>
      <c r="BD1294" s="25"/>
      <c r="BE1294" s="25"/>
      <c r="BF1294" s="25"/>
      <c r="BG1294" s="25"/>
      <c r="BH1294" s="25"/>
      <c r="BI1294" s="25"/>
      <c r="BJ1294" s="25"/>
      <c r="BK1294" s="25"/>
      <c r="BL1294" s="25"/>
      <c r="BM1294" s="25"/>
      <c r="BN1294" s="25"/>
      <c r="BO1294" s="25"/>
      <c r="BP1294" s="25"/>
    </row>
    <row r="1295">
      <c r="A1295" s="25"/>
      <c r="B1295" s="168"/>
      <c r="C1295" s="25"/>
      <c r="D1295" s="25"/>
      <c r="E1295" s="25"/>
      <c r="F1295" s="25"/>
      <c r="G1295" s="84"/>
      <c r="H1295" s="25"/>
      <c r="I1295" s="25"/>
      <c r="J1295" s="25"/>
      <c r="K1295" s="169"/>
      <c r="L1295" s="169"/>
      <c r="M1295" s="170" t="b">
        <v>0</v>
      </c>
      <c r="N1295" s="170" t="b">
        <v>0</v>
      </c>
      <c r="O1295" s="48"/>
      <c r="P1295" s="170" t="b">
        <v>0</v>
      </c>
      <c r="Q1295" s="170" t="b">
        <v>0</v>
      </c>
      <c r="R1295" s="170" t="b">
        <v>0</v>
      </c>
      <c r="S1295" s="48"/>
      <c r="T1295" s="60"/>
      <c r="U1295" s="170" t="b">
        <v>0</v>
      </c>
      <c r="V1295" s="170"/>
      <c r="W1295" s="170" t="b">
        <v>0</v>
      </c>
      <c r="X1295" s="170" t="b">
        <v>0</v>
      </c>
      <c r="Y1295" s="170"/>
      <c r="Z1295" s="170"/>
      <c r="AA1295" s="170"/>
      <c r="AB1295" s="170"/>
      <c r="AC1295" s="171"/>
      <c r="AD1295" s="170"/>
      <c r="AE1295" s="170"/>
      <c r="AF1295" s="170"/>
      <c r="AG1295" s="170"/>
      <c r="AH1295" s="170"/>
      <c r="AI1295" s="170"/>
      <c r="AJ1295" s="172"/>
      <c r="AK1295" s="50"/>
      <c r="AL1295" s="25"/>
      <c r="AM1295" s="25"/>
      <c r="AN1295" s="25"/>
      <c r="AO1295" s="165"/>
      <c r="AP1295" s="78"/>
      <c r="AQ1295" s="25"/>
      <c r="AR1295" s="25"/>
      <c r="AS1295" s="25"/>
      <c r="AT1295" s="25"/>
      <c r="AU1295" s="25"/>
      <c r="AV1295" s="25"/>
      <c r="AW1295" s="25"/>
      <c r="AX1295" s="25"/>
      <c r="AY1295" s="25"/>
      <c r="AZ1295" s="25"/>
      <c r="BA1295" s="25"/>
      <c r="BB1295" s="25"/>
      <c r="BC1295" s="25"/>
      <c r="BD1295" s="25"/>
      <c r="BE1295" s="25"/>
      <c r="BF1295" s="25"/>
      <c r="BG1295" s="25"/>
      <c r="BH1295" s="25"/>
      <c r="BI1295" s="25"/>
      <c r="BJ1295" s="25"/>
      <c r="BK1295" s="25"/>
      <c r="BL1295" s="25"/>
      <c r="BM1295" s="25"/>
      <c r="BN1295" s="25"/>
      <c r="BO1295" s="25"/>
      <c r="BP1295" s="25"/>
    </row>
    <row r="1296">
      <c r="A1296" s="25"/>
      <c r="B1296" s="168"/>
      <c r="C1296" s="25"/>
      <c r="D1296" s="25"/>
      <c r="E1296" s="25"/>
      <c r="F1296" s="25"/>
      <c r="G1296" s="84"/>
      <c r="H1296" s="25"/>
      <c r="I1296" s="25"/>
      <c r="J1296" s="25"/>
      <c r="K1296" s="169"/>
      <c r="L1296" s="169"/>
      <c r="M1296" s="170" t="b">
        <v>0</v>
      </c>
      <c r="N1296" s="170" t="b">
        <v>0</v>
      </c>
      <c r="O1296" s="48"/>
      <c r="P1296" s="170" t="b">
        <v>0</v>
      </c>
      <c r="Q1296" s="170" t="b">
        <v>0</v>
      </c>
      <c r="R1296" s="170" t="b">
        <v>0</v>
      </c>
      <c r="S1296" s="48"/>
      <c r="T1296" s="60"/>
      <c r="U1296" s="170" t="b">
        <v>0</v>
      </c>
      <c r="V1296" s="170"/>
      <c r="W1296" s="170" t="b">
        <v>0</v>
      </c>
      <c r="X1296" s="170" t="b">
        <v>0</v>
      </c>
      <c r="Y1296" s="170"/>
      <c r="Z1296" s="170"/>
      <c r="AA1296" s="170"/>
      <c r="AB1296" s="170"/>
      <c r="AC1296" s="171"/>
      <c r="AD1296" s="170"/>
      <c r="AE1296" s="170"/>
      <c r="AF1296" s="170"/>
      <c r="AG1296" s="170"/>
      <c r="AH1296" s="170"/>
      <c r="AI1296" s="170"/>
      <c r="AJ1296" s="172"/>
      <c r="AK1296" s="50"/>
      <c r="AL1296" s="25"/>
      <c r="AM1296" s="25"/>
      <c r="AN1296" s="25"/>
      <c r="AO1296" s="165"/>
      <c r="AP1296" s="78"/>
      <c r="AQ1296" s="25"/>
      <c r="AR1296" s="25"/>
      <c r="AS1296" s="25"/>
      <c r="AT1296" s="25"/>
      <c r="AU1296" s="25"/>
      <c r="AV1296" s="25"/>
      <c r="AW1296" s="25"/>
      <c r="AX1296" s="25"/>
      <c r="AY1296" s="25"/>
      <c r="AZ1296" s="25"/>
      <c r="BA1296" s="25"/>
      <c r="BB1296" s="25"/>
      <c r="BC1296" s="25"/>
      <c r="BD1296" s="25"/>
      <c r="BE1296" s="25"/>
      <c r="BF1296" s="25"/>
      <c r="BG1296" s="25"/>
      <c r="BH1296" s="25"/>
      <c r="BI1296" s="25"/>
      <c r="BJ1296" s="25"/>
      <c r="BK1296" s="25"/>
      <c r="BL1296" s="25"/>
      <c r="BM1296" s="25"/>
      <c r="BN1296" s="25"/>
      <c r="BO1296" s="25"/>
      <c r="BP1296" s="25"/>
    </row>
    <row r="1297">
      <c r="A1297" s="25"/>
      <c r="B1297" s="168"/>
      <c r="C1297" s="25"/>
      <c r="D1297" s="25"/>
      <c r="E1297" s="25"/>
      <c r="F1297" s="25"/>
      <c r="G1297" s="84"/>
      <c r="H1297" s="25"/>
      <c r="I1297" s="25"/>
      <c r="J1297" s="25"/>
      <c r="K1297" s="169"/>
      <c r="L1297" s="169"/>
      <c r="M1297" s="170" t="b">
        <v>0</v>
      </c>
      <c r="N1297" s="170" t="b">
        <v>0</v>
      </c>
      <c r="O1297" s="48"/>
      <c r="P1297" s="170" t="b">
        <v>0</v>
      </c>
      <c r="Q1297" s="170" t="b">
        <v>0</v>
      </c>
      <c r="R1297" s="170" t="b">
        <v>0</v>
      </c>
      <c r="S1297" s="48"/>
      <c r="T1297" s="60"/>
      <c r="U1297" s="170" t="b">
        <v>0</v>
      </c>
      <c r="V1297" s="170"/>
      <c r="W1297" s="170" t="b">
        <v>0</v>
      </c>
      <c r="X1297" s="170" t="b">
        <v>0</v>
      </c>
      <c r="Y1297" s="170"/>
      <c r="Z1297" s="170"/>
      <c r="AA1297" s="170"/>
      <c r="AB1297" s="170"/>
      <c r="AC1297" s="171"/>
      <c r="AD1297" s="170"/>
      <c r="AE1297" s="170"/>
      <c r="AF1297" s="170"/>
      <c r="AG1297" s="170"/>
      <c r="AH1297" s="170"/>
      <c r="AI1297" s="170"/>
      <c r="AJ1297" s="172"/>
      <c r="AK1297" s="50"/>
      <c r="AL1297" s="25"/>
      <c r="AM1297" s="25"/>
      <c r="AN1297" s="25"/>
      <c r="AO1297" s="165"/>
      <c r="AP1297" s="78"/>
      <c r="AQ1297" s="25"/>
      <c r="AR1297" s="25"/>
      <c r="AS1297" s="25"/>
      <c r="AT1297" s="25"/>
      <c r="AU1297" s="25"/>
      <c r="AV1297" s="25"/>
      <c r="AW1297" s="25"/>
      <c r="AX1297" s="25"/>
      <c r="AY1297" s="25"/>
      <c r="AZ1297" s="25"/>
      <c r="BA1297" s="25"/>
      <c r="BB1297" s="25"/>
      <c r="BC1297" s="25"/>
      <c r="BD1297" s="25"/>
      <c r="BE1297" s="25"/>
      <c r="BF1297" s="25"/>
      <c r="BG1297" s="25"/>
      <c r="BH1297" s="25"/>
      <c r="BI1297" s="25"/>
      <c r="BJ1297" s="25"/>
      <c r="BK1297" s="25"/>
      <c r="BL1297" s="25"/>
      <c r="BM1297" s="25"/>
      <c r="BN1297" s="25"/>
      <c r="BO1297" s="25"/>
      <c r="BP1297" s="25"/>
    </row>
    <row r="1298">
      <c r="A1298" s="25"/>
      <c r="B1298" s="168"/>
      <c r="C1298" s="25"/>
      <c r="D1298" s="25"/>
      <c r="E1298" s="25"/>
      <c r="F1298" s="25"/>
      <c r="G1298" s="84"/>
      <c r="H1298" s="25"/>
      <c r="I1298" s="25"/>
      <c r="J1298" s="25"/>
      <c r="K1298" s="169"/>
      <c r="L1298" s="169"/>
      <c r="M1298" s="170" t="b">
        <v>0</v>
      </c>
      <c r="N1298" s="170" t="b">
        <v>0</v>
      </c>
      <c r="O1298" s="48"/>
      <c r="P1298" s="170" t="b">
        <v>0</v>
      </c>
      <c r="Q1298" s="170" t="b">
        <v>0</v>
      </c>
      <c r="R1298" s="170" t="b">
        <v>0</v>
      </c>
      <c r="S1298" s="48"/>
      <c r="T1298" s="60"/>
      <c r="U1298" s="170" t="b">
        <v>0</v>
      </c>
      <c r="V1298" s="170"/>
      <c r="W1298" s="170" t="b">
        <v>0</v>
      </c>
      <c r="X1298" s="170" t="b">
        <v>0</v>
      </c>
      <c r="Y1298" s="170"/>
      <c r="Z1298" s="170"/>
      <c r="AA1298" s="170"/>
      <c r="AB1298" s="170"/>
      <c r="AC1298" s="171"/>
      <c r="AD1298" s="170"/>
      <c r="AE1298" s="170"/>
      <c r="AF1298" s="170"/>
      <c r="AG1298" s="170"/>
      <c r="AH1298" s="170"/>
      <c r="AI1298" s="170"/>
      <c r="AJ1298" s="172"/>
      <c r="AK1298" s="50"/>
      <c r="AL1298" s="25"/>
      <c r="AM1298" s="25"/>
      <c r="AN1298" s="25"/>
      <c r="AO1298" s="165"/>
      <c r="AP1298" s="78"/>
      <c r="AQ1298" s="25"/>
      <c r="AR1298" s="25"/>
      <c r="AS1298" s="25"/>
      <c r="AT1298" s="25"/>
      <c r="AU1298" s="25"/>
      <c r="AV1298" s="25"/>
      <c r="AW1298" s="25"/>
      <c r="AX1298" s="25"/>
      <c r="AY1298" s="25"/>
      <c r="AZ1298" s="25"/>
      <c r="BA1298" s="25"/>
      <c r="BB1298" s="25"/>
      <c r="BC1298" s="25"/>
      <c r="BD1298" s="25"/>
      <c r="BE1298" s="25"/>
      <c r="BF1298" s="25"/>
      <c r="BG1298" s="25"/>
      <c r="BH1298" s="25"/>
      <c r="BI1298" s="25"/>
      <c r="BJ1298" s="25"/>
      <c r="BK1298" s="25"/>
      <c r="BL1298" s="25"/>
      <c r="BM1298" s="25"/>
      <c r="BN1298" s="25"/>
      <c r="BO1298" s="25"/>
      <c r="BP1298" s="25"/>
    </row>
    <row r="1299">
      <c r="A1299" s="25"/>
      <c r="B1299" s="168"/>
      <c r="C1299" s="25"/>
      <c r="D1299" s="25"/>
      <c r="E1299" s="25"/>
      <c r="F1299" s="25"/>
      <c r="G1299" s="84"/>
      <c r="H1299" s="25"/>
      <c r="I1299" s="25"/>
      <c r="J1299" s="25"/>
      <c r="K1299" s="169"/>
      <c r="L1299" s="169"/>
      <c r="M1299" s="170" t="b">
        <v>0</v>
      </c>
      <c r="N1299" s="170" t="b">
        <v>0</v>
      </c>
      <c r="O1299" s="48"/>
      <c r="P1299" s="170" t="b">
        <v>0</v>
      </c>
      <c r="Q1299" s="170" t="b">
        <v>0</v>
      </c>
      <c r="R1299" s="170" t="b">
        <v>0</v>
      </c>
      <c r="S1299" s="48"/>
      <c r="T1299" s="60"/>
      <c r="U1299" s="170" t="b">
        <v>0</v>
      </c>
      <c r="V1299" s="170"/>
      <c r="W1299" s="170" t="b">
        <v>0</v>
      </c>
      <c r="X1299" s="170" t="b">
        <v>0</v>
      </c>
      <c r="Y1299" s="170"/>
      <c r="Z1299" s="170"/>
      <c r="AA1299" s="170"/>
      <c r="AB1299" s="170"/>
      <c r="AC1299" s="171"/>
      <c r="AD1299" s="170"/>
      <c r="AE1299" s="170"/>
      <c r="AF1299" s="170"/>
      <c r="AG1299" s="170"/>
      <c r="AH1299" s="170"/>
      <c r="AI1299" s="170"/>
      <c r="AJ1299" s="172"/>
      <c r="AK1299" s="50"/>
      <c r="AL1299" s="25"/>
      <c r="AM1299" s="25"/>
      <c r="AN1299" s="25"/>
      <c r="AO1299" s="165"/>
      <c r="AP1299" s="78"/>
      <c r="AQ1299" s="25"/>
      <c r="AR1299" s="25"/>
      <c r="AS1299" s="25"/>
      <c r="AT1299" s="25"/>
      <c r="AU1299" s="25"/>
      <c r="AV1299" s="25"/>
      <c r="AW1299" s="25"/>
      <c r="AX1299" s="25"/>
      <c r="AY1299" s="25"/>
      <c r="AZ1299" s="25"/>
      <c r="BA1299" s="25"/>
      <c r="BB1299" s="25"/>
      <c r="BC1299" s="25"/>
      <c r="BD1299" s="25"/>
      <c r="BE1299" s="25"/>
      <c r="BF1299" s="25"/>
      <c r="BG1299" s="25"/>
      <c r="BH1299" s="25"/>
      <c r="BI1299" s="25"/>
      <c r="BJ1299" s="25"/>
      <c r="BK1299" s="25"/>
      <c r="BL1299" s="25"/>
      <c r="BM1299" s="25"/>
      <c r="BN1299" s="25"/>
      <c r="BO1299" s="25"/>
      <c r="BP1299" s="25"/>
    </row>
    <row r="1300">
      <c r="A1300" s="25"/>
      <c r="B1300" s="168"/>
      <c r="C1300" s="25"/>
      <c r="D1300" s="25"/>
      <c r="E1300" s="25"/>
      <c r="F1300" s="25"/>
      <c r="G1300" s="84"/>
      <c r="H1300" s="25"/>
      <c r="I1300" s="25"/>
      <c r="J1300" s="25"/>
      <c r="K1300" s="169"/>
      <c r="L1300" s="169"/>
      <c r="M1300" s="170" t="b">
        <v>0</v>
      </c>
      <c r="N1300" s="170" t="b">
        <v>0</v>
      </c>
      <c r="O1300" s="48"/>
      <c r="P1300" s="170" t="b">
        <v>0</v>
      </c>
      <c r="Q1300" s="170" t="b">
        <v>0</v>
      </c>
      <c r="R1300" s="170" t="b">
        <v>0</v>
      </c>
      <c r="S1300" s="48"/>
      <c r="T1300" s="60"/>
      <c r="U1300" s="170" t="b">
        <v>0</v>
      </c>
      <c r="V1300" s="170"/>
      <c r="W1300" s="170" t="b">
        <v>0</v>
      </c>
      <c r="X1300" s="170" t="b">
        <v>0</v>
      </c>
      <c r="Y1300" s="170"/>
      <c r="Z1300" s="170"/>
      <c r="AA1300" s="170"/>
      <c r="AB1300" s="170"/>
      <c r="AC1300" s="171"/>
      <c r="AD1300" s="170"/>
      <c r="AE1300" s="170"/>
      <c r="AF1300" s="170"/>
      <c r="AG1300" s="170"/>
      <c r="AH1300" s="170"/>
      <c r="AI1300" s="170"/>
      <c r="AJ1300" s="172"/>
      <c r="AK1300" s="50"/>
      <c r="AL1300" s="25"/>
      <c r="AM1300" s="25"/>
      <c r="AN1300" s="25"/>
      <c r="AO1300" s="165"/>
      <c r="AP1300" s="78"/>
      <c r="AQ1300" s="25"/>
      <c r="AR1300" s="25"/>
      <c r="AS1300" s="25"/>
      <c r="AT1300" s="25"/>
      <c r="AU1300" s="25"/>
      <c r="AV1300" s="25"/>
      <c r="AW1300" s="25"/>
      <c r="AX1300" s="25"/>
      <c r="AY1300" s="25"/>
      <c r="AZ1300" s="25"/>
      <c r="BA1300" s="25"/>
      <c r="BB1300" s="25"/>
      <c r="BC1300" s="25"/>
      <c r="BD1300" s="25"/>
      <c r="BE1300" s="25"/>
      <c r="BF1300" s="25"/>
      <c r="BG1300" s="25"/>
      <c r="BH1300" s="25"/>
      <c r="BI1300" s="25"/>
      <c r="BJ1300" s="25"/>
      <c r="BK1300" s="25"/>
      <c r="BL1300" s="25"/>
      <c r="BM1300" s="25"/>
      <c r="BN1300" s="25"/>
      <c r="BO1300" s="25"/>
      <c r="BP1300" s="25"/>
    </row>
    <row r="1301">
      <c r="A1301" s="25"/>
      <c r="B1301" s="168"/>
      <c r="C1301" s="25"/>
      <c r="D1301" s="25"/>
      <c r="E1301" s="25"/>
      <c r="F1301" s="25"/>
      <c r="G1301" s="84"/>
      <c r="H1301" s="25"/>
      <c r="I1301" s="25"/>
      <c r="J1301" s="25"/>
      <c r="K1301" s="169"/>
      <c r="L1301" s="169"/>
      <c r="M1301" s="170" t="b">
        <v>0</v>
      </c>
      <c r="N1301" s="170" t="b">
        <v>0</v>
      </c>
      <c r="O1301" s="48"/>
      <c r="P1301" s="170" t="b">
        <v>0</v>
      </c>
      <c r="Q1301" s="170" t="b">
        <v>0</v>
      </c>
      <c r="R1301" s="170" t="b">
        <v>0</v>
      </c>
      <c r="S1301" s="48"/>
      <c r="T1301" s="60"/>
      <c r="U1301" s="170" t="b">
        <v>0</v>
      </c>
      <c r="V1301" s="170"/>
      <c r="W1301" s="170" t="b">
        <v>0</v>
      </c>
      <c r="X1301" s="170" t="b">
        <v>0</v>
      </c>
      <c r="Y1301" s="170"/>
      <c r="Z1301" s="170"/>
      <c r="AA1301" s="170"/>
      <c r="AB1301" s="170"/>
      <c r="AC1301" s="171"/>
      <c r="AD1301" s="170"/>
      <c r="AE1301" s="170"/>
      <c r="AF1301" s="170"/>
      <c r="AG1301" s="170"/>
      <c r="AH1301" s="170"/>
      <c r="AI1301" s="170"/>
      <c r="AJ1301" s="172"/>
      <c r="AK1301" s="50"/>
      <c r="AL1301" s="25"/>
      <c r="AM1301" s="25"/>
      <c r="AN1301" s="25"/>
      <c r="AO1301" s="165"/>
      <c r="AP1301" s="78"/>
      <c r="AQ1301" s="25"/>
      <c r="AR1301" s="25"/>
      <c r="AS1301" s="25"/>
      <c r="AT1301" s="25"/>
      <c r="AU1301" s="25"/>
      <c r="AV1301" s="25"/>
      <c r="AW1301" s="25"/>
      <c r="AX1301" s="25"/>
      <c r="AY1301" s="25"/>
      <c r="AZ1301" s="25"/>
      <c r="BA1301" s="25"/>
      <c r="BB1301" s="25"/>
      <c r="BC1301" s="25"/>
      <c r="BD1301" s="25"/>
      <c r="BE1301" s="25"/>
      <c r="BF1301" s="25"/>
      <c r="BG1301" s="25"/>
      <c r="BH1301" s="25"/>
      <c r="BI1301" s="25"/>
      <c r="BJ1301" s="25"/>
      <c r="BK1301" s="25"/>
      <c r="BL1301" s="25"/>
      <c r="BM1301" s="25"/>
      <c r="BN1301" s="25"/>
      <c r="BO1301" s="25"/>
      <c r="BP1301" s="25"/>
    </row>
    <row r="1302">
      <c r="A1302" s="25"/>
      <c r="B1302" s="168"/>
      <c r="C1302" s="25"/>
      <c r="D1302" s="25"/>
      <c r="E1302" s="25"/>
      <c r="F1302" s="25"/>
      <c r="G1302" s="84"/>
      <c r="H1302" s="25"/>
      <c r="I1302" s="25"/>
      <c r="J1302" s="25"/>
      <c r="K1302" s="169"/>
      <c r="L1302" s="169"/>
      <c r="M1302" s="170" t="b">
        <v>0</v>
      </c>
      <c r="N1302" s="170" t="b">
        <v>0</v>
      </c>
      <c r="O1302" s="48"/>
      <c r="P1302" s="170" t="b">
        <v>0</v>
      </c>
      <c r="Q1302" s="170" t="b">
        <v>0</v>
      </c>
      <c r="R1302" s="170" t="b">
        <v>0</v>
      </c>
      <c r="S1302" s="48"/>
      <c r="T1302" s="60"/>
      <c r="U1302" s="170" t="b">
        <v>0</v>
      </c>
      <c r="V1302" s="170"/>
      <c r="W1302" s="170" t="b">
        <v>0</v>
      </c>
      <c r="X1302" s="170" t="b">
        <v>0</v>
      </c>
      <c r="Y1302" s="170"/>
      <c r="Z1302" s="170"/>
      <c r="AA1302" s="170"/>
      <c r="AB1302" s="170"/>
      <c r="AC1302" s="171"/>
      <c r="AD1302" s="170"/>
      <c r="AE1302" s="170"/>
      <c r="AF1302" s="170"/>
      <c r="AG1302" s="170"/>
      <c r="AH1302" s="170"/>
      <c r="AI1302" s="170"/>
      <c r="AJ1302" s="172"/>
      <c r="AK1302" s="50"/>
      <c r="AL1302" s="25"/>
      <c r="AM1302" s="25"/>
      <c r="AN1302" s="25"/>
      <c r="AO1302" s="165"/>
      <c r="AP1302" s="78"/>
      <c r="AQ1302" s="25"/>
      <c r="AR1302" s="25"/>
      <c r="AS1302" s="25"/>
      <c r="AT1302" s="25"/>
      <c r="AU1302" s="25"/>
      <c r="AV1302" s="25"/>
      <c r="AW1302" s="25"/>
      <c r="AX1302" s="25"/>
      <c r="AY1302" s="25"/>
      <c r="AZ1302" s="25"/>
      <c r="BA1302" s="25"/>
      <c r="BB1302" s="25"/>
      <c r="BC1302" s="25"/>
      <c r="BD1302" s="25"/>
      <c r="BE1302" s="25"/>
      <c r="BF1302" s="25"/>
      <c r="BG1302" s="25"/>
      <c r="BH1302" s="25"/>
      <c r="BI1302" s="25"/>
      <c r="BJ1302" s="25"/>
      <c r="BK1302" s="25"/>
      <c r="BL1302" s="25"/>
      <c r="BM1302" s="25"/>
      <c r="BN1302" s="25"/>
      <c r="BO1302" s="25"/>
      <c r="BP1302" s="25"/>
    </row>
    <row r="1303">
      <c r="A1303" s="25"/>
      <c r="B1303" s="168"/>
      <c r="C1303" s="25"/>
      <c r="D1303" s="25"/>
      <c r="E1303" s="25"/>
      <c r="F1303" s="25"/>
      <c r="G1303" s="84"/>
      <c r="H1303" s="25"/>
      <c r="I1303" s="25"/>
      <c r="J1303" s="25"/>
      <c r="K1303" s="169"/>
      <c r="L1303" s="169"/>
      <c r="M1303" s="170" t="b">
        <v>0</v>
      </c>
      <c r="N1303" s="170" t="b">
        <v>0</v>
      </c>
      <c r="O1303" s="48"/>
      <c r="P1303" s="170" t="b">
        <v>0</v>
      </c>
      <c r="Q1303" s="170" t="b">
        <v>0</v>
      </c>
      <c r="R1303" s="170" t="b">
        <v>0</v>
      </c>
      <c r="S1303" s="48"/>
      <c r="T1303" s="60"/>
      <c r="U1303" s="170" t="b">
        <v>0</v>
      </c>
      <c r="V1303" s="170"/>
      <c r="W1303" s="170" t="b">
        <v>0</v>
      </c>
      <c r="X1303" s="170" t="b">
        <v>0</v>
      </c>
      <c r="Y1303" s="170"/>
      <c r="Z1303" s="170"/>
      <c r="AA1303" s="170"/>
      <c r="AB1303" s="170"/>
      <c r="AC1303" s="171"/>
      <c r="AD1303" s="170"/>
      <c r="AE1303" s="170"/>
      <c r="AF1303" s="170"/>
      <c r="AG1303" s="170"/>
      <c r="AH1303" s="170"/>
      <c r="AI1303" s="170"/>
      <c r="AJ1303" s="172"/>
      <c r="AK1303" s="50"/>
      <c r="AL1303" s="25"/>
      <c r="AM1303" s="25"/>
      <c r="AN1303" s="25"/>
      <c r="AO1303" s="165"/>
      <c r="AP1303" s="78"/>
      <c r="AQ1303" s="25"/>
      <c r="AR1303" s="25"/>
      <c r="AS1303" s="25"/>
      <c r="AT1303" s="25"/>
      <c r="AU1303" s="25"/>
      <c r="AV1303" s="25"/>
      <c r="AW1303" s="25"/>
      <c r="AX1303" s="25"/>
      <c r="AY1303" s="25"/>
      <c r="AZ1303" s="25"/>
      <c r="BA1303" s="25"/>
      <c r="BB1303" s="25"/>
      <c r="BC1303" s="25"/>
      <c r="BD1303" s="25"/>
      <c r="BE1303" s="25"/>
      <c r="BF1303" s="25"/>
      <c r="BG1303" s="25"/>
      <c r="BH1303" s="25"/>
      <c r="BI1303" s="25"/>
      <c r="BJ1303" s="25"/>
      <c r="BK1303" s="25"/>
      <c r="BL1303" s="25"/>
      <c r="BM1303" s="25"/>
      <c r="BN1303" s="25"/>
      <c r="BO1303" s="25"/>
      <c r="BP1303" s="25"/>
    </row>
    <row r="1304">
      <c r="A1304" s="25"/>
      <c r="B1304" s="168"/>
      <c r="C1304" s="25"/>
      <c r="D1304" s="25"/>
      <c r="E1304" s="25"/>
      <c r="F1304" s="25"/>
      <c r="G1304" s="84"/>
      <c r="H1304" s="25"/>
      <c r="I1304" s="25"/>
      <c r="J1304" s="25"/>
      <c r="K1304" s="169"/>
      <c r="L1304" s="169"/>
      <c r="M1304" s="170" t="b">
        <v>0</v>
      </c>
      <c r="N1304" s="170" t="b">
        <v>0</v>
      </c>
      <c r="O1304" s="48"/>
      <c r="P1304" s="170" t="b">
        <v>0</v>
      </c>
      <c r="Q1304" s="170" t="b">
        <v>0</v>
      </c>
      <c r="R1304" s="170" t="b">
        <v>0</v>
      </c>
      <c r="S1304" s="48"/>
      <c r="T1304" s="60"/>
      <c r="U1304" s="170" t="b">
        <v>0</v>
      </c>
      <c r="V1304" s="170"/>
      <c r="W1304" s="170" t="b">
        <v>0</v>
      </c>
      <c r="X1304" s="170" t="b">
        <v>0</v>
      </c>
      <c r="Y1304" s="170"/>
      <c r="Z1304" s="170"/>
      <c r="AA1304" s="170"/>
      <c r="AB1304" s="170"/>
      <c r="AC1304" s="171"/>
      <c r="AD1304" s="170"/>
      <c r="AE1304" s="170"/>
      <c r="AF1304" s="170"/>
      <c r="AG1304" s="170"/>
      <c r="AH1304" s="170"/>
      <c r="AI1304" s="170"/>
      <c r="AJ1304" s="172"/>
      <c r="AK1304" s="50"/>
      <c r="AL1304" s="25"/>
      <c r="AM1304" s="25"/>
      <c r="AN1304" s="25"/>
      <c r="AO1304" s="165"/>
      <c r="AP1304" s="78"/>
      <c r="AQ1304" s="25"/>
      <c r="AR1304" s="25"/>
      <c r="AS1304" s="25"/>
      <c r="AT1304" s="25"/>
      <c r="AU1304" s="25"/>
      <c r="AV1304" s="25"/>
      <c r="AW1304" s="25"/>
      <c r="AX1304" s="25"/>
      <c r="AY1304" s="25"/>
      <c r="AZ1304" s="25"/>
      <c r="BA1304" s="25"/>
      <c r="BB1304" s="25"/>
      <c r="BC1304" s="25"/>
      <c r="BD1304" s="25"/>
      <c r="BE1304" s="25"/>
      <c r="BF1304" s="25"/>
      <c r="BG1304" s="25"/>
      <c r="BH1304" s="25"/>
      <c r="BI1304" s="25"/>
      <c r="BJ1304" s="25"/>
      <c r="BK1304" s="25"/>
      <c r="BL1304" s="25"/>
      <c r="BM1304" s="25"/>
      <c r="BN1304" s="25"/>
      <c r="BO1304" s="25"/>
      <c r="BP1304" s="25"/>
    </row>
    <row r="1305">
      <c r="A1305" s="25"/>
      <c r="B1305" s="168"/>
      <c r="C1305" s="25"/>
      <c r="D1305" s="25"/>
      <c r="E1305" s="25"/>
      <c r="F1305" s="25"/>
      <c r="G1305" s="84"/>
      <c r="H1305" s="25"/>
      <c r="I1305" s="25"/>
      <c r="J1305" s="25"/>
      <c r="K1305" s="169"/>
      <c r="L1305" s="169"/>
      <c r="M1305" s="170" t="b">
        <v>0</v>
      </c>
      <c r="N1305" s="170" t="b">
        <v>0</v>
      </c>
      <c r="O1305" s="48"/>
      <c r="P1305" s="170" t="b">
        <v>0</v>
      </c>
      <c r="Q1305" s="170" t="b">
        <v>0</v>
      </c>
      <c r="R1305" s="170" t="b">
        <v>0</v>
      </c>
      <c r="S1305" s="48"/>
      <c r="T1305" s="60"/>
      <c r="U1305" s="170" t="b">
        <v>0</v>
      </c>
      <c r="V1305" s="170"/>
      <c r="W1305" s="170" t="b">
        <v>0</v>
      </c>
      <c r="X1305" s="170" t="b">
        <v>0</v>
      </c>
      <c r="Y1305" s="170"/>
      <c r="Z1305" s="170"/>
      <c r="AA1305" s="170"/>
      <c r="AB1305" s="170"/>
      <c r="AC1305" s="171"/>
      <c r="AD1305" s="170"/>
      <c r="AE1305" s="170"/>
      <c r="AF1305" s="170"/>
      <c r="AG1305" s="170"/>
      <c r="AH1305" s="170"/>
      <c r="AI1305" s="170"/>
      <c r="AJ1305" s="172"/>
      <c r="AK1305" s="50"/>
      <c r="AL1305" s="25"/>
      <c r="AM1305" s="25"/>
      <c r="AN1305" s="25"/>
      <c r="AO1305" s="165"/>
      <c r="AP1305" s="78"/>
      <c r="AQ1305" s="25"/>
      <c r="AR1305" s="25"/>
      <c r="AS1305" s="25"/>
      <c r="AT1305" s="25"/>
      <c r="AU1305" s="25"/>
      <c r="AV1305" s="25"/>
      <c r="AW1305" s="25"/>
      <c r="AX1305" s="25"/>
      <c r="AY1305" s="25"/>
      <c r="AZ1305" s="25"/>
      <c r="BA1305" s="25"/>
      <c r="BB1305" s="25"/>
      <c r="BC1305" s="25"/>
      <c r="BD1305" s="25"/>
      <c r="BE1305" s="25"/>
      <c r="BF1305" s="25"/>
      <c r="BG1305" s="25"/>
      <c r="BH1305" s="25"/>
      <c r="BI1305" s="25"/>
      <c r="BJ1305" s="25"/>
      <c r="BK1305" s="25"/>
      <c r="BL1305" s="25"/>
      <c r="BM1305" s="25"/>
      <c r="BN1305" s="25"/>
      <c r="BO1305" s="25"/>
      <c r="BP1305" s="25"/>
    </row>
    <row r="1306">
      <c r="A1306" s="25"/>
      <c r="B1306" s="168"/>
      <c r="C1306" s="25"/>
      <c r="D1306" s="25"/>
      <c r="E1306" s="25"/>
      <c r="F1306" s="25"/>
      <c r="G1306" s="84"/>
      <c r="H1306" s="25"/>
      <c r="I1306" s="25"/>
      <c r="J1306" s="25"/>
      <c r="K1306" s="169"/>
      <c r="L1306" s="169"/>
      <c r="M1306" s="170" t="b">
        <v>0</v>
      </c>
      <c r="N1306" s="170" t="b">
        <v>0</v>
      </c>
      <c r="O1306" s="48"/>
      <c r="P1306" s="170" t="b">
        <v>0</v>
      </c>
      <c r="Q1306" s="170" t="b">
        <v>0</v>
      </c>
      <c r="R1306" s="170" t="b">
        <v>0</v>
      </c>
      <c r="S1306" s="48"/>
      <c r="T1306" s="60"/>
      <c r="U1306" s="170" t="b">
        <v>0</v>
      </c>
      <c r="V1306" s="170"/>
      <c r="W1306" s="170" t="b">
        <v>0</v>
      </c>
      <c r="X1306" s="170" t="b">
        <v>0</v>
      </c>
      <c r="Y1306" s="170"/>
      <c r="Z1306" s="170"/>
      <c r="AA1306" s="170"/>
      <c r="AB1306" s="170"/>
      <c r="AC1306" s="171"/>
      <c r="AD1306" s="170"/>
      <c r="AE1306" s="170"/>
      <c r="AF1306" s="170"/>
      <c r="AG1306" s="170"/>
      <c r="AH1306" s="170"/>
      <c r="AI1306" s="170"/>
      <c r="AJ1306" s="172"/>
      <c r="AK1306" s="50"/>
      <c r="AL1306" s="25"/>
      <c r="AM1306" s="25"/>
      <c r="AN1306" s="25"/>
      <c r="AO1306" s="165"/>
      <c r="AP1306" s="78"/>
      <c r="AQ1306" s="25"/>
      <c r="AR1306" s="25"/>
      <c r="AS1306" s="25"/>
      <c r="AT1306" s="25"/>
      <c r="AU1306" s="25"/>
      <c r="AV1306" s="25"/>
      <c r="AW1306" s="25"/>
      <c r="AX1306" s="25"/>
      <c r="AY1306" s="25"/>
      <c r="AZ1306" s="25"/>
      <c r="BA1306" s="25"/>
      <c r="BB1306" s="25"/>
      <c r="BC1306" s="25"/>
      <c r="BD1306" s="25"/>
      <c r="BE1306" s="25"/>
      <c r="BF1306" s="25"/>
      <c r="BG1306" s="25"/>
      <c r="BH1306" s="25"/>
      <c r="BI1306" s="25"/>
      <c r="BJ1306" s="25"/>
      <c r="BK1306" s="25"/>
      <c r="BL1306" s="25"/>
      <c r="BM1306" s="25"/>
      <c r="BN1306" s="25"/>
      <c r="BO1306" s="25"/>
      <c r="BP1306" s="25"/>
    </row>
    <row r="1307">
      <c r="A1307" s="25"/>
      <c r="B1307" s="168"/>
      <c r="C1307" s="25"/>
      <c r="D1307" s="25"/>
      <c r="E1307" s="25"/>
      <c r="F1307" s="25"/>
      <c r="G1307" s="84"/>
      <c r="H1307" s="25"/>
      <c r="I1307" s="25"/>
      <c r="J1307" s="25"/>
      <c r="K1307" s="169"/>
      <c r="L1307" s="169"/>
      <c r="M1307" s="170" t="b">
        <v>0</v>
      </c>
      <c r="N1307" s="170" t="b">
        <v>0</v>
      </c>
      <c r="O1307" s="48"/>
      <c r="P1307" s="170" t="b">
        <v>0</v>
      </c>
      <c r="Q1307" s="170" t="b">
        <v>0</v>
      </c>
      <c r="R1307" s="170" t="b">
        <v>0</v>
      </c>
      <c r="S1307" s="48"/>
      <c r="T1307" s="60"/>
      <c r="U1307" s="170" t="b">
        <v>0</v>
      </c>
      <c r="V1307" s="170"/>
      <c r="W1307" s="170" t="b">
        <v>0</v>
      </c>
      <c r="X1307" s="170" t="b">
        <v>0</v>
      </c>
      <c r="Y1307" s="170"/>
      <c r="Z1307" s="170"/>
      <c r="AA1307" s="170"/>
      <c r="AB1307" s="170"/>
      <c r="AC1307" s="171"/>
      <c r="AD1307" s="170"/>
      <c r="AE1307" s="170"/>
      <c r="AF1307" s="170"/>
      <c r="AG1307" s="170"/>
      <c r="AH1307" s="170"/>
      <c r="AI1307" s="170"/>
      <c r="AJ1307" s="172"/>
      <c r="AK1307" s="50"/>
      <c r="AL1307" s="25"/>
      <c r="AM1307" s="25"/>
      <c r="AN1307" s="25"/>
      <c r="AO1307" s="165"/>
      <c r="AP1307" s="78"/>
      <c r="AQ1307" s="25"/>
      <c r="AR1307" s="25"/>
      <c r="AS1307" s="25"/>
      <c r="AT1307" s="25"/>
      <c r="AU1307" s="25"/>
      <c r="AV1307" s="25"/>
      <c r="AW1307" s="25"/>
      <c r="AX1307" s="25"/>
      <c r="AY1307" s="25"/>
      <c r="AZ1307" s="25"/>
      <c r="BA1307" s="25"/>
      <c r="BB1307" s="25"/>
      <c r="BC1307" s="25"/>
      <c r="BD1307" s="25"/>
      <c r="BE1307" s="25"/>
      <c r="BF1307" s="25"/>
      <c r="BG1307" s="25"/>
      <c r="BH1307" s="25"/>
      <c r="BI1307" s="25"/>
      <c r="BJ1307" s="25"/>
      <c r="BK1307" s="25"/>
      <c r="BL1307" s="25"/>
      <c r="BM1307" s="25"/>
      <c r="BN1307" s="25"/>
      <c r="BO1307" s="25"/>
      <c r="BP1307" s="25"/>
    </row>
    <row r="1308">
      <c r="A1308" s="25"/>
      <c r="B1308" s="168"/>
      <c r="C1308" s="25"/>
      <c r="D1308" s="25"/>
      <c r="E1308" s="25"/>
      <c r="F1308" s="25"/>
      <c r="G1308" s="84"/>
      <c r="H1308" s="25"/>
      <c r="I1308" s="25"/>
      <c r="J1308" s="25"/>
      <c r="K1308" s="169"/>
      <c r="L1308" s="169"/>
      <c r="M1308" s="170" t="b">
        <v>0</v>
      </c>
      <c r="N1308" s="170" t="b">
        <v>0</v>
      </c>
      <c r="O1308" s="48"/>
      <c r="P1308" s="170" t="b">
        <v>0</v>
      </c>
      <c r="Q1308" s="170" t="b">
        <v>0</v>
      </c>
      <c r="R1308" s="170" t="b">
        <v>0</v>
      </c>
      <c r="S1308" s="48"/>
      <c r="T1308" s="60"/>
      <c r="U1308" s="170" t="b">
        <v>0</v>
      </c>
      <c r="V1308" s="170"/>
      <c r="W1308" s="170" t="b">
        <v>0</v>
      </c>
      <c r="X1308" s="170" t="b">
        <v>0</v>
      </c>
      <c r="Y1308" s="170"/>
      <c r="Z1308" s="170"/>
      <c r="AA1308" s="170"/>
      <c r="AB1308" s="170"/>
      <c r="AC1308" s="171"/>
      <c r="AD1308" s="170"/>
      <c r="AE1308" s="170"/>
      <c r="AF1308" s="170"/>
      <c r="AG1308" s="170"/>
      <c r="AH1308" s="170"/>
      <c r="AI1308" s="170"/>
      <c r="AJ1308" s="172"/>
      <c r="AK1308" s="50"/>
      <c r="AL1308" s="25"/>
      <c r="AM1308" s="25"/>
      <c r="AN1308" s="25"/>
      <c r="AO1308" s="165"/>
      <c r="AP1308" s="78"/>
      <c r="AQ1308" s="25"/>
      <c r="AR1308" s="25"/>
      <c r="AS1308" s="25"/>
      <c r="AT1308" s="25"/>
      <c r="AU1308" s="25"/>
      <c r="AV1308" s="25"/>
      <c r="AW1308" s="25"/>
      <c r="AX1308" s="25"/>
      <c r="AY1308" s="25"/>
      <c r="AZ1308" s="25"/>
      <c r="BA1308" s="25"/>
      <c r="BB1308" s="25"/>
      <c r="BC1308" s="25"/>
      <c r="BD1308" s="25"/>
      <c r="BE1308" s="25"/>
      <c r="BF1308" s="25"/>
      <c r="BG1308" s="25"/>
      <c r="BH1308" s="25"/>
      <c r="BI1308" s="25"/>
      <c r="BJ1308" s="25"/>
      <c r="BK1308" s="25"/>
      <c r="BL1308" s="25"/>
      <c r="BM1308" s="25"/>
      <c r="BN1308" s="25"/>
      <c r="BO1308" s="25"/>
      <c r="BP1308" s="25"/>
    </row>
    <row r="1309">
      <c r="A1309" s="25"/>
      <c r="B1309" s="168"/>
      <c r="C1309" s="25"/>
      <c r="D1309" s="25"/>
      <c r="E1309" s="25"/>
      <c r="F1309" s="25"/>
      <c r="G1309" s="84"/>
      <c r="H1309" s="25"/>
      <c r="I1309" s="25"/>
      <c r="J1309" s="25"/>
      <c r="K1309" s="169"/>
      <c r="L1309" s="169"/>
      <c r="M1309" s="170" t="b">
        <v>0</v>
      </c>
      <c r="N1309" s="170" t="b">
        <v>0</v>
      </c>
      <c r="O1309" s="48"/>
      <c r="P1309" s="170" t="b">
        <v>0</v>
      </c>
      <c r="Q1309" s="170" t="b">
        <v>0</v>
      </c>
      <c r="R1309" s="170" t="b">
        <v>0</v>
      </c>
      <c r="S1309" s="48"/>
      <c r="T1309" s="60"/>
      <c r="U1309" s="170" t="b">
        <v>0</v>
      </c>
      <c r="V1309" s="170"/>
      <c r="W1309" s="170" t="b">
        <v>0</v>
      </c>
      <c r="X1309" s="170" t="b">
        <v>0</v>
      </c>
      <c r="Y1309" s="170"/>
      <c r="Z1309" s="170"/>
      <c r="AA1309" s="170"/>
      <c r="AB1309" s="170"/>
      <c r="AC1309" s="171"/>
      <c r="AD1309" s="170"/>
      <c r="AE1309" s="170"/>
      <c r="AF1309" s="170"/>
      <c r="AG1309" s="170"/>
      <c r="AH1309" s="170"/>
      <c r="AI1309" s="170"/>
      <c r="AJ1309" s="172"/>
      <c r="AK1309" s="50"/>
      <c r="AL1309" s="25"/>
      <c r="AM1309" s="25"/>
      <c r="AN1309" s="25"/>
      <c r="AO1309" s="165"/>
      <c r="AP1309" s="78"/>
      <c r="AQ1309" s="25"/>
      <c r="AR1309" s="25"/>
      <c r="AS1309" s="25"/>
      <c r="AT1309" s="25"/>
      <c r="AU1309" s="25"/>
      <c r="AV1309" s="25"/>
      <c r="AW1309" s="25"/>
      <c r="AX1309" s="25"/>
      <c r="AY1309" s="25"/>
      <c r="AZ1309" s="25"/>
      <c r="BA1309" s="25"/>
      <c r="BB1309" s="25"/>
      <c r="BC1309" s="25"/>
      <c r="BD1309" s="25"/>
      <c r="BE1309" s="25"/>
      <c r="BF1309" s="25"/>
      <c r="BG1309" s="25"/>
      <c r="BH1309" s="25"/>
      <c r="BI1309" s="25"/>
      <c r="BJ1309" s="25"/>
      <c r="BK1309" s="25"/>
      <c r="BL1309" s="25"/>
      <c r="BM1309" s="25"/>
      <c r="BN1309" s="25"/>
      <c r="BO1309" s="25"/>
      <c r="BP1309" s="25"/>
    </row>
    <row r="1310">
      <c r="A1310" s="25"/>
      <c r="B1310" s="168"/>
      <c r="C1310" s="25"/>
      <c r="D1310" s="25"/>
      <c r="E1310" s="25"/>
      <c r="F1310" s="25"/>
      <c r="G1310" s="84"/>
      <c r="H1310" s="25"/>
      <c r="I1310" s="25"/>
      <c r="J1310" s="25"/>
      <c r="K1310" s="169"/>
      <c r="L1310" s="169"/>
      <c r="M1310" s="170" t="b">
        <v>0</v>
      </c>
      <c r="N1310" s="170" t="b">
        <v>0</v>
      </c>
      <c r="O1310" s="48"/>
      <c r="P1310" s="170" t="b">
        <v>0</v>
      </c>
      <c r="Q1310" s="170" t="b">
        <v>0</v>
      </c>
      <c r="R1310" s="170" t="b">
        <v>0</v>
      </c>
      <c r="S1310" s="48"/>
      <c r="T1310" s="60"/>
      <c r="U1310" s="170" t="b">
        <v>0</v>
      </c>
      <c r="V1310" s="170"/>
      <c r="W1310" s="170" t="b">
        <v>0</v>
      </c>
      <c r="X1310" s="170" t="b">
        <v>0</v>
      </c>
      <c r="Y1310" s="170"/>
      <c r="Z1310" s="170"/>
      <c r="AA1310" s="170"/>
      <c r="AB1310" s="170"/>
      <c r="AC1310" s="171"/>
      <c r="AD1310" s="170"/>
      <c r="AE1310" s="170"/>
      <c r="AF1310" s="170"/>
      <c r="AG1310" s="170"/>
      <c r="AH1310" s="170"/>
      <c r="AI1310" s="170"/>
      <c r="AJ1310" s="172"/>
      <c r="AK1310" s="50"/>
      <c r="AL1310" s="25"/>
      <c r="AM1310" s="25"/>
      <c r="AN1310" s="25"/>
      <c r="AO1310" s="165"/>
      <c r="AP1310" s="78"/>
      <c r="AQ1310" s="25"/>
      <c r="AR1310" s="25"/>
      <c r="AS1310" s="25"/>
      <c r="AT1310" s="25"/>
      <c r="AU1310" s="25"/>
      <c r="AV1310" s="25"/>
      <c r="AW1310" s="25"/>
      <c r="AX1310" s="25"/>
      <c r="AY1310" s="25"/>
      <c r="AZ1310" s="25"/>
      <c r="BA1310" s="25"/>
      <c r="BB1310" s="25"/>
      <c r="BC1310" s="25"/>
      <c r="BD1310" s="25"/>
      <c r="BE1310" s="25"/>
      <c r="BF1310" s="25"/>
      <c r="BG1310" s="25"/>
      <c r="BH1310" s="25"/>
      <c r="BI1310" s="25"/>
      <c r="BJ1310" s="25"/>
      <c r="BK1310" s="25"/>
      <c r="BL1310" s="25"/>
      <c r="BM1310" s="25"/>
      <c r="BN1310" s="25"/>
      <c r="BO1310" s="25"/>
      <c r="BP1310" s="25"/>
    </row>
    <row r="1311">
      <c r="A1311" s="25"/>
      <c r="B1311" s="168"/>
      <c r="C1311" s="25"/>
      <c r="D1311" s="25"/>
      <c r="E1311" s="25"/>
      <c r="F1311" s="25"/>
      <c r="G1311" s="84"/>
      <c r="H1311" s="25"/>
      <c r="I1311" s="25"/>
      <c r="J1311" s="25"/>
      <c r="K1311" s="169"/>
      <c r="L1311" s="169"/>
      <c r="M1311" s="170" t="b">
        <v>0</v>
      </c>
      <c r="N1311" s="170" t="b">
        <v>0</v>
      </c>
      <c r="O1311" s="48"/>
      <c r="P1311" s="170" t="b">
        <v>0</v>
      </c>
      <c r="Q1311" s="170" t="b">
        <v>0</v>
      </c>
      <c r="R1311" s="170" t="b">
        <v>0</v>
      </c>
      <c r="S1311" s="48"/>
      <c r="T1311" s="60"/>
      <c r="U1311" s="170" t="b">
        <v>0</v>
      </c>
      <c r="V1311" s="170"/>
      <c r="W1311" s="170" t="b">
        <v>0</v>
      </c>
      <c r="X1311" s="170" t="b">
        <v>0</v>
      </c>
      <c r="Y1311" s="170"/>
      <c r="Z1311" s="170"/>
      <c r="AA1311" s="170"/>
      <c r="AB1311" s="170"/>
      <c r="AC1311" s="171"/>
      <c r="AD1311" s="170"/>
      <c r="AE1311" s="170"/>
      <c r="AF1311" s="170"/>
      <c r="AG1311" s="170"/>
      <c r="AH1311" s="170"/>
      <c r="AI1311" s="170"/>
      <c r="AJ1311" s="172"/>
      <c r="AK1311" s="50"/>
      <c r="AL1311" s="25"/>
      <c r="AM1311" s="25"/>
      <c r="AN1311" s="25"/>
      <c r="AO1311" s="165"/>
      <c r="AP1311" s="78"/>
      <c r="AQ1311" s="25"/>
      <c r="AR1311" s="25"/>
      <c r="AS1311" s="25"/>
      <c r="AT1311" s="25"/>
      <c r="AU1311" s="25"/>
      <c r="AV1311" s="25"/>
      <c r="AW1311" s="25"/>
      <c r="AX1311" s="25"/>
      <c r="AY1311" s="25"/>
      <c r="AZ1311" s="25"/>
      <c r="BA1311" s="25"/>
      <c r="BB1311" s="25"/>
      <c r="BC1311" s="25"/>
      <c r="BD1311" s="25"/>
      <c r="BE1311" s="25"/>
      <c r="BF1311" s="25"/>
      <c r="BG1311" s="25"/>
      <c r="BH1311" s="25"/>
      <c r="BI1311" s="25"/>
      <c r="BJ1311" s="25"/>
      <c r="BK1311" s="25"/>
      <c r="BL1311" s="25"/>
      <c r="BM1311" s="25"/>
      <c r="BN1311" s="25"/>
      <c r="BO1311" s="25"/>
      <c r="BP1311" s="25"/>
    </row>
    <row r="1312">
      <c r="A1312" s="25"/>
      <c r="B1312" s="168"/>
      <c r="C1312" s="25"/>
      <c r="D1312" s="25"/>
      <c r="E1312" s="25"/>
      <c r="F1312" s="25"/>
      <c r="G1312" s="84"/>
      <c r="H1312" s="25"/>
      <c r="I1312" s="25"/>
      <c r="J1312" s="25"/>
      <c r="K1312" s="169"/>
      <c r="L1312" s="169"/>
      <c r="M1312" s="170" t="b">
        <v>0</v>
      </c>
      <c r="N1312" s="170" t="b">
        <v>0</v>
      </c>
      <c r="O1312" s="48"/>
      <c r="P1312" s="170" t="b">
        <v>0</v>
      </c>
      <c r="Q1312" s="170" t="b">
        <v>0</v>
      </c>
      <c r="R1312" s="170" t="b">
        <v>0</v>
      </c>
      <c r="S1312" s="48"/>
      <c r="T1312" s="60"/>
      <c r="U1312" s="170" t="b">
        <v>0</v>
      </c>
      <c r="V1312" s="170"/>
      <c r="W1312" s="170" t="b">
        <v>0</v>
      </c>
      <c r="X1312" s="170" t="b">
        <v>0</v>
      </c>
      <c r="Y1312" s="170"/>
      <c r="Z1312" s="170"/>
      <c r="AA1312" s="170"/>
      <c r="AB1312" s="170"/>
      <c r="AC1312" s="171"/>
      <c r="AD1312" s="170"/>
      <c r="AE1312" s="170"/>
      <c r="AF1312" s="170"/>
      <c r="AG1312" s="170"/>
      <c r="AH1312" s="170"/>
      <c r="AI1312" s="170"/>
      <c r="AJ1312" s="172"/>
      <c r="AK1312" s="50"/>
      <c r="AL1312" s="25"/>
      <c r="AM1312" s="25"/>
      <c r="AN1312" s="25"/>
      <c r="AO1312" s="165"/>
      <c r="AP1312" s="78"/>
      <c r="AQ1312" s="25"/>
      <c r="AR1312" s="25"/>
      <c r="AS1312" s="25"/>
      <c r="AT1312" s="25"/>
      <c r="AU1312" s="25"/>
      <c r="AV1312" s="25"/>
      <c r="AW1312" s="25"/>
      <c r="AX1312" s="25"/>
      <c r="AY1312" s="25"/>
      <c r="AZ1312" s="25"/>
      <c r="BA1312" s="25"/>
      <c r="BB1312" s="25"/>
      <c r="BC1312" s="25"/>
      <c r="BD1312" s="25"/>
      <c r="BE1312" s="25"/>
      <c r="BF1312" s="25"/>
      <c r="BG1312" s="25"/>
      <c r="BH1312" s="25"/>
      <c r="BI1312" s="25"/>
      <c r="BJ1312" s="25"/>
      <c r="BK1312" s="25"/>
      <c r="BL1312" s="25"/>
      <c r="BM1312" s="25"/>
      <c r="BN1312" s="25"/>
      <c r="BO1312" s="25"/>
      <c r="BP1312" s="25"/>
    </row>
    <row r="1313">
      <c r="A1313" s="25"/>
      <c r="B1313" s="168"/>
      <c r="C1313" s="25"/>
      <c r="D1313" s="25"/>
      <c r="E1313" s="25"/>
      <c r="F1313" s="25"/>
      <c r="G1313" s="84"/>
      <c r="H1313" s="25"/>
      <c r="I1313" s="25"/>
      <c r="J1313" s="25"/>
      <c r="K1313" s="169"/>
      <c r="L1313" s="169"/>
      <c r="M1313" s="170" t="b">
        <v>0</v>
      </c>
      <c r="N1313" s="170" t="b">
        <v>0</v>
      </c>
      <c r="O1313" s="48"/>
      <c r="P1313" s="170" t="b">
        <v>0</v>
      </c>
      <c r="Q1313" s="170" t="b">
        <v>0</v>
      </c>
      <c r="R1313" s="170" t="b">
        <v>0</v>
      </c>
      <c r="S1313" s="48"/>
      <c r="T1313" s="60"/>
      <c r="U1313" s="170" t="b">
        <v>0</v>
      </c>
      <c r="V1313" s="170"/>
      <c r="W1313" s="170" t="b">
        <v>0</v>
      </c>
      <c r="X1313" s="170" t="b">
        <v>0</v>
      </c>
      <c r="Y1313" s="170"/>
      <c r="Z1313" s="170"/>
      <c r="AA1313" s="170"/>
      <c r="AB1313" s="170"/>
      <c r="AC1313" s="171"/>
      <c r="AD1313" s="170"/>
      <c r="AE1313" s="170"/>
      <c r="AF1313" s="170"/>
      <c r="AG1313" s="170"/>
      <c r="AH1313" s="170"/>
      <c r="AI1313" s="170"/>
      <c r="AJ1313" s="172"/>
      <c r="AK1313" s="50"/>
      <c r="AL1313" s="25"/>
      <c r="AM1313" s="25"/>
      <c r="AN1313" s="25"/>
      <c r="AO1313" s="165"/>
      <c r="AP1313" s="78"/>
      <c r="AQ1313" s="25"/>
      <c r="AR1313" s="25"/>
      <c r="AS1313" s="25"/>
      <c r="AT1313" s="25"/>
      <c r="AU1313" s="25"/>
      <c r="AV1313" s="25"/>
      <c r="AW1313" s="25"/>
      <c r="AX1313" s="25"/>
      <c r="AY1313" s="25"/>
      <c r="AZ1313" s="25"/>
      <c r="BA1313" s="25"/>
      <c r="BB1313" s="25"/>
      <c r="BC1313" s="25"/>
      <c r="BD1313" s="25"/>
      <c r="BE1313" s="25"/>
      <c r="BF1313" s="25"/>
      <c r="BG1313" s="25"/>
      <c r="BH1313" s="25"/>
      <c r="BI1313" s="25"/>
      <c r="BJ1313" s="25"/>
      <c r="BK1313" s="25"/>
      <c r="BL1313" s="25"/>
      <c r="BM1313" s="25"/>
      <c r="BN1313" s="25"/>
      <c r="BO1313" s="25"/>
      <c r="BP1313" s="25"/>
    </row>
    <row r="1314">
      <c r="A1314" s="25"/>
      <c r="B1314" s="168"/>
      <c r="C1314" s="25"/>
      <c r="D1314" s="25"/>
      <c r="E1314" s="25"/>
      <c r="F1314" s="25"/>
      <c r="G1314" s="84"/>
      <c r="H1314" s="25"/>
      <c r="I1314" s="25"/>
      <c r="J1314" s="25"/>
      <c r="K1314" s="169"/>
      <c r="L1314" s="169"/>
      <c r="M1314" s="170" t="b">
        <v>0</v>
      </c>
      <c r="N1314" s="170" t="b">
        <v>0</v>
      </c>
      <c r="O1314" s="48"/>
      <c r="P1314" s="170" t="b">
        <v>0</v>
      </c>
      <c r="Q1314" s="170" t="b">
        <v>0</v>
      </c>
      <c r="R1314" s="170" t="b">
        <v>0</v>
      </c>
      <c r="S1314" s="48"/>
      <c r="T1314" s="60"/>
      <c r="U1314" s="170" t="b">
        <v>0</v>
      </c>
      <c r="V1314" s="170"/>
      <c r="W1314" s="170" t="b">
        <v>0</v>
      </c>
      <c r="X1314" s="170" t="b">
        <v>0</v>
      </c>
      <c r="Y1314" s="170"/>
      <c r="Z1314" s="170"/>
      <c r="AA1314" s="170"/>
      <c r="AB1314" s="170"/>
      <c r="AC1314" s="171"/>
      <c r="AD1314" s="170"/>
      <c r="AE1314" s="170"/>
      <c r="AF1314" s="170"/>
      <c r="AG1314" s="170"/>
      <c r="AH1314" s="170"/>
      <c r="AI1314" s="170"/>
      <c r="AJ1314" s="172"/>
      <c r="AK1314" s="50"/>
      <c r="AL1314" s="25"/>
      <c r="AM1314" s="25"/>
      <c r="AN1314" s="25"/>
      <c r="AO1314" s="165"/>
      <c r="AP1314" s="78"/>
      <c r="AQ1314" s="25"/>
      <c r="AR1314" s="25"/>
      <c r="AS1314" s="25"/>
      <c r="AT1314" s="25"/>
      <c r="AU1314" s="25"/>
      <c r="AV1314" s="25"/>
      <c r="AW1314" s="25"/>
      <c r="AX1314" s="25"/>
      <c r="AY1314" s="25"/>
      <c r="AZ1314" s="25"/>
      <c r="BA1314" s="25"/>
      <c r="BB1314" s="25"/>
      <c r="BC1314" s="25"/>
      <c r="BD1314" s="25"/>
      <c r="BE1314" s="25"/>
      <c r="BF1314" s="25"/>
      <c r="BG1314" s="25"/>
      <c r="BH1314" s="25"/>
      <c r="BI1314" s="25"/>
      <c r="BJ1314" s="25"/>
      <c r="BK1314" s="25"/>
      <c r="BL1314" s="25"/>
      <c r="BM1314" s="25"/>
      <c r="BN1314" s="25"/>
      <c r="BO1314" s="25"/>
      <c r="BP1314" s="25"/>
    </row>
    <row r="1315">
      <c r="A1315" s="25"/>
      <c r="B1315" s="168"/>
      <c r="C1315" s="25"/>
      <c r="D1315" s="25"/>
      <c r="E1315" s="25"/>
      <c r="F1315" s="25"/>
      <c r="G1315" s="84"/>
      <c r="H1315" s="25"/>
      <c r="I1315" s="25"/>
      <c r="J1315" s="25"/>
      <c r="K1315" s="169"/>
      <c r="L1315" s="169"/>
      <c r="M1315" s="170" t="b">
        <v>0</v>
      </c>
      <c r="N1315" s="170" t="b">
        <v>0</v>
      </c>
      <c r="O1315" s="48"/>
      <c r="P1315" s="170" t="b">
        <v>0</v>
      </c>
      <c r="Q1315" s="170" t="b">
        <v>0</v>
      </c>
      <c r="R1315" s="170" t="b">
        <v>0</v>
      </c>
      <c r="S1315" s="48"/>
      <c r="T1315" s="60"/>
      <c r="U1315" s="170" t="b">
        <v>0</v>
      </c>
      <c r="V1315" s="170"/>
      <c r="W1315" s="170" t="b">
        <v>0</v>
      </c>
      <c r="X1315" s="170" t="b">
        <v>0</v>
      </c>
      <c r="Y1315" s="170"/>
      <c r="Z1315" s="170"/>
      <c r="AA1315" s="170"/>
      <c r="AB1315" s="170"/>
      <c r="AC1315" s="171"/>
      <c r="AD1315" s="170"/>
      <c r="AE1315" s="170"/>
      <c r="AF1315" s="170"/>
      <c r="AG1315" s="170"/>
      <c r="AH1315" s="170"/>
      <c r="AI1315" s="170"/>
      <c r="AJ1315" s="172"/>
      <c r="AK1315" s="50"/>
      <c r="AL1315" s="25"/>
      <c r="AM1315" s="25"/>
      <c r="AN1315" s="25"/>
      <c r="AO1315" s="165"/>
      <c r="AP1315" s="78"/>
      <c r="AQ1315" s="25"/>
      <c r="AR1315" s="25"/>
      <c r="AS1315" s="25"/>
      <c r="AT1315" s="25"/>
      <c r="AU1315" s="25"/>
      <c r="AV1315" s="25"/>
      <c r="AW1315" s="25"/>
      <c r="AX1315" s="25"/>
      <c r="AY1315" s="25"/>
      <c r="AZ1315" s="25"/>
      <c r="BA1315" s="25"/>
      <c r="BB1315" s="25"/>
      <c r="BC1315" s="25"/>
      <c r="BD1315" s="25"/>
      <c r="BE1315" s="25"/>
      <c r="BF1315" s="25"/>
      <c r="BG1315" s="25"/>
      <c r="BH1315" s="25"/>
      <c r="BI1315" s="25"/>
      <c r="BJ1315" s="25"/>
      <c r="BK1315" s="25"/>
      <c r="BL1315" s="25"/>
      <c r="BM1315" s="25"/>
      <c r="BN1315" s="25"/>
      <c r="BO1315" s="25"/>
      <c r="BP1315" s="25"/>
    </row>
    <row r="1316">
      <c r="A1316" s="25"/>
      <c r="B1316" s="168"/>
      <c r="C1316" s="25"/>
      <c r="D1316" s="25"/>
      <c r="E1316" s="25"/>
      <c r="F1316" s="25"/>
      <c r="G1316" s="84"/>
      <c r="H1316" s="25"/>
      <c r="I1316" s="25"/>
      <c r="J1316" s="25"/>
      <c r="K1316" s="169"/>
      <c r="L1316" s="169"/>
      <c r="M1316" s="170" t="b">
        <v>0</v>
      </c>
      <c r="N1316" s="170" t="b">
        <v>0</v>
      </c>
      <c r="O1316" s="48"/>
      <c r="P1316" s="170" t="b">
        <v>0</v>
      </c>
      <c r="Q1316" s="170" t="b">
        <v>0</v>
      </c>
      <c r="R1316" s="170" t="b">
        <v>0</v>
      </c>
      <c r="S1316" s="48"/>
      <c r="T1316" s="60"/>
      <c r="U1316" s="170" t="b">
        <v>0</v>
      </c>
      <c r="V1316" s="170"/>
      <c r="W1316" s="170" t="b">
        <v>0</v>
      </c>
      <c r="X1316" s="170" t="b">
        <v>0</v>
      </c>
      <c r="Y1316" s="170"/>
      <c r="Z1316" s="170"/>
      <c r="AA1316" s="170"/>
      <c r="AB1316" s="170"/>
      <c r="AC1316" s="171"/>
      <c r="AD1316" s="170"/>
      <c r="AE1316" s="170"/>
      <c r="AF1316" s="170"/>
      <c r="AG1316" s="170"/>
      <c r="AH1316" s="170"/>
      <c r="AI1316" s="170"/>
      <c r="AJ1316" s="172"/>
      <c r="AK1316" s="50"/>
      <c r="AL1316" s="25"/>
      <c r="AM1316" s="25"/>
      <c r="AN1316" s="25"/>
      <c r="AO1316" s="165"/>
      <c r="AP1316" s="78"/>
      <c r="AQ1316" s="25"/>
      <c r="AR1316" s="25"/>
      <c r="AS1316" s="25"/>
      <c r="AT1316" s="25"/>
      <c r="AU1316" s="25"/>
      <c r="AV1316" s="25"/>
      <c r="AW1316" s="25"/>
      <c r="AX1316" s="25"/>
      <c r="AY1316" s="25"/>
      <c r="AZ1316" s="25"/>
      <c r="BA1316" s="25"/>
      <c r="BB1316" s="25"/>
      <c r="BC1316" s="25"/>
      <c r="BD1316" s="25"/>
      <c r="BE1316" s="25"/>
      <c r="BF1316" s="25"/>
      <c r="BG1316" s="25"/>
      <c r="BH1316" s="25"/>
      <c r="BI1316" s="25"/>
      <c r="BJ1316" s="25"/>
      <c r="BK1316" s="25"/>
      <c r="BL1316" s="25"/>
      <c r="BM1316" s="25"/>
      <c r="BN1316" s="25"/>
      <c r="BO1316" s="25"/>
      <c r="BP1316" s="25"/>
    </row>
    <row r="1317">
      <c r="A1317" s="25"/>
      <c r="B1317" s="168"/>
      <c r="C1317" s="25"/>
      <c r="D1317" s="25"/>
      <c r="E1317" s="25"/>
      <c r="F1317" s="25"/>
      <c r="G1317" s="84"/>
      <c r="H1317" s="25"/>
      <c r="I1317" s="25"/>
      <c r="J1317" s="25"/>
      <c r="K1317" s="169"/>
      <c r="L1317" s="169"/>
      <c r="M1317" s="170" t="b">
        <v>0</v>
      </c>
      <c r="N1317" s="170" t="b">
        <v>0</v>
      </c>
      <c r="O1317" s="48"/>
      <c r="P1317" s="170" t="b">
        <v>0</v>
      </c>
      <c r="Q1317" s="170" t="b">
        <v>0</v>
      </c>
      <c r="R1317" s="170" t="b">
        <v>0</v>
      </c>
      <c r="S1317" s="48"/>
      <c r="T1317" s="60"/>
      <c r="U1317" s="170" t="b">
        <v>0</v>
      </c>
      <c r="V1317" s="170"/>
      <c r="W1317" s="170" t="b">
        <v>0</v>
      </c>
      <c r="X1317" s="170" t="b">
        <v>0</v>
      </c>
      <c r="Y1317" s="170"/>
      <c r="Z1317" s="170"/>
      <c r="AA1317" s="170"/>
      <c r="AB1317" s="170"/>
      <c r="AC1317" s="171"/>
      <c r="AD1317" s="170"/>
      <c r="AE1317" s="170"/>
      <c r="AF1317" s="170"/>
      <c r="AG1317" s="170"/>
      <c r="AH1317" s="170"/>
      <c r="AI1317" s="170"/>
      <c r="AJ1317" s="172"/>
      <c r="AK1317" s="50"/>
      <c r="AL1317" s="25"/>
      <c r="AM1317" s="25"/>
      <c r="AN1317" s="25"/>
      <c r="AO1317" s="165"/>
      <c r="AP1317" s="78"/>
      <c r="AQ1317" s="25"/>
      <c r="AR1317" s="25"/>
      <c r="AS1317" s="25"/>
      <c r="AT1317" s="25"/>
      <c r="AU1317" s="25"/>
      <c r="AV1317" s="25"/>
      <c r="AW1317" s="25"/>
      <c r="AX1317" s="25"/>
      <c r="AY1317" s="25"/>
      <c r="AZ1317" s="25"/>
      <c r="BA1317" s="25"/>
      <c r="BB1317" s="25"/>
      <c r="BC1317" s="25"/>
      <c r="BD1317" s="25"/>
      <c r="BE1317" s="25"/>
      <c r="BF1317" s="25"/>
      <c r="BG1317" s="25"/>
      <c r="BH1317" s="25"/>
      <c r="BI1317" s="25"/>
      <c r="BJ1317" s="25"/>
      <c r="BK1317" s="25"/>
      <c r="BL1317" s="25"/>
      <c r="BM1317" s="25"/>
      <c r="BN1317" s="25"/>
      <c r="BO1317" s="25"/>
      <c r="BP1317" s="25"/>
    </row>
    <row r="1318">
      <c r="A1318" s="25"/>
      <c r="B1318" s="168"/>
      <c r="C1318" s="25"/>
      <c r="D1318" s="25"/>
      <c r="E1318" s="25"/>
      <c r="F1318" s="25"/>
      <c r="G1318" s="84"/>
      <c r="H1318" s="25"/>
      <c r="I1318" s="25"/>
      <c r="J1318" s="25"/>
      <c r="K1318" s="169"/>
      <c r="L1318" s="169"/>
      <c r="M1318" s="170" t="b">
        <v>0</v>
      </c>
      <c r="N1318" s="170" t="b">
        <v>0</v>
      </c>
      <c r="O1318" s="48"/>
      <c r="P1318" s="170" t="b">
        <v>0</v>
      </c>
      <c r="Q1318" s="170" t="b">
        <v>0</v>
      </c>
      <c r="R1318" s="170" t="b">
        <v>0</v>
      </c>
      <c r="S1318" s="48"/>
      <c r="T1318" s="60"/>
      <c r="U1318" s="170" t="b">
        <v>0</v>
      </c>
      <c r="V1318" s="170"/>
      <c r="W1318" s="170" t="b">
        <v>0</v>
      </c>
      <c r="X1318" s="170" t="b">
        <v>0</v>
      </c>
      <c r="Y1318" s="170"/>
      <c r="Z1318" s="170"/>
      <c r="AA1318" s="170"/>
      <c r="AB1318" s="170"/>
      <c r="AC1318" s="171"/>
      <c r="AD1318" s="170"/>
      <c r="AE1318" s="170"/>
      <c r="AF1318" s="170"/>
      <c r="AG1318" s="170"/>
      <c r="AH1318" s="170"/>
      <c r="AI1318" s="170"/>
      <c r="AJ1318" s="172"/>
      <c r="AK1318" s="50"/>
      <c r="AL1318" s="25"/>
      <c r="AM1318" s="25"/>
      <c r="AN1318" s="25"/>
      <c r="AO1318" s="165"/>
      <c r="AP1318" s="78"/>
      <c r="AQ1318" s="25"/>
      <c r="AR1318" s="25"/>
      <c r="AS1318" s="25"/>
      <c r="AT1318" s="25"/>
      <c r="AU1318" s="25"/>
      <c r="AV1318" s="25"/>
      <c r="AW1318" s="25"/>
      <c r="AX1318" s="25"/>
      <c r="AY1318" s="25"/>
      <c r="AZ1318" s="25"/>
      <c r="BA1318" s="25"/>
      <c r="BB1318" s="25"/>
      <c r="BC1318" s="25"/>
      <c r="BD1318" s="25"/>
      <c r="BE1318" s="25"/>
      <c r="BF1318" s="25"/>
      <c r="BG1318" s="25"/>
      <c r="BH1318" s="25"/>
      <c r="BI1318" s="25"/>
      <c r="BJ1318" s="25"/>
      <c r="BK1318" s="25"/>
      <c r="BL1318" s="25"/>
      <c r="BM1318" s="25"/>
      <c r="BN1318" s="25"/>
      <c r="BO1318" s="25"/>
      <c r="BP1318" s="25"/>
    </row>
    <row r="1319">
      <c r="A1319" s="25"/>
      <c r="B1319" s="168"/>
      <c r="C1319" s="25"/>
      <c r="D1319" s="25"/>
      <c r="E1319" s="25"/>
      <c r="F1319" s="25"/>
      <c r="G1319" s="84"/>
      <c r="H1319" s="25"/>
      <c r="I1319" s="25"/>
      <c r="J1319" s="25"/>
      <c r="K1319" s="169"/>
      <c r="L1319" s="169"/>
      <c r="M1319" s="170" t="b">
        <v>0</v>
      </c>
      <c r="N1319" s="170" t="b">
        <v>0</v>
      </c>
      <c r="O1319" s="48"/>
      <c r="P1319" s="170" t="b">
        <v>0</v>
      </c>
      <c r="Q1319" s="170" t="b">
        <v>0</v>
      </c>
      <c r="R1319" s="170" t="b">
        <v>0</v>
      </c>
      <c r="S1319" s="48"/>
      <c r="T1319" s="60"/>
      <c r="U1319" s="170" t="b">
        <v>0</v>
      </c>
      <c r="V1319" s="170"/>
      <c r="W1319" s="170" t="b">
        <v>0</v>
      </c>
      <c r="X1319" s="170" t="b">
        <v>0</v>
      </c>
      <c r="Y1319" s="170"/>
      <c r="Z1319" s="170"/>
      <c r="AA1319" s="170"/>
      <c r="AB1319" s="170"/>
      <c r="AC1319" s="171"/>
      <c r="AD1319" s="170"/>
      <c r="AE1319" s="170"/>
      <c r="AF1319" s="170"/>
      <c r="AG1319" s="170"/>
      <c r="AH1319" s="170"/>
      <c r="AI1319" s="170"/>
      <c r="AJ1319" s="172"/>
      <c r="AK1319" s="50"/>
      <c r="AL1319" s="25"/>
      <c r="AM1319" s="25"/>
      <c r="AN1319" s="25"/>
      <c r="AO1319" s="165"/>
      <c r="AP1319" s="78"/>
      <c r="AQ1319" s="25"/>
      <c r="AR1319" s="25"/>
      <c r="AS1319" s="25"/>
      <c r="AT1319" s="25"/>
      <c r="AU1319" s="25"/>
      <c r="AV1319" s="25"/>
      <c r="AW1319" s="25"/>
      <c r="AX1319" s="25"/>
      <c r="AY1319" s="25"/>
      <c r="AZ1319" s="25"/>
      <c r="BA1319" s="25"/>
      <c r="BB1319" s="25"/>
      <c r="BC1319" s="25"/>
      <c r="BD1319" s="25"/>
      <c r="BE1319" s="25"/>
      <c r="BF1319" s="25"/>
      <c r="BG1319" s="25"/>
      <c r="BH1319" s="25"/>
      <c r="BI1319" s="25"/>
      <c r="BJ1319" s="25"/>
      <c r="BK1319" s="25"/>
      <c r="BL1319" s="25"/>
      <c r="BM1319" s="25"/>
      <c r="BN1319" s="25"/>
      <c r="BO1319" s="25"/>
      <c r="BP1319" s="25"/>
    </row>
    <row r="1320">
      <c r="A1320" s="25"/>
      <c r="B1320" s="168"/>
      <c r="C1320" s="25"/>
      <c r="D1320" s="25"/>
      <c r="E1320" s="25"/>
      <c r="F1320" s="25"/>
      <c r="G1320" s="84"/>
      <c r="H1320" s="25"/>
      <c r="I1320" s="25"/>
      <c r="J1320" s="25"/>
      <c r="K1320" s="169"/>
      <c r="L1320" s="169"/>
      <c r="M1320" s="170" t="b">
        <v>0</v>
      </c>
      <c r="N1320" s="170" t="b">
        <v>0</v>
      </c>
      <c r="O1320" s="48"/>
      <c r="P1320" s="170" t="b">
        <v>0</v>
      </c>
      <c r="Q1320" s="170" t="b">
        <v>0</v>
      </c>
      <c r="R1320" s="170" t="b">
        <v>0</v>
      </c>
      <c r="S1320" s="48"/>
      <c r="T1320" s="60"/>
      <c r="U1320" s="170" t="b">
        <v>0</v>
      </c>
      <c r="V1320" s="170"/>
      <c r="W1320" s="170" t="b">
        <v>0</v>
      </c>
      <c r="X1320" s="170" t="b">
        <v>0</v>
      </c>
      <c r="Y1320" s="170"/>
      <c r="Z1320" s="170"/>
      <c r="AA1320" s="170"/>
      <c r="AB1320" s="170"/>
      <c r="AC1320" s="171"/>
      <c r="AD1320" s="170"/>
      <c r="AE1320" s="170"/>
      <c r="AF1320" s="170"/>
      <c r="AG1320" s="170"/>
      <c r="AH1320" s="170"/>
      <c r="AI1320" s="170"/>
      <c r="AJ1320" s="172"/>
      <c r="AK1320" s="50"/>
      <c r="AL1320" s="25"/>
      <c r="AM1320" s="25"/>
      <c r="AN1320" s="25"/>
      <c r="AO1320" s="165"/>
      <c r="AP1320" s="78"/>
      <c r="AQ1320" s="25"/>
      <c r="AR1320" s="25"/>
      <c r="AS1320" s="25"/>
      <c r="AT1320" s="25"/>
      <c r="AU1320" s="25"/>
      <c r="AV1320" s="25"/>
      <c r="AW1320" s="25"/>
      <c r="AX1320" s="25"/>
      <c r="AY1320" s="25"/>
      <c r="AZ1320" s="25"/>
      <c r="BA1320" s="25"/>
      <c r="BB1320" s="25"/>
      <c r="BC1320" s="25"/>
      <c r="BD1320" s="25"/>
      <c r="BE1320" s="25"/>
      <c r="BF1320" s="25"/>
      <c r="BG1320" s="25"/>
      <c r="BH1320" s="25"/>
      <c r="BI1320" s="25"/>
      <c r="BJ1320" s="25"/>
      <c r="BK1320" s="25"/>
      <c r="BL1320" s="25"/>
      <c r="BM1320" s="25"/>
      <c r="BN1320" s="25"/>
      <c r="BO1320" s="25"/>
      <c r="BP1320" s="25"/>
    </row>
    <row r="1321">
      <c r="A1321" s="25"/>
      <c r="B1321" s="168"/>
      <c r="C1321" s="25"/>
      <c r="D1321" s="25"/>
      <c r="E1321" s="25"/>
      <c r="F1321" s="25"/>
      <c r="G1321" s="84"/>
      <c r="H1321" s="25"/>
      <c r="I1321" s="25"/>
      <c r="J1321" s="25"/>
      <c r="K1321" s="169"/>
      <c r="L1321" s="169"/>
      <c r="M1321" s="170" t="b">
        <v>0</v>
      </c>
      <c r="N1321" s="170" t="b">
        <v>0</v>
      </c>
      <c r="O1321" s="48"/>
      <c r="P1321" s="170" t="b">
        <v>0</v>
      </c>
      <c r="Q1321" s="170" t="b">
        <v>0</v>
      </c>
      <c r="R1321" s="170" t="b">
        <v>0</v>
      </c>
      <c r="S1321" s="48"/>
      <c r="T1321" s="60"/>
      <c r="U1321" s="170" t="b">
        <v>0</v>
      </c>
      <c r="V1321" s="170"/>
      <c r="W1321" s="170" t="b">
        <v>0</v>
      </c>
      <c r="X1321" s="170" t="b">
        <v>0</v>
      </c>
      <c r="Y1321" s="170"/>
      <c r="Z1321" s="170"/>
      <c r="AA1321" s="170"/>
      <c r="AB1321" s="170"/>
      <c r="AC1321" s="171"/>
      <c r="AD1321" s="170"/>
      <c r="AE1321" s="170"/>
      <c r="AF1321" s="170"/>
      <c r="AG1321" s="170"/>
      <c r="AH1321" s="170"/>
      <c r="AI1321" s="170"/>
      <c r="AJ1321" s="172"/>
      <c r="AK1321" s="50"/>
      <c r="AL1321" s="25"/>
      <c r="AM1321" s="25"/>
      <c r="AN1321" s="25"/>
      <c r="AO1321" s="165"/>
      <c r="AP1321" s="78"/>
      <c r="AQ1321" s="25"/>
      <c r="AR1321" s="25"/>
      <c r="AS1321" s="25"/>
      <c r="AT1321" s="25"/>
      <c r="AU1321" s="25"/>
      <c r="AV1321" s="25"/>
      <c r="AW1321" s="25"/>
      <c r="AX1321" s="25"/>
      <c r="AY1321" s="25"/>
      <c r="AZ1321" s="25"/>
      <c r="BA1321" s="25"/>
      <c r="BB1321" s="25"/>
      <c r="BC1321" s="25"/>
      <c r="BD1321" s="25"/>
      <c r="BE1321" s="25"/>
      <c r="BF1321" s="25"/>
      <c r="BG1321" s="25"/>
      <c r="BH1321" s="25"/>
      <c r="BI1321" s="25"/>
      <c r="BJ1321" s="25"/>
      <c r="BK1321" s="25"/>
      <c r="BL1321" s="25"/>
      <c r="BM1321" s="25"/>
      <c r="BN1321" s="25"/>
      <c r="BO1321" s="25"/>
      <c r="BP1321" s="25"/>
    </row>
    <row r="1322">
      <c r="A1322" s="25"/>
      <c r="B1322" s="168"/>
      <c r="C1322" s="25"/>
      <c r="D1322" s="25"/>
      <c r="E1322" s="25"/>
      <c r="F1322" s="25"/>
      <c r="G1322" s="84"/>
      <c r="H1322" s="25"/>
      <c r="I1322" s="25"/>
      <c r="J1322" s="25"/>
      <c r="K1322" s="169"/>
      <c r="L1322" s="169"/>
      <c r="M1322" s="170" t="b">
        <v>0</v>
      </c>
      <c r="N1322" s="170" t="b">
        <v>0</v>
      </c>
      <c r="O1322" s="48"/>
      <c r="P1322" s="170" t="b">
        <v>0</v>
      </c>
      <c r="Q1322" s="170" t="b">
        <v>0</v>
      </c>
      <c r="R1322" s="170" t="b">
        <v>0</v>
      </c>
      <c r="S1322" s="48"/>
      <c r="T1322" s="60"/>
      <c r="U1322" s="170" t="b">
        <v>0</v>
      </c>
      <c r="V1322" s="170"/>
      <c r="W1322" s="170" t="b">
        <v>0</v>
      </c>
      <c r="X1322" s="170" t="b">
        <v>0</v>
      </c>
      <c r="Y1322" s="170"/>
      <c r="Z1322" s="170"/>
      <c r="AA1322" s="170"/>
      <c r="AB1322" s="170"/>
      <c r="AC1322" s="171"/>
      <c r="AD1322" s="170"/>
      <c r="AE1322" s="170"/>
      <c r="AF1322" s="170"/>
      <c r="AG1322" s="170"/>
      <c r="AH1322" s="170"/>
      <c r="AI1322" s="170"/>
      <c r="AJ1322" s="172"/>
      <c r="AK1322" s="50"/>
      <c r="AL1322" s="25"/>
      <c r="AM1322" s="25"/>
      <c r="AN1322" s="25"/>
      <c r="AO1322" s="165"/>
      <c r="AP1322" s="78"/>
      <c r="AQ1322" s="25"/>
      <c r="AR1322" s="25"/>
      <c r="AS1322" s="25"/>
      <c r="AT1322" s="25"/>
      <c r="AU1322" s="25"/>
      <c r="AV1322" s="25"/>
      <c r="AW1322" s="25"/>
      <c r="AX1322" s="25"/>
      <c r="AY1322" s="25"/>
      <c r="AZ1322" s="25"/>
      <c r="BA1322" s="25"/>
      <c r="BB1322" s="25"/>
      <c r="BC1322" s="25"/>
      <c r="BD1322" s="25"/>
      <c r="BE1322" s="25"/>
      <c r="BF1322" s="25"/>
      <c r="BG1322" s="25"/>
      <c r="BH1322" s="25"/>
      <c r="BI1322" s="25"/>
      <c r="BJ1322" s="25"/>
      <c r="BK1322" s="25"/>
      <c r="BL1322" s="25"/>
      <c r="BM1322" s="25"/>
      <c r="BN1322" s="25"/>
      <c r="BO1322" s="25"/>
      <c r="BP1322" s="25"/>
    </row>
    <row r="1323">
      <c r="A1323" s="25"/>
      <c r="B1323" s="168"/>
      <c r="C1323" s="25"/>
      <c r="D1323" s="25"/>
      <c r="E1323" s="25"/>
      <c r="F1323" s="25"/>
      <c r="G1323" s="84"/>
      <c r="H1323" s="25"/>
      <c r="I1323" s="25"/>
      <c r="J1323" s="25"/>
      <c r="K1323" s="169"/>
      <c r="L1323" s="169"/>
      <c r="M1323" s="170" t="b">
        <v>0</v>
      </c>
      <c r="N1323" s="170" t="b">
        <v>0</v>
      </c>
      <c r="O1323" s="48"/>
      <c r="P1323" s="170" t="b">
        <v>0</v>
      </c>
      <c r="Q1323" s="170" t="b">
        <v>0</v>
      </c>
      <c r="R1323" s="170" t="b">
        <v>0</v>
      </c>
      <c r="S1323" s="48"/>
      <c r="T1323" s="60"/>
      <c r="U1323" s="170" t="b">
        <v>0</v>
      </c>
      <c r="V1323" s="170"/>
      <c r="W1323" s="170" t="b">
        <v>0</v>
      </c>
      <c r="X1323" s="170" t="b">
        <v>0</v>
      </c>
      <c r="Y1323" s="170"/>
      <c r="Z1323" s="170"/>
      <c r="AA1323" s="170"/>
      <c r="AB1323" s="170"/>
      <c r="AC1323" s="171"/>
      <c r="AD1323" s="170"/>
      <c r="AE1323" s="170"/>
      <c r="AF1323" s="170"/>
      <c r="AG1323" s="170"/>
      <c r="AH1323" s="170"/>
      <c r="AI1323" s="170"/>
      <c r="AJ1323" s="172"/>
      <c r="AK1323" s="50"/>
      <c r="AL1323" s="25"/>
      <c r="AM1323" s="25"/>
      <c r="AN1323" s="25"/>
      <c r="AO1323" s="165"/>
      <c r="AP1323" s="78"/>
      <c r="AQ1323" s="25"/>
      <c r="AR1323" s="25"/>
      <c r="AS1323" s="25"/>
      <c r="AT1323" s="25"/>
      <c r="AU1323" s="25"/>
      <c r="AV1323" s="25"/>
      <c r="AW1323" s="25"/>
      <c r="AX1323" s="25"/>
      <c r="AY1323" s="25"/>
      <c r="AZ1323" s="25"/>
      <c r="BA1323" s="25"/>
      <c r="BB1323" s="25"/>
      <c r="BC1323" s="25"/>
      <c r="BD1323" s="25"/>
      <c r="BE1323" s="25"/>
      <c r="BF1323" s="25"/>
      <c r="BG1323" s="25"/>
      <c r="BH1323" s="25"/>
      <c r="BI1323" s="25"/>
      <c r="BJ1323" s="25"/>
      <c r="BK1323" s="25"/>
      <c r="BL1323" s="25"/>
      <c r="BM1323" s="25"/>
      <c r="BN1323" s="25"/>
      <c r="BO1323" s="25"/>
      <c r="BP1323" s="25"/>
    </row>
    <row r="1324">
      <c r="A1324" s="25"/>
      <c r="B1324" s="168"/>
      <c r="C1324" s="25"/>
      <c r="D1324" s="25"/>
      <c r="E1324" s="25"/>
      <c r="F1324" s="25"/>
      <c r="G1324" s="84"/>
      <c r="H1324" s="25"/>
      <c r="I1324" s="25"/>
      <c r="J1324" s="25"/>
      <c r="K1324" s="169"/>
      <c r="L1324" s="169"/>
      <c r="M1324" s="170" t="b">
        <v>0</v>
      </c>
      <c r="N1324" s="170" t="b">
        <v>0</v>
      </c>
      <c r="O1324" s="48"/>
      <c r="P1324" s="170" t="b">
        <v>0</v>
      </c>
      <c r="Q1324" s="170" t="b">
        <v>0</v>
      </c>
      <c r="R1324" s="170" t="b">
        <v>0</v>
      </c>
      <c r="S1324" s="48"/>
      <c r="T1324" s="60"/>
      <c r="U1324" s="170" t="b">
        <v>0</v>
      </c>
      <c r="V1324" s="170"/>
      <c r="W1324" s="170" t="b">
        <v>0</v>
      </c>
      <c r="X1324" s="170" t="b">
        <v>0</v>
      </c>
      <c r="Y1324" s="170"/>
      <c r="Z1324" s="170"/>
      <c r="AA1324" s="170"/>
      <c r="AB1324" s="170"/>
      <c r="AC1324" s="171"/>
      <c r="AD1324" s="170"/>
      <c r="AE1324" s="170"/>
      <c r="AF1324" s="170"/>
      <c r="AG1324" s="170"/>
      <c r="AH1324" s="170"/>
      <c r="AI1324" s="170"/>
      <c r="AJ1324" s="172"/>
      <c r="AK1324" s="50"/>
      <c r="AL1324" s="25"/>
      <c r="AM1324" s="25"/>
      <c r="AN1324" s="25"/>
      <c r="AO1324" s="165"/>
      <c r="AP1324" s="78"/>
      <c r="AQ1324" s="25"/>
      <c r="AR1324" s="25"/>
      <c r="AS1324" s="25"/>
      <c r="AT1324" s="25"/>
      <c r="AU1324" s="25"/>
      <c r="AV1324" s="25"/>
      <c r="AW1324" s="25"/>
      <c r="AX1324" s="25"/>
      <c r="AY1324" s="25"/>
      <c r="AZ1324" s="25"/>
      <c r="BA1324" s="25"/>
      <c r="BB1324" s="25"/>
      <c r="BC1324" s="25"/>
      <c r="BD1324" s="25"/>
      <c r="BE1324" s="25"/>
      <c r="BF1324" s="25"/>
      <c r="BG1324" s="25"/>
      <c r="BH1324" s="25"/>
      <c r="BI1324" s="25"/>
      <c r="BJ1324" s="25"/>
      <c r="BK1324" s="25"/>
      <c r="BL1324" s="25"/>
      <c r="BM1324" s="25"/>
      <c r="BN1324" s="25"/>
      <c r="BO1324" s="25"/>
      <c r="BP1324" s="25"/>
    </row>
    <row r="1325">
      <c r="A1325" s="25"/>
      <c r="B1325" s="168"/>
      <c r="C1325" s="25"/>
      <c r="D1325" s="25"/>
      <c r="E1325" s="25"/>
      <c r="F1325" s="25"/>
      <c r="G1325" s="84"/>
      <c r="H1325" s="25"/>
      <c r="I1325" s="25"/>
      <c r="J1325" s="25"/>
      <c r="K1325" s="169"/>
      <c r="L1325" s="169"/>
      <c r="M1325" s="170" t="b">
        <v>0</v>
      </c>
      <c r="N1325" s="170" t="b">
        <v>0</v>
      </c>
      <c r="O1325" s="48"/>
      <c r="P1325" s="170" t="b">
        <v>0</v>
      </c>
      <c r="Q1325" s="170" t="b">
        <v>0</v>
      </c>
      <c r="R1325" s="170" t="b">
        <v>0</v>
      </c>
      <c r="S1325" s="48"/>
      <c r="T1325" s="60"/>
      <c r="U1325" s="170" t="b">
        <v>0</v>
      </c>
      <c r="V1325" s="170"/>
      <c r="W1325" s="170" t="b">
        <v>0</v>
      </c>
      <c r="X1325" s="170" t="b">
        <v>0</v>
      </c>
      <c r="Y1325" s="170"/>
      <c r="Z1325" s="170"/>
      <c r="AA1325" s="170"/>
      <c r="AB1325" s="170"/>
      <c r="AC1325" s="171"/>
      <c r="AD1325" s="170"/>
      <c r="AE1325" s="170"/>
      <c r="AF1325" s="170"/>
      <c r="AG1325" s="170"/>
      <c r="AH1325" s="170"/>
      <c r="AI1325" s="170"/>
      <c r="AJ1325" s="172"/>
      <c r="AK1325" s="50"/>
      <c r="AL1325" s="25"/>
      <c r="AM1325" s="25"/>
      <c r="AN1325" s="25"/>
      <c r="AO1325" s="165"/>
      <c r="AP1325" s="78"/>
      <c r="AQ1325" s="25"/>
      <c r="AR1325" s="25"/>
      <c r="AS1325" s="25"/>
      <c r="AT1325" s="25"/>
      <c r="AU1325" s="25"/>
      <c r="AV1325" s="25"/>
      <c r="AW1325" s="25"/>
      <c r="AX1325" s="25"/>
      <c r="AY1325" s="25"/>
      <c r="AZ1325" s="25"/>
      <c r="BA1325" s="25"/>
      <c r="BB1325" s="25"/>
      <c r="BC1325" s="25"/>
      <c r="BD1325" s="25"/>
      <c r="BE1325" s="25"/>
      <c r="BF1325" s="25"/>
      <c r="BG1325" s="25"/>
      <c r="BH1325" s="25"/>
      <c r="BI1325" s="25"/>
      <c r="BJ1325" s="25"/>
      <c r="BK1325" s="25"/>
      <c r="BL1325" s="25"/>
      <c r="BM1325" s="25"/>
      <c r="BN1325" s="25"/>
      <c r="BO1325" s="25"/>
      <c r="BP1325" s="25"/>
    </row>
    <row r="1326">
      <c r="A1326" s="25"/>
      <c r="B1326" s="168"/>
      <c r="C1326" s="25"/>
      <c r="D1326" s="25"/>
      <c r="E1326" s="25"/>
      <c r="F1326" s="25"/>
      <c r="G1326" s="84"/>
      <c r="H1326" s="25"/>
      <c r="I1326" s="25"/>
      <c r="J1326" s="25"/>
      <c r="K1326" s="169"/>
      <c r="L1326" s="169"/>
      <c r="M1326" s="170" t="b">
        <v>0</v>
      </c>
      <c r="N1326" s="170" t="b">
        <v>0</v>
      </c>
      <c r="O1326" s="48"/>
      <c r="P1326" s="170" t="b">
        <v>0</v>
      </c>
      <c r="Q1326" s="170" t="b">
        <v>0</v>
      </c>
      <c r="R1326" s="170" t="b">
        <v>0</v>
      </c>
      <c r="S1326" s="48"/>
      <c r="T1326" s="60"/>
      <c r="U1326" s="170" t="b">
        <v>0</v>
      </c>
      <c r="V1326" s="170"/>
      <c r="W1326" s="170" t="b">
        <v>0</v>
      </c>
      <c r="X1326" s="170" t="b">
        <v>0</v>
      </c>
      <c r="Y1326" s="170"/>
      <c r="Z1326" s="170"/>
      <c r="AA1326" s="170"/>
      <c r="AB1326" s="170"/>
      <c r="AC1326" s="171"/>
      <c r="AD1326" s="170"/>
      <c r="AE1326" s="170"/>
      <c r="AF1326" s="170"/>
      <c r="AG1326" s="170"/>
      <c r="AH1326" s="170"/>
      <c r="AI1326" s="170"/>
      <c r="AJ1326" s="172"/>
      <c r="AK1326" s="50"/>
      <c r="AL1326" s="25"/>
      <c r="AM1326" s="25"/>
      <c r="AN1326" s="25"/>
      <c r="AO1326" s="165"/>
      <c r="AP1326" s="78"/>
      <c r="AQ1326" s="25"/>
      <c r="AR1326" s="25"/>
      <c r="AS1326" s="25"/>
      <c r="AT1326" s="25"/>
      <c r="AU1326" s="25"/>
      <c r="AV1326" s="25"/>
      <c r="AW1326" s="25"/>
      <c r="AX1326" s="25"/>
      <c r="AY1326" s="25"/>
      <c r="AZ1326" s="25"/>
      <c r="BA1326" s="25"/>
      <c r="BB1326" s="25"/>
      <c r="BC1326" s="25"/>
      <c r="BD1326" s="25"/>
      <c r="BE1326" s="25"/>
      <c r="BF1326" s="25"/>
      <c r="BG1326" s="25"/>
      <c r="BH1326" s="25"/>
      <c r="BI1326" s="25"/>
      <c r="BJ1326" s="25"/>
      <c r="BK1326" s="25"/>
      <c r="BL1326" s="25"/>
      <c r="BM1326" s="25"/>
      <c r="BN1326" s="25"/>
      <c r="BO1326" s="25"/>
      <c r="BP1326" s="25"/>
    </row>
    <row r="1327">
      <c r="A1327" s="25"/>
      <c r="B1327" s="168"/>
      <c r="C1327" s="25"/>
      <c r="D1327" s="25"/>
      <c r="E1327" s="25"/>
      <c r="F1327" s="25"/>
      <c r="G1327" s="84"/>
      <c r="H1327" s="25"/>
      <c r="I1327" s="25"/>
      <c r="J1327" s="25"/>
      <c r="K1327" s="169"/>
      <c r="L1327" s="169"/>
      <c r="M1327" s="170" t="b">
        <v>0</v>
      </c>
      <c r="N1327" s="170" t="b">
        <v>0</v>
      </c>
      <c r="O1327" s="48"/>
      <c r="P1327" s="170" t="b">
        <v>0</v>
      </c>
      <c r="Q1327" s="170" t="b">
        <v>0</v>
      </c>
      <c r="R1327" s="170" t="b">
        <v>0</v>
      </c>
      <c r="S1327" s="48"/>
      <c r="T1327" s="60"/>
      <c r="U1327" s="170" t="b">
        <v>0</v>
      </c>
      <c r="V1327" s="170"/>
      <c r="W1327" s="170" t="b">
        <v>0</v>
      </c>
      <c r="X1327" s="170" t="b">
        <v>0</v>
      </c>
      <c r="Y1327" s="170"/>
      <c r="Z1327" s="170"/>
      <c r="AA1327" s="170"/>
      <c r="AB1327" s="170"/>
      <c r="AC1327" s="171"/>
      <c r="AD1327" s="170"/>
      <c r="AE1327" s="170"/>
      <c r="AF1327" s="170"/>
      <c r="AG1327" s="170"/>
      <c r="AH1327" s="170"/>
      <c r="AI1327" s="170"/>
      <c r="AJ1327" s="172"/>
      <c r="AK1327" s="50"/>
      <c r="AL1327" s="25"/>
      <c r="AM1327" s="25"/>
      <c r="AN1327" s="25"/>
      <c r="AO1327" s="165"/>
      <c r="AP1327" s="78"/>
      <c r="AQ1327" s="25"/>
      <c r="AR1327" s="25"/>
      <c r="AS1327" s="25"/>
      <c r="AT1327" s="25"/>
      <c r="AU1327" s="25"/>
      <c r="AV1327" s="25"/>
      <c r="AW1327" s="25"/>
      <c r="AX1327" s="25"/>
      <c r="AY1327" s="25"/>
      <c r="AZ1327" s="25"/>
      <c r="BA1327" s="25"/>
      <c r="BB1327" s="25"/>
      <c r="BC1327" s="25"/>
      <c r="BD1327" s="25"/>
      <c r="BE1327" s="25"/>
      <c r="BF1327" s="25"/>
      <c r="BG1327" s="25"/>
      <c r="BH1327" s="25"/>
      <c r="BI1327" s="25"/>
      <c r="BJ1327" s="25"/>
      <c r="BK1327" s="25"/>
      <c r="BL1327" s="25"/>
      <c r="BM1327" s="25"/>
      <c r="BN1327" s="25"/>
      <c r="BO1327" s="25"/>
      <c r="BP1327" s="25"/>
    </row>
    <row r="1328">
      <c r="A1328" s="25"/>
      <c r="B1328" s="168"/>
      <c r="C1328" s="25"/>
      <c r="D1328" s="25"/>
      <c r="E1328" s="25"/>
      <c r="F1328" s="25"/>
      <c r="G1328" s="84"/>
      <c r="H1328" s="25"/>
      <c r="I1328" s="25"/>
      <c r="J1328" s="25"/>
      <c r="K1328" s="169"/>
      <c r="L1328" s="169"/>
      <c r="M1328" s="170" t="b">
        <v>0</v>
      </c>
      <c r="N1328" s="170" t="b">
        <v>0</v>
      </c>
      <c r="O1328" s="48"/>
      <c r="P1328" s="170" t="b">
        <v>0</v>
      </c>
      <c r="Q1328" s="170" t="b">
        <v>0</v>
      </c>
      <c r="R1328" s="170" t="b">
        <v>0</v>
      </c>
      <c r="S1328" s="48"/>
      <c r="T1328" s="60"/>
      <c r="U1328" s="170" t="b">
        <v>0</v>
      </c>
      <c r="V1328" s="170"/>
      <c r="W1328" s="170" t="b">
        <v>0</v>
      </c>
      <c r="X1328" s="170" t="b">
        <v>0</v>
      </c>
      <c r="Y1328" s="170"/>
      <c r="Z1328" s="170"/>
      <c r="AA1328" s="170"/>
      <c r="AB1328" s="170"/>
      <c r="AC1328" s="171"/>
      <c r="AD1328" s="170"/>
      <c r="AE1328" s="170"/>
      <c r="AF1328" s="170"/>
      <c r="AG1328" s="170"/>
      <c r="AH1328" s="170"/>
      <c r="AI1328" s="170"/>
      <c r="AJ1328" s="172"/>
      <c r="AK1328" s="50"/>
      <c r="AL1328" s="25"/>
      <c r="AM1328" s="25"/>
      <c r="AN1328" s="25"/>
      <c r="AO1328" s="165"/>
      <c r="AP1328" s="78"/>
      <c r="AQ1328" s="25"/>
      <c r="AR1328" s="25"/>
      <c r="AS1328" s="25"/>
      <c r="AT1328" s="25"/>
      <c r="AU1328" s="25"/>
      <c r="AV1328" s="25"/>
      <c r="AW1328" s="25"/>
      <c r="AX1328" s="25"/>
      <c r="AY1328" s="25"/>
      <c r="AZ1328" s="25"/>
      <c r="BA1328" s="25"/>
      <c r="BB1328" s="25"/>
      <c r="BC1328" s="25"/>
      <c r="BD1328" s="25"/>
      <c r="BE1328" s="25"/>
      <c r="BF1328" s="25"/>
      <c r="BG1328" s="25"/>
      <c r="BH1328" s="25"/>
      <c r="BI1328" s="25"/>
      <c r="BJ1328" s="25"/>
      <c r="BK1328" s="25"/>
      <c r="BL1328" s="25"/>
      <c r="BM1328" s="25"/>
      <c r="BN1328" s="25"/>
      <c r="BO1328" s="25"/>
      <c r="BP1328" s="25"/>
    </row>
    <row r="1329">
      <c r="A1329" s="25"/>
      <c r="B1329" s="168"/>
      <c r="C1329" s="25"/>
      <c r="D1329" s="25"/>
      <c r="E1329" s="25"/>
      <c r="F1329" s="25"/>
      <c r="G1329" s="84"/>
      <c r="H1329" s="25"/>
      <c r="I1329" s="25"/>
      <c r="J1329" s="25"/>
      <c r="K1329" s="169"/>
      <c r="L1329" s="169"/>
      <c r="M1329" s="170" t="b">
        <v>0</v>
      </c>
      <c r="N1329" s="170" t="b">
        <v>0</v>
      </c>
      <c r="O1329" s="48"/>
      <c r="P1329" s="170" t="b">
        <v>0</v>
      </c>
      <c r="Q1329" s="170" t="b">
        <v>0</v>
      </c>
      <c r="R1329" s="170" t="b">
        <v>0</v>
      </c>
      <c r="S1329" s="48"/>
      <c r="T1329" s="60"/>
      <c r="U1329" s="170" t="b">
        <v>0</v>
      </c>
      <c r="V1329" s="170"/>
      <c r="W1329" s="170" t="b">
        <v>0</v>
      </c>
      <c r="X1329" s="170" t="b">
        <v>0</v>
      </c>
      <c r="Y1329" s="170"/>
      <c r="Z1329" s="170"/>
      <c r="AA1329" s="170"/>
      <c r="AB1329" s="170"/>
      <c r="AC1329" s="171"/>
      <c r="AD1329" s="170"/>
      <c r="AE1329" s="170"/>
      <c r="AF1329" s="170"/>
      <c r="AG1329" s="170"/>
      <c r="AH1329" s="170"/>
      <c r="AI1329" s="170"/>
      <c r="AJ1329" s="172"/>
      <c r="AK1329" s="50"/>
      <c r="AL1329" s="25"/>
      <c r="AM1329" s="25"/>
      <c r="AN1329" s="25"/>
      <c r="AO1329" s="165"/>
      <c r="AP1329" s="78"/>
      <c r="AQ1329" s="25"/>
      <c r="AR1329" s="25"/>
      <c r="AS1329" s="25"/>
      <c r="AT1329" s="25"/>
      <c r="AU1329" s="25"/>
      <c r="AV1329" s="25"/>
      <c r="AW1329" s="25"/>
      <c r="AX1329" s="25"/>
      <c r="AY1329" s="25"/>
      <c r="AZ1329" s="25"/>
      <c r="BA1329" s="25"/>
      <c r="BB1329" s="25"/>
      <c r="BC1329" s="25"/>
      <c r="BD1329" s="25"/>
      <c r="BE1329" s="25"/>
      <c r="BF1329" s="25"/>
      <c r="BG1329" s="25"/>
      <c r="BH1329" s="25"/>
      <c r="BI1329" s="25"/>
      <c r="BJ1329" s="25"/>
      <c r="BK1329" s="25"/>
      <c r="BL1329" s="25"/>
      <c r="BM1329" s="25"/>
      <c r="BN1329" s="25"/>
      <c r="BO1329" s="25"/>
      <c r="BP1329" s="25"/>
    </row>
    <row r="1330">
      <c r="A1330" s="25"/>
      <c r="B1330" s="168"/>
      <c r="C1330" s="25"/>
      <c r="D1330" s="25"/>
      <c r="E1330" s="25"/>
      <c r="F1330" s="25"/>
      <c r="G1330" s="84"/>
      <c r="H1330" s="25"/>
      <c r="I1330" s="25"/>
      <c r="J1330" s="25"/>
      <c r="K1330" s="169"/>
      <c r="L1330" s="169"/>
      <c r="M1330" s="170" t="b">
        <v>0</v>
      </c>
      <c r="N1330" s="170" t="b">
        <v>0</v>
      </c>
      <c r="O1330" s="48"/>
      <c r="P1330" s="170" t="b">
        <v>0</v>
      </c>
      <c r="Q1330" s="170" t="b">
        <v>0</v>
      </c>
      <c r="R1330" s="170" t="b">
        <v>0</v>
      </c>
      <c r="S1330" s="48"/>
      <c r="T1330" s="60"/>
      <c r="U1330" s="170" t="b">
        <v>0</v>
      </c>
      <c r="V1330" s="170"/>
      <c r="W1330" s="170" t="b">
        <v>0</v>
      </c>
      <c r="X1330" s="170" t="b">
        <v>0</v>
      </c>
      <c r="Y1330" s="170"/>
      <c r="Z1330" s="170"/>
      <c r="AA1330" s="170"/>
      <c r="AB1330" s="170"/>
      <c r="AC1330" s="171"/>
      <c r="AD1330" s="170"/>
      <c r="AE1330" s="170"/>
      <c r="AF1330" s="170"/>
      <c r="AG1330" s="170"/>
      <c r="AH1330" s="170"/>
      <c r="AI1330" s="170"/>
      <c r="AJ1330" s="172"/>
      <c r="AK1330" s="50"/>
      <c r="AL1330" s="25"/>
      <c r="AM1330" s="25"/>
      <c r="AN1330" s="25"/>
      <c r="AO1330" s="165"/>
      <c r="AP1330" s="78"/>
      <c r="AQ1330" s="25"/>
      <c r="AR1330" s="25"/>
      <c r="AS1330" s="25"/>
      <c r="AT1330" s="25"/>
      <c r="AU1330" s="25"/>
      <c r="AV1330" s="25"/>
      <c r="AW1330" s="25"/>
      <c r="AX1330" s="25"/>
      <c r="AY1330" s="25"/>
      <c r="AZ1330" s="25"/>
      <c r="BA1330" s="25"/>
      <c r="BB1330" s="25"/>
      <c r="BC1330" s="25"/>
      <c r="BD1330" s="25"/>
      <c r="BE1330" s="25"/>
      <c r="BF1330" s="25"/>
      <c r="BG1330" s="25"/>
      <c r="BH1330" s="25"/>
      <c r="BI1330" s="25"/>
      <c r="BJ1330" s="25"/>
      <c r="BK1330" s="25"/>
      <c r="BL1330" s="25"/>
      <c r="BM1330" s="25"/>
      <c r="BN1330" s="25"/>
      <c r="BO1330" s="25"/>
      <c r="BP1330" s="25"/>
    </row>
    <row r="1331">
      <c r="A1331" s="25"/>
      <c r="B1331" s="168"/>
      <c r="C1331" s="25"/>
      <c r="D1331" s="25"/>
      <c r="E1331" s="25"/>
      <c r="F1331" s="25"/>
      <c r="G1331" s="84"/>
      <c r="H1331" s="25"/>
      <c r="I1331" s="25"/>
      <c r="J1331" s="25"/>
      <c r="K1331" s="169"/>
      <c r="L1331" s="169"/>
      <c r="M1331" s="170" t="b">
        <v>0</v>
      </c>
      <c r="N1331" s="170" t="b">
        <v>0</v>
      </c>
      <c r="O1331" s="48"/>
      <c r="P1331" s="170" t="b">
        <v>0</v>
      </c>
      <c r="Q1331" s="170" t="b">
        <v>0</v>
      </c>
      <c r="R1331" s="170" t="b">
        <v>0</v>
      </c>
      <c r="S1331" s="48"/>
      <c r="T1331" s="60"/>
      <c r="U1331" s="170" t="b">
        <v>0</v>
      </c>
      <c r="V1331" s="170"/>
      <c r="W1331" s="170" t="b">
        <v>0</v>
      </c>
      <c r="X1331" s="170" t="b">
        <v>0</v>
      </c>
      <c r="Y1331" s="170"/>
      <c r="Z1331" s="170"/>
      <c r="AA1331" s="170"/>
      <c r="AB1331" s="170"/>
      <c r="AC1331" s="171"/>
      <c r="AD1331" s="170"/>
      <c r="AE1331" s="170"/>
      <c r="AF1331" s="170"/>
      <c r="AG1331" s="170"/>
      <c r="AH1331" s="170"/>
      <c r="AI1331" s="170"/>
      <c r="AJ1331" s="172"/>
      <c r="AK1331" s="50"/>
      <c r="AL1331" s="25"/>
      <c r="AM1331" s="25"/>
      <c r="AN1331" s="25"/>
      <c r="AO1331" s="165"/>
      <c r="AP1331" s="78"/>
      <c r="AQ1331" s="25"/>
      <c r="AR1331" s="25"/>
      <c r="AS1331" s="25"/>
      <c r="AT1331" s="25"/>
      <c r="AU1331" s="25"/>
      <c r="AV1331" s="25"/>
      <c r="AW1331" s="25"/>
      <c r="AX1331" s="25"/>
      <c r="AY1331" s="25"/>
      <c r="AZ1331" s="25"/>
      <c r="BA1331" s="25"/>
      <c r="BB1331" s="25"/>
      <c r="BC1331" s="25"/>
      <c r="BD1331" s="25"/>
      <c r="BE1331" s="25"/>
      <c r="BF1331" s="25"/>
      <c r="BG1331" s="25"/>
      <c r="BH1331" s="25"/>
      <c r="BI1331" s="25"/>
      <c r="BJ1331" s="25"/>
      <c r="BK1331" s="25"/>
      <c r="BL1331" s="25"/>
      <c r="BM1331" s="25"/>
      <c r="BN1331" s="25"/>
      <c r="BO1331" s="25"/>
      <c r="BP1331" s="25"/>
    </row>
    <row r="1332">
      <c r="A1332" s="25"/>
      <c r="B1332" s="168"/>
      <c r="C1332" s="25"/>
      <c r="D1332" s="25"/>
      <c r="E1332" s="25"/>
      <c r="F1332" s="25"/>
      <c r="G1332" s="84"/>
      <c r="H1332" s="25"/>
      <c r="I1332" s="25"/>
      <c r="J1332" s="25"/>
      <c r="K1332" s="169"/>
      <c r="L1332" s="169"/>
      <c r="M1332" s="170" t="b">
        <v>0</v>
      </c>
      <c r="N1332" s="170" t="b">
        <v>0</v>
      </c>
      <c r="O1332" s="48"/>
      <c r="P1332" s="170" t="b">
        <v>0</v>
      </c>
      <c r="Q1332" s="170" t="b">
        <v>0</v>
      </c>
      <c r="R1332" s="170" t="b">
        <v>0</v>
      </c>
      <c r="S1332" s="48"/>
      <c r="T1332" s="60"/>
      <c r="U1332" s="170" t="b">
        <v>0</v>
      </c>
      <c r="V1332" s="170"/>
      <c r="W1332" s="170" t="b">
        <v>0</v>
      </c>
      <c r="X1332" s="170" t="b">
        <v>0</v>
      </c>
      <c r="Y1332" s="170"/>
      <c r="Z1332" s="170"/>
      <c r="AA1332" s="170"/>
      <c r="AB1332" s="170"/>
      <c r="AC1332" s="171"/>
      <c r="AD1332" s="170"/>
      <c r="AE1332" s="170"/>
      <c r="AF1332" s="170"/>
      <c r="AG1332" s="170"/>
      <c r="AH1332" s="170"/>
      <c r="AI1332" s="170"/>
      <c r="AJ1332" s="172"/>
      <c r="AK1332" s="50"/>
      <c r="AL1332" s="25"/>
      <c r="AM1332" s="25"/>
      <c r="AN1332" s="25"/>
      <c r="AO1332" s="165"/>
      <c r="AP1332" s="78"/>
      <c r="AQ1332" s="25"/>
      <c r="AR1332" s="25"/>
      <c r="AS1332" s="25"/>
      <c r="AT1332" s="25"/>
      <c r="AU1332" s="25"/>
      <c r="AV1332" s="25"/>
      <c r="AW1332" s="25"/>
      <c r="AX1332" s="25"/>
      <c r="AY1332" s="25"/>
      <c r="AZ1332" s="25"/>
      <c r="BA1332" s="25"/>
      <c r="BB1332" s="25"/>
      <c r="BC1332" s="25"/>
      <c r="BD1332" s="25"/>
      <c r="BE1332" s="25"/>
      <c r="BF1332" s="25"/>
      <c r="BG1332" s="25"/>
      <c r="BH1332" s="25"/>
      <c r="BI1332" s="25"/>
      <c r="BJ1332" s="25"/>
      <c r="BK1332" s="25"/>
      <c r="BL1332" s="25"/>
      <c r="BM1332" s="25"/>
      <c r="BN1332" s="25"/>
      <c r="BO1332" s="25"/>
      <c r="BP1332" s="25"/>
    </row>
    <row r="1333">
      <c r="A1333" s="25"/>
      <c r="B1333" s="168"/>
      <c r="C1333" s="25"/>
      <c r="D1333" s="25"/>
      <c r="E1333" s="25"/>
      <c r="F1333" s="25"/>
      <c r="G1333" s="84"/>
      <c r="H1333" s="25"/>
      <c r="I1333" s="25"/>
      <c r="J1333" s="25"/>
      <c r="K1333" s="169"/>
      <c r="L1333" s="169"/>
      <c r="M1333" s="170" t="b">
        <v>0</v>
      </c>
      <c r="N1333" s="170" t="b">
        <v>0</v>
      </c>
      <c r="O1333" s="48"/>
      <c r="P1333" s="170" t="b">
        <v>0</v>
      </c>
      <c r="Q1333" s="170" t="b">
        <v>0</v>
      </c>
      <c r="R1333" s="170" t="b">
        <v>0</v>
      </c>
      <c r="S1333" s="48"/>
      <c r="T1333" s="60"/>
      <c r="U1333" s="170" t="b">
        <v>0</v>
      </c>
      <c r="V1333" s="170"/>
      <c r="W1333" s="170" t="b">
        <v>0</v>
      </c>
      <c r="X1333" s="170" t="b">
        <v>0</v>
      </c>
      <c r="Y1333" s="170"/>
      <c r="Z1333" s="170"/>
      <c r="AA1333" s="170"/>
      <c r="AB1333" s="170"/>
      <c r="AC1333" s="171"/>
      <c r="AD1333" s="170"/>
      <c r="AE1333" s="170"/>
      <c r="AF1333" s="170"/>
      <c r="AG1333" s="170"/>
      <c r="AH1333" s="170"/>
      <c r="AI1333" s="170"/>
      <c r="AJ1333" s="172"/>
      <c r="AK1333" s="50"/>
      <c r="AL1333" s="25"/>
      <c r="AM1333" s="25"/>
      <c r="AN1333" s="25"/>
      <c r="AO1333" s="165"/>
      <c r="AP1333" s="78"/>
      <c r="AQ1333" s="25"/>
      <c r="AR1333" s="25"/>
      <c r="AS1333" s="25"/>
      <c r="AT1333" s="25"/>
      <c r="AU1333" s="25"/>
      <c r="AV1333" s="25"/>
      <c r="AW1333" s="25"/>
      <c r="AX1333" s="25"/>
      <c r="AY1333" s="25"/>
      <c r="AZ1333" s="25"/>
      <c r="BA1333" s="25"/>
      <c r="BB1333" s="25"/>
      <c r="BC1333" s="25"/>
      <c r="BD1333" s="25"/>
      <c r="BE1333" s="25"/>
      <c r="BF1333" s="25"/>
      <c r="BG1333" s="25"/>
      <c r="BH1333" s="25"/>
      <c r="BI1333" s="25"/>
      <c r="BJ1333" s="25"/>
      <c r="BK1333" s="25"/>
      <c r="BL1333" s="25"/>
      <c r="BM1333" s="25"/>
      <c r="BN1333" s="25"/>
      <c r="BO1333" s="25"/>
      <c r="BP1333" s="25"/>
    </row>
    <row r="1334">
      <c r="A1334" s="25"/>
      <c r="B1334" s="168"/>
      <c r="C1334" s="25"/>
      <c r="D1334" s="25"/>
      <c r="E1334" s="25"/>
      <c r="F1334" s="25"/>
      <c r="G1334" s="84"/>
      <c r="H1334" s="25"/>
      <c r="I1334" s="25"/>
      <c r="J1334" s="25"/>
      <c r="K1334" s="169"/>
      <c r="L1334" s="169"/>
      <c r="M1334" s="170" t="b">
        <v>0</v>
      </c>
      <c r="N1334" s="170" t="b">
        <v>0</v>
      </c>
      <c r="O1334" s="48"/>
      <c r="P1334" s="170" t="b">
        <v>0</v>
      </c>
      <c r="Q1334" s="170" t="b">
        <v>0</v>
      </c>
      <c r="R1334" s="170" t="b">
        <v>0</v>
      </c>
      <c r="S1334" s="48"/>
      <c r="T1334" s="60"/>
      <c r="U1334" s="170" t="b">
        <v>0</v>
      </c>
      <c r="V1334" s="170"/>
      <c r="W1334" s="170" t="b">
        <v>0</v>
      </c>
      <c r="X1334" s="170" t="b">
        <v>0</v>
      </c>
      <c r="Y1334" s="170"/>
      <c r="Z1334" s="170"/>
      <c r="AA1334" s="170"/>
      <c r="AB1334" s="170"/>
      <c r="AC1334" s="171"/>
      <c r="AD1334" s="170"/>
      <c r="AE1334" s="170"/>
      <c r="AF1334" s="170"/>
      <c r="AG1334" s="170"/>
      <c r="AH1334" s="170"/>
      <c r="AI1334" s="170"/>
      <c r="AJ1334" s="172"/>
      <c r="AK1334" s="50"/>
      <c r="AL1334" s="25"/>
      <c r="AM1334" s="25"/>
      <c r="AN1334" s="25"/>
      <c r="AO1334" s="165"/>
      <c r="AP1334" s="78"/>
      <c r="AQ1334" s="25"/>
      <c r="AR1334" s="25"/>
      <c r="AS1334" s="25"/>
      <c r="AT1334" s="25"/>
      <c r="AU1334" s="25"/>
      <c r="AV1334" s="25"/>
      <c r="AW1334" s="25"/>
      <c r="AX1334" s="25"/>
      <c r="AY1334" s="25"/>
      <c r="AZ1334" s="25"/>
      <c r="BA1334" s="25"/>
      <c r="BB1334" s="25"/>
      <c r="BC1334" s="25"/>
      <c r="BD1334" s="25"/>
      <c r="BE1334" s="25"/>
      <c r="BF1334" s="25"/>
      <c r="BG1334" s="25"/>
      <c r="BH1334" s="25"/>
      <c r="BI1334" s="25"/>
      <c r="BJ1334" s="25"/>
      <c r="BK1334" s="25"/>
      <c r="BL1334" s="25"/>
      <c r="BM1334" s="25"/>
      <c r="BN1334" s="25"/>
      <c r="BO1334" s="25"/>
      <c r="BP1334" s="25"/>
    </row>
    <row r="1335">
      <c r="A1335" s="25"/>
      <c r="B1335" s="168"/>
      <c r="C1335" s="25"/>
      <c r="D1335" s="25"/>
      <c r="E1335" s="25"/>
      <c r="F1335" s="25"/>
      <c r="G1335" s="84"/>
      <c r="H1335" s="25"/>
      <c r="I1335" s="25"/>
      <c r="J1335" s="25"/>
      <c r="K1335" s="169"/>
      <c r="L1335" s="169"/>
      <c r="M1335" s="170" t="b">
        <v>0</v>
      </c>
      <c r="N1335" s="170" t="b">
        <v>0</v>
      </c>
      <c r="O1335" s="48"/>
      <c r="P1335" s="170" t="b">
        <v>0</v>
      </c>
      <c r="Q1335" s="170" t="b">
        <v>0</v>
      </c>
      <c r="R1335" s="170" t="b">
        <v>0</v>
      </c>
      <c r="S1335" s="48"/>
      <c r="T1335" s="60"/>
      <c r="U1335" s="170" t="b">
        <v>0</v>
      </c>
      <c r="V1335" s="170"/>
      <c r="W1335" s="170" t="b">
        <v>0</v>
      </c>
      <c r="X1335" s="170" t="b">
        <v>0</v>
      </c>
      <c r="Y1335" s="170"/>
      <c r="Z1335" s="170"/>
      <c r="AA1335" s="170"/>
      <c r="AB1335" s="170"/>
      <c r="AC1335" s="171"/>
      <c r="AD1335" s="170"/>
      <c r="AE1335" s="170"/>
      <c r="AF1335" s="170"/>
      <c r="AG1335" s="170"/>
      <c r="AH1335" s="170"/>
      <c r="AI1335" s="170"/>
      <c r="AJ1335" s="172"/>
      <c r="AK1335" s="50"/>
      <c r="AL1335" s="25"/>
      <c r="AM1335" s="25"/>
      <c r="AN1335" s="25"/>
      <c r="AO1335" s="165"/>
      <c r="AP1335" s="78"/>
      <c r="AQ1335" s="25"/>
      <c r="AR1335" s="25"/>
      <c r="AS1335" s="25"/>
      <c r="AT1335" s="25"/>
      <c r="AU1335" s="25"/>
      <c r="AV1335" s="25"/>
      <c r="AW1335" s="25"/>
      <c r="AX1335" s="25"/>
      <c r="AY1335" s="25"/>
      <c r="AZ1335" s="25"/>
      <c r="BA1335" s="25"/>
      <c r="BB1335" s="25"/>
      <c r="BC1335" s="25"/>
      <c r="BD1335" s="25"/>
      <c r="BE1335" s="25"/>
      <c r="BF1335" s="25"/>
      <c r="BG1335" s="25"/>
      <c r="BH1335" s="25"/>
      <c r="BI1335" s="25"/>
      <c r="BJ1335" s="25"/>
      <c r="BK1335" s="25"/>
      <c r="BL1335" s="25"/>
      <c r="BM1335" s="25"/>
      <c r="BN1335" s="25"/>
      <c r="BO1335" s="25"/>
      <c r="BP1335" s="25"/>
    </row>
    <row r="1336">
      <c r="A1336" s="25"/>
      <c r="B1336" s="168"/>
      <c r="C1336" s="25"/>
      <c r="D1336" s="25"/>
      <c r="E1336" s="25"/>
      <c r="F1336" s="25"/>
      <c r="G1336" s="84"/>
      <c r="H1336" s="25"/>
      <c r="I1336" s="25"/>
      <c r="J1336" s="25"/>
      <c r="K1336" s="169"/>
      <c r="L1336" s="169"/>
      <c r="M1336" s="170" t="b">
        <v>0</v>
      </c>
      <c r="N1336" s="170" t="b">
        <v>0</v>
      </c>
      <c r="O1336" s="48"/>
      <c r="P1336" s="170" t="b">
        <v>0</v>
      </c>
      <c r="Q1336" s="170" t="b">
        <v>0</v>
      </c>
      <c r="R1336" s="170" t="b">
        <v>0</v>
      </c>
      <c r="S1336" s="48"/>
      <c r="T1336" s="60"/>
      <c r="U1336" s="170" t="b">
        <v>0</v>
      </c>
      <c r="V1336" s="170"/>
      <c r="W1336" s="170" t="b">
        <v>0</v>
      </c>
      <c r="X1336" s="170" t="b">
        <v>0</v>
      </c>
      <c r="Y1336" s="170"/>
      <c r="Z1336" s="170"/>
      <c r="AA1336" s="170"/>
      <c r="AB1336" s="170"/>
      <c r="AC1336" s="171"/>
      <c r="AD1336" s="170"/>
      <c r="AE1336" s="170"/>
      <c r="AF1336" s="170"/>
      <c r="AG1336" s="170"/>
      <c r="AH1336" s="170"/>
      <c r="AI1336" s="170"/>
      <c r="AJ1336" s="172"/>
      <c r="AK1336" s="50"/>
      <c r="AL1336" s="25"/>
      <c r="AM1336" s="25"/>
      <c r="AN1336" s="25"/>
      <c r="AO1336" s="165"/>
      <c r="AP1336" s="78"/>
      <c r="AQ1336" s="25"/>
      <c r="AR1336" s="25"/>
      <c r="AS1336" s="25"/>
      <c r="AT1336" s="25"/>
      <c r="AU1336" s="25"/>
      <c r="AV1336" s="25"/>
      <c r="AW1336" s="25"/>
      <c r="AX1336" s="25"/>
      <c r="AY1336" s="25"/>
      <c r="AZ1336" s="25"/>
      <c r="BA1336" s="25"/>
      <c r="BB1336" s="25"/>
      <c r="BC1336" s="25"/>
      <c r="BD1336" s="25"/>
      <c r="BE1336" s="25"/>
      <c r="BF1336" s="25"/>
      <c r="BG1336" s="25"/>
      <c r="BH1336" s="25"/>
      <c r="BI1336" s="25"/>
      <c r="BJ1336" s="25"/>
      <c r="BK1336" s="25"/>
      <c r="BL1336" s="25"/>
      <c r="BM1336" s="25"/>
      <c r="BN1336" s="25"/>
      <c r="BO1336" s="25"/>
      <c r="BP1336" s="25"/>
    </row>
    <row r="1337">
      <c r="A1337" s="25"/>
      <c r="B1337" s="168"/>
      <c r="C1337" s="25"/>
      <c r="D1337" s="25"/>
      <c r="E1337" s="25"/>
      <c r="F1337" s="25"/>
      <c r="G1337" s="84"/>
      <c r="H1337" s="25"/>
      <c r="I1337" s="25"/>
      <c r="J1337" s="25"/>
      <c r="K1337" s="169"/>
      <c r="L1337" s="169"/>
      <c r="M1337" s="170" t="b">
        <v>0</v>
      </c>
      <c r="N1337" s="170" t="b">
        <v>0</v>
      </c>
      <c r="O1337" s="48"/>
      <c r="P1337" s="170" t="b">
        <v>0</v>
      </c>
      <c r="Q1337" s="170" t="b">
        <v>0</v>
      </c>
      <c r="R1337" s="170" t="b">
        <v>0</v>
      </c>
      <c r="S1337" s="48"/>
      <c r="T1337" s="60"/>
      <c r="U1337" s="170" t="b">
        <v>0</v>
      </c>
      <c r="V1337" s="170"/>
      <c r="W1337" s="170" t="b">
        <v>0</v>
      </c>
      <c r="X1337" s="170" t="b">
        <v>0</v>
      </c>
      <c r="Y1337" s="170"/>
      <c r="Z1337" s="170"/>
      <c r="AA1337" s="170"/>
      <c r="AB1337" s="170"/>
      <c r="AC1337" s="171"/>
      <c r="AD1337" s="170"/>
      <c r="AE1337" s="170"/>
      <c r="AF1337" s="170"/>
      <c r="AG1337" s="170"/>
      <c r="AH1337" s="170"/>
      <c r="AI1337" s="170"/>
      <c r="AJ1337" s="172"/>
      <c r="AK1337" s="50"/>
      <c r="AL1337" s="25"/>
      <c r="AM1337" s="25"/>
      <c r="AN1337" s="25"/>
      <c r="AO1337" s="165"/>
      <c r="AP1337" s="78"/>
      <c r="AQ1337" s="25"/>
      <c r="AR1337" s="25"/>
      <c r="AS1337" s="25"/>
      <c r="AT1337" s="25"/>
      <c r="AU1337" s="25"/>
      <c r="AV1337" s="25"/>
      <c r="AW1337" s="25"/>
      <c r="AX1337" s="25"/>
      <c r="AY1337" s="25"/>
      <c r="AZ1337" s="25"/>
      <c r="BA1337" s="25"/>
      <c r="BB1337" s="25"/>
      <c r="BC1337" s="25"/>
      <c r="BD1337" s="25"/>
      <c r="BE1337" s="25"/>
      <c r="BF1337" s="25"/>
      <c r="BG1337" s="25"/>
      <c r="BH1337" s="25"/>
      <c r="BI1337" s="25"/>
      <c r="BJ1337" s="25"/>
      <c r="BK1337" s="25"/>
      <c r="BL1337" s="25"/>
      <c r="BM1337" s="25"/>
      <c r="BN1337" s="25"/>
      <c r="BO1337" s="25"/>
      <c r="BP1337" s="25"/>
    </row>
    <row r="1338">
      <c r="A1338" s="25"/>
      <c r="B1338" s="168"/>
      <c r="C1338" s="25"/>
      <c r="D1338" s="25"/>
      <c r="E1338" s="25"/>
      <c r="F1338" s="25"/>
      <c r="G1338" s="84"/>
      <c r="H1338" s="25"/>
      <c r="I1338" s="25"/>
      <c r="J1338" s="25"/>
      <c r="K1338" s="169"/>
      <c r="L1338" s="169"/>
      <c r="M1338" s="170" t="b">
        <v>0</v>
      </c>
      <c r="N1338" s="170" t="b">
        <v>0</v>
      </c>
      <c r="O1338" s="48"/>
      <c r="P1338" s="170" t="b">
        <v>0</v>
      </c>
      <c r="Q1338" s="170" t="b">
        <v>0</v>
      </c>
      <c r="R1338" s="170" t="b">
        <v>0</v>
      </c>
      <c r="S1338" s="48"/>
      <c r="T1338" s="60"/>
      <c r="U1338" s="170" t="b">
        <v>0</v>
      </c>
      <c r="V1338" s="170"/>
      <c r="W1338" s="170" t="b">
        <v>0</v>
      </c>
      <c r="X1338" s="170" t="b">
        <v>0</v>
      </c>
      <c r="Y1338" s="170"/>
      <c r="Z1338" s="170"/>
      <c r="AA1338" s="170"/>
      <c r="AB1338" s="170"/>
      <c r="AC1338" s="171"/>
      <c r="AD1338" s="170"/>
      <c r="AE1338" s="170"/>
      <c r="AF1338" s="170"/>
      <c r="AG1338" s="170"/>
      <c r="AH1338" s="170"/>
      <c r="AI1338" s="170"/>
      <c r="AJ1338" s="172"/>
      <c r="AK1338" s="50"/>
      <c r="AL1338" s="25"/>
      <c r="AM1338" s="25"/>
      <c r="AN1338" s="25"/>
      <c r="AO1338" s="165"/>
      <c r="AP1338" s="78"/>
      <c r="AQ1338" s="25"/>
      <c r="AR1338" s="25"/>
      <c r="AS1338" s="25"/>
      <c r="AT1338" s="25"/>
      <c r="AU1338" s="25"/>
      <c r="AV1338" s="25"/>
      <c r="AW1338" s="25"/>
      <c r="AX1338" s="25"/>
      <c r="AY1338" s="25"/>
      <c r="AZ1338" s="25"/>
      <c r="BA1338" s="25"/>
      <c r="BB1338" s="25"/>
      <c r="BC1338" s="25"/>
      <c r="BD1338" s="25"/>
      <c r="BE1338" s="25"/>
      <c r="BF1338" s="25"/>
      <c r="BG1338" s="25"/>
      <c r="BH1338" s="25"/>
      <c r="BI1338" s="25"/>
      <c r="BJ1338" s="25"/>
      <c r="BK1338" s="25"/>
      <c r="BL1338" s="25"/>
      <c r="BM1338" s="25"/>
      <c r="BN1338" s="25"/>
      <c r="BO1338" s="25"/>
      <c r="BP1338" s="25"/>
    </row>
    <row r="1339">
      <c r="A1339" s="25"/>
      <c r="B1339" s="168"/>
      <c r="C1339" s="25"/>
      <c r="D1339" s="25"/>
      <c r="E1339" s="25"/>
      <c r="F1339" s="25"/>
      <c r="G1339" s="84"/>
      <c r="H1339" s="25"/>
      <c r="I1339" s="25"/>
      <c r="J1339" s="25"/>
      <c r="K1339" s="169"/>
      <c r="L1339" s="169"/>
      <c r="M1339" s="170" t="b">
        <v>0</v>
      </c>
      <c r="N1339" s="170" t="b">
        <v>0</v>
      </c>
      <c r="O1339" s="48"/>
      <c r="P1339" s="170" t="b">
        <v>0</v>
      </c>
      <c r="Q1339" s="170" t="b">
        <v>0</v>
      </c>
      <c r="R1339" s="170" t="b">
        <v>0</v>
      </c>
      <c r="S1339" s="48"/>
      <c r="T1339" s="60"/>
      <c r="U1339" s="170" t="b">
        <v>0</v>
      </c>
      <c r="V1339" s="170"/>
      <c r="W1339" s="170" t="b">
        <v>0</v>
      </c>
      <c r="X1339" s="170" t="b">
        <v>0</v>
      </c>
      <c r="Y1339" s="170"/>
      <c r="Z1339" s="170"/>
      <c r="AA1339" s="170"/>
      <c r="AB1339" s="170"/>
      <c r="AC1339" s="171"/>
      <c r="AD1339" s="170"/>
      <c r="AE1339" s="170"/>
      <c r="AF1339" s="170"/>
      <c r="AG1339" s="170"/>
      <c r="AH1339" s="170"/>
      <c r="AI1339" s="170"/>
      <c r="AJ1339" s="172"/>
      <c r="AK1339" s="50"/>
      <c r="AL1339" s="25"/>
      <c r="AM1339" s="25"/>
      <c r="AN1339" s="25"/>
      <c r="AO1339" s="165"/>
      <c r="AP1339" s="78"/>
      <c r="AQ1339" s="25"/>
      <c r="AR1339" s="25"/>
      <c r="AS1339" s="25"/>
      <c r="AT1339" s="25"/>
      <c r="AU1339" s="25"/>
      <c r="AV1339" s="25"/>
      <c r="AW1339" s="25"/>
      <c r="AX1339" s="25"/>
      <c r="AY1339" s="25"/>
      <c r="AZ1339" s="25"/>
      <c r="BA1339" s="25"/>
      <c r="BB1339" s="25"/>
      <c r="BC1339" s="25"/>
      <c r="BD1339" s="25"/>
      <c r="BE1339" s="25"/>
      <c r="BF1339" s="25"/>
      <c r="BG1339" s="25"/>
      <c r="BH1339" s="25"/>
      <c r="BI1339" s="25"/>
      <c r="BJ1339" s="25"/>
      <c r="BK1339" s="25"/>
      <c r="BL1339" s="25"/>
      <c r="BM1339" s="25"/>
      <c r="BN1339" s="25"/>
      <c r="BO1339" s="25"/>
      <c r="BP1339" s="25"/>
    </row>
    <row r="1340">
      <c r="A1340" s="25"/>
      <c r="B1340" s="168"/>
      <c r="C1340" s="25"/>
      <c r="D1340" s="25"/>
      <c r="E1340" s="25"/>
      <c r="F1340" s="25"/>
      <c r="G1340" s="84"/>
      <c r="H1340" s="25"/>
      <c r="I1340" s="25"/>
      <c r="J1340" s="25"/>
      <c r="K1340" s="169"/>
      <c r="L1340" s="169"/>
      <c r="M1340" s="170" t="b">
        <v>0</v>
      </c>
      <c r="N1340" s="170" t="b">
        <v>0</v>
      </c>
      <c r="O1340" s="48"/>
      <c r="P1340" s="170" t="b">
        <v>0</v>
      </c>
      <c r="Q1340" s="170" t="b">
        <v>0</v>
      </c>
      <c r="R1340" s="170" t="b">
        <v>0</v>
      </c>
      <c r="S1340" s="48"/>
      <c r="T1340" s="60"/>
      <c r="U1340" s="170" t="b">
        <v>0</v>
      </c>
      <c r="V1340" s="170"/>
      <c r="W1340" s="170" t="b">
        <v>0</v>
      </c>
      <c r="X1340" s="170" t="b">
        <v>0</v>
      </c>
      <c r="Y1340" s="170"/>
      <c r="Z1340" s="170"/>
      <c r="AA1340" s="170"/>
      <c r="AB1340" s="170"/>
      <c r="AC1340" s="171"/>
      <c r="AD1340" s="170"/>
      <c r="AE1340" s="170"/>
      <c r="AF1340" s="170"/>
      <c r="AG1340" s="170"/>
      <c r="AH1340" s="170"/>
      <c r="AI1340" s="170"/>
      <c r="AJ1340" s="172"/>
      <c r="AK1340" s="50"/>
      <c r="AL1340" s="25"/>
      <c r="AM1340" s="25"/>
      <c r="AN1340" s="25"/>
      <c r="AO1340" s="165"/>
      <c r="AP1340" s="78"/>
      <c r="AQ1340" s="25"/>
      <c r="AR1340" s="25"/>
      <c r="AS1340" s="25"/>
      <c r="AT1340" s="25"/>
      <c r="AU1340" s="25"/>
      <c r="AV1340" s="25"/>
      <c r="AW1340" s="25"/>
      <c r="AX1340" s="25"/>
      <c r="AY1340" s="25"/>
      <c r="AZ1340" s="25"/>
      <c r="BA1340" s="25"/>
      <c r="BB1340" s="25"/>
      <c r="BC1340" s="25"/>
      <c r="BD1340" s="25"/>
      <c r="BE1340" s="25"/>
      <c r="BF1340" s="25"/>
      <c r="BG1340" s="25"/>
      <c r="BH1340" s="25"/>
      <c r="BI1340" s="25"/>
      <c r="BJ1340" s="25"/>
      <c r="BK1340" s="25"/>
      <c r="BL1340" s="25"/>
      <c r="BM1340" s="25"/>
      <c r="BN1340" s="25"/>
      <c r="BO1340" s="25"/>
      <c r="BP1340" s="25"/>
    </row>
    <row r="1341">
      <c r="A1341" s="25"/>
      <c r="B1341" s="168"/>
      <c r="C1341" s="25"/>
      <c r="D1341" s="25"/>
      <c r="E1341" s="25"/>
      <c r="F1341" s="25"/>
      <c r="G1341" s="84"/>
      <c r="H1341" s="25"/>
      <c r="I1341" s="25"/>
      <c r="J1341" s="25"/>
      <c r="K1341" s="169"/>
      <c r="L1341" s="169"/>
      <c r="M1341" s="170" t="b">
        <v>0</v>
      </c>
      <c r="N1341" s="170" t="b">
        <v>0</v>
      </c>
      <c r="O1341" s="48"/>
      <c r="P1341" s="170" t="b">
        <v>0</v>
      </c>
      <c r="Q1341" s="170" t="b">
        <v>0</v>
      </c>
      <c r="R1341" s="170" t="b">
        <v>0</v>
      </c>
      <c r="S1341" s="48"/>
      <c r="T1341" s="60"/>
      <c r="U1341" s="170" t="b">
        <v>0</v>
      </c>
      <c r="V1341" s="170"/>
      <c r="W1341" s="170" t="b">
        <v>0</v>
      </c>
      <c r="X1341" s="170" t="b">
        <v>0</v>
      </c>
      <c r="Y1341" s="170"/>
      <c r="Z1341" s="170"/>
      <c r="AA1341" s="170"/>
      <c r="AB1341" s="170"/>
      <c r="AC1341" s="171"/>
      <c r="AD1341" s="170"/>
      <c r="AE1341" s="170"/>
      <c r="AF1341" s="170"/>
      <c r="AG1341" s="170"/>
      <c r="AH1341" s="170"/>
      <c r="AI1341" s="170"/>
      <c r="AJ1341" s="172"/>
      <c r="AK1341" s="50"/>
      <c r="AL1341" s="25"/>
      <c r="AM1341" s="25"/>
      <c r="AN1341" s="25"/>
      <c r="AO1341" s="165"/>
      <c r="AP1341" s="78"/>
      <c r="AQ1341" s="25"/>
      <c r="AR1341" s="25"/>
      <c r="AS1341" s="25"/>
      <c r="AT1341" s="25"/>
      <c r="AU1341" s="25"/>
      <c r="AV1341" s="25"/>
      <c r="AW1341" s="25"/>
      <c r="AX1341" s="25"/>
      <c r="AY1341" s="25"/>
      <c r="AZ1341" s="25"/>
      <c r="BA1341" s="25"/>
      <c r="BB1341" s="25"/>
      <c r="BC1341" s="25"/>
      <c r="BD1341" s="25"/>
      <c r="BE1341" s="25"/>
      <c r="BF1341" s="25"/>
      <c r="BG1341" s="25"/>
      <c r="BH1341" s="25"/>
      <c r="BI1341" s="25"/>
      <c r="BJ1341" s="25"/>
      <c r="BK1341" s="25"/>
      <c r="BL1341" s="25"/>
      <c r="BM1341" s="25"/>
      <c r="BN1341" s="25"/>
      <c r="BO1341" s="25"/>
      <c r="BP1341" s="25"/>
    </row>
    <row r="1342">
      <c r="A1342" s="25"/>
      <c r="B1342" s="168"/>
      <c r="C1342" s="25"/>
      <c r="D1342" s="25"/>
      <c r="E1342" s="25"/>
      <c r="F1342" s="25"/>
      <c r="G1342" s="84"/>
      <c r="H1342" s="25"/>
      <c r="I1342" s="25"/>
      <c r="J1342" s="25"/>
      <c r="K1342" s="169"/>
      <c r="L1342" s="169"/>
      <c r="M1342" s="170" t="b">
        <v>0</v>
      </c>
      <c r="N1342" s="170" t="b">
        <v>0</v>
      </c>
      <c r="O1342" s="48"/>
      <c r="P1342" s="170" t="b">
        <v>0</v>
      </c>
      <c r="Q1342" s="170" t="b">
        <v>0</v>
      </c>
      <c r="R1342" s="170" t="b">
        <v>0</v>
      </c>
      <c r="S1342" s="48"/>
      <c r="T1342" s="60"/>
      <c r="U1342" s="170" t="b">
        <v>0</v>
      </c>
      <c r="V1342" s="170"/>
      <c r="W1342" s="170" t="b">
        <v>0</v>
      </c>
      <c r="X1342" s="170" t="b">
        <v>0</v>
      </c>
      <c r="Y1342" s="170"/>
      <c r="Z1342" s="170"/>
      <c r="AA1342" s="170"/>
      <c r="AB1342" s="170"/>
      <c r="AC1342" s="171"/>
      <c r="AD1342" s="170"/>
      <c r="AE1342" s="170"/>
      <c r="AF1342" s="170"/>
      <c r="AG1342" s="170"/>
      <c r="AH1342" s="170"/>
      <c r="AI1342" s="170"/>
      <c r="AJ1342" s="172"/>
      <c r="AK1342" s="50"/>
      <c r="AL1342" s="25"/>
      <c r="AM1342" s="25"/>
      <c r="AN1342" s="25"/>
      <c r="AO1342" s="165"/>
      <c r="AP1342" s="78"/>
      <c r="AQ1342" s="25"/>
      <c r="AR1342" s="25"/>
      <c r="AS1342" s="25"/>
      <c r="AT1342" s="25"/>
      <c r="AU1342" s="25"/>
      <c r="AV1342" s="25"/>
      <c r="AW1342" s="25"/>
      <c r="AX1342" s="25"/>
      <c r="AY1342" s="25"/>
      <c r="AZ1342" s="25"/>
      <c r="BA1342" s="25"/>
      <c r="BB1342" s="25"/>
      <c r="BC1342" s="25"/>
      <c r="BD1342" s="25"/>
      <c r="BE1342" s="25"/>
      <c r="BF1342" s="25"/>
      <c r="BG1342" s="25"/>
      <c r="BH1342" s="25"/>
      <c r="BI1342" s="25"/>
      <c r="BJ1342" s="25"/>
      <c r="BK1342" s="25"/>
      <c r="BL1342" s="25"/>
      <c r="BM1342" s="25"/>
      <c r="BN1342" s="25"/>
      <c r="BO1342" s="25"/>
      <c r="BP1342" s="25"/>
    </row>
    <row r="1343">
      <c r="A1343" s="25"/>
      <c r="B1343" s="168"/>
      <c r="C1343" s="25"/>
      <c r="D1343" s="25"/>
      <c r="E1343" s="25"/>
      <c r="F1343" s="25"/>
      <c r="G1343" s="84"/>
      <c r="H1343" s="25"/>
      <c r="I1343" s="25"/>
      <c r="J1343" s="25"/>
      <c r="K1343" s="169"/>
      <c r="L1343" s="169"/>
      <c r="M1343" s="170" t="b">
        <v>0</v>
      </c>
      <c r="N1343" s="170" t="b">
        <v>0</v>
      </c>
      <c r="O1343" s="48"/>
      <c r="P1343" s="170" t="b">
        <v>0</v>
      </c>
      <c r="Q1343" s="170" t="b">
        <v>0</v>
      </c>
      <c r="R1343" s="170" t="b">
        <v>0</v>
      </c>
      <c r="S1343" s="48"/>
      <c r="T1343" s="60"/>
      <c r="U1343" s="170" t="b">
        <v>0</v>
      </c>
      <c r="V1343" s="170"/>
      <c r="W1343" s="170" t="b">
        <v>0</v>
      </c>
      <c r="X1343" s="170" t="b">
        <v>0</v>
      </c>
      <c r="Y1343" s="170"/>
      <c r="Z1343" s="170"/>
      <c r="AA1343" s="170"/>
      <c r="AB1343" s="170"/>
      <c r="AC1343" s="171"/>
      <c r="AD1343" s="170"/>
      <c r="AE1343" s="170"/>
      <c r="AF1343" s="170"/>
      <c r="AG1343" s="170"/>
      <c r="AH1343" s="170"/>
      <c r="AI1343" s="170"/>
      <c r="AJ1343" s="172"/>
      <c r="AK1343" s="50"/>
      <c r="AL1343" s="25"/>
      <c r="AM1343" s="25"/>
      <c r="AN1343" s="25"/>
      <c r="AO1343" s="165"/>
      <c r="AP1343" s="78"/>
      <c r="AQ1343" s="25"/>
      <c r="AR1343" s="25"/>
      <c r="AS1343" s="25"/>
      <c r="AT1343" s="25"/>
      <c r="AU1343" s="25"/>
      <c r="AV1343" s="25"/>
      <c r="AW1343" s="25"/>
      <c r="AX1343" s="25"/>
      <c r="AY1343" s="25"/>
      <c r="AZ1343" s="25"/>
      <c r="BA1343" s="25"/>
      <c r="BB1343" s="25"/>
      <c r="BC1343" s="25"/>
      <c r="BD1343" s="25"/>
      <c r="BE1343" s="25"/>
      <c r="BF1343" s="25"/>
      <c r="BG1343" s="25"/>
      <c r="BH1343" s="25"/>
      <c r="BI1343" s="25"/>
      <c r="BJ1343" s="25"/>
      <c r="BK1343" s="25"/>
      <c r="BL1343" s="25"/>
      <c r="BM1343" s="25"/>
      <c r="BN1343" s="25"/>
      <c r="BO1343" s="25"/>
      <c r="BP1343" s="25"/>
    </row>
    <row r="1344">
      <c r="A1344" s="25"/>
      <c r="B1344" s="168"/>
      <c r="C1344" s="25"/>
      <c r="D1344" s="25"/>
      <c r="E1344" s="25"/>
      <c r="F1344" s="25"/>
      <c r="G1344" s="84"/>
      <c r="H1344" s="25"/>
      <c r="I1344" s="25"/>
      <c r="J1344" s="25"/>
      <c r="K1344" s="169"/>
      <c r="L1344" s="169"/>
      <c r="M1344" s="170" t="b">
        <v>0</v>
      </c>
      <c r="N1344" s="170" t="b">
        <v>0</v>
      </c>
      <c r="O1344" s="48"/>
      <c r="P1344" s="170" t="b">
        <v>0</v>
      </c>
      <c r="Q1344" s="170" t="b">
        <v>0</v>
      </c>
      <c r="R1344" s="170" t="b">
        <v>0</v>
      </c>
      <c r="S1344" s="48"/>
      <c r="T1344" s="60"/>
      <c r="U1344" s="170" t="b">
        <v>0</v>
      </c>
      <c r="V1344" s="170"/>
      <c r="W1344" s="170" t="b">
        <v>0</v>
      </c>
      <c r="X1344" s="170" t="b">
        <v>0</v>
      </c>
      <c r="Y1344" s="170"/>
      <c r="Z1344" s="170"/>
      <c r="AA1344" s="170"/>
      <c r="AB1344" s="170"/>
      <c r="AC1344" s="171"/>
      <c r="AD1344" s="170"/>
      <c r="AE1344" s="170"/>
      <c r="AF1344" s="170"/>
      <c r="AG1344" s="170"/>
      <c r="AH1344" s="170"/>
      <c r="AI1344" s="170"/>
      <c r="AJ1344" s="172"/>
      <c r="AK1344" s="50"/>
      <c r="AL1344" s="25"/>
      <c r="AM1344" s="25"/>
      <c r="AN1344" s="25"/>
      <c r="AO1344" s="165"/>
      <c r="AP1344" s="78"/>
      <c r="AQ1344" s="25"/>
      <c r="AR1344" s="25"/>
      <c r="AS1344" s="25"/>
      <c r="AT1344" s="25"/>
      <c r="AU1344" s="25"/>
      <c r="AV1344" s="25"/>
      <c r="AW1344" s="25"/>
      <c r="AX1344" s="25"/>
      <c r="AY1344" s="25"/>
      <c r="AZ1344" s="25"/>
      <c r="BA1344" s="25"/>
      <c r="BB1344" s="25"/>
      <c r="BC1344" s="25"/>
      <c r="BD1344" s="25"/>
      <c r="BE1344" s="25"/>
      <c r="BF1344" s="25"/>
      <c r="BG1344" s="25"/>
      <c r="BH1344" s="25"/>
      <c r="BI1344" s="25"/>
      <c r="BJ1344" s="25"/>
      <c r="BK1344" s="25"/>
      <c r="BL1344" s="25"/>
      <c r="BM1344" s="25"/>
      <c r="BN1344" s="25"/>
      <c r="BO1344" s="25"/>
      <c r="BP1344" s="25"/>
    </row>
    <row r="1345">
      <c r="A1345" s="25"/>
      <c r="B1345" s="168"/>
      <c r="C1345" s="25"/>
      <c r="D1345" s="25"/>
      <c r="E1345" s="25"/>
      <c r="F1345" s="25"/>
      <c r="G1345" s="84"/>
      <c r="H1345" s="25"/>
      <c r="I1345" s="25"/>
      <c r="J1345" s="25"/>
      <c r="K1345" s="169"/>
      <c r="L1345" s="169"/>
      <c r="M1345" s="170" t="b">
        <v>0</v>
      </c>
      <c r="N1345" s="170" t="b">
        <v>0</v>
      </c>
      <c r="O1345" s="48"/>
      <c r="P1345" s="170" t="b">
        <v>0</v>
      </c>
      <c r="Q1345" s="170" t="b">
        <v>0</v>
      </c>
      <c r="R1345" s="170" t="b">
        <v>0</v>
      </c>
      <c r="S1345" s="48"/>
      <c r="T1345" s="60"/>
      <c r="U1345" s="170" t="b">
        <v>0</v>
      </c>
      <c r="V1345" s="170"/>
      <c r="W1345" s="170" t="b">
        <v>0</v>
      </c>
      <c r="X1345" s="170" t="b">
        <v>0</v>
      </c>
      <c r="Y1345" s="170"/>
      <c r="Z1345" s="170"/>
      <c r="AA1345" s="170"/>
      <c r="AB1345" s="170"/>
      <c r="AC1345" s="171"/>
      <c r="AD1345" s="170"/>
      <c r="AE1345" s="170"/>
      <c r="AF1345" s="170"/>
      <c r="AG1345" s="170"/>
      <c r="AH1345" s="170"/>
      <c r="AI1345" s="170"/>
      <c r="AJ1345" s="172"/>
      <c r="AK1345" s="50"/>
      <c r="AL1345" s="25"/>
      <c r="AM1345" s="25"/>
      <c r="AN1345" s="25"/>
      <c r="AO1345" s="165"/>
      <c r="AP1345" s="78"/>
      <c r="AQ1345" s="25"/>
      <c r="AR1345" s="25"/>
      <c r="AS1345" s="25"/>
      <c r="AT1345" s="25"/>
      <c r="AU1345" s="25"/>
      <c r="AV1345" s="25"/>
      <c r="AW1345" s="25"/>
      <c r="AX1345" s="25"/>
      <c r="AY1345" s="25"/>
      <c r="AZ1345" s="25"/>
      <c r="BA1345" s="25"/>
      <c r="BB1345" s="25"/>
      <c r="BC1345" s="25"/>
      <c r="BD1345" s="25"/>
      <c r="BE1345" s="25"/>
      <c r="BF1345" s="25"/>
      <c r="BG1345" s="25"/>
      <c r="BH1345" s="25"/>
      <c r="BI1345" s="25"/>
      <c r="BJ1345" s="25"/>
      <c r="BK1345" s="25"/>
      <c r="BL1345" s="25"/>
      <c r="BM1345" s="25"/>
      <c r="BN1345" s="25"/>
      <c r="BO1345" s="25"/>
      <c r="BP1345" s="25"/>
    </row>
    <row r="1346">
      <c r="A1346" s="25"/>
      <c r="B1346" s="168"/>
      <c r="C1346" s="25"/>
      <c r="D1346" s="25"/>
      <c r="E1346" s="25"/>
      <c r="F1346" s="25"/>
      <c r="G1346" s="84"/>
      <c r="H1346" s="25"/>
      <c r="I1346" s="25"/>
      <c r="J1346" s="25"/>
      <c r="K1346" s="169"/>
      <c r="L1346" s="169"/>
      <c r="M1346" s="170" t="b">
        <v>0</v>
      </c>
      <c r="N1346" s="170" t="b">
        <v>0</v>
      </c>
      <c r="O1346" s="48"/>
      <c r="P1346" s="170" t="b">
        <v>0</v>
      </c>
      <c r="Q1346" s="170" t="b">
        <v>0</v>
      </c>
      <c r="R1346" s="170" t="b">
        <v>0</v>
      </c>
      <c r="S1346" s="48"/>
      <c r="T1346" s="60"/>
      <c r="U1346" s="170" t="b">
        <v>0</v>
      </c>
      <c r="V1346" s="170"/>
      <c r="W1346" s="170" t="b">
        <v>0</v>
      </c>
      <c r="X1346" s="170" t="b">
        <v>0</v>
      </c>
      <c r="Y1346" s="170"/>
      <c r="Z1346" s="170"/>
      <c r="AA1346" s="170"/>
      <c r="AB1346" s="170"/>
      <c r="AC1346" s="171"/>
      <c r="AD1346" s="170"/>
      <c r="AE1346" s="170"/>
      <c r="AF1346" s="170"/>
      <c r="AG1346" s="170"/>
      <c r="AH1346" s="170"/>
      <c r="AI1346" s="170"/>
      <c r="AJ1346" s="172"/>
      <c r="AK1346" s="50"/>
      <c r="AL1346" s="25"/>
      <c r="AM1346" s="25"/>
      <c r="AN1346" s="25"/>
      <c r="AO1346" s="165"/>
      <c r="AP1346" s="78"/>
      <c r="AQ1346" s="25"/>
      <c r="AR1346" s="25"/>
      <c r="AS1346" s="25"/>
      <c r="AT1346" s="25"/>
      <c r="AU1346" s="25"/>
      <c r="AV1346" s="25"/>
      <c r="AW1346" s="25"/>
      <c r="AX1346" s="25"/>
      <c r="AY1346" s="25"/>
      <c r="AZ1346" s="25"/>
      <c r="BA1346" s="25"/>
      <c r="BB1346" s="25"/>
      <c r="BC1346" s="25"/>
      <c r="BD1346" s="25"/>
      <c r="BE1346" s="25"/>
      <c r="BF1346" s="25"/>
      <c r="BG1346" s="25"/>
      <c r="BH1346" s="25"/>
      <c r="BI1346" s="25"/>
      <c r="BJ1346" s="25"/>
      <c r="BK1346" s="25"/>
      <c r="BL1346" s="25"/>
      <c r="BM1346" s="25"/>
      <c r="BN1346" s="25"/>
      <c r="BO1346" s="25"/>
      <c r="BP1346" s="25"/>
    </row>
    <row r="1347">
      <c r="A1347" s="25"/>
      <c r="B1347" s="168"/>
      <c r="C1347" s="25"/>
      <c r="D1347" s="25"/>
      <c r="E1347" s="25"/>
      <c r="F1347" s="25"/>
      <c r="G1347" s="84"/>
      <c r="H1347" s="25"/>
      <c r="I1347" s="25"/>
      <c r="J1347" s="25"/>
      <c r="K1347" s="169"/>
      <c r="L1347" s="169"/>
      <c r="M1347" s="170" t="b">
        <v>0</v>
      </c>
      <c r="N1347" s="170" t="b">
        <v>0</v>
      </c>
      <c r="O1347" s="48"/>
      <c r="P1347" s="170" t="b">
        <v>0</v>
      </c>
      <c r="Q1347" s="170" t="b">
        <v>0</v>
      </c>
      <c r="R1347" s="170" t="b">
        <v>0</v>
      </c>
      <c r="S1347" s="48"/>
      <c r="T1347" s="60"/>
      <c r="U1347" s="170" t="b">
        <v>0</v>
      </c>
      <c r="V1347" s="170"/>
      <c r="W1347" s="170" t="b">
        <v>0</v>
      </c>
      <c r="X1347" s="170" t="b">
        <v>0</v>
      </c>
      <c r="Y1347" s="170"/>
      <c r="Z1347" s="170"/>
      <c r="AA1347" s="170"/>
      <c r="AB1347" s="170"/>
      <c r="AC1347" s="171"/>
      <c r="AD1347" s="170"/>
      <c r="AE1347" s="170"/>
      <c r="AF1347" s="170"/>
      <c r="AG1347" s="170"/>
      <c r="AH1347" s="170"/>
      <c r="AI1347" s="170"/>
      <c r="AJ1347" s="172"/>
      <c r="AK1347" s="50"/>
      <c r="AL1347" s="25"/>
      <c r="AM1347" s="25"/>
      <c r="AN1347" s="25"/>
      <c r="AO1347" s="165"/>
      <c r="AP1347" s="78"/>
      <c r="AQ1347" s="25"/>
      <c r="AR1347" s="25"/>
      <c r="AS1347" s="25"/>
      <c r="AT1347" s="25"/>
      <c r="AU1347" s="25"/>
      <c r="AV1347" s="25"/>
      <c r="AW1347" s="25"/>
      <c r="AX1347" s="25"/>
      <c r="AY1347" s="25"/>
      <c r="AZ1347" s="25"/>
      <c r="BA1347" s="25"/>
      <c r="BB1347" s="25"/>
      <c r="BC1347" s="25"/>
      <c r="BD1347" s="25"/>
      <c r="BE1347" s="25"/>
      <c r="BF1347" s="25"/>
      <c r="BG1347" s="25"/>
      <c r="BH1347" s="25"/>
      <c r="BI1347" s="25"/>
      <c r="BJ1347" s="25"/>
      <c r="BK1347" s="25"/>
      <c r="BL1347" s="25"/>
      <c r="BM1347" s="25"/>
      <c r="BN1347" s="25"/>
      <c r="BO1347" s="25"/>
      <c r="BP1347" s="25"/>
    </row>
    <row r="1348">
      <c r="A1348" s="25"/>
      <c r="B1348" s="168"/>
      <c r="C1348" s="25"/>
      <c r="D1348" s="25"/>
      <c r="E1348" s="25"/>
      <c r="F1348" s="25"/>
      <c r="G1348" s="84"/>
      <c r="H1348" s="25"/>
      <c r="I1348" s="25"/>
      <c r="J1348" s="25"/>
      <c r="K1348" s="169"/>
      <c r="L1348" s="169"/>
      <c r="M1348" s="170" t="b">
        <v>0</v>
      </c>
      <c r="N1348" s="170" t="b">
        <v>0</v>
      </c>
      <c r="O1348" s="48"/>
      <c r="P1348" s="170" t="b">
        <v>0</v>
      </c>
      <c r="Q1348" s="170" t="b">
        <v>0</v>
      </c>
      <c r="R1348" s="170" t="b">
        <v>0</v>
      </c>
      <c r="S1348" s="48"/>
      <c r="T1348" s="60"/>
      <c r="U1348" s="170" t="b">
        <v>0</v>
      </c>
      <c r="V1348" s="170"/>
      <c r="W1348" s="170" t="b">
        <v>0</v>
      </c>
      <c r="X1348" s="170" t="b">
        <v>0</v>
      </c>
      <c r="Y1348" s="170"/>
      <c r="Z1348" s="170"/>
      <c r="AA1348" s="170"/>
      <c r="AB1348" s="170"/>
      <c r="AC1348" s="171"/>
      <c r="AD1348" s="170"/>
      <c r="AE1348" s="170"/>
      <c r="AF1348" s="170"/>
      <c r="AG1348" s="170"/>
      <c r="AH1348" s="170"/>
      <c r="AI1348" s="170"/>
      <c r="AJ1348" s="172"/>
      <c r="AK1348" s="50"/>
      <c r="AL1348" s="25"/>
      <c r="AM1348" s="25"/>
      <c r="AN1348" s="25"/>
      <c r="AO1348" s="165"/>
      <c r="AP1348" s="78"/>
      <c r="AQ1348" s="25"/>
      <c r="AR1348" s="25"/>
      <c r="AS1348" s="25"/>
      <c r="AT1348" s="25"/>
      <c r="AU1348" s="25"/>
      <c r="AV1348" s="25"/>
      <c r="AW1348" s="25"/>
      <c r="AX1348" s="25"/>
      <c r="AY1348" s="25"/>
      <c r="AZ1348" s="25"/>
      <c r="BA1348" s="25"/>
      <c r="BB1348" s="25"/>
      <c r="BC1348" s="25"/>
      <c r="BD1348" s="25"/>
      <c r="BE1348" s="25"/>
      <c r="BF1348" s="25"/>
      <c r="BG1348" s="25"/>
      <c r="BH1348" s="25"/>
      <c r="BI1348" s="25"/>
      <c r="BJ1348" s="25"/>
      <c r="BK1348" s="25"/>
      <c r="BL1348" s="25"/>
      <c r="BM1348" s="25"/>
      <c r="BN1348" s="25"/>
      <c r="BO1348" s="25"/>
      <c r="BP1348" s="25"/>
    </row>
    <row r="1349">
      <c r="A1349" s="25"/>
      <c r="B1349" s="168"/>
      <c r="C1349" s="25"/>
      <c r="D1349" s="25"/>
      <c r="E1349" s="25"/>
      <c r="F1349" s="25"/>
      <c r="G1349" s="84"/>
      <c r="H1349" s="25"/>
      <c r="I1349" s="25"/>
      <c r="J1349" s="25"/>
      <c r="K1349" s="169"/>
      <c r="L1349" s="169"/>
      <c r="M1349" s="170" t="b">
        <v>0</v>
      </c>
      <c r="N1349" s="170" t="b">
        <v>0</v>
      </c>
      <c r="O1349" s="48"/>
      <c r="P1349" s="170" t="b">
        <v>0</v>
      </c>
      <c r="Q1349" s="170" t="b">
        <v>0</v>
      </c>
      <c r="R1349" s="170" t="b">
        <v>0</v>
      </c>
      <c r="S1349" s="48"/>
      <c r="T1349" s="60"/>
      <c r="U1349" s="170" t="b">
        <v>0</v>
      </c>
      <c r="V1349" s="170"/>
      <c r="W1349" s="170" t="b">
        <v>0</v>
      </c>
      <c r="X1349" s="170" t="b">
        <v>0</v>
      </c>
      <c r="Y1349" s="170"/>
      <c r="Z1349" s="170"/>
      <c r="AA1349" s="170"/>
      <c r="AB1349" s="170"/>
      <c r="AC1349" s="171"/>
      <c r="AD1349" s="170"/>
      <c r="AE1349" s="170"/>
      <c r="AF1349" s="170"/>
      <c r="AG1349" s="170"/>
      <c r="AH1349" s="170"/>
      <c r="AI1349" s="170"/>
      <c r="AJ1349" s="172"/>
      <c r="AK1349" s="50"/>
      <c r="AL1349" s="25"/>
      <c r="AM1349" s="25"/>
      <c r="AN1349" s="25"/>
      <c r="AO1349" s="165"/>
      <c r="AP1349" s="78"/>
      <c r="AQ1349" s="25"/>
      <c r="AR1349" s="25"/>
      <c r="AS1349" s="25"/>
      <c r="AT1349" s="25"/>
      <c r="AU1349" s="25"/>
      <c r="AV1349" s="25"/>
      <c r="AW1349" s="25"/>
      <c r="AX1349" s="25"/>
      <c r="AY1349" s="25"/>
      <c r="AZ1349" s="25"/>
      <c r="BA1349" s="25"/>
      <c r="BB1349" s="25"/>
      <c r="BC1349" s="25"/>
      <c r="BD1349" s="25"/>
      <c r="BE1349" s="25"/>
      <c r="BF1349" s="25"/>
      <c r="BG1349" s="25"/>
      <c r="BH1349" s="25"/>
      <c r="BI1349" s="25"/>
      <c r="BJ1349" s="25"/>
      <c r="BK1349" s="25"/>
      <c r="BL1349" s="25"/>
      <c r="BM1349" s="25"/>
      <c r="BN1349" s="25"/>
      <c r="BO1349" s="25"/>
      <c r="BP1349" s="25"/>
    </row>
    <row r="1350">
      <c r="A1350" s="25"/>
      <c r="B1350" s="168"/>
      <c r="C1350" s="25"/>
      <c r="D1350" s="25"/>
      <c r="E1350" s="25"/>
      <c r="F1350" s="25"/>
      <c r="G1350" s="84"/>
      <c r="H1350" s="25"/>
      <c r="I1350" s="25"/>
      <c r="J1350" s="25"/>
      <c r="K1350" s="169"/>
      <c r="L1350" s="169"/>
      <c r="M1350" s="170" t="b">
        <v>0</v>
      </c>
      <c r="N1350" s="170" t="b">
        <v>0</v>
      </c>
      <c r="O1350" s="48"/>
      <c r="P1350" s="170" t="b">
        <v>0</v>
      </c>
      <c r="Q1350" s="170" t="b">
        <v>0</v>
      </c>
      <c r="R1350" s="170" t="b">
        <v>0</v>
      </c>
      <c r="S1350" s="48"/>
      <c r="T1350" s="60"/>
      <c r="U1350" s="170" t="b">
        <v>0</v>
      </c>
      <c r="V1350" s="170"/>
      <c r="W1350" s="170" t="b">
        <v>0</v>
      </c>
      <c r="X1350" s="170" t="b">
        <v>0</v>
      </c>
      <c r="Y1350" s="170"/>
      <c r="Z1350" s="170"/>
      <c r="AA1350" s="170"/>
      <c r="AB1350" s="170"/>
      <c r="AC1350" s="171"/>
      <c r="AD1350" s="170"/>
      <c r="AE1350" s="170"/>
      <c r="AF1350" s="170"/>
      <c r="AG1350" s="170"/>
      <c r="AH1350" s="170"/>
      <c r="AI1350" s="170"/>
      <c r="AJ1350" s="172"/>
      <c r="AK1350" s="50"/>
      <c r="AL1350" s="25"/>
      <c r="AM1350" s="25"/>
      <c r="AN1350" s="25"/>
      <c r="AO1350" s="165"/>
      <c r="AP1350" s="78"/>
      <c r="AQ1350" s="25"/>
      <c r="AR1350" s="25"/>
      <c r="AS1350" s="25"/>
      <c r="AT1350" s="25"/>
      <c r="AU1350" s="25"/>
      <c r="AV1350" s="25"/>
      <c r="AW1350" s="25"/>
      <c r="AX1350" s="25"/>
      <c r="AY1350" s="25"/>
      <c r="AZ1350" s="25"/>
      <c r="BA1350" s="25"/>
      <c r="BB1350" s="25"/>
      <c r="BC1350" s="25"/>
      <c r="BD1350" s="25"/>
      <c r="BE1350" s="25"/>
      <c r="BF1350" s="25"/>
      <c r="BG1350" s="25"/>
      <c r="BH1350" s="25"/>
      <c r="BI1350" s="25"/>
      <c r="BJ1350" s="25"/>
      <c r="BK1350" s="25"/>
      <c r="BL1350" s="25"/>
      <c r="BM1350" s="25"/>
      <c r="BN1350" s="25"/>
      <c r="BO1350" s="25"/>
      <c r="BP1350" s="25"/>
    </row>
    <row r="1351">
      <c r="A1351" s="25"/>
      <c r="B1351" s="168"/>
      <c r="C1351" s="25"/>
      <c r="D1351" s="25"/>
      <c r="E1351" s="25"/>
      <c r="F1351" s="25"/>
      <c r="G1351" s="84"/>
      <c r="H1351" s="25"/>
      <c r="I1351" s="25"/>
      <c r="J1351" s="25"/>
      <c r="K1351" s="169"/>
      <c r="L1351" s="169"/>
      <c r="M1351" s="170" t="b">
        <v>0</v>
      </c>
      <c r="N1351" s="170" t="b">
        <v>0</v>
      </c>
      <c r="O1351" s="48"/>
      <c r="P1351" s="170" t="b">
        <v>0</v>
      </c>
      <c r="Q1351" s="170" t="b">
        <v>0</v>
      </c>
      <c r="R1351" s="170" t="b">
        <v>0</v>
      </c>
      <c r="S1351" s="48"/>
      <c r="T1351" s="60"/>
      <c r="U1351" s="170" t="b">
        <v>0</v>
      </c>
      <c r="V1351" s="170"/>
      <c r="W1351" s="170" t="b">
        <v>0</v>
      </c>
      <c r="X1351" s="170" t="b">
        <v>0</v>
      </c>
      <c r="Y1351" s="170"/>
      <c r="Z1351" s="170"/>
      <c r="AA1351" s="170"/>
      <c r="AB1351" s="170"/>
      <c r="AC1351" s="171"/>
      <c r="AD1351" s="170"/>
      <c r="AE1351" s="170"/>
      <c r="AF1351" s="170"/>
      <c r="AG1351" s="170"/>
      <c r="AH1351" s="170"/>
      <c r="AI1351" s="170"/>
      <c r="AJ1351" s="172"/>
      <c r="AK1351" s="50"/>
      <c r="AL1351" s="25"/>
      <c r="AM1351" s="25"/>
      <c r="AN1351" s="25"/>
      <c r="AO1351" s="165"/>
      <c r="AP1351" s="78"/>
      <c r="AQ1351" s="25"/>
      <c r="AR1351" s="25"/>
      <c r="AS1351" s="25"/>
      <c r="AT1351" s="25"/>
      <c r="AU1351" s="25"/>
      <c r="AV1351" s="25"/>
      <c r="AW1351" s="25"/>
      <c r="AX1351" s="25"/>
      <c r="AY1351" s="25"/>
      <c r="AZ1351" s="25"/>
      <c r="BA1351" s="25"/>
      <c r="BB1351" s="25"/>
      <c r="BC1351" s="25"/>
      <c r="BD1351" s="25"/>
      <c r="BE1351" s="25"/>
      <c r="BF1351" s="25"/>
      <c r="BG1351" s="25"/>
      <c r="BH1351" s="25"/>
      <c r="BI1351" s="25"/>
      <c r="BJ1351" s="25"/>
      <c r="BK1351" s="25"/>
      <c r="BL1351" s="25"/>
      <c r="BM1351" s="25"/>
      <c r="BN1351" s="25"/>
      <c r="BO1351" s="25"/>
      <c r="BP1351" s="25"/>
    </row>
    <row r="1352">
      <c r="A1352" s="25"/>
      <c r="B1352" s="168"/>
      <c r="C1352" s="25"/>
      <c r="D1352" s="25"/>
      <c r="E1352" s="25"/>
      <c r="F1352" s="25"/>
      <c r="G1352" s="84"/>
      <c r="H1352" s="25"/>
      <c r="I1352" s="25"/>
      <c r="J1352" s="25"/>
      <c r="K1352" s="169"/>
      <c r="L1352" s="169"/>
      <c r="M1352" s="170" t="b">
        <v>0</v>
      </c>
      <c r="N1352" s="170" t="b">
        <v>0</v>
      </c>
      <c r="O1352" s="48"/>
      <c r="P1352" s="170" t="b">
        <v>0</v>
      </c>
      <c r="Q1352" s="170" t="b">
        <v>0</v>
      </c>
      <c r="R1352" s="170" t="b">
        <v>0</v>
      </c>
      <c r="S1352" s="48"/>
      <c r="T1352" s="60"/>
      <c r="U1352" s="170" t="b">
        <v>0</v>
      </c>
      <c r="V1352" s="170"/>
      <c r="W1352" s="170" t="b">
        <v>0</v>
      </c>
      <c r="X1352" s="170" t="b">
        <v>0</v>
      </c>
      <c r="Y1352" s="170"/>
      <c r="Z1352" s="170"/>
      <c r="AA1352" s="170"/>
      <c r="AB1352" s="170"/>
      <c r="AC1352" s="171"/>
      <c r="AD1352" s="170"/>
      <c r="AE1352" s="170"/>
      <c r="AF1352" s="170"/>
      <c r="AG1352" s="170"/>
      <c r="AH1352" s="170"/>
      <c r="AI1352" s="170"/>
      <c r="AJ1352" s="172"/>
      <c r="AK1352" s="50"/>
      <c r="AL1352" s="25"/>
      <c r="AM1352" s="25"/>
      <c r="AN1352" s="25"/>
      <c r="AO1352" s="165"/>
      <c r="AP1352" s="78"/>
      <c r="AQ1352" s="25"/>
      <c r="AR1352" s="25"/>
      <c r="AS1352" s="25"/>
      <c r="AT1352" s="25"/>
      <c r="AU1352" s="25"/>
      <c r="AV1352" s="25"/>
      <c r="AW1352" s="25"/>
      <c r="AX1352" s="25"/>
      <c r="AY1352" s="25"/>
      <c r="AZ1352" s="25"/>
      <c r="BA1352" s="25"/>
      <c r="BB1352" s="25"/>
      <c r="BC1352" s="25"/>
      <c r="BD1352" s="25"/>
      <c r="BE1352" s="25"/>
      <c r="BF1352" s="25"/>
      <c r="BG1352" s="25"/>
      <c r="BH1352" s="25"/>
      <c r="BI1352" s="25"/>
      <c r="BJ1352" s="25"/>
      <c r="BK1352" s="25"/>
      <c r="BL1352" s="25"/>
      <c r="BM1352" s="25"/>
      <c r="BN1352" s="25"/>
      <c r="BO1352" s="25"/>
      <c r="BP1352" s="25"/>
    </row>
    <row r="1353">
      <c r="A1353" s="25"/>
      <c r="B1353" s="168"/>
      <c r="C1353" s="25"/>
      <c r="D1353" s="25"/>
      <c r="E1353" s="25"/>
      <c r="F1353" s="25"/>
      <c r="G1353" s="84"/>
      <c r="H1353" s="25"/>
      <c r="I1353" s="25"/>
      <c r="J1353" s="25"/>
      <c r="K1353" s="169"/>
      <c r="L1353" s="169"/>
      <c r="M1353" s="170" t="b">
        <v>0</v>
      </c>
      <c r="N1353" s="170" t="b">
        <v>0</v>
      </c>
      <c r="O1353" s="48"/>
      <c r="P1353" s="170" t="b">
        <v>0</v>
      </c>
      <c r="Q1353" s="170" t="b">
        <v>0</v>
      </c>
      <c r="R1353" s="170" t="b">
        <v>0</v>
      </c>
      <c r="S1353" s="48"/>
      <c r="T1353" s="60"/>
      <c r="U1353" s="170" t="b">
        <v>0</v>
      </c>
      <c r="V1353" s="170"/>
      <c r="W1353" s="170" t="b">
        <v>0</v>
      </c>
      <c r="X1353" s="170" t="b">
        <v>0</v>
      </c>
      <c r="Y1353" s="170"/>
      <c r="Z1353" s="170"/>
      <c r="AA1353" s="170"/>
      <c r="AB1353" s="170"/>
      <c r="AC1353" s="171"/>
      <c r="AD1353" s="170"/>
      <c r="AE1353" s="170"/>
      <c r="AF1353" s="170"/>
      <c r="AG1353" s="170"/>
      <c r="AH1353" s="170"/>
      <c r="AI1353" s="170"/>
      <c r="AJ1353" s="172"/>
      <c r="AK1353" s="50"/>
      <c r="AL1353" s="25"/>
      <c r="AM1353" s="25"/>
      <c r="AN1353" s="25"/>
      <c r="AO1353" s="165"/>
      <c r="AP1353" s="78"/>
      <c r="AQ1353" s="25"/>
      <c r="AR1353" s="25"/>
      <c r="AS1353" s="25"/>
      <c r="AT1353" s="25"/>
      <c r="AU1353" s="25"/>
      <c r="AV1353" s="25"/>
      <c r="AW1353" s="25"/>
      <c r="AX1353" s="25"/>
      <c r="AY1353" s="25"/>
      <c r="AZ1353" s="25"/>
      <c r="BA1353" s="25"/>
      <c r="BB1353" s="25"/>
      <c r="BC1353" s="25"/>
      <c r="BD1353" s="25"/>
      <c r="BE1353" s="25"/>
      <c r="BF1353" s="25"/>
      <c r="BG1353" s="25"/>
      <c r="BH1353" s="25"/>
      <c r="BI1353" s="25"/>
      <c r="BJ1353" s="25"/>
      <c r="BK1353" s="25"/>
      <c r="BL1353" s="25"/>
      <c r="BM1353" s="25"/>
      <c r="BN1353" s="25"/>
      <c r="BO1353" s="25"/>
      <c r="BP1353" s="25"/>
    </row>
    <row r="1354">
      <c r="A1354" s="25"/>
      <c r="B1354" s="168"/>
      <c r="C1354" s="25"/>
      <c r="D1354" s="25"/>
      <c r="E1354" s="25"/>
      <c r="F1354" s="25"/>
      <c r="G1354" s="84"/>
      <c r="H1354" s="25"/>
      <c r="I1354" s="25"/>
      <c r="J1354" s="25"/>
      <c r="K1354" s="169"/>
      <c r="L1354" s="169"/>
      <c r="M1354" s="170" t="b">
        <v>0</v>
      </c>
      <c r="N1354" s="170" t="b">
        <v>0</v>
      </c>
      <c r="O1354" s="48"/>
      <c r="P1354" s="170" t="b">
        <v>0</v>
      </c>
      <c r="Q1354" s="170" t="b">
        <v>0</v>
      </c>
      <c r="R1354" s="170" t="b">
        <v>0</v>
      </c>
      <c r="S1354" s="48"/>
      <c r="T1354" s="60"/>
      <c r="U1354" s="170" t="b">
        <v>0</v>
      </c>
      <c r="V1354" s="170"/>
      <c r="W1354" s="170" t="b">
        <v>0</v>
      </c>
      <c r="X1354" s="170" t="b">
        <v>0</v>
      </c>
      <c r="Y1354" s="170"/>
      <c r="Z1354" s="170"/>
      <c r="AA1354" s="170"/>
      <c r="AB1354" s="170"/>
      <c r="AC1354" s="171"/>
      <c r="AD1354" s="170"/>
      <c r="AE1354" s="170"/>
      <c r="AF1354" s="170"/>
      <c r="AG1354" s="170"/>
      <c r="AH1354" s="170"/>
      <c r="AI1354" s="170"/>
      <c r="AJ1354" s="172"/>
      <c r="AK1354" s="50"/>
      <c r="AL1354" s="25"/>
      <c r="AM1354" s="25"/>
      <c r="AN1354" s="25"/>
      <c r="AO1354" s="165"/>
      <c r="AP1354" s="78"/>
      <c r="AQ1354" s="25"/>
      <c r="AR1354" s="25"/>
      <c r="AS1354" s="25"/>
      <c r="AT1354" s="25"/>
      <c r="AU1354" s="25"/>
      <c r="AV1354" s="25"/>
      <c r="AW1354" s="25"/>
      <c r="AX1354" s="25"/>
      <c r="AY1354" s="25"/>
      <c r="AZ1354" s="25"/>
      <c r="BA1354" s="25"/>
      <c r="BB1354" s="25"/>
      <c r="BC1354" s="25"/>
      <c r="BD1354" s="25"/>
      <c r="BE1354" s="25"/>
      <c r="BF1354" s="25"/>
      <c r="BG1354" s="25"/>
      <c r="BH1354" s="25"/>
      <c r="BI1354" s="25"/>
      <c r="BJ1354" s="25"/>
      <c r="BK1354" s="25"/>
      <c r="BL1354" s="25"/>
      <c r="BM1354" s="25"/>
      <c r="BN1354" s="25"/>
      <c r="BO1354" s="25"/>
      <c r="BP1354" s="25"/>
    </row>
    <row r="1355">
      <c r="A1355" s="25"/>
      <c r="B1355" s="168"/>
      <c r="C1355" s="25"/>
      <c r="D1355" s="25"/>
      <c r="E1355" s="25"/>
      <c r="F1355" s="25"/>
      <c r="G1355" s="84"/>
      <c r="H1355" s="25"/>
      <c r="I1355" s="25"/>
      <c r="J1355" s="25"/>
      <c r="K1355" s="169"/>
      <c r="L1355" s="169"/>
      <c r="M1355" s="170" t="b">
        <v>0</v>
      </c>
      <c r="N1355" s="170" t="b">
        <v>0</v>
      </c>
      <c r="O1355" s="48"/>
      <c r="P1355" s="170" t="b">
        <v>0</v>
      </c>
      <c r="Q1355" s="170" t="b">
        <v>0</v>
      </c>
      <c r="R1355" s="170" t="b">
        <v>0</v>
      </c>
      <c r="S1355" s="48"/>
      <c r="T1355" s="60"/>
      <c r="U1355" s="170" t="b">
        <v>0</v>
      </c>
      <c r="V1355" s="170"/>
      <c r="W1355" s="170" t="b">
        <v>0</v>
      </c>
      <c r="X1355" s="170" t="b">
        <v>0</v>
      </c>
      <c r="Y1355" s="170"/>
      <c r="Z1355" s="170"/>
      <c r="AA1355" s="170"/>
      <c r="AB1355" s="170"/>
      <c r="AC1355" s="171"/>
      <c r="AD1355" s="170"/>
      <c r="AE1355" s="170"/>
      <c r="AF1355" s="170"/>
      <c r="AG1355" s="170"/>
      <c r="AH1355" s="170"/>
      <c r="AI1355" s="170"/>
      <c r="AJ1355" s="172"/>
      <c r="AK1355" s="50"/>
      <c r="AL1355" s="25"/>
      <c r="AM1355" s="25"/>
      <c r="AN1355" s="25"/>
      <c r="AO1355" s="165"/>
      <c r="AP1355" s="78"/>
      <c r="AQ1355" s="25"/>
      <c r="AR1355" s="25"/>
      <c r="AS1355" s="25"/>
      <c r="AT1355" s="25"/>
      <c r="AU1355" s="25"/>
      <c r="AV1355" s="25"/>
      <c r="AW1355" s="25"/>
      <c r="AX1355" s="25"/>
      <c r="AY1355" s="25"/>
      <c r="AZ1355" s="25"/>
      <c r="BA1355" s="25"/>
      <c r="BB1355" s="25"/>
      <c r="BC1355" s="25"/>
      <c r="BD1355" s="25"/>
      <c r="BE1355" s="25"/>
      <c r="BF1355" s="25"/>
      <c r="BG1355" s="25"/>
      <c r="BH1355" s="25"/>
      <c r="BI1355" s="25"/>
      <c r="BJ1355" s="25"/>
      <c r="BK1355" s="25"/>
      <c r="BL1355" s="25"/>
      <c r="BM1355" s="25"/>
      <c r="BN1355" s="25"/>
      <c r="BO1355" s="25"/>
      <c r="BP1355" s="25"/>
    </row>
    <row r="1356">
      <c r="A1356" s="25"/>
      <c r="B1356" s="168"/>
      <c r="C1356" s="25"/>
      <c r="D1356" s="25"/>
      <c r="E1356" s="25"/>
      <c r="F1356" s="25"/>
      <c r="G1356" s="84"/>
      <c r="H1356" s="25"/>
      <c r="I1356" s="25"/>
      <c r="J1356" s="25"/>
      <c r="K1356" s="169"/>
      <c r="L1356" s="169"/>
      <c r="M1356" s="170" t="b">
        <v>0</v>
      </c>
      <c r="N1356" s="170" t="b">
        <v>0</v>
      </c>
      <c r="O1356" s="48"/>
      <c r="P1356" s="170" t="b">
        <v>0</v>
      </c>
      <c r="Q1356" s="170" t="b">
        <v>0</v>
      </c>
      <c r="R1356" s="170" t="b">
        <v>0</v>
      </c>
      <c r="S1356" s="48"/>
      <c r="T1356" s="60"/>
      <c r="U1356" s="170" t="b">
        <v>0</v>
      </c>
      <c r="V1356" s="170"/>
      <c r="W1356" s="170" t="b">
        <v>0</v>
      </c>
      <c r="X1356" s="170" t="b">
        <v>0</v>
      </c>
      <c r="Y1356" s="170"/>
      <c r="Z1356" s="170"/>
      <c r="AA1356" s="170"/>
      <c r="AB1356" s="170"/>
      <c r="AC1356" s="171"/>
      <c r="AD1356" s="170"/>
      <c r="AE1356" s="170"/>
      <c r="AF1356" s="170"/>
      <c r="AG1356" s="170"/>
      <c r="AH1356" s="170"/>
      <c r="AI1356" s="170"/>
      <c r="AJ1356" s="172"/>
      <c r="AK1356" s="50"/>
      <c r="AL1356" s="25"/>
      <c r="AM1356" s="25"/>
      <c r="AN1356" s="25"/>
      <c r="AO1356" s="165"/>
      <c r="AP1356" s="78"/>
      <c r="AQ1356" s="25"/>
      <c r="AR1356" s="25"/>
      <c r="AS1356" s="25"/>
      <c r="AT1356" s="25"/>
      <c r="AU1356" s="25"/>
      <c r="AV1356" s="25"/>
      <c r="AW1356" s="25"/>
      <c r="AX1356" s="25"/>
      <c r="AY1356" s="25"/>
      <c r="AZ1356" s="25"/>
      <c r="BA1356" s="25"/>
      <c r="BB1356" s="25"/>
      <c r="BC1356" s="25"/>
      <c r="BD1356" s="25"/>
      <c r="BE1356" s="25"/>
      <c r="BF1356" s="25"/>
      <c r="BG1356" s="25"/>
      <c r="BH1356" s="25"/>
      <c r="BI1356" s="25"/>
      <c r="BJ1356" s="25"/>
      <c r="BK1356" s="25"/>
      <c r="BL1356" s="25"/>
      <c r="BM1356" s="25"/>
      <c r="BN1356" s="25"/>
      <c r="BO1356" s="25"/>
      <c r="BP1356" s="25"/>
    </row>
    <row r="1357">
      <c r="A1357" s="25"/>
      <c r="B1357" s="168"/>
      <c r="C1357" s="25"/>
      <c r="D1357" s="25"/>
      <c r="E1357" s="25"/>
      <c r="F1357" s="25"/>
      <c r="G1357" s="84"/>
      <c r="H1357" s="25"/>
      <c r="I1357" s="25"/>
      <c r="J1357" s="25"/>
      <c r="K1357" s="169"/>
      <c r="L1357" s="169"/>
      <c r="M1357" s="170" t="b">
        <v>0</v>
      </c>
      <c r="N1357" s="170" t="b">
        <v>0</v>
      </c>
      <c r="O1357" s="48"/>
      <c r="P1357" s="170" t="b">
        <v>0</v>
      </c>
      <c r="Q1357" s="170" t="b">
        <v>0</v>
      </c>
      <c r="R1357" s="170" t="b">
        <v>0</v>
      </c>
      <c r="S1357" s="48"/>
      <c r="T1357" s="60"/>
      <c r="U1357" s="170" t="b">
        <v>0</v>
      </c>
      <c r="V1357" s="170"/>
      <c r="W1357" s="170" t="b">
        <v>0</v>
      </c>
      <c r="X1357" s="170" t="b">
        <v>0</v>
      </c>
      <c r="Y1357" s="170"/>
      <c r="Z1357" s="170"/>
      <c r="AA1357" s="170"/>
      <c r="AB1357" s="170"/>
      <c r="AC1357" s="171"/>
      <c r="AD1357" s="170"/>
      <c r="AE1357" s="170"/>
      <c r="AF1357" s="170"/>
      <c r="AG1357" s="170"/>
      <c r="AH1357" s="170"/>
      <c r="AI1357" s="170"/>
      <c r="AJ1357" s="172"/>
      <c r="AK1357" s="50"/>
      <c r="AL1357" s="25"/>
      <c r="AM1357" s="25"/>
      <c r="AN1357" s="25"/>
      <c r="AO1357" s="165"/>
      <c r="AP1357" s="78"/>
      <c r="AQ1357" s="25"/>
      <c r="AR1357" s="25"/>
      <c r="AS1357" s="25"/>
      <c r="AT1357" s="25"/>
      <c r="AU1357" s="25"/>
      <c r="AV1357" s="25"/>
      <c r="AW1357" s="25"/>
      <c r="AX1357" s="25"/>
      <c r="AY1357" s="25"/>
      <c r="AZ1357" s="25"/>
      <c r="BA1357" s="25"/>
      <c r="BB1357" s="25"/>
      <c r="BC1357" s="25"/>
      <c r="BD1357" s="25"/>
      <c r="BE1357" s="25"/>
      <c r="BF1357" s="25"/>
      <c r="BG1357" s="25"/>
      <c r="BH1357" s="25"/>
      <c r="BI1357" s="25"/>
      <c r="BJ1357" s="25"/>
      <c r="BK1357" s="25"/>
      <c r="BL1357" s="25"/>
      <c r="BM1357" s="25"/>
      <c r="BN1357" s="25"/>
      <c r="BO1357" s="25"/>
      <c r="BP1357" s="25"/>
    </row>
    <row r="1358">
      <c r="A1358" s="25"/>
      <c r="B1358" s="168"/>
      <c r="C1358" s="25"/>
      <c r="D1358" s="25"/>
      <c r="E1358" s="25"/>
      <c r="F1358" s="25"/>
      <c r="G1358" s="84"/>
      <c r="H1358" s="25"/>
      <c r="I1358" s="25"/>
      <c r="J1358" s="25"/>
      <c r="K1358" s="169"/>
      <c r="L1358" s="169"/>
      <c r="M1358" s="170" t="b">
        <v>0</v>
      </c>
      <c r="N1358" s="170" t="b">
        <v>0</v>
      </c>
      <c r="O1358" s="48"/>
      <c r="P1358" s="170" t="b">
        <v>0</v>
      </c>
      <c r="Q1358" s="170" t="b">
        <v>0</v>
      </c>
      <c r="R1358" s="170" t="b">
        <v>0</v>
      </c>
      <c r="S1358" s="48"/>
      <c r="T1358" s="60"/>
      <c r="U1358" s="170" t="b">
        <v>0</v>
      </c>
      <c r="V1358" s="170"/>
      <c r="W1358" s="170" t="b">
        <v>0</v>
      </c>
      <c r="X1358" s="170" t="b">
        <v>0</v>
      </c>
      <c r="Y1358" s="170"/>
      <c r="Z1358" s="170"/>
      <c r="AA1358" s="170"/>
      <c r="AB1358" s="170"/>
      <c r="AC1358" s="171"/>
      <c r="AD1358" s="170"/>
      <c r="AE1358" s="170"/>
      <c r="AF1358" s="170"/>
      <c r="AG1358" s="170"/>
      <c r="AH1358" s="170"/>
      <c r="AI1358" s="170"/>
      <c r="AJ1358" s="172"/>
      <c r="AK1358" s="50"/>
      <c r="AL1358" s="25"/>
      <c r="AM1358" s="25"/>
      <c r="AN1358" s="25"/>
      <c r="AO1358" s="165"/>
      <c r="AP1358" s="78"/>
      <c r="AQ1358" s="25"/>
      <c r="AR1358" s="25"/>
      <c r="AS1358" s="25"/>
      <c r="AT1358" s="25"/>
      <c r="AU1358" s="25"/>
      <c r="AV1358" s="25"/>
      <c r="AW1358" s="25"/>
      <c r="AX1358" s="25"/>
      <c r="AY1358" s="25"/>
      <c r="AZ1358" s="25"/>
      <c r="BA1358" s="25"/>
      <c r="BB1358" s="25"/>
      <c r="BC1358" s="25"/>
      <c r="BD1358" s="25"/>
      <c r="BE1358" s="25"/>
      <c r="BF1358" s="25"/>
      <c r="BG1358" s="25"/>
      <c r="BH1358" s="25"/>
      <c r="BI1358" s="25"/>
      <c r="BJ1358" s="25"/>
      <c r="BK1358" s="25"/>
      <c r="BL1358" s="25"/>
      <c r="BM1358" s="25"/>
      <c r="BN1358" s="25"/>
      <c r="BO1358" s="25"/>
      <c r="BP1358" s="25"/>
    </row>
    <row r="1359">
      <c r="A1359" s="25"/>
      <c r="B1359" s="168"/>
      <c r="C1359" s="25"/>
      <c r="D1359" s="25"/>
      <c r="E1359" s="25"/>
      <c r="F1359" s="25"/>
      <c r="G1359" s="84"/>
      <c r="H1359" s="25"/>
      <c r="I1359" s="25"/>
      <c r="J1359" s="25"/>
      <c r="K1359" s="169"/>
      <c r="L1359" s="169"/>
      <c r="M1359" s="170" t="b">
        <v>0</v>
      </c>
      <c r="N1359" s="170" t="b">
        <v>0</v>
      </c>
      <c r="O1359" s="48"/>
      <c r="P1359" s="170" t="b">
        <v>0</v>
      </c>
      <c r="Q1359" s="170" t="b">
        <v>0</v>
      </c>
      <c r="R1359" s="170" t="b">
        <v>0</v>
      </c>
      <c r="S1359" s="48"/>
      <c r="T1359" s="60"/>
      <c r="U1359" s="170" t="b">
        <v>0</v>
      </c>
      <c r="V1359" s="170"/>
      <c r="W1359" s="170" t="b">
        <v>0</v>
      </c>
      <c r="X1359" s="170" t="b">
        <v>0</v>
      </c>
      <c r="Y1359" s="170"/>
      <c r="Z1359" s="170"/>
      <c r="AA1359" s="170"/>
      <c r="AB1359" s="170"/>
      <c r="AC1359" s="171"/>
      <c r="AD1359" s="170"/>
      <c r="AE1359" s="170"/>
      <c r="AF1359" s="170"/>
      <c r="AG1359" s="170"/>
      <c r="AH1359" s="170"/>
      <c r="AI1359" s="170"/>
      <c r="AJ1359" s="172"/>
      <c r="AK1359" s="50"/>
      <c r="AL1359" s="25"/>
      <c r="AM1359" s="25"/>
      <c r="AN1359" s="25"/>
      <c r="AO1359" s="165"/>
      <c r="AP1359" s="78"/>
      <c r="AQ1359" s="25"/>
      <c r="AR1359" s="25"/>
      <c r="AS1359" s="25"/>
      <c r="AT1359" s="25"/>
      <c r="AU1359" s="25"/>
      <c r="AV1359" s="25"/>
      <c r="AW1359" s="25"/>
      <c r="AX1359" s="25"/>
      <c r="AY1359" s="25"/>
      <c r="AZ1359" s="25"/>
      <c r="BA1359" s="25"/>
      <c r="BB1359" s="25"/>
      <c r="BC1359" s="25"/>
      <c r="BD1359" s="25"/>
      <c r="BE1359" s="25"/>
      <c r="BF1359" s="25"/>
      <c r="BG1359" s="25"/>
      <c r="BH1359" s="25"/>
      <c r="BI1359" s="25"/>
      <c r="BJ1359" s="25"/>
      <c r="BK1359" s="25"/>
      <c r="BL1359" s="25"/>
      <c r="BM1359" s="25"/>
      <c r="BN1359" s="25"/>
      <c r="BO1359" s="25"/>
      <c r="BP1359" s="25"/>
    </row>
    <row r="1360">
      <c r="A1360" s="25"/>
      <c r="B1360" s="168"/>
      <c r="C1360" s="25"/>
      <c r="D1360" s="25"/>
      <c r="E1360" s="25"/>
      <c r="F1360" s="25"/>
      <c r="G1360" s="84"/>
      <c r="H1360" s="25"/>
      <c r="I1360" s="25"/>
      <c r="J1360" s="25"/>
      <c r="K1360" s="169"/>
      <c r="L1360" s="169"/>
      <c r="M1360" s="170" t="b">
        <v>0</v>
      </c>
      <c r="N1360" s="170" t="b">
        <v>0</v>
      </c>
      <c r="O1360" s="48"/>
      <c r="P1360" s="170" t="b">
        <v>0</v>
      </c>
      <c r="Q1360" s="170" t="b">
        <v>0</v>
      </c>
      <c r="R1360" s="170" t="b">
        <v>0</v>
      </c>
      <c r="S1360" s="48"/>
      <c r="T1360" s="60"/>
      <c r="U1360" s="170" t="b">
        <v>0</v>
      </c>
      <c r="V1360" s="170"/>
      <c r="W1360" s="170" t="b">
        <v>0</v>
      </c>
      <c r="X1360" s="170" t="b">
        <v>0</v>
      </c>
      <c r="Y1360" s="170"/>
      <c r="Z1360" s="170"/>
      <c r="AA1360" s="170"/>
      <c r="AB1360" s="170"/>
      <c r="AC1360" s="171"/>
      <c r="AD1360" s="170"/>
      <c r="AE1360" s="170"/>
      <c r="AF1360" s="170"/>
      <c r="AG1360" s="170"/>
      <c r="AH1360" s="170"/>
      <c r="AI1360" s="170"/>
      <c r="AJ1360" s="172"/>
      <c r="AK1360" s="50"/>
      <c r="AL1360" s="25"/>
      <c r="AM1360" s="25"/>
      <c r="AN1360" s="25"/>
      <c r="AO1360" s="165"/>
      <c r="AP1360" s="78"/>
      <c r="AQ1360" s="25"/>
      <c r="AR1360" s="25"/>
      <c r="AS1360" s="25"/>
      <c r="AT1360" s="25"/>
      <c r="AU1360" s="25"/>
      <c r="AV1360" s="25"/>
      <c r="AW1360" s="25"/>
      <c r="AX1360" s="25"/>
      <c r="AY1360" s="25"/>
      <c r="AZ1360" s="25"/>
      <c r="BA1360" s="25"/>
      <c r="BB1360" s="25"/>
      <c r="BC1360" s="25"/>
      <c r="BD1360" s="25"/>
      <c r="BE1360" s="25"/>
      <c r="BF1360" s="25"/>
      <c r="BG1360" s="25"/>
      <c r="BH1360" s="25"/>
      <c r="BI1360" s="25"/>
      <c r="BJ1360" s="25"/>
      <c r="BK1360" s="25"/>
      <c r="BL1360" s="25"/>
      <c r="BM1360" s="25"/>
      <c r="BN1360" s="25"/>
      <c r="BO1360" s="25"/>
      <c r="BP1360" s="25"/>
    </row>
    <row r="1361">
      <c r="A1361" s="25"/>
      <c r="B1361" s="168"/>
      <c r="C1361" s="25"/>
      <c r="D1361" s="25"/>
      <c r="E1361" s="25"/>
      <c r="F1361" s="25"/>
      <c r="G1361" s="84"/>
      <c r="H1361" s="25"/>
      <c r="I1361" s="25"/>
      <c r="J1361" s="25"/>
      <c r="K1361" s="169"/>
      <c r="L1361" s="169"/>
      <c r="M1361" s="170" t="b">
        <v>0</v>
      </c>
      <c r="N1361" s="170" t="b">
        <v>0</v>
      </c>
      <c r="O1361" s="48"/>
      <c r="P1361" s="170" t="b">
        <v>0</v>
      </c>
      <c r="Q1361" s="170" t="b">
        <v>0</v>
      </c>
      <c r="R1361" s="170" t="b">
        <v>0</v>
      </c>
      <c r="S1361" s="48"/>
      <c r="T1361" s="60"/>
      <c r="U1361" s="170" t="b">
        <v>0</v>
      </c>
      <c r="V1361" s="170"/>
      <c r="W1361" s="170" t="b">
        <v>0</v>
      </c>
      <c r="X1361" s="170" t="b">
        <v>0</v>
      </c>
      <c r="Y1361" s="170"/>
      <c r="Z1361" s="170"/>
      <c r="AA1361" s="170"/>
      <c r="AB1361" s="170"/>
      <c r="AC1361" s="171"/>
      <c r="AD1361" s="170"/>
      <c r="AE1361" s="170"/>
      <c r="AF1361" s="170"/>
      <c r="AG1361" s="170"/>
      <c r="AH1361" s="170"/>
      <c r="AI1361" s="170"/>
      <c r="AJ1361" s="172"/>
      <c r="AK1361" s="50"/>
      <c r="AL1361" s="25"/>
      <c r="AM1361" s="25"/>
      <c r="AN1361" s="25"/>
      <c r="AO1361" s="165"/>
      <c r="AP1361" s="78"/>
      <c r="AQ1361" s="25"/>
      <c r="AR1361" s="25"/>
      <c r="AS1361" s="25"/>
      <c r="AT1361" s="25"/>
      <c r="AU1361" s="25"/>
      <c r="AV1361" s="25"/>
      <c r="AW1361" s="25"/>
      <c r="AX1361" s="25"/>
      <c r="AY1361" s="25"/>
      <c r="AZ1361" s="25"/>
      <c r="BA1361" s="25"/>
      <c r="BB1361" s="25"/>
      <c r="BC1361" s="25"/>
      <c r="BD1361" s="25"/>
      <c r="BE1361" s="25"/>
      <c r="BF1361" s="25"/>
      <c r="BG1361" s="25"/>
      <c r="BH1361" s="25"/>
      <c r="BI1361" s="25"/>
      <c r="BJ1361" s="25"/>
      <c r="BK1361" s="25"/>
      <c r="BL1361" s="25"/>
      <c r="BM1361" s="25"/>
      <c r="BN1361" s="25"/>
      <c r="BO1361" s="25"/>
      <c r="BP1361" s="25"/>
    </row>
    <row r="1362">
      <c r="A1362" s="25"/>
      <c r="B1362" s="168"/>
      <c r="C1362" s="25"/>
      <c r="D1362" s="25"/>
      <c r="E1362" s="25"/>
      <c r="F1362" s="25"/>
      <c r="G1362" s="84"/>
      <c r="H1362" s="25"/>
      <c r="I1362" s="25"/>
      <c r="J1362" s="25"/>
      <c r="K1362" s="169"/>
      <c r="L1362" s="169"/>
      <c r="M1362" s="170" t="b">
        <v>0</v>
      </c>
      <c r="N1362" s="170" t="b">
        <v>0</v>
      </c>
      <c r="O1362" s="48"/>
      <c r="P1362" s="170" t="b">
        <v>0</v>
      </c>
      <c r="Q1362" s="170" t="b">
        <v>0</v>
      </c>
      <c r="R1362" s="170" t="b">
        <v>0</v>
      </c>
      <c r="S1362" s="48"/>
      <c r="T1362" s="60"/>
      <c r="U1362" s="170" t="b">
        <v>0</v>
      </c>
      <c r="V1362" s="170"/>
      <c r="W1362" s="170" t="b">
        <v>0</v>
      </c>
      <c r="X1362" s="170" t="b">
        <v>0</v>
      </c>
      <c r="Y1362" s="170"/>
      <c r="Z1362" s="170"/>
      <c r="AA1362" s="170"/>
      <c r="AB1362" s="170"/>
      <c r="AC1362" s="171"/>
      <c r="AD1362" s="170"/>
      <c r="AE1362" s="170"/>
      <c r="AF1362" s="170"/>
      <c r="AG1362" s="170"/>
      <c r="AH1362" s="170"/>
      <c r="AI1362" s="170"/>
      <c r="AJ1362" s="172"/>
      <c r="AK1362" s="50"/>
      <c r="AL1362" s="25"/>
      <c r="AM1362" s="25"/>
      <c r="AN1362" s="25"/>
      <c r="AO1362" s="165"/>
      <c r="AP1362" s="78"/>
      <c r="AQ1362" s="25"/>
      <c r="AR1362" s="25"/>
      <c r="AS1362" s="25"/>
      <c r="AT1362" s="25"/>
      <c r="AU1362" s="25"/>
      <c r="AV1362" s="25"/>
      <c r="AW1362" s="25"/>
      <c r="AX1362" s="25"/>
      <c r="AY1362" s="25"/>
      <c r="AZ1362" s="25"/>
      <c r="BA1362" s="25"/>
      <c r="BB1362" s="25"/>
      <c r="BC1362" s="25"/>
      <c r="BD1362" s="25"/>
      <c r="BE1362" s="25"/>
      <c r="BF1362" s="25"/>
      <c r="BG1362" s="25"/>
      <c r="BH1362" s="25"/>
      <c r="BI1362" s="25"/>
      <c r="BJ1362" s="25"/>
      <c r="BK1362" s="25"/>
      <c r="BL1362" s="25"/>
      <c r="BM1362" s="25"/>
      <c r="BN1362" s="25"/>
      <c r="BO1362" s="25"/>
      <c r="BP1362" s="25"/>
    </row>
    <row r="1363">
      <c r="A1363" s="25"/>
      <c r="B1363" s="168"/>
      <c r="C1363" s="25"/>
      <c r="D1363" s="25"/>
      <c r="E1363" s="25"/>
      <c r="F1363" s="25"/>
      <c r="G1363" s="84"/>
      <c r="H1363" s="25"/>
      <c r="I1363" s="25"/>
      <c r="J1363" s="25"/>
      <c r="K1363" s="169"/>
      <c r="L1363" s="169"/>
      <c r="M1363" s="170" t="b">
        <v>0</v>
      </c>
      <c r="N1363" s="170" t="b">
        <v>0</v>
      </c>
      <c r="O1363" s="48"/>
      <c r="P1363" s="170" t="b">
        <v>0</v>
      </c>
      <c r="Q1363" s="170" t="b">
        <v>0</v>
      </c>
      <c r="R1363" s="170" t="b">
        <v>0</v>
      </c>
      <c r="S1363" s="48"/>
      <c r="T1363" s="60"/>
      <c r="U1363" s="170" t="b">
        <v>0</v>
      </c>
      <c r="V1363" s="170"/>
      <c r="W1363" s="170" t="b">
        <v>0</v>
      </c>
      <c r="X1363" s="170" t="b">
        <v>0</v>
      </c>
      <c r="Y1363" s="170"/>
      <c r="Z1363" s="170"/>
      <c r="AA1363" s="170"/>
      <c r="AB1363" s="170"/>
      <c r="AC1363" s="171"/>
      <c r="AD1363" s="170"/>
      <c r="AE1363" s="170"/>
      <c r="AF1363" s="170"/>
      <c r="AG1363" s="170"/>
      <c r="AH1363" s="170"/>
      <c r="AI1363" s="170"/>
      <c r="AJ1363" s="172"/>
      <c r="AK1363" s="50"/>
      <c r="AL1363" s="25"/>
      <c r="AM1363" s="25"/>
      <c r="AN1363" s="25"/>
      <c r="AO1363" s="165"/>
      <c r="AP1363" s="78"/>
      <c r="AQ1363" s="25"/>
      <c r="AR1363" s="25"/>
      <c r="AS1363" s="25"/>
      <c r="AT1363" s="25"/>
      <c r="AU1363" s="25"/>
      <c r="AV1363" s="25"/>
      <c r="AW1363" s="25"/>
      <c r="AX1363" s="25"/>
      <c r="AY1363" s="25"/>
      <c r="AZ1363" s="25"/>
      <c r="BA1363" s="25"/>
      <c r="BB1363" s="25"/>
      <c r="BC1363" s="25"/>
      <c r="BD1363" s="25"/>
      <c r="BE1363" s="25"/>
      <c r="BF1363" s="25"/>
      <c r="BG1363" s="25"/>
      <c r="BH1363" s="25"/>
      <c r="BI1363" s="25"/>
      <c r="BJ1363" s="25"/>
      <c r="BK1363" s="25"/>
      <c r="BL1363" s="25"/>
      <c r="BM1363" s="25"/>
      <c r="BN1363" s="25"/>
      <c r="BO1363" s="25"/>
      <c r="BP1363" s="25"/>
    </row>
    <row r="1364">
      <c r="A1364" s="25"/>
      <c r="B1364" s="168"/>
      <c r="C1364" s="25"/>
      <c r="D1364" s="25"/>
      <c r="E1364" s="25"/>
      <c r="F1364" s="25"/>
      <c r="G1364" s="84"/>
      <c r="H1364" s="25"/>
      <c r="I1364" s="25"/>
      <c r="J1364" s="25"/>
      <c r="K1364" s="169"/>
      <c r="L1364" s="169"/>
      <c r="M1364" s="170" t="b">
        <v>0</v>
      </c>
      <c r="N1364" s="170" t="b">
        <v>0</v>
      </c>
      <c r="O1364" s="48"/>
      <c r="P1364" s="170" t="b">
        <v>0</v>
      </c>
      <c r="Q1364" s="170" t="b">
        <v>0</v>
      </c>
      <c r="R1364" s="170" t="b">
        <v>0</v>
      </c>
      <c r="S1364" s="48"/>
      <c r="T1364" s="60"/>
      <c r="U1364" s="170" t="b">
        <v>0</v>
      </c>
      <c r="V1364" s="170"/>
      <c r="W1364" s="170" t="b">
        <v>0</v>
      </c>
      <c r="X1364" s="170" t="b">
        <v>0</v>
      </c>
      <c r="Y1364" s="170"/>
      <c r="Z1364" s="170"/>
      <c r="AA1364" s="170"/>
      <c r="AB1364" s="170"/>
      <c r="AC1364" s="171"/>
      <c r="AD1364" s="170"/>
      <c r="AE1364" s="170"/>
      <c r="AF1364" s="170"/>
      <c r="AG1364" s="170"/>
      <c r="AH1364" s="170"/>
      <c r="AI1364" s="170"/>
      <c r="AJ1364" s="172"/>
      <c r="AK1364" s="50"/>
      <c r="AL1364" s="25"/>
      <c r="AM1364" s="25"/>
      <c r="AN1364" s="25"/>
      <c r="AO1364" s="165"/>
      <c r="AP1364" s="78"/>
      <c r="AQ1364" s="25"/>
      <c r="AR1364" s="25"/>
      <c r="AS1364" s="25"/>
      <c r="AT1364" s="25"/>
      <c r="AU1364" s="25"/>
      <c r="AV1364" s="25"/>
      <c r="AW1364" s="25"/>
      <c r="AX1364" s="25"/>
      <c r="AY1364" s="25"/>
      <c r="AZ1364" s="25"/>
      <c r="BA1364" s="25"/>
      <c r="BB1364" s="25"/>
      <c r="BC1364" s="25"/>
      <c r="BD1364" s="25"/>
      <c r="BE1364" s="25"/>
      <c r="BF1364" s="25"/>
      <c r="BG1364" s="25"/>
      <c r="BH1364" s="25"/>
      <c r="BI1364" s="25"/>
      <c r="BJ1364" s="25"/>
      <c r="BK1364" s="25"/>
      <c r="BL1364" s="25"/>
      <c r="BM1364" s="25"/>
      <c r="BN1364" s="25"/>
      <c r="BO1364" s="25"/>
      <c r="BP1364" s="25"/>
    </row>
    <row r="1365">
      <c r="A1365" s="25"/>
      <c r="B1365" s="168"/>
      <c r="C1365" s="25"/>
      <c r="D1365" s="25"/>
      <c r="E1365" s="25"/>
      <c r="F1365" s="25"/>
      <c r="G1365" s="84"/>
      <c r="H1365" s="25"/>
      <c r="I1365" s="25"/>
      <c r="J1365" s="25"/>
      <c r="K1365" s="169"/>
      <c r="L1365" s="169"/>
      <c r="M1365" s="170" t="b">
        <v>0</v>
      </c>
      <c r="N1365" s="170" t="b">
        <v>0</v>
      </c>
      <c r="O1365" s="48"/>
      <c r="P1365" s="170" t="b">
        <v>0</v>
      </c>
      <c r="Q1365" s="170" t="b">
        <v>0</v>
      </c>
      <c r="R1365" s="170" t="b">
        <v>0</v>
      </c>
      <c r="S1365" s="48"/>
      <c r="T1365" s="60"/>
      <c r="U1365" s="170" t="b">
        <v>0</v>
      </c>
      <c r="V1365" s="170"/>
      <c r="W1365" s="170" t="b">
        <v>0</v>
      </c>
      <c r="X1365" s="170" t="b">
        <v>0</v>
      </c>
      <c r="Y1365" s="170"/>
      <c r="Z1365" s="170"/>
      <c r="AA1365" s="170"/>
      <c r="AB1365" s="170"/>
      <c r="AC1365" s="171"/>
      <c r="AD1365" s="170"/>
      <c r="AE1365" s="170"/>
      <c r="AF1365" s="170"/>
      <c r="AG1365" s="170"/>
      <c r="AH1365" s="170"/>
      <c r="AI1365" s="170"/>
      <c r="AJ1365" s="172"/>
      <c r="AK1365" s="50"/>
      <c r="AL1365" s="25"/>
      <c r="AM1365" s="25"/>
      <c r="AN1365" s="25"/>
      <c r="AO1365" s="165"/>
      <c r="AP1365" s="78"/>
      <c r="AQ1365" s="25"/>
      <c r="AR1365" s="25"/>
      <c r="AS1365" s="25"/>
      <c r="AT1365" s="25"/>
      <c r="AU1365" s="25"/>
      <c r="AV1365" s="25"/>
      <c r="AW1365" s="25"/>
      <c r="AX1365" s="25"/>
      <c r="AY1365" s="25"/>
      <c r="AZ1365" s="25"/>
      <c r="BA1365" s="25"/>
      <c r="BB1365" s="25"/>
      <c r="BC1365" s="25"/>
      <c r="BD1365" s="25"/>
      <c r="BE1365" s="25"/>
      <c r="BF1365" s="25"/>
      <c r="BG1365" s="25"/>
      <c r="BH1365" s="25"/>
      <c r="BI1365" s="25"/>
      <c r="BJ1365" s="25"/>
      <c r="BK1365" s="25"/>
      <c r="BL1365" s="25"/>
      <c r="BM1365" s="25"/>
      <c r="BN1365" s="25"/>
      <c r="BO1365" s="25"/>
      <c r="BP1365" s="25"/>
    </row>
    <row r="1366">
      <c r="A1366" s="25"/>
      <c r="B1366" s="168"/>
      <c r="C1366" s="25"/>
      <c r="D1366" s="25"/>
      <c r="E1366" s="25"/>
      <c r="F1366" s="25"/>
      <c r="G1366" s="84"/>
      <c r="H1366" s="25"/>
      <c r="I1366" s="25"/>
      <c r="J1366" s="25"/>
      <c r="K1366" s="169"/>
      <c r="L1366" s="169"/>
      <c r="M1366" s="170" t="b">
        <v>0</v>
      </c>
      <c r="N1366" s="170" t="b">
        <v>0</v>
      </c>
      <c r="O1366" s="48"/>
      <c r="P1366" s="170" t="b">
        <v>0</v>
      </c>
      <c r="Q1366" s="170" t="b">
        <v>0</v>
      </c>
      <c r="R1366" s="170" t="b">
        <v>0</v>
      </c>
      <c r="S1366" s="48"/>
      <c r="T1366" s="60"/>
      <c r="U1366" s="170" t="b">
        <v>0</v>
      </c>
      <c r="V1366" s="170"/>
      <c r="W1366" s="170" t="b">
        <v>0</v>
      </c>
      <c r="X1366" s="170" t="b">
        <v>0</v>
      </c>
      <c r="Y1366" s="170"/>
      <c r="Z1366" s="170"/>
      <c r="AA1366" s="170"/>
      <c r="AB1366" s="170"/>
      <c r="AC1366" s="171"/>
      <c r="AD1366" s="170"/>
      <c r="AE1366" s="170"/>
      <c r="AF1366" s="170"/>
      <c r="AG1366" s="170"/>
      <c r="AH1366" s="170"/>
      <c r="AI1366" s="170"/>
      <c r="AJ1366" s="172"/>
      <c r="AK1366" s="50"/>
      <c r="AL1366" s="25"/>
      <c r="AM1366" s="25"/>
      <c r="AN1366" s="25"/>
      <c r="AO1366" s="165"/>
      <c r="AP1366" s="78"/>
      <c r="AQ1366" s="25"/>
      <c r="AR1366" s="25"/>
      <c r="AS1366" s="25"/>
      <c r="AT1366" s="25"/>
      <c r="AU1366" s="25"/>
      <c r="AV1366" s="25"/>
      <c r="AW1366" s="25"/>
      <c r="AX1366" s="25"/>
      <c r="AY1366" s="25"/>
      <c r="AZ1366" s="25"/>
      <c r="BA1366" s="25"/>
      <c r="BB1366" s="25"/>
      <c r="BC1366" s="25"/>
      <c r="BD1366" s="25"/>
      <c r="BE1366" s="25"/>
      <c r="BF1366" s="25"/>
      <c r="BG1366" s="25"/>
      <c r="BH1366" s="25"/>
      <c r="BI1366" s="25"/>
      <c r="BJ1366" s="25"/>
      <c r="BK1366" s="25"/>
      <c r="BL1366" s="25"/>
      <c r="BM1366" s="25"/>
      <c r="BN1366" s="25"/>
      <c r="BO1366" s="25"/>
      <c r="BP1366" s="25"/>
    </row>
    <row r="1367">
      <c r="A1367" s="25"/>
      <c r="B1367" s="168"/>
      <c r="C1367" s="25"/>
      <c r="D1367" s="25"/>
      <c r="E1367" s="25"/>
      <c r="F1367" s="25"/>
      <c r="G1367" s="84"/>
      <c r="H1367" s="25"/>
      <c r="I1367" s="25"/>
      <c r="J1367" s="25"/>
      <c r="K1367" s="169"/>
      <c r="L1367" s="169"/>
      <c r="M1367" s="170" t="b">
        <v>0</v>
      </c>
      <c r="N1367" s="170" t="b">
        <v>0</v>
      </c>
      <c r="O1367" s="48"/>
      <c r="P1367" s="170" t="b">
        <v>0</v>
      </c>
      <c r="Q1367" s="170" t="b">
        <v>0</v>
      </c>
      <c r="R1367" s="170" t="b">
        <v>0</v>
      </c>
      <c r="S1367" s="48"/>
      <c r="T1367" s="60"/>
      <c r="U1367" s="170" t="b">
        <v>0</v>
      </c>
      <c r="V1367" s="170"/>
      <c r="W1367" s="170" t="b">
        <v>0</v>
      </c>
      <c r="X1367" s="170" t="b">
        <v>0</v>
      </c>
      <c r="Y1367" s="170"/>
      <c r="Z1367" s="170"/>
      <c r="AA1367" s="170"/>
      <c r="AB1367" s="170"/>
      <c r="AC1367" s="171"/>
      <c r="AD1367" s="170"/>
      <c r="AE1367" s="170"/>
      <c r="AF1367" s="170"/>
      <c r="AG1367" s="170"/>
      <c r="AH1367" s="170"/>
      <c r="AI1367" s="170"/>
      <c r="AJ1367" s="172"/>
      <c r="AK1367" s="50"/>
      <c r="AL1367" s="25"/>
      <c r="AM1367" s="25"/>
      <c r="AN1367" s="25"/>
      <c r="AO1367" s="165"/>
      <c r="AP1367" s="78"/>
      <c r="AQ1367" s="25"/>
      <c r="AR1367" s="25"/>
      <c r="AS1367" s="25"/>
      <c r="AT1367" s="25"/>
      <c r="AU1367" s="25"/>
      <c r="AV1367" s="25"/>
      <c r="AW1367" s="25"/>
      <c r="AX1367" s="25"/>
      <c r="AY1367" s="25"/>
      <c r="AZ1367" s="25"/>
      <c r="BA1367" s="25"/>
      <c r="BB1367" s="25"/>
      <c r="BC1367" s="25"/>
      <c r="BD1367" s="25"/>
      <c r="BE1367" s="25"/>
      <c r="BF1367" s="25"/>
      <c r="BG1367" s="25"/>
      <c r="BH1367" s="25"/>
      <c r="BI1367" s="25"/>
      <c r="BJ1367" s="25"/>
      <c r="BK1367" s="25"/>
      <c r="BL1367" s="25"/>
      <c r="BM1367" s="25"/>
      <c r="BN1367" s="25"/>
      <c r="BO1367" s="25"/>
      <c r="BP1367" s="25"/>
    </row>
    <row r="1368">
      <c r="A1368" s="25"/>
      <c r="B1368" s="168"/>
      <c r="C1368" s="25"/>
      <c r="D1368" s="25"/>
      <c r="E1368" s="25"/>
      <c r="F1368" s="25"/>
      <c r="G1368" s="84"/>
      <c r="H1368" s="25"/>
      <c r="I1368" s="25"/>
      <c r="J1368" s="25"/>
      <c r="K1368" s="169"/>
      <c r="L1368" s="169"/>
      <c r="M1368" s="170" t="b">
        <v>0</v>
      </c>
      <c r="N1368" s="170" t="b">
        <v>0</v>
      </c>
      <c r="O1368" s="48"/>
      <c r="P1368" s="170" t="b">
        <v>0</v>
      </c>
      <c r="Q1368" s="170" t="b">
        <v>0</v>
      </c>
      <c r="R1368" s="170" t="b">
        <v>0</v>
      </c>
      <c r="S1368" s="48"/>
      <c r="T1368" s="60"/>
      <c r="U1368" s="170" t="b">
        <v>0</v>
      </c>
      <c r="V1368" s="170"/>
      <c r="W1368" s="170" t="b">
        <v>0</v>
      </c>
      <c r="X1368" s="170" t="b">
        <v>0</v>
      </c>
      <c r="Y1368" s="170"/>
      <c r="Z1368" s="170"/>
      <c r="AA1368" s="170"/>
      <c r="AB1368" s="170"/>
      <c r="AC1368" s="171"/>
      <c r="AD1368" s="170"/>
      <c r="AE1368" s="170"/>
      <c r="AF1368" s="170"/>
      <c r="AG1368" s="170"/>
      <c r="AH1368" s="170"/>
      <c r="AI1368" s="170"/>
      <c r="AJ1368" s="172"/>
      <c r="AK1368" s="50"/>
      <c r="AL1368" s="25"/>
      <c r="AM1368" s="25"/>
      <c r="AN1368" s="25"/>
      <c r="AO1368" s="165"/>
      <c r="AP1368" s="78"/>
      <c r="AQ1368" s="25"/>
      <c r="AR1368" s="25"/>
      <c r="AS1368" s="25"/>
      <c r="AT1368" s="25"/>
      <c r="AU1368" s="25"/>
      <c r="AV1368" s="25"/>
      <c r="AW1368" s="25"/>
      <c r="AX1368" s="25"/>
      <c r="AY1368" s="25"/>
      <c r="AZ1368" s="25"/>
      <c r="BA1368" s="25"/>
      <c r="BB1368" s="25"/>
      <c r="BC1368" s="25"/>
      <c r="BD1368" s="25"/>
      <c r="BE1368" s="25"/>
      <c r="BF1368" s="25"/>
      <c r="BG1368" s="25"/>
      <c r="BH1368" s="25"/>
      <c r="BI1368" s="25"/>
      <c r="BJ1368" s="25"/>
      <c r="BK1368" s="25"/>
      <c r="BL1368" s="25"/>
      <c r="BM1368" s="25"/>
      <c r="BN1368" s="25"/>
      <c r="BO1368" s="25"/>
      <c r="BP1368" s="25"/>
    </row>
    <row r="1369">
      <c r="A1369" s="25"/>
      <c r="B1369" s="168"/>
      <c r="C1369" s="25"/>
      <c r="D1369" s="25"/>
      <c r="E1369" s="25"/>
      <c r="F1369" s="25"/>
      <c r="G1369" s="84"/>
      <c r="H1369" s="25"/>
      <c r="I1369" s="25"/>
      <c r="J1369" s="25"/>
      <c r="K1369" s="169"/>
      <c r="L1369" s="169"/>
      <c r="M1369" s="170" t="b">
        <v>0</v>
      </c>
      <c r="N1369" s="170" t="b">
        <v>0</v>
      </c>
      <c r="O1369" s="48"/>
      <c r="P1369" s="170" t="b">
        <v>0</v>
      </c>
      <c r="Q1369" s="170" t="b">
        <v>0</v>
      </c>
      <c r="R1369" s="170" t="b">
        <v>0</v>
      </c>
      <c r="S1369" s="48"/>
      <c r="T1369" s="60"/>
      <c r="U1369" s="170" t="b">
        <v>0</v>
      </c>
      <c r="V1369" s="170"/>
      <c r="W1369" s="170" t="b">
        <v>0</v>
      </c>
      <c r="X1369" s="170" t="b">
        <v>0</v>
      </c>
      <c r="Y1369" s="170"/>
      <c r="Z1369" s="170"/>
      <c r="AA1369" s="170"/>
      <c r="AB1369" s="170"/>
      <c r="AC1369" s="171"/>
      <c r="AD1369" s="170"/>
      <c r="AE1369" s="170"/>
      <c r="AF1369" s="170"/>
      <c r="AG1369" s="170"/>
      <c r="AH1369" s="170"/>
      <c r="AI1369" s="170"/>
      <c r="AJ1369" s="172"/>
      <c r="AK1369" s="50"/>
      <c r="AL1369" s="25"/>
      <c r="AM1369" s="25"/>
      <c r="AN1369" s="25"/>
      <c r="AO1369" s="165"/>
      <c r="AP1369" s="78"/>
      <c r="AQ1369" s="25"/>
      <c r="AR1369" s="25"/>
      <c r="AS1369" s="25"/>
      <c r="AT1369" s="25"/>
      <c r="AU1369" s="25"/>
      <c r="AV1369" s="25"/>
      <c r="AW1369" s="25"/>
      <c r="AX1369" s="25"/>
      <c r="AY1369" s="25"/>
      <c r="AZ1369" s="25"/>
      <c r="BA1369" s="25"/>
      <c r="BB1369" s="25"/>
      <c r="BC1369" s="25"/>
      <c r="BD1369" s="25"/>
      <c r="BE1369" s="25"/>
      <c r="BF1369" s="25"/>
      <c r="BG1369" s="25"/>
      <c r="BH1369" s="25"/>
      <c r="BI1369" s="25"/>
      <c r="BJ1369" s="25"/>
      <c r="BK1369" s="25"/>
      <c r="BL1369" s="25"/>
      <c r="BM1369" s="25"/>
      <c r="BN1369" s="25"/>
      <c r="BO1369" s="25"/>
      <c r="BP1369" s="25"/>
    </row>
    <row r="1370">
      <c r="A1370" s="25"/>
      <c r="B1370" s="168"/>
      <c r="C1370" s="25"/>
      <c r="D1370" s="25"/>
      <c r="E1370" s="25"/>
      <c r="F1370" s="25"/>
      <c r="G1370" s="84"/>
      <c r="H1370" s="25"/>
      <c r="I1370" s="25"/>
      <c r="J1370" s="25"/>
      <c r="K1370" s="169"/>
      <c r="L1370" s="169"/>
      <c r="M1370" s="170" t="b">
        <v>0</v>
      </c>
      <c r="N1370" s="170" t="b">
        <v>0</v>
      </c>
      <c r="O1370" s="48"/>
      <c r="P1370" s="170" t="b">
        <v>0</v>
      </c>
      <c r="Q1370" s="170" t="b">
        <v>0</v>
      </c>
      <c r="R1370" s="170" t="b">
        <v>0</v>
      </c>
      <c r="S1370" s="48"/>
      <c r="T1370" s="60"/>
      <c r="U1370" s="170" t="b">
        <v>0</v>
      </c>
      <c r="V1370" s="170"/>
      <c r="W1370" s="170" t="b">
        <v>0</v>
      </c>
      <c r="X1370" s="170" t="b">
        <v>0</v>
      </c>
      <c r="Y1370" s="170"/>
      <c r="Z1370" s="170"/>
      <c r="AA1370" s="170"/>
      <c r="AB1370" s="170"/>
      <c r="AC1370" s="171"/>
      <c r="AD1370" s="170"/>
      <c r="AE1370" s="170"/>
      <c r="AF1370" s="170"/>
      <c r="AG1370" s="170"/>
      <c r="AH1370" s="170"/>
      <c r="AI1370" s="170"/>
      <c r="AJ1370" s="172"/>
      <c r="AK1370" s="50"/>
      <c r="AL1370" s="25"/>
      <c r="AM1370" s="25"/>
      <c r="AN1370" s="25"/>
      <c r="AO1370" s="165"/>
      <c r="AP1370" s="78"/>
      <c r="AQ1370" s="25"/>
      <c r="AR1370" s="25"/>
      <c r="AS1370" s="25"/>
      <c r="AT1370" s="25"/>
      <c r="AU1370" s="25"/>
      <c r="AV1370" s="25"/>
      <c r="AW1370" s="25"/>
      <c r="AX1370" s="25"/>
      <c r="AY1370" s="25"/>
      <c r="AZ1370" s="25"/>
      <c r="BA1370" s="25"/>
      <c r="BB1370" s="25"/>
      <c r="BC1370" s="25"/>
      <c r="BD1370" s="25"/>
      <c r="BE1370" s="25"/>
      <c r="BF1370" s="25"/>
      <c r="BG1370" s="25"/>
      <c r="BH1370" s="25"/>
      <c r="BI1370" s="25"/>
      <c r="BJ1370" s="25"/>
      <c r="BK1370" s="25"/>
      <c r="BL1370" s="25"/>
      <c r="BM1370" s="25"/>
      <c r="BN1370" s="25"/>
      <c r="BO1370" s="25"/>
      <c r="BP1370" s="25"/>
    </row>
    <row r="1371">
      <c r="A1371" s="25"/>
      <c r="B1371" s="168"/>
      <c r="C1371" s="25"/>
      <c r="D1371" s="25"/>
      <c r="E1371" s="25"/>
      <c r="F1371" s="25"/>
      <c r="G1371" s="84"/>
      <c r="H1371" s="25"/>
      <c r="I1371" s="25"/>
      <c r="J1371" s="25"/>
      <c r="K1371" s="169"/>
      <c r="L1371" s="169"/>
      <c r="M1371" s="170" t="b">
        <v>0</v>
      </c>
      <c r="N1371" s="170" t="b">
        <v>0</v>
      </c>
      <c r="O1371" s="48"/>
      <c r="P1371" s="170" t="b">
        <v>0</v>
      </c>
      <c r="Q1371" s="170" t="b">
        <v>0</v>
      </c>
      <c r="R1371" s="170" t="b">
        <v>0</v>
      </c>
      <c r="S1371" s="48"/>
      <c r="T1371" s="60"/>
      <c r="U1371" s="170" t="b">
        <v>0</v>
      </c>
      <c r="V1371" s="170"/>
      <c r="W1371" s="170" t="b">
        <v>0</v>
      </c>
      <c r="X1371" s="170" t="b">
        <v>0</v>
      </c>
      <c r="Y1371" s="170"/>
      <c r="Z1371" s="170"/>
      <c r="AA1371" s="170"/>
      <c r="AB1371" s="170"/>
      <c r="AC1371" s="171"/>
      <c r="AD1371" s="170"/>
      <c r="AE1371" s="170"/>
      <c r="AF1371" s="170"/>
      <c r="AG1371" s="170"/>
      <c r="AH1371" s="170"/>
      <c r="AI1371" s="170"/>
      <c r="AJ1371" s="172"/>
      <c r="AK1371" s="50"/>
      <c r="AL1371" s="25"/>
      <c r="AM1371" s="25"/>
      <c r="AN1371" s="25"/>
      <c r="AO1371" s="165"/>
      <c r="AP1371" s="78"/>
      <c r="AQ1371" s="25"/>
      <c r="AR1371" s="25"/>
      <c r="AS1371" s="25"/>
      <c r="AT1371" s="25"/>
      <c r="AU1371" s="25"/>
      <c r="AV1371" s="25"/>
      <c r="AW1371" s="25"/>
      <c r="AX1371" s="25"/>
      <c r="AY1371" s="25"/>
      <c r="AZ1371" s="25"/>
      <c r="BA1371" s="25"/>
      <c r="BB1371" s="25"/>
      <c r="BC1371" s="25"/>
      <c r="BD1371" s="25"/>
      <c r="BE1371" s="25"/>
      <c r="BF1371" s="25"/>
      <c r="BG1371" s="25"/>
      <c r="BH1371" s="25"/>
      <c r="BI1371" s="25"/>
      <c r="BJ1371" s="25"/>
      <c r="BK1371" s="25"/>
      <c r="BL1371" s="25"/>
      <c r="BM1371" s="25"/>
      <c r="BN1371" s="25"/>
      <c r="BO1371" s="25"/>
      <c r="BP1371" s="25"/>
    </row>
    <row r="1372">
      <c r="A1372" s="25"/>
      <c r="B1372" s="168"/>
      <c r="C1372" s="25"/>
      <c r="D1372" s="25"/>
      <c r="E1372" s="25"/>
      <c r="F1372" s="25"/>
      <c r="G1372" s="84"/>
      <c r="H1372" s="25"/>
      <c r="I1372" s="25"/>
      <c r="J1372" s="25"/>
      <c r="K1372" s="169"/>
      <c r="L1372" s="169"/>
      <c r="M1372" s="170" t="b">
        <v>0</v>
      </c>
      <c r="N1372" s="170" t="b">
        <v>0</v>
      </c>
      <c r="O1372" s="48"/>
      <c r="P1372" s="170" t="b">
        <v>0</v>
      </c>
      <c r="Q1372" s="170" t="b">
        <v>0</v>
      </c>
      <c r="R1372" s="170" t="b">
        <v>0</v>
      </c>
      <c r="S1372" s="48"/>
      <c r="T1372" s="60"/>
      <c r="U1372" s="170" t="b">
        <v>0</v>
      </c>
      <c r="V1372" s="170"/>
      <c r="W1372" s="170" t="b">
        <v>0</v>
      </c>
      <c r="X1372" s="170" t="b">
        <v>0</v>
      </c>
      <c r="Y1372" s="170"/>
      <c r="Z1372" s="170"/>
      <c r="AA1372" s="170"/>
      <c r="AB1372" s="170"/>
      <c r="AC1372" s="171"/>
      <c r="AD1372" s="170"/>
      <c r="AE1372" s="170"/>
      <c r="AF1372" s="170"/>
      <c r="AG1372" s="170"/>
      <c r="AH1372" s="170"/>
      <c r="AI1372" s="170"/>
      <c r="AJ1372" s="172"/>
      <c r="AK1372" s="50"/>
      <c r="AL1372" s="25"/>
      <c r="AM1372" s="25"/>
      <c r="AN1372" s="25"/>
      <c r="AO1372" s="165"/>
      <c r="AP1372" s="78"/>
      <c r="AQ1372" s="25"/>
      <c r="AR1372" s="25"/>
      <c r="AS1372" s="25"/>
      <c r="AT1372" s="25"/>
      <c r="AU1372" s="25"/>
      <c r="AV1372" s="25"/>
      <c r="AW1372" s="25"/>
      <c r="AX1372" s="25"/>
      <c r="AY1372" s="25"/>
      <c r="AZ1372" s="25"/>
      <c r="BA1372" s="25"/>
      <c r="BB1372" s="25"/>
      <c r="BC1372" s="25"/>
      <c r="BD1372" s="25"/>
      <c r="BE1372" s="25"/>
      <c r="BF1372" s="25"/>
      <c r="BG1372" s="25"/>
      <c r="BH1372" s="25"/>
      <c r="BI1372" s="25"/>
      <c r="BJ1372" s="25"/>
      <c r="BK1372" s="25"/>
      <c r="BL1372" s="25"/>
      <c r="BM1372" s="25"/>
      <c r="BN1372" s="25"/>
      <c r="BO1372" s="25"/>
      <c r="BP1372" s="25"/>
    </row>
    <row r="1373">
      <c r="A1373" s="25"/>
      <c r="B1373" s="168"/>
      <c r="C1373" s="25"/>
      <c r="D1373" s="25"/>
      <c r="E1373" s="25"/>
      <c r="F1373" s="25"/>
      <c r="G1373" s="84"/>
      <c r="H1373" s="25"/>
      <c r="I1373" s="25"/>
      <c r="J1373" s="25"/>
      <c r="K1373" s="169"/>
      <c r="L1373" s="169"/>
      <c r="M1373" s="170" t="b">
        <v>0</v>
      </c>
      <c r="N1373" s="170" t="b">
        <v>0</v>
      </c>
      <c r="O1373" s="48"/>
      <c r="P1373" s="170" t="b">
        <v>0</v>
      </c>
      <c r="Q1373" s="170" t="b">
        <v>0</v>
      </c>
      <c r="R1373" s="170" t="b">
        <v>0</v>
      </c>
      <c r="S1373" s="48"/>
      <c r="T1373" s="60"/>
      <c r="U1373" s="170" t="b">
        <v>0</v>
      </c>
      <c r="V1373" s="170"/>
      <c r="W1373" s="170" t="b">
        <v>0</v>
      </c>
      <c r="X1373" s="170" t="b">
        <v>0</v>
      </c>
      <c r="Y1373" s="170"/>
      <c r="Z1373" s="170"/>
      <c r="AA1373" s="170"/>
      <c r="AB1373" s="170"/>
      <c r="AC1373" s="171"/>
      <c r="AD1373" s="170"/>
      <c r="AE1373" s="170"/>
      <c r="AF1373" s="170"/>
      <c r="AG1373" s="170"/>
      <c r="AH1373" s="170"/>
      <c r="AI1373" s="170"/>
      <c r="AJ1373" s="172"/>
      <c r="AK1373" s="50"/>
      <c r="AL1373" s="25"/>
      <c r="AM1373" s="25"/>
      <c r="AN1373" s="25"/>
      <c r="AO1373" s="165"/>
      <c r="AP1373" s="78"/>
      <c r="AQ1373" s="25"/>
      <c r="AR1373" s="25"/>
      <c r="AS1373" s="25"/>
      <c r="AT1373" s="25"/>
      <c r="AU1373" s="25"/>
      <c r="AV1373" s="25"/>
      <c r="AW1373" s="25"/>
      <c r="AX1373" s="25"/>
      <c r="AY1373" s="25"/>
      <c r="AZ1373" s="25"/>
      <c r="BA1373" s="25"/>
      <c r="BB1373" s="25"/>
      <c r="BC1373" s="25"/>
      <c r="BD1373" s="25"/>
      <c r="BE1373" s="25"/>
      <c r="BF1373" s="25"/>
      <c r="BG1373" s="25"/>
      <c r="BH1373" s="25"/>
      <c r="BI1373" s="25"/>
      <c r="BJ1373" s="25"/>
      <c r="BK1373" s="25"/>
      <c r="BL1373" s="25"/>
      <c r="BM1373" s="25"/>
      <c r="BN1373" s="25"/>
      <c r="BO1373" s="25"/>
      <c r="BP1373" s="25"/>
    </row>
    <row r="1374">
      <c r="A1374" s="25"/>
      <c r="B1374" s="168"/>
      <c r="C1374" s="25"/>
      <c r="D1374" s="25"/>
      <c r="E1374" s="25"/>
      <c r="F1374" s="25"/>
      <c r="G1374" s="84"/>
      <c r="H1374" s="25"/>
      <c r="I1374" s="25"/>
      <c r="J1374" s="25"/>
      <c r="K1374" s="169"/>
      <c r="L1374" s="169"/>
      <c r="M1374" s="170" t="b">
        <v>0</v>
      </c>
      <c r="N1374" s="170" t="b">
        <v>0</v>
      </c>
      <c r="O1374" s="48"/>
      <c r="P1374" s="170" t="b">
        <v>0</v>
      </c>
      <c r="Q1374" s="170" t="b">
        <v>0</v>
      </c>
      <c r="R1374" s="170" t="b">
        <v>0</v>
      </c>
      <c r="S1374" s="48"/>
      <c r="T1374" s="60"/>
      <c r="U1374" s="170" t="b">
        <v>0</v>
      </c>
      <c r="V1374" s="170"/>
      <c r="W1374" s="170" t="b">
        <v>0</v>
      </c>
      <c r="X1374" s="170" t="b">
        <v>0</v>
      </c>
      <c r="Y1374" s="170"/>
      <c r="Z1374" s="170"/>
      <c r="AA1374" s="170"/>
      <c r="AB1374" s="170"/>
      <c r="AC1374" s="171"/>
      <c r="AD1374" s="170"/>
      <c r="AE1374" s="170"/>
      <c r="AF1374" s="170"/>
      <c r="AG1374" s="170"/>
      <c r="AH1374" s="170"/>
      <c r="AI1374" s="170"/>
      <c r="AJ1374" s="172"/>
      <c r="AK1374" s="50"/>
      <c r="AL1374" s="25"/>
      <c r="AM1374" s="25"/>
      <c r="AN1374" s="25"/>
      <c r="AO1374" s="165"/>
      <c r="AP1374" s="78"/>
      <c r="AQ1374" s="25"/>
      <c r="AR1374" s="25"/>
      <c r="AS1374" s="25"/>
      <c r="AT1374" s="25"/>
      <c r="AU1374" s="25"/>
      <c r="AV1374" s="25"/>
      <c r="AW1374" s="25"/>
      <c r="AX1374" s="25"/>
      <c r="AY1374" s="25"/>
      <c r="AZ1374" s="25"/>
      <c r="BA1374" s="25"/>
      <c r="BB1374" s="25"/>
      <c r="BC1374" s="25"/>
      <c r="BD1374" s="25"/>
      <c r="BE1374" s="25"/>
      <c r="BF1374" s="25"/>
      <c r="BG1374" s="25"/>
      <c r="BH1374" s="25"/>
      <c r="BI1374" s="25"/>
      <c r="BJ1374" s="25"/>
      <c r="BK1374" s="25"/>
      <c r="BL1374" s="25"/>
      <c r="BM1374" s="25"/>
      <c r="BN1374" s="25"/>
      <c r="BO1374" s="25"/>
      <c r="BP1374" s="25"/>
    </row>
    <row r="1375">
      <c r="A1375" s="25"/>
      <c r="B1375" s="168"/>
      <c r="C1375" s="25"/>
      <c r="D1375" s="25"/>
      <c r="E1375" s="25"/>
      <c r="F1375" s="25"/>
      <c r="G1375" s="84"/>
      <c r="H1375" s="25"/>
      <c r="I1375" s="25"/>
      <c r="J1375" s="25"/>
      <c r="K1375" s="169"/>
      <c r="L1375" s="169"/>
      <c r="M1375" s="170" t="b">
        <v>0</v>
      </c>
      <c r="N1375" s="170" t="b">
        <v>0</v>
      </c>
      <c r="O1375" s="48"/>
      <c r="P1375" s="170" t="b">
        <v>0</v>
      </c>
      <c r="Q1375" s="170" t="b">
        <v>0</v>
      </c>
      <c r="R1375" s="170" t="b">
        <v>0</v>
      </c>
      <c r="S1375" s="48"/>
      <c r="T1375" s="60"/>
      <c r="U1375" s="170" t="b">
        <v>0</v>
      </c>
      <c r="V1375" s="170"/>
      <c r="W1375" s="170" t="b">
        <v>0</v>
      </c>
      <c r="X1375" s="170" t="b">
        <v>0</v>
      </c>
      <c r="Y1375" s="170"/>
      <c r="Z1375" s="170"/>
      <c r="AA1375" s="170"/>
      <c r="AB1375" s="170"/>
      <c r="AC1375" s="171"/>
      <c r="AD1375" s="170"/>
      <c r="AE1375" s="170"/>
      <c r="AF1375" s="170"/>
      <c r="AG1375" s="170"/>
      <c r="AH1375" s="170"/>
      <c r="AI1375" s="170"/>
      <c r="AJ1375" s="172"/>
      <c r="AK1375" s="50"/>
      <c r="AL1375" s="25"/>
      <c r="AM1375" s="25"/>
      <c r="AN1375" s="25"/>
      <c r="AO1375" s="165"/>
      <c r="AP1375" s="78"/>
      <c r="AQ1375" s="25"/>
      <c r="AR1375" s="25"/>
      <c r="AS1375" s="25"/>
      <c r="AT1375" s="25"/>
      <c r="AU1375" s="25"/>
      <c r="AV1375" s="25"/>
      <c r="AW1375" s="25"/>
      <c r="AX1375" s="25"/>
      <c r="AY1375" s="25"/>
      <c r="AZ1375" s="25"/>
      <c r="BA1375" s="25"/>
      <c r="BB1375" s="25"/>
      <c r="BC1375" s="25"/>
      <c r="BD1375" s="25"/>
      <c r="BE1375" s="25"/>
      <c r="BF1375" s="25"/>
      <c r="BG1375" s="25"/>
      <c r="BH1375" s="25"/>
      <c r="BI1375" s="25"/>
      <c r="BJ1375" s="25"/>
      <c r="BK1375" s="25"/>
      <c r="BL1375" s="25"/>
      <c r="BM1375" s="25"/>
      <c r="BN1375" s="25"/>
      <c r="BO1375" s="25"/>
      <c r="BP1375" s="25"/>
    </row>
    <row r="1376">
      <c r="A1376" s="25"/>
      <c r="B1376" s="168"/>
      <c r="C1376" s="25"/>
      <c r="D1376" s="25"/>
      <c r="E1376" s="25"/>
      <c r="F1376" s="25"/>
      <c r="G1376" s="84"/>
      <c r="H1376" s="25"/>
      <c r="I1376" s="25"/>
      <c r="J1376" s="25"/>
      <c r="K1376" s="169"/>
      <c r="L1376" s="169"/>
      <c r="M1376" s="170" t="b">
        <v>0</v>
      </c>
      <c r="N1376" s="170" t="b">
        <v>0</v>
      </c>
      <c r="O1376" s="48"/>
      <c r="P1376" s="170" t="b">
        <v>0</v>
      </c>
      <c r="Q1376" s="170" t="b">
        <v>0</v>
      </c>
      <c r="R1376" s="170" t="b">
        <v>0</v>
      </c>
      <c r="S1376" s="48"/>
      <c r="T1376" s="60"/>
      <c r="U1376" s="170" t="b">
        <v>0</v>
      </c>
      <c r="V1376" s="170"/>
      <c r="W1376" s="170" t="b">
        <v>0</v>
      </c>
      <c r="X1376" s="170" t="b">
        <v>0</v>
      </c>
      <c r="Y1376" s="170"/>
      <c r="Z1376" s="170"/>
      <c r="AA1376" s="170"/>
      <c r="AB1376" s="170"/>
      <c r="AC1376" s="171"/>
      <c r="AD1376" s="170"/>
      <c r="AE1376" s="170"/>
      <c r="AF1376" s="170"/>
      <c r="AG1376" s="170"/>
      <c r="AH1376" s="170"/>
      <c r="AI1376" s="170"/>
      <c r="AJ1376" s="172"/>
      <c r="AK1376" s="50"/>
      <c r="AL1376" s="25"/>
      <c r="AM1376" s="25"/>
      <c r="AN1376" s="25"/>
      <c r="AO1376" s="165"/>
      <c r="AP1376" s="78"/>
      <c r="AQ1376" s="25"/>
      <c r="AR1376" s="25"/>
      <c r="AS1376" s="25"/>
      <c r="AT1376" s="25"/>
      <c r="AU1376" s="25"/>
      <c r="AV1376" s="25"/>
      <c r="AW1376" s="25"/>
      <c r="AX1376" s="25"/>
      <c r="AY1376" s="25"/>
      <c r="AZ1376" s="25"/>
      <c r="BA1376" s="25"/>
      <c r="BB1376" s="25"/>
      <c r="BC1376" s="25"/>
      <c r="BD1376" s="25"/>
      <c r="BE1376" s="25"/>
      <c r="BF1376" s="25"/>
      <c r="BG1376" s="25"/>
      <c r="BH1376" s="25"/>
      <c r="BI1376" s="25"/>
      <c r="BJ1376" s="25"/>
      <c r="BK1376" s="25"/>
      <c r="BL1376" s="25"/>
      <c r="BM1376" s="25"/>
      <c r="BN1376" s="25"/>
      <c r="BO1376" s="25"/>
      <c r="BP1376" s="25"/>
    </row>
    <row r="1377">
      <c r="A1377" s="25"/>
      <c r="B1377" s="168"/>
      <c r="C1377" s="25"/>
      <c r="D1377" s="25"/>
      <c r="E1377" s="25"/>
      <c r="F1377" s="25"/>
      <c r="G1377" s="84"/>
      <c r="H1377" s="25"/>
      <c r="I1377" s="25"/>
      <c r="J1377" s="25"/>
      <c r="K1377" s="169"/>
      <c r="L1377" s="169"/>
      <c r="M1377" s="170" t="b">
        <v>0</v>
      </c>
      <c r="N1377" s="170" t="b">
        <v>0</v>
      </c>
      <c r="O1377" s="48"/>
      <c r="P1377" s="170" t="b">
        <v>0</v>
      </c>
      <c r="Q1377" s="170" t="b">
        <v>0</v>
      </c>
      <c r="R1377" s="170" t="b">
        <v>0</v>
      </c>
      <c r="S1377" s="48"/>
      <c r="T1377" s="60"/>
      <c r="U1377" s="170" t="b">
        <v>0</v>
      </c>
      <c r="V1377" s="170"/>
      <c r="W1377" s="170" t="b">
        <v>0</v>
      </c>
      <c r="X1377" s="170" t="b">
        <v>0</v>
      </c>
      <c r="Y1377" s="170"/>
      <c r="Z1377" s="170"/>
      <c r="AA1377" s="170"/>
      <c r="AB1377" s="170"/>
      <c r="AC1377" s="171"/>
      <c r="AD1377" s="170"/>
      <c r="AE1377" s="170"/>
      <c r="AF1377" s="170"/>
      <c r="AG1377" s="170"/>
      <c r="AH1377" s="170"/>
      <c r="AI1377" s="170"/>
      <c r="AJ1377" s="172"/>
      <c r="AK1377" s="50"/>
      <c r="AL1377" s="25"/>
      <c r="AM1377" s="25"/>
      <c r="AN1377" s="25"/>
      <c r="AO1377" s="165"/>
      <c r="AP1377" s="78"/>
      <c r="AQ1377" s="25"/>
      <c r="AR1377" s="25"/>
      <c r="AS1377" s="25"/>
      <c r="AT1377" s="25"/>
      <c r="AU1377" s="25"/>
      <c r="AV1377" s="25"/>
      <c r="AW1377" s="25"/>
      <c r="AX1377" s="25"/>
      <c r="AY1377" s="25"/>
      <c r="AZ1377" s="25"/>
      <c r="BA1377" s="25"/>
      <c r="BB1377" s="25"/>
      <c r="BC1377" s="25"/>
      <c r="BD1377" s="25"/>
      <c r="BE1377" s="25"/>
      <c r="BF1377" s="25"/>
      <c r="BG1377" s="25"/>
      <c r="BH1377" s="25"/>
      <c r="BI1377" s="25"/>
      <c r="BJ1377" s="25"/>
      <c r="BK1377" s="25"/>
      <c r="BL1377" s="25"/>
      <c r="BM1377" s="25"/>
      <c r="BN1377" s="25"/>
      <c r="BO1377" s="25"/>
      <c r="BP1377" s="25"/>
    </row>
    <row r="1378">
      <c r="A1378" s="25"/>
      <c r="B1378" s="168"/>
      <c r="C1378" s="25"/>
      <c r="D1378" s="25"/>
      <c r="E1378" s="25"/>
      <c r="F1378" s="25"/>
      <c r="G1378" s="84"/>
      <c r="H1378" s="25"/>
      <c r="I1378" s="25"/>
      <c r="J1378" s="25"/>
      <c r="K1378" s="169"/>
      <c r="L1378" s="169"/>
      <c r="M1378" s="170" t="b">
        <v>0</v>
      </c>
      <c r="N1378" s="170" t="b">
        <v>0</v>
      </c>
      <c r="O1378" s="48"/>
      <c r="P1378" s="170" t="b">
        <v>0</v>
      </c>
      <c r="Q1378" s="170" t="b">
        <v>0</v>
      </c>
      <c r="R1378" s="170" t="b">
        <v>0</v>
      </c>
      <c r="S1378" s="48"/>
      <c r="T1378" s="60"/>
      <c r="U1378" s="170" t="b">
        <v>0</v>
      </c>
      <c r="V1378" s="170"/>
      <c r="W1378" s="170" t="b">
        <v>0</v>
      </c>
      <c r="X1378" s="170" t="b">
        <v>0</v>
      </c>
      <c r="Y1378" s="170"/>
      <c r="Z1378" s="170"/>
      <c r="AA1378" s="170"/>
      <c r="AB1378" s="170"/>
      <c r="AC1378" s="171"/>
      <c r="AD1378" s="170"/>
      <c r="AE1378" s="170"/>
      <c r="AF1378" s="170"/>
      <c r="AG1378" s="170"/>
      <c r="AH1378" s="170"/>
      <c r="AI1378" s="170"/>
      <c r="AJ1378" s="172"/>
      <c r="AK1378" s="173"/>
      <c r="AL1378" s="25"/>
      <c r="AM1378" s="25"/>
      <c r="AN1378" s="25"/>
      <c r="AO1378" s="165"/>
      <c r="AP1378" s="78"/>
      <c r="AQ1378" s="25"/>
      <c r="AR1378" s="25"/>
      <c r="AS1378" s="25"/>
      <c r="AT1378" s="25"/>
      <c r="AU1378" s="25"/>
      <c r="AV1378" s="25"/>
      <c r="AW1378" s="25"/>
      <c r="AX1378" s="25"/>
      <c r="AY1378" s="25"/>
      <c r="AZ1378" s="25"/>
      <c r="BA1378" s="25"/>
      <c r="BB1378" s="25"/>
      <c r="BC1378" s="25"/>
      <c r="BD1378" s="25"/>
      <c r="BE1378" s="25"/>
      <c r="BF1378" s="25"/>
      <c r="BG1378" s="25"/>
      <c r="BH1378" s="25"/>
      <c r="BI1378" s="25"/>
      <c r="BJ1378" s="25"/>
      <c r="BK1378" s="25"/>
      <c r="BL1378" s="25"/>
      <c r="BM1378" s="25"/>
      <c r="BN1378" s="25"/>
      <c r="BO1378" s="25"/>
      <c r="BP1378" s="25"/>
    </row>
  </sheetData>
  <autoFilter ref="$A$1:$AS$1378"/>
  <mergeCells count="718">
    <mergeCell ref="C20:C24"/>
    <mergeCell ref="C25:C41"/>
    <mergeCell ref="D25:D41"/>
    <mergeCell ref="E32:E33"/>
    <mergeCell ref="C42:C45"/>
    <mergeCell ref="D42:D45"/>
    <mergeCell ref="E43:E44"/>
    <mergeCell ref="G57:G58"/>
    <mergeCell ref="H57:H58"/>
    <mergeCell ref="I57:I58"/>
    <mergeCell ref="J57:J58"/>
    <mergeCell ref="E54:E56"/>
    <mergeCell ref="F54:F56"/>
    <mergeCell ref="G54:G56"/>
    <mergeCell ref="H54:H56"/>
    <mergeCell ref="I54:I56"/>
    <mergeCell ref="J54:J56"/>
    <mergeCell ref="F57:F58"/>
    <mergeCell ref="E57:E58"/>
    <mergeCell ref="E59:E61"/>
    <mergeCell ref="F59:F61"/>
    <mergeCell ref="G59:G61"/>
    <mergeCell ref="H59:H61"/>
    <mergeCell ref="I59:I61"/>
    <mergeCell ref="J59:J61"/>
    <mergeCell ref="C62:C67"/>
    <mergeCell ref="D62:D67"/>
    <mergeCell ref="E62:E67"/>
    <mergeCell ref="G62:G67"/>
    <mergeCell ref="H62:H67"/>
    <mergeCell ref="I62:I67"/>
    <mergeCell ref="J62:J67"/>
    <mergeCell ref="AR63:AR67"/>
    <mergeCell ref="C46:C50"/>
    <mergeCell ref="D46:D50"/>
    <mergeCell ref="E46:E47"/>
    <mergeCell ref="C51:C53"/>
    <mergeCell ref="D51:D53"/>
    <mergeCell ref="C54:C61"/>
    <mergeCell ref="D54:D61"/>
    <mergeCell ref="D68:D70"/>
    <mergeCell ref="C2:C3"/>
    <mergeCell ref="D2:D3"/>
    <mergeCell ref="E2:E3"/>
    <mergeCell ref="G2:G3"/>
    <mergeCell ref="H2:H3"/>
    <mergeCell ref="I2:I3"/>
    <mergeCell ref="J2:J3"/>
    <mergeCell ref="C5:C8"/>
    <mergeCell ref="D5:D8"/>
    <mergeCell ref="E6:E8"/>
    <mergeCell ref="G6:G8"/>
    <mergeCell ref="H6:H8"/>
    <mergeCell ref="I6:I8"/>
    <mergeCell ref="J6:J8"/>
    <mergeCell ref="C9:C13"/>
    <mergeCell ref="D9:D13"/>
    <mergeCell ref="E9:E13"/>
    <mergeCell ref="G9:G12"/>
    <mergeCell ref="H9:H12"/>
    <mergeCell ref="I9:I12"/>
    <mergeCell ref="J9:J12"/>
    <mergeCell ref="I20:I21"/>
    <mergeCell ref="J20:J21"/>
    <mergeCell ref="I23:I24"/>
    <mergeCell ref="J23:J24"/>
    <mergeCell ref="H32:H33"/>
    <mergeCell ref="I32:I33"/>
    <mergeCell ref="H43:H44"/>
    <mergeCell ref="I43:I44"/>
    <mergeCell ref="J43:J44"/>
    <mergeCell ref="H46:H47"/>
    <mergeCell ref="I46:I47"/>
    <mergeCell ref="J46:J47"/>
    <mergeCell ref="G20:G21"/>
    <mergeCell ref="G23:G24"/>
    <mergeCell ref="G26:G29"/>
    <mergeCell ref="H26:H29"/>
    <mergeCell ref="I26:I29"/>
    <mergeCell ref="J26:J29"/>
    <mergeCell ref="G32:G33"/>
    <mergeCell ref="J32:J33"/>
    <mergeCell ref="C15:C19"/>
    <mergeCell ref="D15:D19"/>
    <mergeCell ref="D20:D24"/>
    <mergeCell ref="E20:E21"/>
    <mergeCell ref="H20:H21"/>
    <mergeCell ref="E23:E24"/>
    <mergeCell ref="H23:H24"/>
    <mergeCell ref="D133:D140"/>
    <mergeCell ref="E134:E140"/>
    <mergeCell ref="H134:H140"/>
    <mergeCell ref="I134:I140"/>
    <mergeCell ref="J134:J140"/>
    <mergeCell ref="C141:C143"/>
    <mergeCell ref="D141:D143"/>
    <mergeCell ref="E141:E143"/>
    <mergeCell ref="G141:G143"/>
    <mergeCell ref="H141:H143"/>
    <mergeCell ref="I141:I143"/>
    <mergeCell ref="J141:J143"/>
    <mergeCell ref="AR141:AR143"/>
    <mergeCell ref="C111:C112"/>
    <mergeCell ref="D111:D112"/>
    <mergeCell ref="C113:C119"/>
    <mergeCell ref="D113:D119"/>
    <mergeCell ref="C122:C131"/>
    <mergeCell ref="D122:D131"/>
    <mergeCell ref="C133:C140"/>
    <mergeCell ref="C76:C79"/>
    <mergeCell ref="D76:D79"/>
    <mergeCell ref="D80:D83"/>
    <mergeCell ref="E80:E81"/>
    <mergeCell ref="H80:H81"/>
    <mergeCell ref="I80:I81"/>
    <mergeCell ref="J80:J81"/>
    <mergeCell ref="C80:C83"/>
    <mergeCell ref="D85:D95"/>
    <mergeCell ref="E94:E95"/>
    <mergeCell ref="G94:G95"/>
    <mergeCell ref="H94:H95"/>
    <mergeCell ref="I94:I95"/>
    <mergeCell ref="J94:J95"/>
    <mergeCell ref="G96:G99"/>
    <mergeCell ref="H96:H99"/>
    <mergeCell ref="I96:I99"/>
    <mergeCell ref="J96:J99"/>
    <mergeCell ref="H100:H101"/>
    <mergeCell ref="I100:I101"/>
    <mergeCell ref="J100:J101"/>
    <mergeCell ref="E102:E105"/>
    <mergeCell ref="E106:E107"/>
    <mergeCell ref="H106:H107"/>
    <mergeCell ref="H113:H114"/>
    <mergeCell ref="I113:I114"/>
    <mergeCell ref="J113:J114"/>
    <mergeCell ref="H115:H119"/>
    <mergeCell ref="I115:I119"/>
    <mergeCell ref="J115:J119"/>
    <mergeCell ref="G100:G101"/>
    <mergeCell ref="G102:G105"/>
    <mergeCell ref="H102:H105"/>
    <mergeCell ref="I102:I105"/>
    <mergeCell ref="J102:J105"/>
    <mergeCell ref="I106:I107"/>
    <mergeCell ref="J106:J107"/>
    <mergeCell ref="C85:C95"/>
    <mergeCell ref="C96:C105"/>
    <mergeCell ref="D96:D105"/>
    <mergeCell ref="E96:E99"/>
    <mergeCell ref="E100:E101"/>
    <mergeCell ref="C106:C109"/>
    <mergeCell ref="D106:D109"/>
    <mergeCell ref="H157:H158"/>
    <mergeCell ref="I157:I158"/>
    <mergeCell ref="H160:H161"/>
    <mergeCell ref="I160:I161"/>
    <mergeCell ref="J160:J161"/>
    <mergeCell ref="H162:H163"/>
    <mergeCell ref="I162:I163"/>
    <mergeCell ref="J162:J163"/>
    <mergeCell ref="C145:C153"/>
    <mergeCell ref="D145:D153"/>
    <mergeCell ref="C154:C158"/>
    <mergeCell ref="D154:D158"/>
    <mergeCell ref="H154:H155"/>
    <mergeCell ref="I154:I155"/>
    <mergeCell ref="J154:J155"/>
    <mergeCell ref="J157:J158"/>
    <mergeCell ref="C169:C171"/>
    <mergeCell ref="C172:C175"/>
    <mergeCell ref="D172:D175"/>
    <mergeCell ref="E173:E175"/>
    <mergeCell ref="H173:H175"/>
    <mergeCell ref="I173:I175"/>
    <mergeCell ref="J173:J175"/>
    <mergeCell ref="E154:E155"/>
    <mergeCell ref="E157:E158"/>
    <mergeCell ref="C159:C166"/>
    <mergeCell ref="D159:D166"/>
    <mergeCell ref="E160:E161"/>
    <mergeCell ref="E162:E163"/>
    <mergeCell ref="D169:D171"/>
    <mergeCell ref="J182:J184"/>
    <mergeCell ref="K182:K184"/>
    <mergeCell ref="C178:C187"/>
    <mergeCell ref="D178:D187"/>
    <mergeCell ref="H179:H180"/>
    <mergeCell ref="I179:I180"/>
    <mergeCell ref="J179:J180"/>
    <mergeCell ref="K179:K180"/>
    <mergeCell ref="H182:H184"/>
    <mergeCell ref="H191:H195"/>
    <mergeCell ref="I191:I195"/>
    <mergeCell ref="H231:H236"/>
    <mergeCell ref="H246:H247"/>
    <mergeCell ref="H188:H189"/>
    <mergeCell ref="H196:H198"/>
    <mergeCell ref="H199:H200"/>
    <mergeCell ref="H201:H202"/>
    <mergeCell ref="H204:H206"/>
    <mergeCell ref="H214:H215"/>
    <mergeCell ref="H217:H219"/>
    <mergeCell ref="H261:H262"/>
    <mergeCell ref="H264:H269"/>
    <mergeCell ref="H253:H256"/>
    <mergeCell ref="I253:I256"/>
    <mergeCell ref="J253:J256"/>
    <mergeCell ref="G261:G262"/>
    <mergeCell ref="I261:I262"/>
    <mergeCell ref="J261:J262"/>
    <mergeCell ref="G264:G265"/>
    <mergeCell ref="I478:I479"/>
    <mergeCell ref="J478:J479"/>
    <mergeCell ref="H467:H468"/>
    <mergeCell ref="I467:I468"/>
    <mergeCell ref="J467:J468"/>
    <mergeCell ref="H476:H477"/>
    <mergeCell ref="I476:I477"/>
    <mergeCell ref="J476:J477"/>
    <mergeCell ref="H478:H479"/>
    <mergeCell ref="H343:H344"/>
    <mergeCell ref="H345:H347"/>
    <mergeCell ref="H348:H350"/>
    <mergeCell ref="H351:H353"/>
    <mergeCell ref="H355:H356"/>
    <mergeCell ref="H359:H360"/>
    <mergeCell ref="H361:H362"/>
    <mergeCell ref="H366:H369"/>
    <mergeCell ref="H381:H382"/>
    <mergeCell ref="I381:I382"/>
    <mergeCell ref="J381:J382"/>
    <mergeCell ref="H384:H385"/>
    <mergeCell ref="I384:I385"/>
    <mergeCell ref="J384:J385"/>
    <mergeCell ref="I405:I406"/>
    <mergeCell ref="J405:J406"/>
    <mergeCell ref="H392:H393"/>
    <mergeCell ref="I392:I393"/>
    <mergeCell ref="J392:J393"/>
    <mergeCell ref="H398:H401"/>
    <mergeCell ref="I398:I401"/>
    <mergeCell ref="J398:J401"/>
    <mergeCell ref="H405:H406"/>
    <mergeCell ref="I416:I417"/>
    <mergeCell ref="J416:J417"/>
    <mergeCell ref="H407:H410"/>
    <mergeCell ref="I407:I410"/>
    <mergeCell ref="J407:J410"/>
    <mergeCell ref="H413:H414"/>
    <mergeCell ref="I413:I414"/>
    <mergeCell ref="J413:J414"/>
    <mergeCell ref="H416:H417"/>
    <mergeCell ref="H483:H485"/>
    <mergeCell ref="I483:I485"/>
    <mergeCell ref="J483:J485"/>
    <mergeCell ref="H220:H224"/>
    <mergeCell ref="H226:H230"/>
    <mergeCell ref="I226:I230"/>
    <mergeCell ref="J226:J230"/>
    <mergeCell ref="I231:I236"/>
    <mergeCell ref="J231:J236"/>
    <mergeCell ref="J246:J247"/>
    <mergeCell ref="I246:I247"/>
    <mergeCell ref="H249:H250"/>
    <mergeCell ref="I249:I250"/>
    <mergeCell ref="J249:J250"/>
    <mergeCell ref="H251:H252"/>
    <mergeCell ref="I251:I252"/>
    <mergeCell ref="J251:J252"/>
    <mergeCell ref="H285:H286"/>
    <mergeCell ref="I285:I286"/>
    <mergeCell ref="J285:J286"/>
    <mergeCell ref="I264:I269"/>
    <mergeCell ref="J264:J269"/>
    <mergeCell ref="G267:G269"/>
    <mergeCell ref="H272:H283"/>
    <mergeCell ref="I272:I283"/>
    <mergeCell ref="J272:J283"/>
    <mergeCell ref="G273:G283"/>
    <mergeCell ref="C188:C189"/>
    <mergeCell ref="D188:D189"/>
    <mergeCell ref="J188:J189"/>
    <mergeCell ref="K188:K189"/>
    <mergeCell ref="C191:C198"/>
    <mergeCell ref="D191:D198"/>
    <mergeCell ref="J191:J195"/>
    <mergeCell ref="C199:C200"/>
    <mergeCell ref="D199:D200"/>
    <mergeCell ref="E199:E200"/>
    <mergeCell ref="F199:F200"/>
    <mergeCell ref="C201:C209"/>
    <mergeCell ref="D201:D209"/>
    <mergeCell ref="D210:D212"/>
    <mergeCell ref="I196:I198"/>
    <mergeCell ref="J196:J198"/>
    <mergeCell ref="I199:I200"/>
    <mergeCell ref="J199:J200"/>
    <mergeCell ref="I201:I202"/>
    <mergeCell ref="J201:J202"/>
    <mergeCell ref="J204:J206"/>
    <mergeCell ref="C210:C212"/>
    <mergeCell ref="C213:C215"/>
    <mergeCell ref="D213:D215"/>
    <mergeCell ref="C216:C236"/>
    <mergeCell ref="D216:D236"/>
    <mergeCell ref="C237:C238"/>
    <mergeCell ref="D237:D238"/>
    <mergeCell ref="I204:I206"/>
    <mergeCell ref="I214:I215"/>
    <mergeCell ref="J214:J215"/>
    <mergeCell ref="I217:I219"/>
    <mergeCell ref="J217:J219"/>
    <mergeCell ref="I220:I224"/>
    <mergeCell ref="J220:J224"/>
    <mergeCell ref="C292:C298"/>
    <mergeCell ref="D292:D298"/>
    <mergeCell ref="C287:C291"/>
    <mergeCell ref="D287:D291"/>
    <mergeCell ref="H287:H291"/>
    <mergeCell ref="I287:I291"/>
    <mergeCell ref="J287:J291"/>
    <mergeCell ref="G292:G293"/>
    <mergeCell ref="H292:H293"/>
    <mergeCell ref="I292:I293"/>
    <mergeCell ref="J292:J293"/>
    <mergeCell ref="H294:H295"/>
    <mergeCell ref="I294:I295"/>
    <mergeCell ref="J294:J295"/>
    <mergeCell ref="I299:I307"/>
    <mergeCell ref="J299:J307"/>
    <mergeCell ref="G341:G342"/>
    <mergeCell ref="G343:G344"/>
    <mergeCell ref="G345:G347"/>
    <mergeCell ref="G348:G350"/>
    <mergeCell ref="H299:H307"/>
    <mergeCell ref="G308:G310"/>
    <mergeCell ref="H308:H310"/>
    <mergeCell ref="H316:H320"/>
    <mergeCell ref="G318:G320"/>
    <mergeCell ref="H322:H323"/>
    <mergeCell ref="H341:H342"/>
    <mergeCell ref="J343:J344"/>
    <mergeCell ref="J345:J347"/>
    <mergeCell ref="J348:J350"/>
    <mergeCell ref="J351:J353"/>
    <mergeCell ref="J355:J356"/>
    <mergeCell ref="J359:J360"/>
    <mergeCell ref="J361:J362"/>
    <mergeCell ref="J366:J369"/>
    <mergeCell ref="I308:I310"/>
    <mergeCell ref="J308:J310"/>
    <mergeCell ref="I316:I320"/>
    <mergeCell ref="J316:J320"/>
    <mergeCell ref="I322:I323"/>
    <mergeCell ref="J322:J323"/>
    <mergeCell ref="J341:J342"/>
    <mergeCell ref="I361:I362"/>
    <mergeCell ref="I366:I369"/>
    <mergeCell ref="I341:I342"/>
    <mergeCell ref="I343:I344"/>
    <mergeCell ref="I345:I347"/>
    <mergeCell ref="I348:I350"/>
    <mergeCell ref="I351:I353"/>
    <mergeCell ref="I355:I356"/>
    <mergeCell ref="I359:I360"/>
    <mergeCell ref="I463:I464"/>
    <mergeCell ref="J463:J464"/>
    <mergeCell ref="AN476:AN477"/>
    <mergeCell ref="AP476:AP477"/>
    <mergeCell ref="AQ476:AQ477"/>
    <mergeCell ref="H442:H443"/>
    <mergeCell ref="I442:I443"/>
    <mergeCell ref="J442:J443"/>
    <mergeCell ref="H453:H456"/>
    <mergeCell ref="I453:I456"/>
    <mergeCell ref="J453:J456"/>
    <mergeCell ref="H463:H464"/>
    <mergeCell ref="C239:C241"/>
    <mergeCell ref="D239:D241"/>
    <mergeCell ref="C242:C243"/>
    <mergeCell ref="D242:D243"/>
    <mergeCell ref="C245:C252"/>
    <mergeCell ref="D245:D252"/>
    <mergeCell ref="D253:D260"/>
    <mergeCell ref="D261:D262"/>
    <mergeCell ref="C253:C260"/>
    <mergeCell ref="C261:C262"/>
    <mergeCell ref="C263:C284"/>
    <mergeCell ref="D263:D284"/>
    <mergeCell ref="C285:C286"/>
    <mergeCell ref="D285:D286"/>
    <mergeCell ref="E285:E286"/>
    <mergeCell ref="C299:C307"/>
    <mergeCell ref="D299:D307"/>
    <mergeCell ref="C308:C310"/>
    <mergeCell ref="D308:D310"/>
    <mergeCell ref="C313:C315"/>
    <mergeCell ref="D313:D315"/>
    <mergeCell ref="D316:D327"/>
    <mergeCell ref="C316:C327"/>
    <mergeCell ref="C328:C342"/>
    <mergeCell ref="D328:D342"/>
    <mergeCell ref="C343:C350"/>
    <mergeCell ref="D343:D350"/>
    <mergeCell ref="C351:C364"/>
    <mergeCell ref="D351:D364"/>
    <mergeCell ref="C365:C397"/>
    <mergeCell ref="D365:D397"/>
    <mergeCell ref="C398:C404"/>
    <mergeCell ref="D398:D404"/>
    <mergeCell ref="C405:C419"/>
    <mergeCell ref="D405:D419"/>
    <mergeCell ref="D420:D425"/>
    <mergeCell ref="E442:E443"/>
    <mergeCell ref="E453:E456"/>
    <mergeCell ref="F453:F456"/>
    <mergeCell ref="C420:C425"/>
    <mergeCell ref="C427:C439"/>
    <mergeCell ref="D427:D439"/>
    <mergeCell ref="C440:C443"/>
    <mergeCell ref="D440:D443"/>
    <mergeCell ref="C444:C462"/>
    <mergeCell ref="D444:D462"/>
    <mergeCell ref="H519:H520"/>
    <mergeCell ref="H525:H528"/>
    <mergeCell ref="H517:H518"/>
    <mergeCell ref="I517:I518"/>
    <mergeCell ref="J517:J518"/>
    <mergeCell ref="I519:I520"/>
    <mergeCell ref="J519:J520"/>
    <mergeCell ref="I521:I522"/>
    <mergeCell ref="J521:J522"/>
    <mergeCell ref="I628:I630"/>
    <mergeCell ref="J628:J630"/>
    <mergeCell ref="H616:H618"/>
    <mergeCell ref="I616:I618"/>
    <mergeCell ref="J616:J618"/>
    <mergeCell ref="H620:H621"/>
    <mergeCell ref="I620:I621"/>
    <mergeCell ref="J620:J621"/>
    <mergeCell ref="H628:H630"/>
    <mergeCell ref="I525:I528"/>
    <mergeCell ref="J525:J528"/>
    <mergeCell ref="H529:H531"/>
    <mergeCell ref="I529:I531"/>
    <mergeCell ref="J529:J531"/>
    <mergeCell ref="I533:I535"/>
    <mergeCell ref="J533:J535"/>
    <mergeCell ref="H533:H535"/>
    <mergeCell ref="H543:H544"/>
    <mergeCell ref="I543:I544"/>
    <mergeCell ref="J543:J544"/>
    <mergeCell ref="H545:H547"/>
    <mergeCell ref="I545:I547"/>
    <mergeCell ref="J545:J547"/>
    <mergeCell ref="I559:I561"/>
    <mergeCell ref="J559:J561"/>
    <mergeCell ref="H552:H555"/>
    <mergeCell ref="I552:I555"/>
    <mergeCell ref="J552:J555"/>
    <mergeCell ref="H556:H557"/>
    <mergeCell ref="I556:I557"/>
    <mergeCell ref="J556:J557"/>
    <mergeCell ref="H559:H561"/>
    <mergeCell ref="I578:I581"/>
    <mergeCell ref="J578:J581"/>
    <mergeCell ref="H565:H567"/>
    <mergeCell ref="I565:I567"/>
    <mergeCell ref="J565:J567"/>
    <mergeCell ref="H574:H576"/>
    <mergeCell ref="I574:I576"/>
    <mergeCell ref="J574:J576"/>
    <mergeCell ref="H578:H581"/>
    <mergeCell ref="H654:H655"/>
    <mergeCell ref="I654:I655"/>
    <mergeCell ref="J654:J655"/>
    <mergeCell ref="I698:I699"/>
    <mergeCell ref="J698:J699"/>
    <mergeCell ref="H688:H689"/>
    <mergeCell ref="I688:I689"/>
    <mergeCell ref="J688:J689"/>
    <mergeCell ref="H690:H691"/>
    <mergeCell ref="I690:I691"/>
    <mergeCell ref="J690:J691"/>
    <mergeCell ref="H698:H699"/>
    <mergeCell ref="I650:I652"/>
    <mergeCell ref="J650:J652"/>
    <mergeCell ref="H642:H643"/>
    <mergeCell ref="I642:I643"/>
    <mergeCell ref="J642:J643"/>
    <mergeCell ref="H645:H647"/>
    <mergeCell ref="I645:I647"/>
    <mergeCell ref="J645:J647"/>
    <mergeCell ref="H650:H652"/>
    <mergeCell ref="I669:I670"/>
    <mergeCell ref="J669:J670"/>
    <mergeCell ref="H664:H666"/>
    <mergeCell ref="I664:I666"/>
    <mergeCell ref="J664:J666"/>
    <mergeCell ref="H667:H668"/>
    <mergeCell ref="I667:I668"/>
    <mergeCell ref="J667:J668"/>
    <mergeCell ref="H669:H670"/>
    <mergeCell ref="I686:I687"/>
    <mergeCell ref="J686:J687"/>
    <mergeCell ref="H676:H677"/>
    <mergeCell ref="I676:I677"/>
    <mergeCell ref="J676:J677"/>
    <mergeCell ref="H681:H684"/>
    <mergeCell ref="I681:I684"/>
    <mergeCell ref="J681:J684"/>
    <mergeCell ref="H686:H687"/>
    <mergeCell ref="H701:H702"/>
    <mergeCell ref="I701:I702"/>
    <mergeCell ref="J701:J702"/>
    <mergeCell ref="I742:I743"/>
    <mergeCell ref="J742:J743"/>
    <mergeCell ref="H729:H730"/>
    <mergeCell ref="I729:I730"/>
    <mergeCell ref="J729:J730"/>
    <mergeCell ref="H732:H741"/>
    <mergeCell ref="I732:I741"/>
    <mergeCell ref="J732:J741"/>
    <mergeCell ref="H742:H743"/>
    <mergeCell ref="I640:I641"/>
    <mergeCell ref="J640:J641"/>
    <mergeCell ref="H634:H635"/>
    <mergeCell ref="I634:I635"/>
    <mergeCell ref="J634:J635"/>
    <mergeCell ref="H637:H638"/>
    <mergeCell ref="I637:I638"/>
    <mergeCell ref="J637:J638"/>
    <mergeCell ref="H640:H641"/>
    <mergeCell ref="I709:I710"/>
    <mergeCell ref="J709:J710"/>
    <mergeCell ref="H703:H705"/>
    <mergeCell ref="I703:I705"/>
    <mergeCell ref="J703:J705"/>
    <mergeCell ref="H707:H708"/>
    <mergeCell ref="I707:I708"/>
    <mergeCell ref="J707:J708"/>
    <mergeCell ref="H709:H710"/>
    <mergeCell ref="I726:I727"/>
    <mergeCell ref="J726:J727"/>
    <mergeCell ref="H713:H714"/>
    <mergeCell ref="I713:I714"/>
    <mergeCell ref="J713:J714"/>
    <mergeCell ref="H719:H720"/>
    <mergeCell ref="I719:I720"/>
    <mergeCell ref="J719:J720"/>
    <mergeCell ref="H726:H727"/>
    <mergeCell ref="H745:H747"/>
    <mergeCell ref="I745:I747"/>
    <mergeCell ref="I510:I512"/>
    <mergeCell ref="J510:J512"/>
    <mergeCell ref="H498:H503"/>
    <mergeCell ref="I498:I503"/>
    <mergeCell ref="J498:J503"/>
    <mergeCell ref="H505:H509"/>
    <mergeCell ref="I505:I509"/>
    <mergeCell ref="J505:J509"/>
    <mergeCell ref="H510:H512"/>
    <mergeCell ref="E476:E477"/>
    <mergeCell ref="E478:E479"/>
    <mergeCell ref="F478:F479"/>
    <mergeCell ref="C463:C471"/>
    <mergeCell ref="D463:D471"/>
    <mergeCell ref="E467:E468"/>
    <mergeCell ref="C472:C473"/>
    <mergeCell ref="D472:D473"/>
    <mergeCell ref="C475:C482"/>
    <mergeCell ref="D475:D482"/>
    <mergeCell ref="C483:C485"/>
    <mergeCell ref="D483:D485"/>
    <mergeCell ref="E483:E485"/>
    <mergeCell ref="F483:F485"/>
    <mergeCell ref="H486:H487"/>
    <mergeCell ref="I486:I487"/>
    <mergeCell ref="J486:J487"/>
    <mergeCell ref="I496:I497"/>
    <mergeCell ref="J496:J497"/>
    <mergeCell ref="H488:H489"/>
    <mergeCell ref="I488:I489"/>
    <mergeCell ref="J488:J489"/>
    <mergeCell ref="H493:H495"/>
    <mergeCell ref="I493:I495"/>
    <mergeCell ref="J493:J495"/>
    <mergeCell ref="H496:H497"/>
    <mergeCell ref="C486:C495"/>
    <mergeCell ref="D486:D495"/>
    <mergeCell ref="C496:C514"/>
    <mergeCell ref="D496:D514"/>
    <mergeCell ref="C515:C516"/>
    <mergeCell ref="D515:D516"/>
    <mergeCell ref="C517:C518"/>
    <mergeCell ref="H548:H549"/>
    <mergeCell ref="I548:I549"/>
    <mergeCell ref="J548:J549"/>
    <mergeCell ref="I594:I595"/>
    <mergeCell ref="J594:J595"/>
    <mergeCell ref="H582:H585"/>
    <mergeCell ref="I582:I585"/>
    <mergeCell ref="J582:J585"/>
    <mergeCell ref="H588:H593"/>
    <mergeCell ref="I588:I593"/>
    <mergeCell ref="J588:J593"/>
    <mergeCell ref="H594:H595"/>
    <mergeCell ref="I610:I611"/>
    <mergeCell ref="J610:J611"/>
    <mergeCell ref="H599:H605"/>
    <mergeCell ref="I599:I605"/>
    <mergeCell ref="J599:J605"/>
    <mergeCell ref="H608:H609"/>
    <mergeCell ref="I608:I609"/>
    <mergeCell ref="J608:J609"/>
    <mergeCell ref="H610:H611"/>
    <mergeCell ref="C640:C648"/>
    <mergeCell ref="C649:C657"/>
    <mergeCell ref="C658:C663"/>
    <mergeCell ref="C664:C670"/>
    <mergeCell ref="C671:C674"/>
    <mergeCell ref="C675:C680"/>
    <mergeCell ref="C681:C692"/>
    <mergeCell ref="C729:C731"/>
    <mergeCell ref="C732:C743"/>
    <mergeCell ref="C744:C749"/>
    <mergeCell ref="C750:C754"/>
    <mergeCell ref="C755:C759"/>
    <mergeCell ref="C760:C764"/>
    <mergeCell ref="C765:C766"/>
    <mergeCell ref="C767:C771"/>
    <mergeCell ref="C693:C697"/>
    <mergeCell ref="C698:C702"/>
    <mergeCell ref="C703:C705"/>
    <mergeCell ref="C706:C710"/>
    <mergeCell ref="C712:C721"/>
    <mergeCell ref="C722:C724"/>
    <mergeCell ref="C725:C728"/>
    <mergeCell ref="D732:D743"/>
    <mergeCell ref="D744:D749"/>
    <mergeCell ref="H748:H749"/>
    <mergeCell ref="I748:I749"/>
    <mergeCell ref="H750:H751"/>
    <mergeCell ref="I750:I751"/>
    <mergeCell ref="J750:J751"/>
    <mergeCell ref="D750:D754"/>
    <mergeCell ref="D755:D759"/>
    <mergeCell ref="D760:D764"/>
    <mergeCell ref="D765:D766"/>
    <mergeCell ref="D767:D771"/>
    <mergeCell ref="D698:D702"/>
    <mergeCell ref="D703:D705"/>
    <mergeCell ref="D706:D710"/>
    <mergeCell ref="D712:D721"/>
    <mergeCell ref="D722:D724"/>
    <mergeCell ref="D725:D728"/>
    <mergeCell ref="D729:D731"/>
    <mergeCell ref="H760:H762"/>
    <mergeCell ref="H763:H764"/>
    <mergeCell ref="I763:I764"/>
    <mergeCell ref="J763:J764"/>
    <mergeCell ref="H765:H766"/>
    <mergeCell ref="I765:I766"/>
    <mergeCell ref="J765:J766"/>
    <mergeCell ref="F767:F770"/>
    <mergeCell ref="H752:H753"/>
    <mergeCell ref="I752:I753"/>
    <mergeCell ref="J752:J753"/>
    <mergeCell ref="H755:H757"/>
    <mergeCell ref="H758:H759"/>
    <mergeCell ref="I760:I762"/>
    <mergeCell ref="J760:J762"/>
    <mergeCell ref="C519:C520"/>
    <mergeCell ref="D519:D520"/>
    <mergeCell ref="C521:C522"/>
    <mergeCell ref="D521:D522"/>
    <mergeCell ref="C524:C528"/>
    <mergeCell ref="D524:D528"/>
    <mergeCell ref="E525:E528"/>
    <mergeCell ref="E529:E531"/>
    <mergeCell ref="D558:D562"/>
    <mergeCell ref="E559:E561"/>
    <mergeCell ref="C529:C538"/>
    <mergeCell ref="D529:D538"/>
    <mergeCell ref="E533:E535"/>
    <mergeCell ref="D539:D551"/>
    <mergeCell ref="C552:C557"/>
    <mergeCell ref="D552:D557"/>
    <mergeCell ref="C558:C562"/>
    <mergeCell ref="C563:C564"/>
    <mergeCell ref="D563:D564"/>
    <mergeCell ref="C565:C568"/>
    <mergeCell ref="D565:D568"/>
    <mergeCell ref="E565:E567"/>
    <mergeCell ref="D574:D577"/>
    <mergeCell ref="F574:F576"/>
    <mergeCell ref="C574:C577"/>
    <mergeCell ref="C578:C586"/>
    <mergeCell ref="D578:D586"/>
    <mergeCell ref="C587:C605"/>
    <mergeCell ref="D587:D605"/>
    <mergeCell ref="C606:C615"/>
    <mergeCell ref="D606:D615"/>
    <mergeCell ref="C616:C624"/>
    <mergeCell ref="D616:D624"/>
    <mergeCell ref="C625:C630"/>
    <mergeCell ref="D625:D630"/>
    <mergeCell ref="C631:C639"/>
    <mergeCell ref="D631:D639"/>
    <mergeCell ref="D640:D648"/>
    <mergeCell ref="D649:D657"/>
    <mergeCell ref="D658:D663"/>
    <mergeCell ref="D664:D670"/>
    <mergeCell ref="D671:D674"/>
    <mergeCell ref="D675:D680"/>
    <mergeCell ref="D681:D692"/>
    <mergeCell ref="D693:D697"/>
  </mergeCells>
  <dataValidations>
    <dataValidation type="list" allowBlank="1" showErrorMessage="1" sqref="AB2:AB1378">
      <formula1>"-hum/-hom,-hin/-hen,-h- &gt; -∅- (e.g. -on),-h- &gt; -y-"</formula1>
    </dataValidation>
    <dataValidation type="list" allowBlank="1" showErrorMessage="1" sqref="AI2:AI1378">
      <formula1>"kān / čān,baka~biki / yibki~yibka,baka~biki / yikbi~yikba"</formula1>
    </dataValidation>
    <dataValidation type="list" allowBlank="1" showErrorMessage="1" sqref="AL2:AL1378">
      <formula1>"מאושר לתעתיק,עבר תעתיק,עבר הגהה,אושר (אורי),בטיפול"</formula1>
    </dataValidation>
    <dataValidation type="list" allowBlank="1" showErrorMessage="1" sqref="AD2:AD1378">
      <formula1>"bi-,byi-,yi-"</formula1>
    </dataValidation>
    <dataValidation type="list" allowBlank="1" showErrorMessage="1" sqref="AE2:AE1378">
      <formula1>"bidd,badd,widd"</formula1>
    </dataValidation>
    <dataValidation type="list" allowBlank="1" showErrorMessage="1" sqref="O2:O1378">
      <formula1>"-a,-e,-i,pausal"</formula1>
    </dataValidation>
    <dataValidation type="list" allowBlank="1" showErrorMessage="1" sqref="AC2:AC1378">
      <formula1>"-ha,-a,-a / -ya (after -i-),-hä#/-he#,-a; -ha only after -ū- / -i-"</formula1>
    </dataValidation>
    <dataValidation type="list" allowBlank="1" showErrorMessage="1" sqref="Z2:Z1378">
      <formula1>"hum/hom,hunne,hinne/hinne,humme/homme,himma/hinna,hunni"</formula1>
    </dataValidation>
    <dataValidation type="list" allowBlank="1" showErrorMessage="1" sqref="AF2:AF1378">
      <formula1>"issa/hassāʿa,hallaʾ/halʾēt/halkēt/halgēt,alḥīn"</formula1>
    </dataValidation>
    <dataValidation type="list" allowBlank="1" showErrorMessage="1" sqref="S2:S1378">
      <formula1>"ǧ,ž,conditioned"</formula1>
    </dataValidation>
    <dataValidation type="list" allowBlank="1" showErrorMessage="1" sqref="T2:T1378">
      <formula1>"g,q,k,ʾ,g/ǧ/k (conditioned)"</formula1>
    </dataValidation>
    <dataValidation type="list" allowBlank="1" showErrorMessage="1" sqref="AG2:AG1378">
      <formula1>"ēmta,wēnta,wagtēš"</formula1>
    </dataValidation>
    <dataValidation type="list" allowBlank="1" showErrorMessage="1" sqref="AK2:AK1378">
      <formula1>"דקדוק,זבל,תעתיק,הגהה,בקרה"</formula1>
    </dataValidation>
    <dataValidation type="list" allowBlank="1" showErrorMessage="1" sqref="G2 G4:G6 G9 G13:G20 G22:G23 G25:G26 G30:G32 G34:G54 G57 G59 G62 G68:G94 G96 G100 G102 G106:G141 G144:G261 G263:G264 G266:G267 G270:G273 G284:G292 G294:G308 G311:G318 G321:G341 G343 G345 G348 G351:G1378">
      <formula1>"ṯqīl,ṯʾīl,tʾīl,tḳīl,ṯgīl,ṯiǧīl,ṯkīl"</formula1>
    </dataValidation>
    <dataValidation type="list" allowBlank="1" showErrorMessage="1" sqref="AH2:AH1378">
      <formula1>"hōn,hān,hīn,hina"</formula1>
    </dataValidation>
    <dataValidation type="list" allowBlank="1" showErrorMessage="1" sqref="AM2:AM1378">
      <formula1>"נור + עהוד,דאליה + אורי,ניצן + תסנים,בן,ינאי,אורי,דאליה + תומר,תסנים + אורי,תומר,עהוד + ינאי,רבחי + עמנואל,עהוד+רבחי,רבחי"</formula1>
    </dataValidation>
    <dataValidation type="list" allowBlank="1" showErrorMessage="1" sqref="V2:V1378">
      <formula1>"*CCC &gt; CvCC,*CCC &gt; CCvC"</formula1>
    </dataValidation>
    <dataValidation type="list" allowBlank="1" showErrorMessage="1" sqref="AA2:AA1378">
      <formula1>"-kum/-kom,-ku/-ko,-kam/-kum,-čin"</formula1>
    </dataValidation>
    <dataValidation type="list" allowBlank="1" showErrorMessage="1" sqref="Y2:Y1378">
      <formula1>"iḥna,niḥna"</formula1>
    </dataValidation>
  </dataValidations>
  <hyperlinks>
    <hyperlink r:id="rId2" ref="AN2"/>
    <hyperlink r:id="rId3" ref="AN3"/>
    <hyperlink r:id="rId4" ref="AN4"/>
    <hyperlink r:id="rId5" ref="AN5"/>
    <hyperlink r:id="rId6" ref="AN6"/>
    <hyperlink r:id="rId7" ref="AN7"/>
    <hyperlink r:id="rId8" ref="AN8"/>
    <hyperlink r:id="rId9" ref="AN9"/>
    <hyperlink r:id="rId10" ref="AN10"/>
    <hyperlink r:id="rId11" ref="AN11"/>
    <hyperlink r:id="rId12" ref="AR11"/>
    <hyperlink r:id="rId13" ref="AN12"/>
    <hyperlink r:id="rId14" ref="AN13"/>
    <hyperlink r:id="rId15" ref="AR13"/>
    <hyperlink r:id="rId16" ref="AN14"/>
    <hyperlink r:id="rId17" ref="AR14"/>
    <hyperlink r:id="rId18" ref="AN15"/>
    <hyperlink r:id="rId19" ref="AR15"/>
    <hyperlink r:id="rId20" ref="AN16"/>
    <hyperlink r:id="rId21" ref="AR16"/>
    <hyperlink r:id="rId22" ref="AN17"/>
    <hyperlink r:id="rId23" ref="AN18"/>
    <hyperlink r:id="rId24" ref="AN19"/>
    <hyperlink r:id="rId25" ref="AR19"/>
    <hyperlink r:id="rId26" ref="AN20"/>
    <hyperlink r:id="rId27" ref="AR20"/>
    <hyperlink r:id="rId28" ref="AN21"/>
    <hyperlink r:id="rId29" ref="AN22"/>
    <hyperlink r:id="rId30" ref="AR22"/>
    <hyperlink r:id="rId31" ref="AN23"/>
    <hyperlink r:id="rId32" ref="AR23"/>
    <hyperlink r:id="rId33" ref="AN24"/>
    <hyperlink r:id="rId34" ref="AR24"/>
    <hyperlink r:id="rId35" ref="AN25"/>
    <hyperlink r:id="rId36" ref="AR25"/>
    <hyperlink r:id="rId37" ref="AN26"/>
    <hyperlink r:id="rId38" ref="AR26"/>
    <hyperlink r:id="rId39" ref="AN27"/>
    <hyperlink r:id="rId40" ref="AR27"/>
    <hyperlink r:id="rId41" ref="AN28"/>
    <hyperlink r:id="rId42" ref="AN29"/>
    <hyperlink r:id="rId43" ref="AN30"/>
    <hyperlink r:id="rId44" ref="AN31"/>
    <hyperlink r:id="rId45" ref="AR31"/>
    <hyperlink r:id="rId46" ref="AN32"/>
    <hyperlink r:id="rId47" ref="AR32"/>
    <hyperlink r:id="rId48" ref="AN33"/>
    <hyperlink r:id="rId49" ref="AR33"/>
    <hyperlink r:id="rId50" ref="AN34"/>
    <hyperlink r:id="rId51" ref="AR34"/>
    <hyperlink r:id="rId52" ref="AN35"/>
    <hyperlink r:id="rId53" ref="AR35"/>
    <hyperlink r:id="rId54" ref="AN36"/>
    <hyperlink r:id="rId55" ref="AR36"/>
    <hyperlink r:id="rId56" ref="AN37"/>
    <hyperlink r:id="rId57" ref="AR37"/>
    <hyperlink r:id="rId58" ref="AN38"/>
    <hyperlink r:id="rId59" ref="AR38"/>
    <hyperlink r:id="rId60" ref="AN39"/>
    <hyperlink r:id="rId61" ref="AR39"/>
    <hyperlink r:id="rId62" ref="AN40"/>
    <hyperlink r:id="rId63" ref="AR40"/>
    <hyperlink r:id="rId64" ref="AN41"/>
    <hyperlink r:id="rId65" ref="AR41"/>
    <hyperlink r:id="rId66" ref="AN42"/>
    <hyperlink r:id="rId67" ref="AR42"/>
    <hyperlink r:id="rId68" ref="AN43"/>
    <hyperlink r:id="rId69" ref="AR43"/>
    <hyperlink r:id="rId70" ref="AN44"/>
    <hyperlink r:id="rId71" ref="AR44"/>
    <hyperlink r:id="rId72" ref="AN45"/>
    <hyperlink r:id="rId73" ref="AN46"/>
    <hyperlink r:id="rId74" ref="AR46"/>
    <hyperlink r:id="rId75" ref="AN47"/>
    <hyperlink r:id="rId76" ref="AR47"/>
    <hyperlink r:id="rId77" ref="AN48"/>
    <hyperlink r:id="rId78" ref="AR48"/>
    <hyperlink r:id="rId79" ref="AN49"/>
    <hyperlink r:id="rId80" ref="AR49"/>
    <hyperlink r:id="rId81" ref="AN50"/>
    <hyperlink r:id="rId82" ref="AN51"/>
    <hyperlink r:id="rId83" ref="AR51"/>
    <hyperlink r:id="rId84" ref="AN52"/>
    <hyperlink r:id="rId85" ref="AN53"/>
    <hyperlink r:id="rId86" ref="AN54"/>
    <hyperlink r:id="rId87" ref="AN55"/>
    <hyperlink r:id="rId88" ref="AN56"/>
    <hyperlink r:id="rId89" ref="AN57"/>
    <hyperlink r:id="rId90" ref="AN58"/>
    <hyperlink r:id="rId91" ref="AN59"/>
    <hyperlink r:id="rId92" ref="AN60"/>
    <hyperlink r:id="rId93" ref="AN61"/>
    <hyperlink r:id="rId94" ref="AN62"/>
    <hyperlink r:id="rId95" ref="AR62"/>
    <hyperlink r:id="rId96" ref="AN63"/>
    <hyperlink r:id="rId97" ref="AR63"/>
    <hyperlink r:id="rId98" ref="AN64"/>
    <hyperlink r:id="rId99" ref="AN65"/>
    <hyperlink r:id="rId100" ref="AN66"/>
    <hyperlink r:id="rId101" ref="AN67"/>
    <hyperlink r:id="rId102" ref="AN68"/>
    <hyperlink r:id="rId103" ref="AR68"/>
    <hyperlink r:id="rId104" ref="AN69"/>
    <hyperlink r:id="rId105" ref="AN70"/>
    <hyperlink r:id="rId106" ref="AN71"/>
    <hyperlink r:id="rId107" ref="AN72"/>
    <hyperlink r:id="rId108" ref="AR72"/>
    <hyperlink r:id="rId109" ref="AN73"/>
    <hyperlink r:id="rId110" ref="AR73"/>
    <hyperlink r:id="rId111" ref="AJ74"/>
    <hyperlink r:id="rId112" ref="AN74"/>
    <hyperlink r:id="rId113" ref="AJ75"/>
    <hyperlink r:id="rId114" ref="AN75"/>
    <hyperlink r:id="rId115" ref="AN76"/>
    <hyperlink r:id="rId116" ref="AR76"/>
    <hyperlink r:id="rId117" ref="AN77"/>
    <hyperlink r:id="rId118" ref="AR77"/>
    <hyperlink r:id="rId119" ref="AN78"/>
    <hyperlink r:id="rId120" ref="AN79"/>
    <hyperlink r:id="rId121" ref="AN80"/>
    <hyperlink r:id="rId122" ref="AR80"/>
    <hyperlink r:id="rId123" ref="AN81"/>
    <hyperlink r:id="rId124" ref="AR81"/>
    <hyperlink r:id="rId125" ref="AN82"/>
    <hyperlink r:id="rId126" ref="AR82"/>
    <hyperlink r:id="rId127" ref="AN83"/>
    <hyperlink r:id="rId128" ref="AN84"/>
    <hyperlink r:id="rId129" ref="AN85"/>
    <hyperlink r:id="rId130" ref="AN86"/>
    <hyperlink r:id="rId131" ref="AN87"/>
    <hyperlink r:id="rId132" ref="AN88"/>
    <hyperlink r:id="rId133" ref="AN89"/>
    <hyperlink r:id="rId134" ref="AN90"/>
    <hyperlink r:id="rId135" ref="AN91"/>
    <hyperlink r:id="rId136" ref="AN92"/>
    <hyperlink r:id="rId137" ref="AR92"/>
    <hyperlink r:id="rId138" ref="AN93"/>
    <hyperlink r:id="rId139" ref="AR93"/>
    <hyperlink r:id="rId140" ref="AN94"/>
    <hyperlink r:id="rId141" ref="AR94"/>
    <hyperlink r:id="rId142" ref="AN95"/>
    <hyperlink r:id="rId143" ref="AN96"/>
    <hyperlink r:id="rId144" ref="AN97"/>
    <hyperlink r:id="rId145" ref="AN98"/>
    <hyperlink r:id="rId146" ref="AN99"/>
    <hyperlink r:id="rId147" ref="AN100"/>
    <hyperlink r:id="rId148" ref="AN101"/>
    <hyperlink r:id="rId149" ref="AR101"/>
    <hyperlink r:id="rId150" ref="AN102"/>
    <hyperlink r:id="rId151" ref="AN103"/>
    <hyperlink r:id="rId152" ref="AN104"/>
    <hyperlink r:id="rId153" ref="AN105"/>
    <hyperlink r:id="rId154" ref="AN106"/>
    <hyperlink r:id="rId155" ref="AN107"/>
    <hyperlink r:id="rId156" ref="AN108"/>
    <hyperlink r:id="rId157" ref="AR108"/>
    <hyperlink r:id="rId158" ref="AN109"/>
    <hyperlink r:id="rId159" ref="AN110"/>
    <hyperlink r:id="rId160" ref="AN111"/>
    <hyperlink r:id="rId161" ref="AN112"/>
    <hyperlink r:id="rId162" ref="AN113"/>
    <hyperlink r:id="rId163" ref="AR113"/>
    <hyperlink r:id="rId164" ref="AN114"/>
    <hyperlink r:id="rId165" ref="AR114"/>
    <hyperlink r:id="rId166" ref="AN115"/>
    <hyperlink r:id="rId167" ref="AN116"/>
    <hyperlink r:id="rId168" ref="AN117"/>
    <hyperlink r:id="rId169" ref="AN118"/>
    <hyperlink r:id="rId170" ref="AN119"/>
    <hyperlink r:id="rId171" ref="AN120"/>
    <hyperlink r:id="rId172" ref="AN121"/>
    <hyperlink r:id="rId173" ref="AR121"/>
    <hyperlink r:id="rId174" ref="AN122"/>
    <hyperlink r:id="rId175" ref="AR122"/>
    <hyperlink r:id="rId176" ref="AN123"/>
    <hyperlink r:id="rId177" ref="AN124"/>
    <hyperlink r:id="rId178" ref="AR124"/>
    <hyperlink r:id="rId179" ref="AN125"/>
    <hyperlink r:id="rId180" ref="AR125"/>
    <hyperlink r:id="rId181" ref="AN126"/>
    <hyperlink r:id="rId182" ref="AR126"/>
    <hyperlink r:id="rId183" ref="AJ127"/>
    <hyperlink r:id="rId184" ref="AN127"/>
    <hyperlink r:id="rId185" ref="AR127"/>
    <hyperlink r:id="rId186" ref="AN128"/>
    <hyperlink r:id="rId187" ref="AR128"/>
    <hyperlink r:id="rId188" ref="AN129"/>
    <hyperlink r:id="rId189" ref="AN130"/>
    <hyperlink r:id="rId190" ref="AN131"/>
    <hyperlink r:id="rId191" ref="AN132"/>
    <hyperlink r:id="rId192" ref="AR132"/>
    <hyperlink r:id="rId193" ref="AN133"/>
    <hyperlink r:id="rId194" ref="AN134"/>
    <hyperlink r:id="rId195" ref="AN135"/>
    <hyperlink r:id="rId196" ref="AN136"/>
    <hyperlink r:id="rId197" ref="AN137"/>
    <hyperlink r:id="rId198" ref="AN138"/>
    <hyperlink r:id="rId199" ref="AN139"/>
    <hyperlink r:id="rId200" ref="AN140"/>
    <hyperlink r:id="rId201" ref="AN141"/>
    <hyperlink r:id="rId202" ref="AR141"/>
    <hyperlink r:id="rId203" ref="AN142"/>
    <hyperlink r:id="rId204" ref="AN143"/>
    <hyperlink r:id="rId205" ref="AN144"/>
    <hyperlink r:id="rId206" ref="AR144"/>
    <hyperlink r:id="rId207" ref="AN145"/>
    <hyperlink r:id="rId208" ref="AR145"/>
    <hyperlink r:id="rId209" ref="AN146"/>
    <hyperlink r:id="rId210" ref="AR146"/>
    <hyperlink r:id="rId211" ref="AN147"/>
    <hyperlink r:id="rId212" ref="AN148"/>
    <hyperlink r:id="rId213" ref="AN149"/>
    <hyperlink r:id="rId214" ref="AN150"/>
    <hyperlink r:id="rId215" ref="AN151"/>
    <hyperlink r:id="rId216" ref="AN152"/>
    <hyperlink r:id="rId217" ref="AN153"/>
    <hyperlink r:id="rId218" ref="AR153"/>
    <hyperlink r:id="rId219" ref="AN154"/>
    <hyperlink r:id="rId220" ref="AN155"/>
    <hyperlink r:id="rId221" ref="AR155"/>
    <hyperlink r:id="rId222" ref="AN156"/>
    <hyperlink r:id="rId223" ref="AN157"/>
    <hyperlink r:id="rId224" ref="AN158"/>
    <hyperlink r:id="rId225" ref="AN159"/>
    <hyperlink r:id="rId226" ref="AR159"/>
    <hyperlink r:id="rId227" ref="AN160"/>
    <hyperlink r:id="rId228" ref="AN161"/>
    <hyperlink r:id="rId229" ref="AN162"/>
    <hyperlink r:id="rId230" ref="AN163"/>
    <hyperlink r:id="rId231" ref="AN164"/>
    <hyperlink r:id="rId232" ref="AN165"/>
    <hyperlink r:id="rId233" ref="AN166"/>
    <hyperlink r:id="rId234" ref="AN167"/>
    <hyperlink r:id="rId235" ref="AN168"/>
    <hyperlink r:id="rId236" ref="AN169"/>
    <hyperlink r:id="rId237" ref="AN170"/>
    <hyperlink r:id="rId238" ref="AN171"/>
    <hyperlink r:id="rId239" ref="AR171"/>
    <hyperlink r:id="rId240" ref="AN172"/>
    <hyperlink r:id="rId241" ref="AN173"/>
    <hyperlink r:id="rId242" ref="AN174"/>
    <hyperlink r:id="rId243" ref="AN175"/>
    <hyperlink r:id="rId244" ref="AN176"/>
    <hyperlink r:id="rId245" ref="AR176"/>
    <hyperlink r:id="rId246" ref="AN177"/>
    <hyperlink r:id="rId247" ref="AR177"/>
    <hyperlink r:id="rId248" ref="AN178"/>
    <hyperlink r:id="rId249" ref="AR178"/>
    <hyperlink r:id="rId250" ref="AN179"/>
    <hyperlink r:id="rId251" ref="AR179"/>
    <hyperlink r:id="rId252" ref="AN180"/>
    <hyperlink r:id="rId253" ref="AN181"/>
    <hyperlink r:id="rId254" ref="AR181"/>
    <hyperlink r:id="rId255" ref="J182"/>
    <hyperlink r:id="rId256" ref="AN182"/>
    <hyperlink r:id="rId257" ref="AN183"/>
    <hyperlink r:id="rId258" ref="AN184"/>
    <hyperlink r:id="rId259" ref="AR184"/>
    <hyperlink r:id="rId260" ref="AN185"/>
    <hyperlink r:id="rId261" ref="J186"/>
    <hyperlink r:id="rId262" ref="AN186"/>
    <hyperlink r:id="rId263" ref="AN187"/>
    <hyperlink r:id="rId264" ref="AN188"/>
    <hyperlink r:id="rId265" ref="AN189"/>
    <hyperlink r:id="rId266" ref="AR189"/>
    <hyperlink r:id="rId267" ref="AN190"/>
    <hyperlink r:id="rId268" ref="AN191"/>
    <hyperlink r:id="rId269" ref="AN192"/>
    <hyperlink r:id="rId270" ref="AR192"/>
    <hyperlink r:id="rId271" ref="AN193"/>
    <hyperlink r:id="rId272" ref="AR193"/>
    <hyperlink r:id="rId273" ref="AN194"/>
    <hyperlink r:id="rId274" ref="AR194"/>
    <hyperlink r:id="rId275" ref="AN195"/>
    <hyperlink r:id="rId276" ref="AR195"/>
    <hyperlink r:id="rId277" ref="AN196"/>
    <hyperlink r:id="rId278" ref="AR196"/>
    <hyperlink r:id="rId279" ref="AN197"/>
    <hyperlink r:id="rId280" ref="AN198"/>
    <hyperlink r:id="rId281" ref="AN199"/>
    <hyperlink r:id="rId282" ref="AN200"/>
    <hyperlink r:id="rId283" ref="AR200"/>
    <hyperlink r:id="rId284" ref="AN201"/>
    <hyperlink r:id="rId285" ref="AN202"/>
    <hyperlink r:id="rId286" ref="AN203"/>
    <hyperlink r:id="rId287" ref="AN204"/>
    <hyperlink r:id="rId288" ref="AR204"/>
    <hyperlink r:id="rId289" ref="AN205"/>
    <hyperlink r:id="rId290" ref="AN206"/>
    <hyperlink r:id="rId291" ref="AN207"/>
    <hyperlink r:id="rId292" ref="AN208"/>
    <hyperlink r:id="rId293" ref="AR208"/>
    <hyperlink r:id="rId294" ref="AN209"/>
    <hyperlink r:id="rId295" ref="AN210"/>
    <hyperlink r:id="rId296" ref="AN211"/>
    <hyperlink r:id="rId297" ref="AR211"/>
    <hyperlink r:id="rId298" ref="AN212"/>
    <hyperlink r:id="rId299" ref="AN213"/>
    <hyperlink r:id="rId300" ref="AN214"/>
    <hyperlink r:id="rId301" ref="AR214"/>
    <hyperlink r:id="rId302" ref="AN215"/>
    <hyperlink r:id="rId303" ref="AN216"/>
    <hyperlink r:id="rId304" ref="AN217"/>
    <hyperlink r:id="rId305" ref="AN218"/>
    <hyperlink r:id="rId306" ref="AN219"/>
    <hyperlink r:id="rId307" ref="AN220"/>
    <hyperlink r:id="rId308" ref="AN221"/>
    <hyperlink r:id="rId309" ref="AR221"/>
    <hyperlink r:id="rId310" ref="AN222"/>
    <hyperlink r:id="rId311" ref="AR222"/>
    <hyperlink r:id="rId312" ref="AN223"/>
    <hyperlink r:id="rId313" ref="AR223"/>
    <hyperlink r:id="rId314" ref="AN224"/>
    <hyperlink r:id="rId315" ref="AN225"/>
    <hyperlink r:id="rId316" ref="AN226"/>
    <hyperlink r:id="rId317" ref="AN227"/>
    <hyperlink r:id="rId318" ref="AN228"/>
    <hyperlink r:id="rId319" ref="AN229"/>
    <hyperlink r:id="rId320" ref="AR229"/>
    <hyperlink r:id="rId321" ref="AN230"/>
    <hyperlink r:id="rId322" ref="AN231"/>
    <hyperlink r:id="rId323" ref="AN232"/>
    <hyperlink r:id="rId324" ref="AN233"/>
    <hyperlink r:id="rId325" ref="AR233"/>
    <hyperlink r:id="rId326" ref="AN234"/>
    <hyperlink r:id="rId327" ref="AR234"/>
    <hyperlink r:id="rId328" ref="AN235"/>
    <hyperlink r:id="rId329" ref="AR235"/>
    <hyperlink r:id="rId330" ref="AN236"/>
    <hyperlink r:id="rId331" ref="AN237"/>
    <hyperlink r:id="rId332" ref="AN238"/>
    <hyperlink r:id="rId333" ref="AN239"/>
    <hyperlink r:id="rId334" ref="AN240"/>
    <hyperlink r:id="rId335" ref="AR240"/>
    <hyperlink r:id="rId336" ref="AN241"/>
    <hyperlink r:id="rId337" ref="AN242"/>
    <hyperlink r:id="rId338" ref="AN243"/>
    <hyperlink r:id="rId339" ref="AN244"/>
    <hyperlink r:id="rId340" ref="AN245"/>
    <hyperlink r:id="rId341" ref="AN246"/>
    <hyperlink r:id="rId342" ref="AR246"/>
    <hyperlink r:id="rId343" ref="AR247"/>
    <hyperlink r:id="rId344" ref="AN248"/>
    <hyperlink r:id="rId345" ref="AN249"/>
    <hyperlink r:id="rId346" ref="AN250"/>
    <hyperlink r:id="rId347" ref="AN251"/>
    <hyperlink r:id="rId348" ref="AN252"/>
    <hyperlink r:id="rId349" ref="AN253"/>
    <hyperlink r:id="rId350" ref="AR253"/>
    <hyperlink r:id="rId351" ref="AN254"/>
    <hyperlink r:id="rId352" ref="AR254"/>
    <hyperlink r:id="rId353" ref="AN255"/>
    <hyperlink r:id="rId354" ref="AR255"/>
    <hyperlink r:id="rId355" ref="AN256"/>
    <hyperlink r:id="rId356" ref="AR256"/>
    <hyperlink r:id="rId357" ref="AN257"/>
    <hyperlink r:id="rId358" ref="AN258"/>
    <hyperlink r:id="rId359" ref="AN259"/>
    <hyperlink r:id="rId360" ref="AN260"/>
    <hyperlink r:id="rId361" ref="AN261"/>
    <hyperlink r:id="rId362" ref="AN262"/>
    <hyperlink r:id="rId363" ref="AN263"/>
    <hyperlink r:id="rId364" ref="AN264"/>
    <hyperlink r:id="rId365" ref="AN265"/>
    <hyperlink r:id="rId366" ref="AN266"/>
    <hyperlink r:id="rId367" ref="AR266"/>
    <hyperlink r:id="rId368" ref="AN267"/>
    <hyperlink r:id="rId369" ref="AN268"/>
    <hyperlink r:id="rId370" ref="AN269"/>
    <hyperlink r:id="rId371" ref="AN270"/>
    <hyperlink r:id="rId372" ref="AN271"/>
    <hyperlink r:id="rId373" ref="AN272"/>
    <hyperlink r:id="rId374" ref="AR272"/>
    <hyperlink r:id="rId375" ref="AN273"/>
    <hyperlink r:id="rId376" ref="AN274"/>
    <hyperlink r:id="rId377" ref="AN275"/>
    <hyperlink r:id="rId378" ref="AN276"/>
    <hyperlink r:id="rId379" ref="AN277"/>
    <hyperlink r:id="rId380" ref="AN278"/>
    <hyperlink r:id="rId381" ref="AN279"/>
    <hyperlink r:id="rId382" ref="AN280"/>
    <hyperlink r:id="rId383" ref="AN281"/>
    <hyperlink r:id="rId384" ref="AN282"/>
    <hyperlink r:id="rId385" ref="AN283"/>
    <hyperlink r:id="rId386" ref="AN284"/>
    <hyperlink r:id="rId387" ref="AN285"/>
    <hyperlink r:id="rId388" ref="AN286"/>
    <hyperlink r:id="rId389" ref="AN287"/>
    <hyperlink r:id="rId390" ref="AN288"/>
    <hyperlink r:id="rId391" ref="AN289"/>
    <hyperlink r:id="rId392" ref="AN290"/>
    <hyperlink r:id="rId393" ref="AR290"/>
    <hyperlink r:id="rId394" ref="AN291"/>
    <hyperlink r:id="rId395" ref="K292"/>
    <hyperlink r:id="rId396" ref="AN292"/>
    <hyperlink r:id="rId397" ref="AN293"/>
    <hyperlink r:id="rId398" ref="AN294"/>
    <hyperlink r:id="rId399" ref="AN295"/>
    <hyperlink r:id="rId400" ref="AN296"/>
    <hyperlink r:id="rId401" ref="AN297"/>
    <hyperlink r:id="rId402" ref="AN298"/>
    <hyperlink r:id="rId403" ref="AR298"/>
    <hyperlink r:id="rId404" ref="AN299"/>
    <hyperlink r:id="rId405" ref="AN300"/>
    <hyperlink r:id="rId406" ref="AN301"/>
    <hyperlink r:id="rId407" ref="AN302"/>
    <hyperlink r:id="rId408" ref="AN303"/>
    <hyperlink r:id="rId409" ref="AN304"/>
    <hyperlink r:id="rId410" ref="AN305"/>
    <hyperlink r:id="rId411" ref="AR305"/>
    <hyperlink r:id="rId412" ref="AN306"/>
    <hyperlink r:id="rId413" ref="AN307"/>
    <hyperlink r:id="rId414" ref="AN308"/>
    <hyperlink r:id="rId415" ref="AN309"/>
    <hyperlink r:id="rId416" ref="AN310"/>
    <hyperlink r:id="rId417" ref="AN311"/>
    <hyperlink r:id="rId418" ref="AR311"/>
    <hyperlink r:id="rId419" ref="AN312"/>
    <hyperlink r:id="rId420" ref="AN313"/>
    <hyperlink r:id="rId421" ref="AN314"/>
    <hyperlink r:id="rId422" ref="AN315"/>
    <hyperlink r:id="rId423" ref="AN316"/>
    <hyperlink r:id="rId424" ref="AR316"/>
    <hyperlink r:id="rId425" ref="AN317"/>
    <hyperlink r:id="rId426" ref="AR317"/>
    <hyperlink r:id="rId427" ref="AN318"/>
    <hyperlink r:id="rId428" ref="AN319"/>
    <hyperlink r:id="rId429" ref="AN320"/>
    <hyperlink r:id="rId430" ref="AN321"/>
    <hyperlink r:id="rId431" ref="AN322"/>
    <hyperlink r:id="rId432" ref="AN323"/>
    <hyperlink r:id="rId433" ref="AN324"/>
    <hyperlink r:id="rId434" ref="AN325"/>
    <hyperlink r:id="rId435" ref="AR325"/>
    <hyperlink r:id="rId436" ref="AN326"/>
    <hyperlink r:id="rId437" ref="AN327"/>
    <hyperlink r:id="rId438" ref="AN328"/>
    <hyperlink r:id="rId439" ref="AR328"/>
    <hyperlink r:id="rId440" ref="AN329"/>
    <hyperlink r:id="rId441" ref="AR329"/>
    <hyperlink r:id="rId442" ref="AN330"/>
    <hyperlink r:id="rId443" ref="AN331"/>
    <hyperlink r:id="rId444" ref="AR331"/>
    <hyperlink r:id="rId445" ref="AN332"/>
    <hyperlink r:id="rId446" ref="AR332"/>
    <hyperlink r:id="rId447" ref="AN333"/>
    <hyperlink r:id="rId448" ref="AN334"/>
    <hyperlink r:id="rId449" ref="AN335"/>
    <hyperlink r:id="rId450" ref="AN336"/>
    <hyperlink r:id="rId451" ref="AN337"/>
    <hyperlink r:id="rId452" ref="AN338"/>
    <hyperlink r:id="rId453" ref="AN339"/>
    <hyperlink r:id="rId454" ref="AN340"/>
    <hyperlink r:id="rId455" ref="AN341"/>
    <hyperlink r:id="rId456" ref="AN342"/>
    <hyperlink r:id="rId457" ref="AN343"/>
    <hyperlink r:id="rId458" ref="AN344"/>
    <hyperlink r:id="rId459" ref="AN345"/>
    <hyperlink r:id="rId460" ref="AN346"/>
    <hyperlink r:id="rId461" ref="AN347"/>
    <hyperlink r:id="rId462" ref="AN348"/>
    <hyperlink r:id="rId463" ref="AN349"/>
    <hyperlink r:id="rId464" ref="AN350"/>
    <hyperlink r:id="rId465" ref="AN351"/>
    <hyperlink r:id="rId466" ref="AR351"/>
    <hyperlink r:id="rId467" ref="AN352"/>
    <hyperlink r:id="rId468" ref="AR352"/>
    <hyperlink r:id="rId469" ref="AN353"/>
    <hyperlink r:id="rId470" ref="AR353"/>
    <hyperlink r:id="rId471" ref="AN354"/>
    <hyperlink r:id="rId472" ref="AR354"/>
    <hyperlink r:id="rId473" ref="AN355"/>
    <hyperlink r:id="rId474" ref="AR355"/>
    <hyperlink r:id="rId475" ref="AN356"/>
    <hyperlink r:id="rId476" ref="AR356"/>
    <hyperlink r:id="rId477" ref="AN357"/>
    <hyperlink r:id="rId478" ref="AR357"/>
    <hyperlink r:id="rId479" ref="AN358"/>
    <hyperlink r:id="rId480" ref="AR358"/>
    <hyperlink r:id="rId481" ref="AN359"/>
    <hyperlink r:id="rId482" ref="AR359"/>
    <hyperlink r:id="rId483" ref="AN360"/>
    <hyperlink r:id="rId484" ref="AN361"/>
    <hyperlink r:id="rId485" ref="AR361"/>
    <hyperlink r:id="rId486" ref="AN362"/>
    <hyperlink r:id="rId487" ref="AN363"/>
    <hyperlink r:id="rId488" ref="AR363"/>
    <hyperlink r:id="rId489" ref="AN364"/>
    <hyperlink r:id="rId490" ref="AR364"/>
    <hyperlink r:id="rId491" ref="AR365"/>
    <hyperlink r:id="rId492" ref="AN366"/>
    <hyperlink r:id="rId493" ref="AR366"/>
    <hyperlink r:id="rId494" ref="AN367"/>
    <hyperlink r:id="rId495" ref="AR367"/>
    <hyperlink r:id="rId496" ref="AN368"/>
    <hyperlink r:id="rId497" ref="AR368"/>
    <hyperlink r:id="rId498" ref="AN369"/>
    <hyperlink r:id="rId499" ref="AR369"/>
    <hyperlink r:id="rId500" ref="AN370"/>
    <hyperlink r:id="rId501" ref="AR370"/>
    <hyperlink r:id="rId502" ref="AN371"/>
    <hyperlink r:id="rId503" ref="AR371"/>
    <hyperlink r:id="rId504" ref="AN372"/>
    <hyperlink r:id="rId505" ref="AR372"/>
    <hyperlink r:id="rId506" ref="AN373"/>
    <hyperlink r:id="rId507" ref="AR373"/>
    <hyperlink r:id="rId508" ref="AN374"/>
    <hyperlink r:id="rId509" ref="AR374"/>
    <hyperlink r:id="rId510" ref="AN375"/>
    <hyperlink r:id="rId511" ref="AN376"/>
    <hyperlink r:id="rId512" ref="AN377"/>
    <hyperlink r:id="rId513" ref="AN378"/>
    <hyperlink r:id="rId514" ref="AN379"/>
    <hyperlink r:id="rId515" ref="AR379"/>
    <hyperlink r:id="rId516" ref="AN380"/>
    <hyperlink r:id="rId517" ref="AR380"/>
    <hyperlink r:id="rId518" ref="AN381"/>
    <hyperlink r:id="rId519" ref="AN382"/>
    <hyperlink r:id="rId520" ref="AN383"/>
    <hyperlink r:id="rId521" ref="AN384"/>
    <hyperlink r:id="rId522" ref="AN385"/>
    <hyperlink r:id="rId523" ref="AN386"/>
    <hyperlink r:id="rId524" ref="AN387"/>
    <hyperlink r:id="rId525" ref="AN388"/>
    <hyperlink r:id="rId526" ref="AN389"/>
    <hyperlink r:id="rId527" ref="AN390"/>
    <hyperlink r:id="rId528" ref="AN391"/>
    <hyperlink r:id="rId529" ref="AN392"/>
    <hyperlink r:id="rId530" ref="AN393"/>
    <hyperlink r:id="rId531" ref="AN394"/>
    <hyperlink r:id="rId532" ref="AN395"/>
    <hyperlink r:id="rId533" ref="AN396"/>
    <hyperlink r:id="rId534" ref="AN398"/>
    <hyperlink r:id="rId535" ref="AR398"/>
    <hyperlink r:id="rId536" ref="AN399"/>
    <hyperlink r:id="rId537" ref="AR399"/>
    <hyperlink r:id="rId538" ref="AN400"/>
    <hyperlink r:id="rId539" ref="AR400"/>
    <hyperlink r:id="rId540" ref="AN401"/>
    <hyperlink r:id="rId541" ref="AN402"/>
    <hyperlink r:id="rId542" ref="AR402"/>
    <hyperlink r:id="rId543" ref="AN403"/>
    <hyperlink r:id="rId544" ref="AN404"/>
    <hyperlink r:id="rId545" ref="AN405"/>
    <hyperlink r:id="rId546" ref="AR405"/>
    <hyperlink r:id="rId547" ref="AN406"/>
    <hyperlink r:id="rId548" ref="AR406"/>
    <hyperlink r:id="rId549" ref="AN407"/>
    <hyperlink r:id="rId550" ref="AR407"/>
    <hyperlink r:id="rId551" ref="AN408"/>
    <hyperlink r:id="rId552" ref="AN409"/>
    <hyperlink r:id="rId553" ref="AR409"/>
    <hyperlink r:id="rId554" ref="AN410"/>
    <hyperlink r:id="rId555" ref="AN411"/>
    <hyperlink r:id="rId556" ref="AR411"/>
    <hyperlink r:id="rId557" ref="AN412"/>
    <hyperlink r:id="rId558" ref="AN413"/>
    <hyperlink r:id="rId559" ref="AR413"/>
    <hyperlink r:id="rId560" ref="AN414"/>
    <hyperlink r:id="rId561" ref="AR414"/>
    <hyperlink r:id="rId562" ref="AN415"/>
    <hyperlink r:id="rId563" ref="AN416"/>
    <hyperlink r:id="rId564" ref="AN417"/>
    <hyperlink r:id="rId565" ref="AN418"/>
    <hyperlink r:id="rId566" ref="AN419"/>
    <hyperlink r:id="rId567" ref="AN420"/>
    <hyperlink r:id="rId568" ref="AN421"/>
    <hyperlink r:id="rId569" ref="AR421"/>
    <hyperlink r:id="rId570" ref="AN422"/>
    <hyperlink r:id="rId571" ref="AR422"/>
    <hyperlink r:id="rId572" ref="AN423"/>
    <hyperlink r:id="rId573" ref="AN424"/>
    <hyperlink r:id="rId574" ref="AR424"/>
    <hyperlink r:id="rId575" ref="AN425"/>
    <hyperlink r:id="rId576" ref="AN426"/>
    <hyperlink r:id="rId577" ref="AR426"/>
    <hyperlink r:id="rId578" ref="AN427"/>
    <hyperlink r:id="rId579" ref="AR427"/>
    <hyperlink r:id="rId580" ref="AN428"/>
    <hyperlink r:id="rId581" ref="AR428"/>
    <hyperlink r:id="rId582" ref="AN429"/>
    <hyperlink r:id="rId583" ref="AN430"/>
    <hyperlink r:id="rId584" ref="AR430"/>
    <hyperlink r:id="rId585" ref="AN431"/>
    <hyperlink r:id="rId586" ref="AR431"/>
    <hyperlink r:id="rId587" ref="AN432"/>
    <hyperlink r:id="rId588" ref="AN433"/>
    <hyperlink r:id="rId589" ref="AR433"/>
    <hyperlink r:id="rId590" ref="AN434"/>
    <hyperlink r:id="rId591" ref="AN435"/>
    <hyperlink r:id="rId592" ref="AJ436"/>
    <hyperlink r:id="rId593" ref="AN436"/>
    <hyperlink r:id="rId594" ref="AR436"/>
    <hyperlink r:id="rId595" ref="AN437"/>
    <hyperlink r:id="rId596" ref="AN438"/>
    <hyperlink r:id="rId597" ref="AN439"/>
    <hyperlink r:id="rId598" ref="AN440"/>
    <hyperlink r:id="rId599" ref="AR440"/>
    <hyperlink r:id="rId600" ref="AN441"/>
    <hyperlink r:id="rId601" ref="AR441"/>
    <hyperlink r:id="rId602" ref="AN442"/>
    <hyperlink r:id="rId603" ref="AN443"/>
    <hyperlink r:id="rId604" ref="AN444"/>
    <hyperlink r:id="rId605" ref="AR444"/>
    <hyperlink r:id="rId606" ref="AN445"/>
    <hyperlink r:id="rId607" ref="AR445"/>
    <hyperlink r:id="rId608" ref="AN446"/>
    <hyperlink r:id="rId609" ref="AN447"/>
    <hyperlink r:id="rId610" ref="AN448"/>
    <hyperlink r:id="rId611" ref="AR448"/>
    <hyperlink r:id="rId612" ref="AN449"/>
    <hyperlink r:id="rId613" ref="AR449"/>
    <hyperlink r:id="rId614" ref="AN450"/>
    <hyperlink r:id="rId615" ref="AR450"/>
    <hyperlink r:id="rId616" ref="AN451"/>
    <hyperlink r:id="rId617" ref="AR451"/>
    <hyperlink r:id="rId618" ref="AN452"/>
    <hyperlink r:id="rId619" location="heading=h.gjdgxs" ref="AR452"/>
    <hyperlink r:id="rId620" ref="AN453"/>
    <hyperlink r:id="rId621" ref="AR453"/>
    <hyperlink r:id="rId622" ref="AN454"/>
    <hyperlink r:id="rId623" ref="AN455"/>
    <hyperlink r:id="rId624" ref="AN456"/>
    <hyperlink r:id="rId625" ref="AR456"/>
    <hyperlink r:id="rId626" ref="AN457"/>
    <hyperlink r:id="rId627" ref="AN458"/>
    <hyperlink r:id="rId628" ref="AN459"/>
    <hyperlink r:id="rId629" ref="AN460"/>
    <hyperlink r:id="rId630" ref="AN461"/>
    <hyperlink r:id="rId631" ref="AN462"/>
    <hyperlink r:id="rId632" ref="AR462"/>
    <hyperlink r:id="rId633" ref="AN463"/>
    <hyperlink r:id="rId634" ref="AR463"/>
    <hyperlink r:id="rId635" ref="AN464"/>
    <hyperlink r:id="rId636" ref="AR464"/>
    <hyperlink r:id="rId637" ref="AN465"/>
    <hyperlink r:id="rId638" ref="AR465"/>
    <hyperlink r:id="rId639" ref="AN466"/>
    <hyperlink r:id="rId640" ref="AR466"/>
    <hyperlink r:id="rId641" ref="AN467"/>
    <hyperlink r:id="rId642" ref="AN468"/>
    <hyperlink r:id="rId643" ref="AN469"/>
    <hyperlink r:id="rId644" ref="AR469"/>
    <hyperlink r:id="rId645" ref="AN470"/>
    <hyperlink r:id="rId646" ref="AN471"/>
    <hyperlink r:id="rId647" ref="AR471"/>
    <hyperlink r:id="rId648" ref="AN472"/>
    <hyperlink r:id="rId649" ref="AN473"/>
    <hyperlink r:id="rId650" ref="AN474"/>
    <hyperlink r:id="rId651" ref="AR474"/>
    <hyperlink r:id="rId652" ref="AN475"/>
    <hyperlink r:id="rId653" ref="AR475"/>
    <hyperlink r:id="rId654" ref="AJ476"/>
    <hyperlink r:id="rId655" ref="AN476"/>
    <hyperlink r:id="rId656" ref="AR476"/>
    <hyperlink r:id="rId657" ref="AR477"/>
    <hyperlink r:id="rId658" ref="AN478"/>
    <hyperlink r:id="rId659" ref="AN479"/>
    <hyperlink r:id="rId660" ref="AN480"/>
    <hyperlink r:id="rId661" ref="AR480"/>
    <hyperlink r:id="rId662" ref="AN481"/>
    <hyperlink r:id="rId663" ref="AR481"/>
    <hyperlink r:id="rId664" ref="AN482"/>
    <hyperlink r:id="rId665" ref="AR482"/>
    <hyperlink r:id="rId666" ref="AN483"/>
    <hyperlink r:id="rId667" ref="AR483"/>
    <hyperlink r:id="rId668" ref="AN484"/>
    <hyperlink r:id="rId669" ref="AN485"/>
    <hyperlink r:id="rId670" ref="AN486"/>
    <hyperlink r:id="rId671" ref="AR486"/>
    <hyperlink r:id="rId672" ref="AN487"/>
    <hyperlink r:id="rId673" ref="AR487"/>
    <hyperlink r:id="rId674" ref="AN488"/>
    <hyperlink r:id="rId675" ref="AR488"/>
    <hyperlink r:id="rId676" ref="AN489"/>
    <hyperlink r:id="rId677" ref="AN490"/>
    <hyperlink r:id="rId678" ref="AN491"/>
    <hyperlink r:id="rId679" ref="AN492"/>
    <hyperlink r:id="rId680" ref="AN493"/>
    <hyperlink r:id="rId681" ref="AN494"/>
    <hyperlink r:id="rId682" ref="AN495"/>
    <hyperlink r:id="rId683" ref="AN496"/>
    <hyperlink r:id="rId684" ref="AR496"/>
    <hyperlink r:id="rId685" ref="AN497"/>
    <hyperlink r:id="rId686" ref="AN498"/>
    <hyperlink r:id="rId687" ref="AR498"/>
    <hyperlink r:id="rId688" ref="AN499"/>
    <hyperlink r:id="rId689" ref="AN500"/>
    <hyperlink r:id="rId690" ref="AN501"/>
    <hyperlink r:id="rId691" ref="AN502"/>
    <hyperlink r:id="rId692" ref="AN503"/>
    <hyperlink r:id="rId693" ref="AN504"/>
    <hyperlink r:id="rId694" ref="AR504"/>
    <hyperlink r:id="rId695" ref="AN505"/>
    <hyperlink r:id="rId696" ref="AN506"/>
    <hyperlink r:id="rId697" ref="AN507"/>
    <hyperlink r:id="rId698" ref="AN508"/>
    <hyperlink r:id="rId699" ref="AN509"/>
    <hyperlink r:id="rId700" ref="AN510"/>
    <hyperlink r:id="rId701" ref="AN511"/>
    <hyperlink r:id="rId702" ref="AN512"/>
    <hyperlink r:id="rId703" ref="AN513"/>
    <hyperlink r:id="rId704" ref="AN514"/>
    <hyperlink r:id="rId705" ref="AR514"/>
    <hyperlink r:id="rId706" ref="AN515"/>
    <hyperlink r:id="rId707" ref="AR515"/>
    <hyperlink r:id="rId708" ref="AN516"/>
    <hyperlink r:id="rId709" ref="AN517"/>
    <hyperlink r:id="rId710" ref="AN518"/>
    <hyperlink r:id="rId711" ref="AR518"/>
    <hyperlink r:id="rId712" ref="AN519"/>
    <hyperlink r:id="rId713" ref="AN520"/>
    <hyperlink r:id="rId714" ref="AR520"/>
    <hyperlink r:id="rId715" ref="AN521"/>
    <hyperlink r:id="rId716" ref="AR521"/>
    <hyperlink r:id="rId717" ref="AN522"/>
    <hyperlink r:id="rId718" ref="AN523"/>
    <hyperlink r:id="rId719" ref="AN524"/>
    <hyperlink r:id="rId720" ref="AR524"/>
    <hyperlink r:id="rId721" ref="AN525"/>
    <hyperlink r:id="rId722" ref="AN526"/>
    <hyperlink r:id="rId723" ref="AN527"/>
    <hyperlink r:id="rId724" ref="AN528"/>
    <hyperlink r:id="rId725" ref="AN529"/>
    <hyperlink r:id="rId726" ref="AR529"/>
    <hyperlink r:id="rId727" ref="AN530"/>
    <hyperlink r:id="rId728" ref="AN531"/>
    <hyperlink r:id="rId729" ref="AN532"/>
    <hyperlink r:id="rId730" ref="AN533"/>
    <hyperlink r:id="rId731" ref="AN534"/>
    <hyperlink r:id="rId732" ref="AN535"/>
    <hyperlink r:id="rId733" ref="AN536"/>
    <hyperlink r:id="rId734" ref="AN537"/>
    <hyperlink r:id="rId735" ref="AN538"/>
    <hyperlink r:id="rId736" ref="AN539"/>
    <hyperlink r:id="rId737" ref="AN540"/>
    <hyperlink r:id="rId738" ref="AR540"/>
    <hyperlink r:id="rId739" ref="AN541"/>
    <hyperlink r:id="rId740" ref="AR541"/>
    <hyperlink r:id="rId741" ref="AN542"/>
    <hyperlink r:id="rId742" ref="AR542"/>
    <hyperlink r:id="rId743" ref="AN543"/>
    <hyperlink r:id="rId744" ref="AR543"/>
    <hyperlink r:id="rId745" ref="AN544"/>
    <hyperlink r:id="rId746" ref="AR544"/>
    <hyperlink r:id="rId747" ref="AN545"/>
    <hyperlink r:id="rId748" ref="AR545"/>
    <hyperlink r:id="rId749" ref="AN546"/>
    <hyperlink r:id="rId750" ref="AR546"/>
    <hyperlink r:id="rId751" ref="AN547"/>
    <hyperlink r:id="rId752" ref="AR547"/>
    <hyperlink r:id="rId753" ref="AN548"/>
    <hyperlink r:id="rId754" ref="AR548"/>
    <hyperlink r:id="rId755" ref="AN549"/>
    <hyperlink r:id="rId756" ref="AR549"/>
    <hyperlink r:id="rId757" ref="AN550"/>
    <hyperlink r:id="rId758" ref="AR550"/>
    <hyperlink r:id="rId759" ref="AN551"/>
    <hyperlink r:id="rId760" ref="AR551"/>
    <hyperlink r:id="rId761" ref="AN552"/>
    <hyperlink r:id="rId762" ref="AR552"/>
    <hyperlink r:id="rId763" ref="AN553"/>
    <hyperlink r:id="rId764" ref="AN554"/>
    <hyperlink r:id="rId765" ref="AN555"/>
    <hyperlink r:id="rId766" ref="AN556"/>
    <hyperlink r:id="rId767" ref="AR556"/>
    <hyperlink r:id="rId768" ref="AN557"/>
    <hyperlink r:id="rId769" ref="AN558"/>
    <hyperlink r:id="rId770" ref="AR558"/>
    <hyperlink r:id="rId771" ref="AN559"/>
    <hyperlink r:id="rId772" ref="AN560"/>
    <hyperlink r:id="rId773" ref="AN561"/>
    <hyperlink r:id="rId774" ref="AN562"/>
    <hyperlink r:id="rId775" ref="AN563"/>
    <hyperlink r:id="rId776" ref="AN564"/>
    <hyperlink r:id="rId777" ref="AN565"/>
    <hyperlink r:id="rId778" ref="AN566"/>
    <hyperlink r:id="rId779" ref="AR566"/>
    <hyperlink r:id="rId780" ref="AN567"/>
    <hyperlink r:id="rId781" ref="AN568"/>
    <hyperlink r:id="rId782" ref="AN569"/>
    <hyperlink r:id="rId783" ref="AN570"/>
    <hyperlink r:id="rId784" ref="AN571"/>
    <hyperlink r:id="rId785" ref="AN572"/>
    <hyperlink r:id="rId786" ref="AN573"/>
    <hyperlink r:id="rId787" ref="AN574"/>
    <hyperlink r:id="rId788" ref="AN575"/>
    <hyperlink r:id="rId789" ref="AN576"/>
    <hyperlink r:id="rId790" ref="AN577"/>
    <hyperlink r:id="rId791" ref="AJ578"/>
    <hyperlink r:id="rId792" ref="AN578"/>
    <hyperlink r:id="rId793" ref="AR578"/>
    <hyperlink r:id="rId794" ref="AN579"/>
    <hyperlink r:id="rId795" ref="AN580"/>
    <hyperlink r:id="rId796" ref="AN581"/>
    <hyperlink r:id="rId797" ref="AN582"/>
    <hyperlink r:id="rId798" ref="AR582"/>
    <hyperlink r:id="rId799" ref="AN583"/>
    <hyperlink r:id="rId800" ref="AR583"/>
    <hyperlink r:id="rId801" ref="AN584"/>
    <hyperlink r:id="rId802" ref="AN585"/>
    <hyperlink r:id="rId803" ref="AN586"/>
    <hyperlink r:id="rId804" ref="AN587"/>
    <hyperlink r:id="rId805" ref="AR587"/>
    <hyperlink r:id="rId806" ref="AN588"/>
    <hyperlink r:id="rId807" ref="AR588"/>
    <hyperlink r:id="rId808" ref="AN589"/>
    <hyperlink r:id="rId809" ref="AN590"/>
    <hyperlink r:id="rId810" ref="AN591"/>
    <hyperlink r:id="rId811" ref="AN592"/>
    <hyperlink r:id="rId812" ref="AN593"/>
    <hyperlink r:id="rId813" ref="AN594"/>
    <hyperlink r:id="rId814" ref="AR594"/>
    <hyperlink r:id="rId815" ref="AN595"/>
    <hyperlink r:id="rId816" ref="AN596"/>
    <hyperlink r:id="rId817" ref="AN597"/>
    <hyperlink r:id="rId818" ref="AN598"/>
    <hyperlink r:id="rId819" ref="AN599"/>
    <hyperlink r:id="rId820" ref="AN600"/>
    <hyperlink r:id="rId821" ref="AN601"/>
    <hyperlink r:id="rId822" ref="AN602"/>
    <hyperlink r:id="rId823" ref="AN603"/>
    <hyperlink r:id="rId824" ref="AN604"/>
    <hyperlink r:id="rId825" ref="AN605"/>
    <hyperlink r:id="rId826" ref="AN606"/>
    <hyperlink r:id="rId827" ref="AR606"/>
    <hyperlink r:id="rId828" ref="AN607"/>
    <hyperlink r:id="rId829" ref="AR607"/>
    <hyperlink r:id="rId830" ref="AN608"/>
    <hyperlink r:id="rId831" ref="AR608"/>
    <hyperlink r:id="rId832" ref="AN609"/>
    <hyperlink r:id="rId833" ref="AJ610"/>
    <hyperlink r:id="rId834" ref="AN610"/>
    <hyperlink r:id="rId835" ref="AR610"/>
    <hyperlink r:id="rId836" ref="AN611"/>
    <hyperlink r:id="rId837" ref="AN612"/>
    <hyperlink r:id="rId838" ref="AR612"/>
    <hyperlink r:id="rId839" ref="AN613"/>
    <hyperlink r:id="rId840" ref="AN614"/>
    <hyperlink r:id="rId841" ref="AN615"/>
    <hyperlink r:id="rId842" ref="AN616"/>
    <hyperlink r:id="rId843" ref="AR616"/>
    <hyperlink r:id="rId844" ref="AN617"/>
    <hyperlink r:id="rId845" ref="AR617"/>
    <hyperlink r:id="rId846" ref="AN618"/>
    <hyperlink r:id="rId847" ref="AN619"/>
    <hyperlink r:id="rId848" ref="AR619"/>
    <hyperlink r:id="rId849" ref="AN620"/>
    <hyperlink r:id="rId850" ref="AN621"/>
    <hyperlink r:id="rId851" ref="AN622"/>
    <hyperlink r:id="rId852" ref="AN623"/>
    <hyperlink r:id="rId853" ref="AN624"/>
    <hyperlink r:id="rId854" ref="AN625"/>
    <hyperlink r:id="rId855" ref="AR625"/>
    <hyperlink r:id="rId856" ref="AN626"/>
    <hyperlink r:id="rId857" ref="AN627"/>
    <hyperlink r:id="rId858" ref="AN628"/>
    <hyperlink r:id="rId859" ref="AN629"/>
    <hyperlink r:id="rId860" ref="AN630"/>
    <hyperlink r:id="rId861" ref="AN631"/>
    <hyperlink r:id="rId862" ref="AR631"/>
    <hyperlink r:id="rId863" ref="AN632"/>
    <hyperlink r:id="rId864" ref="AN633"/>
    <hyperlink r:id="rId865" ref="AN634"/>
    <hyperlink r:id="rId866" ref="AN635"/>
    <hyperlink r:id="rId867" ref="AN636"/>
    <hyperlink r:id="rId868" ref="AN637"/>
    <hyperlink r:id="rId869" ref="AN638"/>
    <hyperlink r:id="rId870" ref="AN639"/>
    <hyperlink r:id="rId871" ref="AN640"/>
    <hyperlink r:id="rId872" ref="AR640"/>
    <hyperlink r:id="rId873" ref="AN641"/>
    <hyperlink r:id="rId874" ref="AR641"/>
    <hyperlink r:id="rId875" ref="AN642"/>
    <hyperlink r:id="rId876" ref="AR642"/>
    <hyperlink r:id="rId877" ref="AN643"/>
    <hyperlink r:id="rId878" ref="AN644"/>
    <hyperlink r:id="rId879" ref="AN645"/>
    <hyperlink r:id="rId880" ref="AN646"/>
    <hyperlink r:id="rId881" ref="AN647"/>
    <hyperlink r:id="rId882" ref="AN648"/>
    <hyperlink r:id="rId883" ref="AN649"/>
    <hyperlink r:id="rId884" ref="AR649"/>
    <hyperlink r:id="rId885" ref="AN650"/>
    <hyperlink r:id="rId886" ref="AR650"/>
    <hyperlink r:id="rId887" ref="AN651"/>
    <hyperlink r:id="rId888" ref="AN652"/>
    <hyperlink r:id="rId889" ref="AN653"/>
    <hyperlink r:id="rId890" ref="AR653"/>
    <hyperlink r:id="rId891" ref="AN654"/>
    <hyperlink r:id="rId892" ref="AN655"/>
    <hyperlink r:id="rId893" ref="AN656"/>
    <hyperlink r:id="rId894" ref="AN657"/>
    <hyperlink r:id="rId895" ref="AN658"/>
    <hyperlink r:id="rId896" ref="AR658"/>
    <hyperlink r:id="rId897" ref="AN659"/>
    <hyperlink r:id="rId898" ref="AR659"/>
    <hyperlink r:id="rId899" ref="AN660"/>
    <hyperlink r:id="rId900" ref="AN661"/>
    <hyperlink r:id="rId901" ref="AN662"/>
    <hyperlink r:id="rId902" ref="AN663"/>
    <hyperlink r:id="rId903" ref="AJ664"/>
    <hyperlink r:id="rId904" ref="AN664"/>
    <hyperlink r:id="rId905" ref="AR664"/>
    <hyperlink r:id="rId906" ref="AN665"/>
    <hyperlink r:id="rId907" ref="AN666"/>
    <hyperlink r:id="rId908" ref="AN667"/>
    <hyperlink r:id="rId909" ref="AR667"/>
    <hyperlink r:id="rId910" ref="AN668"/>
    <hyperlink r:id="rId911" ref="AR668"/>
    <hyperlink r:id="rId912" ref="AN669"/>
    <hyperlink r:id="rId913" ref="AR669"/>
    <hyperlink r:id="rId914" ref="AN670"/>
    <hyperlink r:id="rId915" ref="AJ671"/>
    <hyperlink r:id="rId916" ref="AN671"/>
    <hyperlink r:id="rId917" ref="AR671"/>
    <hyperlink r:id="rId918" ref="AN672"/>
    <hyperlink r:id="rId919" ref="AR672"/>
    <hyperlink r:id="rId920" ref="AN673"/>
    <hyperlink r:id="rId921" ref="AN674"/>
    <hyperlink r:id="rId922" ref="AJ675"/>
    <hyperlink r:id="rId923" ref="AN675"/>
    <hyperlink r:id="rId924" ref="AR675"/>
    <hyperlink r:id="rId925" ref="AR676"/>
    <hyperlink r:id="rId926" ref="AN677"/>
    <hyperlink r:id="rId927" ref="AN678"/>
    <hyperlink r:id="rId928" ref="AN679"/>
    <hyperlink r:id="rId929" ref="AN680"/>
    <hyperlink r:id="rId930" ref="AN681"/>
    <hyperlink r:id="rId931" ref="AR681"/>
    <hyperlink r:id="rId932" ref="AN682"/>
    <hyperlink r:id="rId933" ref="AN683"/>
    <hyperlink r:id="rId934" ref="AN684"/>
    <hyperlink r:id="rId935" ref="AN685"/>
    <hyperlink r:id="rId936" ref="AN686"/>
    <hyperlink r:id="rId937" ref="AN687"/>
    <hyperlink r:id="rId938" ref="AN688"/>
    <hyperlink r:id="rId939" ref="AN689"/>
    <hyperlink r:id="rId940" ref="AN690"/>
    <hyperlink r:id="rId941" ref="AN691"/>
    <hyperlink r:id="rId942" ref="AN692"/>
    <hyperlink r:id="rId943" ref="AN693"/>
    <hyperlink r:id="rId944" ref="AN694"/>
    <hyperlink r:id="rId945" ref="AN695"/>
    <hyperlink r:id="rId946" ref="AN696"/>
    <hyperlink r:id="rId947" ref="AN697"/>
    <hyperlink r:id="rId948" ref="AR697"/>
    <hyperlink r:id="rId949" ref="AN698"/>
    <hyperlink r:id="rId950" ref="AR698"/>
    <hyperlink r:id="rId951" ref="AN699"/>
    <hyperlink r:id="rId952" ref="AN700"/>
    <hyperlink r:id="rId953" ref="AN701"/>
    <hyperlink r:id="rId954" ref="AN702"/>
    <hyperlink r:id="rId955" ref="AN703"/>
    <hyperlink r:id="rId956" ref="AR703"/>
    <hyperlink r:id="rId957" ref="AN704"/>
    <hyperlink r:id="rId958" ref="AN705"/>
    <hyperlink r:id="rId959" ref="AN706"/>
    <hyperlink r:id="rId960" ref="AN707"/>
    <hyperlink r:id="rId961" ref="AN708"/>
    <hyperlink r:id="rId962" ref="AN709"/>
    <hyperlink r:id="rId963" ref="AN710"/>
    <hyperlink r:id="rId964" ref="AN711"/>
    <hyperlink r:id="rId965" ref="AR711"/>
    <hyperlink r:id="rId966" ref="AN712"/>
    <hyperlink r:id="rId967" ref="AR712"/>
    <hyperlink r:id="rId968" ref="AN713"/>
    <hyperlink r:id="rId969" ref="AN714"/>
    <hyperlink r:id="rId970" ref="AN715"/>
    <hyperlink r:id="rId971" ref="AN716"/>
    <hyperlink r:id="rId972" ref="AN717"/>
    <hyperlink r:id="rId973" ref="AN718"/>
    <hyperlink r:id="rId974" ref="AN719"/>
    <hyperlink r:id="rId975" ref="AN720"/>
    <hyperlink r:id="rId976" ref="AN721"/>
    <hyperlink r:id="rId977" ref="AN722"/>
    <hyperlink r:id="rId978" ref="AR722"/>
    <hyperlink r:id="rId979" ref="AN723"/>
    <hyperlink r:id="rId980" ref="AR723"/>
    <hyperlink r:id="rId981" ref="AN724"/>
    <hyperlink r:id="rId982" ref="AR724"/>
    <hyperlink r:id="rId983" ref="AJ725"/>
    <hyperlink r:id="rId984" ref="AN725"/>
    <hyperlink r:id="rId985" ref="AR725"/>
    <hyperlink r:id="rId986" ref="AJ726"/>
    <hyperlink r:id="rId987" ref="AN726"/>
    <hyperlink r:id="rId988" ref="AR726"/>
    <hyperlink r:id="rId989" ref="AN727"/>
    <hyperlink r:id="rId990" ref="AN728"/>
    <hyperlink r:id="rId991" ref="AN729"/>
    <hyperlink r:id="rId992" ref="AR729"/>
    <hyperlink r:id="rId993" ref="AN730"/>
    <hyperlink r:id="rId994" ref="AN731"/>
    <hyperlink r:id="rId995" ref="AN732"/>
    <hyperlink r:id="rId996" ref="AR732"/>
    <hyperlink r:id="rId997" ref="AN733"/>
    <hyperlink r:id="rId998" ref="AN734"/>
    <hyperlink r:id="rId999" ref="AR734"/>
    <hyperlink r:id="rId1000" ref="AN735"/>
    <hyperlink r:id="rId1001" ref="AN736"/>
    <hyperlink r:id="rId1002" ref="AN737"/>
    <hyperlink r:id="rId1003" ref="AN738"/>
    <hyperlink r:id="rId1004" ref="AN739"/>
    <hyperlink r:id="rId1005" ref="AN740"/>
    <hyperlink r:id="rId1006" ref="AN741"/>
    <hyperlink r:id="rId1007" ref="AN742"/>
    <hyperlink r:id="rId1008" ref="AN743"/>
    <hyperlink r:id="rId1009" ref="AN744"/>
    <hyperlink r:id="rId1010" ref="AR744"/>
    <hyperlink r:id="rId1011" ref="AJ745"/>
    <hyperlink r:id="rId1012" ref="AN745"/>
    <hyperlink r:id="rId1013" ref="AR745"/>
    <hyperlink r:id="rId1014" ref="AN746"/>
    <hyperlink r:id="rId1015" ref="AN747"/>
    <hyperlink r:id="rId1016" location="heading=h.gjdgxs" ref="AR747"/>
    <hyperlink r:id="rId1017" ref="AN748"/>
    <hyperlink r:id="rId1018" ref="AR748"/>
    <hyperlink r:id="rId1019" ref="AN749"/>
    <hyperlink r:id="rId1020" ref="AR749"/>
    <hyperlink r:id="rId1021" ref="AN750"/>
    <hyperlink r:id="rId1022" ref="AN751"/>
    <hyperlink r:id="rId1023" ref="AN752"/>
    <hyperlink r:id="rId1024" ref="AN753"/>
    <hyperlink r:id="rId1025" ref="AN754"/>
    <hyperlink r:id="rId1026" ref="AN755"/>
    <hyperlink r:id="rId1027" ref="AN756"/>
    <hyperlink r:id="rId1028" ref="AN757"/>
    <hyperlink r:id="rId1029" ref="AR757"/>
    <hyperlink r:id="rId1030" ref="AN758"/>
    <hyperlink r:id="rId1031" ref="AN759"/>
    <hyperlink r:id="rId1032" ref="AR759"/>
    <hyperlink r:id="rId1033" ref="AN760"/>
    <hyperlink r:id="rId1034" ref="AR760"/>
    <hyperlink r:id="rId1035" ref="AN761"/>
    <hyperlink r:id="rId1036" ref="AN762"/>
    <hyperlink r:id="rId1037" ref="AN763"/>
    <hyperlink r:id="rId1038" ref="AN764"/>
    <hyperlink r:id="rId1039" ref="AN765"/>
    <hyperlink r:id="rId1040" ref="AN766"/>
    <hyperlink r:id="rId1041" ref="AN767"/>
    <hyperlink r:id="rId1042" ref="AN768"/>
    <hyperlink r:id="rId1043" ref="AN769"/>
    <hyperlink r:id="rId1044" ref="AN770"/>
    <hyperlink r:id="rId1045" ref="AN771"/>
  </hyperlinks>
  <drawing r:id="rId1046"/>
  <legacyDrawing r:id="rId10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38"/>
    <col customWidth="1" min="4" max="4" width="42.13"/>
    <col customWidth="1" min="5" max="5" width="39.75"/>
    <col customWidth="1" min="8" max="8" width="27.13"/>
  </cols>
  <sheetData>
    <row r="1">
      <c r="A1" s="174"/>
      <c r="B1" s="174"/>
      <c r="C1" s="174"/>
      <c r="D1" s="174"/>
      <c r="E1" s="174"/>
      <c r="F1" s="175"/>
      <c r="G1" s="175"/>
      <c r="H1" s="174"/>
      <c r="I1" s="174"/>
      <c r="J1" s="174"/>
      <c r="K1" s="174"/>
      <c r="L1" s="174"/>
      <c r="M1" s="174"/>
      <c r="N1" s="174"/>
      <c r="O1" s="174"/>
      <c r="P1" s="174"/>
      <c r="Q1" s="174"/>
      <c r="R1" s="174"/>
      <c r="S1" s="174"/>
      <c r="T1" s="174"/>
      <c r="U1" s="174"/>
      <c r="V1" s="174"/>
      <c r="W1" s="174"/>
      <c r="X1" s="174"/>
      <c r="Y1" s="174"/>
      <c r="Z1" s="174"/>
      <c r="AA1" s="174"/>
    </row>
    <row r="2">
      <c r="A2" s="176"/>
      <c r="B2" s="176"/>
      <c r="C2" s="176"/>
      <c r="D2" s="177"/>
      <c r="E2" s="174"/>
      <c r="F2" s="178"/>
      <c r="G2" s="178"/>
      <c r="H2" s="174"/>
      <c r="I2" s="174"/>
      <c r="J2" s="174"/>
      <c r="K2" s="174"/>
      <c r="L2" s="174"/>
      <c r="M2" s="174"/>
      <c r="N2" s="174"/>
      <c r="O2" s="174"/>
      <c r="P2" s="174"/>
      <c r="Q2" s="174"/>
      <c r="R2" s="174"/>
      <c r="S2" s="174"/>
      <c r="T2" s="174"/>
      <c r="U2" s="174"/>
      <c r="V2" s="174"/>
      <c r="W2" s="174"/>
      <c r="X2" s="174"/>
      <c r="Y2" s="174"/>
      <c r="Z2" s="174"/>
      <c r="AA2" s="174"/>
    </row>
    <row r="3">
      <c r="A3" s="176" t="s">
        <v>3608</v>
      </c>
      <c r="B3" s="176"/>
      <c r="C3" s="179" t="s">
        <v>2267</v>
      </c>
      <c r="D3" s="180" t="s">
        <v>2266</v>
      </c>
      <c r="E3" s="176" t="s">
        <v>3609</v>
      </c>
      <c r="F3" s="178" t="str">
        <f t="array" ref="F3">INDEX(Recordings!AK:AK, MATCH(C3, Recordings!AN:AN, 0))
</f>
        <v>הגהה</v>
      </c>
      <c r="G3" s="181" t="s">
        <v>675</v>
      </c>
      <c r="H3" s="182" t="s">
        <v>3610</v>
      </c>
      <c r="I3" s="174"/>
      <c r="J3" s="174"/>
      <c r="K3" s="174"/>
      <c r="L3" s="174"/>
      <c r="M3" s="174"/>
      <c r="N3" s="174"/>
      <c r="O3" s="174"/>
      <c r="P3" s="174"/>
      <c r="Q3" s="174"/>
      <c r="R3" s="174"/>
      <c r="S3" s="174"/>
      <c r="T3" s="174"/>
      <c r="U3" s="174"/>
      <c r="V3" s="174"/>
      <c r="W3" s="174"/>
      <c r="X3" s="174"/>
      <c r="Y3" s="174"/>
      <c r="Z3" s="174"/>
      <c r="AA3" s="174"/>
    </row>
    <row r="4">
      <c r="A4" s="176"/>
      <c r="B4" s="176"/>
      <c r="C4" s="176" t="s">
        <v>2273</v>
      </c>
      <c r="D4" s="177" t="s">
        <v>3611</v>
      </c>
      <c r="E4" s="176" t="s">
        <v>3612</v>
      </c>
      <c r="F4" s="181" t="s">
        <v>631</v>
      </c>
      <c r="G4" s="181" t="s">
        <v>937</v>
      </c>
      <c r="H4" s="174"/>
      <c r="I4" s="174"/>
      <c r="J4" s="174"/>
      <c r="K4" s="174"/>
      <c r="L4" s="174"/>
      <c r="M4" s="174"/>
      <c r="N4" s="174"/>
      <c r="O4" s="174"/>
      <c r="P4" s="174"/>
      <c r="Q4" s="174"/>
      <c r="R4" s="174"/>
      <c r="S4" s="174"/>
      <c r="T4" s="174"/>
      <c r="U4" s="174"/>
      <c r="V4" s="174"/>
      <c r="W4" s="174"/>
      <c r="X4" s="174"/>
      <c r="Y4" s="174"/>
      <c r="Z4" s="174"/>
      <c r="AA4" s="174"/>
    </row>
    <row r="5">
      <c r="A5" s="176"/>
      <c r="B5" s="176"/>
      <c r="C5" s="183" t="s">
        <v>2578</v>
      </c>
      <c r="D5" s="184" t="s">
        <v>3613</v>
      </c>
      <c r="E5" s="174"/>
      <c r="F5" s="178" t="str">
        <f t="array" ref="F5">INDEX(Recordings!AK:AK, MATCH(C5, Recordings!AN:AN, 0))
</f>
        <v>הגהה</v>
      </c>
      <c r="G5" s="178" t="str">
        <f t="array" ref="G5">INDEX(Recordings!AL:AL, MATCH(C5, Recordings!AN:AN, 0))
</f>
        <v>עבר הגהה</v>
      </c>
      <c r="H5" s="174"/>
      <c r="I5" s="174"/>
      <c r="J5" s="174"/>
      <c r="K5" s="174"/>
      <c r="L5" s="174"/>
      <c r="M5" s="174"/>
      <c r="N5" s="174"/>
      <c r="O5" s="174"/>
      <c r="P5" s="174"/>
      <c r="Q5" s="174"/>
      <c r="R5" s="174"/>
      <c r="S5" s="174"/>
      <c r="T5" s="174"/>
      <c r="U5" s="174"/>
      <c r="V5" s="174"/>
      <c r="W5" s="174"/>
      <c r="X5" s="174"/>
      <c r="Y5" s="174"/>
      <c r="Z5" s="174"/>
      <c r="AA5" s="174"/>
    </row>
    <row r="6">
      <c r="A6" s="176"/>
      <c r="B6" s="176"/>
      <c r="C6" s="183" t="s">
        <v>2662</v>
      </c>
      <c r="D6" s="184" t="s">
        <v>3614</v>
      </c>
      <c r="E6" s="174"/>
      <c r="F6" s="178" t="str">
        <f t="array" ref="F6">INDEX(Recordings!AK:AK, MATCH(C6, Recordings!AN:AN, 0))
</f>
        <v>הגהה</v>
      </c>
      <c r="G6" s="178" t="str">
        <f t="array" ref="G6">INDEX(Recordings!AL:AL, MATCH(C6, Recordings!AN:AN, 0))
</f>
        <v>עבר הגהה</v>
      </c>
      <c r="H6" s="174"/>
      <c r="I6" s="174"/>
      <c r="J6" s="174"/>
      <c r="K6" s="174"/>
      <c r="L6" s="174"/>
      <c r="M6" s="174"/>
      <c r="N6" s="174"/>
      <c r="O6" s="174"/>
      <c r="P6" s="174"/>
      <c r="Q6" s="174"/>
      <c r="R6" s="174"/>
      <c r="S6" s="174"/>
      <c r="T6" s="174"/>
      <c r="U6" s="174"/>
      <c r="V6" s="174"/>
      <c r="W6" s="174"/>
      <c r="X6" s="174"/>
      <c r="Y6" s="174"/>
      <c r="Z6" s="174"/>
      <c r="AA6" s="174"/>
    </row>
    <row r="7">
      <c r="A7" s="176"/>
      <c r="B7" s="176"/>
      <c r="C7" s="185" t="s">
        <v>2474</v>
      </c>
      <c r="D7" s="177" t="s">
        <v>3615</v>
      </c>
      <c r="E7" s="174"/>
      <c r="F7" s="178" t="str">
        <f t="array" ref="F7">INDEX(Recordings!AK:AK, MATCH(C7, Recordings!AN:AN, 0))
</f>
        <v>הגהה</v>
      </c>
      <c r="G7" s="178" t="str">
        <f t="array" ref="G7">INDEX(Recordings!AL:AL, MATCH(C7, Recordings!AN:AN, 0))
</f>
        <v>אושר (אורי)</v>
      </c>
      <c r="H7" s="182" t="s">
        <v>3616</v>
      </c>
      <c r="I7" s="174"/>
      <c r="J7" s="174"/>
      <c r="K7" s="174"/>
      <c r="L7" s="174"/>
      <c r="M7" s="174"/>
      <c r="N7" s="174"/>
      <c r="O7" s="174"/>
      <c r="P7" s="174"/>
      <c r="Q7" s="174"/>
      <c r="R7" s="174"/>
      <c r="S7" s="174"/>
      <c r="T7" s="174"/>
      <c r="U7" s="174"/>
      <c r="V7" s="174"/>
      <c r="W7" s="174"/>
      <c r="X7" s="174"/>
      <c r="Y7" s="174"/>
      <c r="Z7" s="174"/>
      <c r="AA7" s="174"/>
    </row>
    <row r="8">
      <c r="A8" s="176"/>
      <c r="B8" s="176"/>
      <c r="C8" s="185"/>
      <c r="D8" s="177"/>
      <c r="E8" s="174"/>
      <c r="F8" s="178"/>
      <c r="G8" s="178"/>
      <c r="H8" s="174"/>
      <c r="I8" s="174"/>
      <c r="J8" s="174"/>
      <c r="K8" s="174"/>
      <c r="L8" s="174"/>
      <c r="M8" s="174"/>
      <c r="N8" s="174"/>
      <c r="O8" s="174"/>
      <c r="P8" s="174"/>
      <c r="Q8" s="174"/>
      <c r="R8" s="174"/>
      <c r="S8" s="174"/>
      <c r="T8" s="174"/>
      <c r="U8" s="174"/>
      <c r="V8" s="174"/>
      <c r="W8" s="174"/>
      <c r="X8" s="174"/>
      <c r="Y8" s="174"/>
      <c r="Z8" s="174"/>
      <c r="AA8" s="174"/>
    </row>
    <row r="9">
      <c r="A9" s="176" t="s">
        <v>3617</v>
      </c>
      <c r="B9" s="176"/>
      <c r="C9" s="185" t="s">
        <v>1470</v>
      </c>
      <c r="D9" s="177" t="s">
        <v>3618</v>
      </c>
      <c r="E9" s="174"/>
      <c r="F9" s="178" t="str">
        <f t="array" ref="F9">INDEX(Recordings!AK:AK, MATCH(C9, Recordings!AN:AN, 0))
</f>
        <v>בקרה</v>
      </c>
      <c r="G9" s="178" t="str">
        <f t="array" ref="G9">INDEX(Recordings!AL:AL, MATCH(C9, Recordings!AN:AN, 0))
</f>
        <v>בטיפול</v>
      </c>
      <c r="H9" s="174"/>
      <c r="I9" s="174"/>
      <c r="J9" s="174"/>
      <c r="K9" s="174"/>
      <c r="L9" s="174"/>
      <c r="M9" s="174"/>
      <c r="N9" s="174"/>
      <c r="O9" s="174"/>
      <c r="P9" s="174"/>
      <c r="Q9" s="174"/>
      <c r="R9" s="174"/>
      <c r="S9" s="174"/>
      <c r="T9" s="174"/>
      <c r="U9" s="174"/>
      <c r="V9" s="174"/>
      <c r="W9" s="174"/>
      <c r="X9" s="174"/>
      <c r="Y9" s="174"/>
      <c r="Z9" s="174"/>
      <c r="AA9" s="174"/>
    </row>
    <row r="10">
      <c r="A10" s="174"/>
      <c r="B10" s="176" t="s">
        <v>3619</v>
      </c>
      <c r="C10" s="186" t="s">
        <v>1485</v>
      </c>
      <c r="D10" s="187" t="s">
        <v>3620</v>
      </c>
      <c r="E10" s="174"/>
      <c r="F10" s="178" t="str">
        <f t="array" ref="F10">INDEX(Recordings!AK:AK, MATCH(C10, Recordings!AN:AN, 0))
</f>
        <v>בקרה</v>
      </c>
      <c r="G10" s="178" t="str">
        <f t="array" ref="G10">INDEX(Recordings!AL:AL, MATCH(C10, Recordings!AN:AN, 0))
</f>
        <v>אושר (אורי)</v>
      </c>
      <c r="H10" s="174"/>
      <c r="I10" s="174"/>
      <c r="J10" s="174"/>
      <c r="K10" s="174"/>
      <c r="L10" s="174"/>
      <c r="M10" s="174"/>
      <c r="N10" s="174"/>
      <c r="O10" s="174"/>
      <c r="P10" s="174"/>
      <c r="Q10" s="174"/>
      <c r="R10" s="174"/>
      <c r="S10" s="174"/>
      <c r="T10" s="174"/>
      <c r="U10" s="174"/>
      <c r="V10" s="174"/>
      <c r="W10" s="174"/>
      <c r="X10" s="174"/>
      <c r="Y10" s="174"/>
      <c r="Z10" s="174"/>
      <c r="AA10" s="174"/>
    </row>
    <row r="11">
      <c r="A11" s="174"/>
      <c r="B11" s="174"/>
      <c r="C11" s="188" t="s">
        <v>1222</v>
      </c>
      <c r="D11" s="184" t="s">
        <v>3621</v>
      </c>
      <c r="E11" s="174"/>
      <c r="F11" s="178" t="str">
        <f t="array" ref="F11">INDEX(Recordings!AK:AK, MATCH(C11, Recordings!AN:AN, 0))
</f>
        <v>הגהה</v>
      </c>
      <c r="G11" s="178" t="str">
        <f t="array" ref="G11">INDEX(Recordings!AL:AL, MATCH(C11, Recordings!AN:AN, 0))
</f>
        <v>עבר הגהה</v>
      </c>
      <c r="H11" s="174"/>
      <c r="I11" s="174"/>
      <c r="J11" s="174"/>
      <c r="K11" s="174"/>
      <c r="L11" s="174"/>
      <c r="M11" s="174"/>
      <c r="N11" s="174"/>
      <c r="O11" s="174"/>
      <c r="P11" s="174"/>
      <c r="Q11" s="174"/>
      <c r="R11" s="174"/>
      <c r="S11" s="174"/>
      <c r="T11" s="174"/>
      <c r="U11" s="174"/>
      <c r="V11" s="174"/>
      <c r="W11" s="174"/>
      <c r="X11" s="174"/>
      <c r="Y11" s="174"/>
      <c r="Z11" s="174"/>
      <c r="AA11" s="174"/>
    </row>
    <row r="12">
      <c r="A12" s="174"/>
      <c r="B12" s="174"/>
      <c r="C12" s="188" t="s">
        <v>1240</v>
      </c>
      <c r="D12" s="184" t="s">
        <v>3622</v>
      </c>
      <c r="E12" s="174"/>
      <c r="F12" s="178" t="str">
        <f t="array" ref="F12">INDEX(Recordings!AK:AK, MATCH(C12, Recordings!AN:AN, 0))
</f>
        <v>הגהה</v>
      </c>
      <c r="G12" s="178" t="str">
        <f t="array" ref="G12">INDEX(Recordings!AL:AL, MATCH(C12, Recordings!AN:AN, 0))
</f>
        <v>עבר הגהה</v>
      </c>
      <c r="H12" s="174"/>
      <c r="I12" s="174"/>
      <c r="J12" s="174"/>
      <c r="K12" s="174"/>
      <c r="L12" s="174"/>
      <c r="M12" s="174"/>
      <c r="N12" s="174"/>
      <c r="O12" s="174"/>
      <c r="P12" s="174"/>
      <c r="Q12" s="174"/>
      <c r="R12" s="174"/>
      <c r="S12" s="174"/>
      <c r="T12" s="174"/>
      <c r="U12" s="174"/>
      <c r="V12" s="174"/>
      <c r="W12" s="174"/>
      <c r="X12" s="174"/>
      <c r="Y12" s="174"/>
      <c r="Z12" s="174"/>
      <c r="AA12" s="174"/>
    </row>
    <row r="13">
      <c r="A13" s="176"/>
      <c r="B13" s="176"/>
      <c r="E13" s="174"/>
      <c r="F13" s="178"/>
      <c r="G13" s="178"/>
      <c r="H13" s="174"/>
      <c r="I13" s="174"/>
      <c r="J13" s="174"/>
      <c r="K13" s="174"/>
      <c r="L13" s="174"/>
      <c r="M13" s="174"/>
      <c r="N13" s="174"/>
      <c r="O13" s="174"/>
      <c r="P13" s="174"/>
      <c r="Q13" s="174"/>
      <c r="R13" s="174"/>
      <c r="S13" s="174"/>
      <c r="T13" s="174"/>
      <c r="U13" s="174"/>
      <c r="V13" s="174"/>
      <c r="W13" s="174"/>
      <c r="X13" s="174"/>
      <c r="Y13" s="174"/>
      <c r="Z13" s="174"/>
      <c r="AA13" s="174"/>
    </row>
    <row r="14">
      <c r="A14" s="176" t="s">
        <v>3623</v>
      </c>
      <c r="B14" s="176"/>
      <c r="C14" s="174"/>
      <c r="D14" s="176"/>
      <c r="E14" s="174"/>
      <c r="F14" s="178"/>
      <c r="G14" s="178"/>
      <c r="H14" s="174"/>
      <c r="I14" s="174"/>
      <c r="J14" s="174"/>
      <c r="K14" s="174"/>
      <c r="L14" s="174"/>
      <c r="M14" s="174"/>
      <c r="N14" s="174"/>
      <c r="O14" s="174"/>
      <c r="P14" s="174"/>
      <c r="Q14" s="174"/>
      <c r="R14" s="174"/>
      <c r="S14" s="174"/>
      <c r="T14" s="174"/>
      <c r="U14" s="174"/>
      <c r="V14" s="174"/>
      <c r="W14" s="174"/>
      <c r="X14" s="174"/>
      <c r="Y14" s="174"/>
      <c r="Z14" s="174"/>
      <c r="AA14" s="174"/>
    </row>
    <row r="15">
      <c r="A15" s="176"/>
      <c r="B15" s="176"/>
      <c r="C15" s="176" t="s">
        <v>1195</v>
      </c>
      <c r="D15" s="177" t="s">
        <v>3624</v>
      </c>
      <c r="E15" s="177" t="s">
        <v>3625</v>
      </c>
      <c r="F15" s="178" t="str">
        <f t="array" ref="F15">INDEX(Recordings!AK:AK, MATCH(C15, Recordings!AN:AN, 0))
</f>
        <v>הגהה</v>
      </c>
      <c r="G15" s="178" t="str">
        <f t="array" ref="G15">INDEX(Recordings!AL:AL, MATCH(C15, Recordings!AN:AN, 0))
</f>
        <v>אושר (אורי)</v>
      </c>
      <c r="H15" s="189" t="s">
        <v>3626</v>
      </c>
      <c r="I15" s="174"/>
      <c r="J15" s="174"/>
      <c r="K15" s="174"/>
      <c r="L15" s="174"/>
      <c r="M15" s="174"/>
      <c r="N15" s="174"/>
      <c r="O15" s="174"/>
      <c r="P15" s="174"/>
      <c r="Q15" s="174"/>
      <c r="R15" s="174"/>
      <c r="S15" s="174"/>
      <c r="T15" s="174"/>
      <c r="U15" s="174"/>
      <c r="V15" s="174"/>
      <c r="W15" s="174"/>
      <c r="X15" s="174"/>
      <c r="Y15" s="174"/>
      <c r="Z15" s="174"/>
      <c r="AA15" s="174"/>
    </row>
    <row r="16">
      <c r="A16" s="176"/>
      <c r="B16" s="176"/>
      <c r="C16" s="176" t="s">
        <v>776</v>
      </c>
      <c r="D16" s="177" t="s">
        <v>3627</v>
      </c>
      <c r="E16" s="174"/>
      <c r="F16" s="178" t="str">
        <f t="array" ref="F16">INDEX(Recordings!AK:AK, MATCH(C16, Recordings!AN:AN, 0))
</f>
        <v>הגהה</v>
      </c>
      <c r="G16" s="178" t="str">
        <f t="array" ref="G16">INDEX(Recordings!AL:AL, MATCH(C16, Recordings!AN:AN, 0))
</f>
        <v>אושר (אורי)</v>
      </c>
      <c r="H16" s="174"/>
      <c r="I16" s="174"/>
      <c r="J16" s="174"/>
      <c r="K16" s="174"/>
      <c r="L16" s="174"/>
      <c r="M16" s="174"/>
      <c r="N16" s="174"/>
      <c r="O16" s="174"/>
      <c r="P16" s="174"/>
      <c r="Q16" s="174"/>
      <c r="R16" s="174"/>
      <c r="S16" s="174"/>
      <c r="T16" s="174"/>
      <c r="U16" s="174"/>
      <c r="V16" s="174"/>
      <c r="W16" s="174"/>
      <c r="X16" s="174"/>
      <c r="Y16" s="174"/>
      <c r="Z16" s="174"/>
      <c r="AA16" s="174"/>
    </row>
    <row r="17">
      <c r="A17" s="176"/>
      <c r="B17" s="176" t="s">
        <v>3628</v>
      </c>
      <c r="C17" s="190" t="s">
        <v>780</v>
      </c>
      <c r="D17" s="184" t="s">
        <v>3629</v>
      </c>
      <c r="E17" s="174"/>
      <c r="F17" s="178" t="str">
        <f t="array" ref="F17">INDEX(Recordings!AK:AK, MATCH(C17, Recordings!AN:AN, 0))
</f>
        <v>הגהה</v>
      </c>
      <c r="G17" s="178" t="str">
        <f t="array" ref="G17">INDEX(Recordings!AL:AL, MATCH(C17, Recordings!AN:AN, 0))
</f>
        <v>עבר הגהה</v>
      </c>
      <c r="H17" s="174"/>
      <c r="I17" s="174"/>
      <c r="J17" s="174"/>
      <c r="K17" s="174"/>
      <c r="L17" s="174"/>
      <c r="M17" s="174"/>
      <c r="N17" s="174"/>
      <c r="O17" s="174"/>
      <c r="P17" s="174"/>
      <c r="Q17" s="174"/>
      <c r="R17" s="174"/>
      <c r="S17" s="174"/>
      <c r="T17" s="174"/>
      <c r="U17" s="174"/>
      <c r="V17" s="174"/>
      <c r="W17" s="174"/>
      <c r="X17" s="174"/>
      <c r="Y17" s="174"/>
      <c r="Z17" s="174"/>
      <c r="AA17" s="174"/>
    </row>
    <row r="18">
      <c r="A18" s="176"/>
      <c r="B18" s="176"/>
      <c r="C18" s="179" t="s">
        <v>928</v>
      </c>
      <c r="D18" s="187" t="s">
        <v>3630</v>
      </c>
      <c r="E18" s="176" t="s">
        <v>3631</v>
      </c>
      <c r="F18" s="178" t="str">
        <f t="array" ref="F18">INDEX(Recordings!AK:AK, MATCH(C18, Recordings!AN:AN, 0))
</f>
        <v>בקרה</v>
      </c>
      <c r="G18" s="178" t="str">
        <f t="array" ref="G18">INDEX(Recordings!AL:AL, MATCH(C18, Recordings!AN:AN, 0))
</f>
        <v>אושר (אורי)</v>
      </c>
      <c r="H18" s="182" t="s">
        <v>3632</v>
      </c>
      <c r="I18" s="174"/>
      <c r="J18" s="174"/>
      <c r="K18" s="174"/>
      <c r="L18" s="174"/>
      <c r="M18" s="174"/>
      <c r="N18" s="174"/>
      <c r="O18" s="174"/>
      <c r="P18" s="174"/>
      <c r="Q18" s="174"/>
      <c r="R18" s="174"/>
      <c r="S18" s="174"/>
      <c r="T18" s="174"/>
      <c r="U18" s="174"/>
      <c r="V18" s="174"/>
      <c r="W18" s="174"/>
      <c r="X18" s="174"/>
      <c r="Y18" s="174"/>
      <c r="Z18" s="174"/>
      <c r="AA18" s="174"/>
    </row>
    <row r="19">
      <c r="A19" s="176"/>
      <c r="B19" s="176"/>
      <c r="C19" s="176" t="s">
        <v>677</v>
      </c>
      <c r="D19" s="177" t="s">
        <v>3633</v>
      </c>
      <c r="E19" s="176" t="s">
        <v>3634</v>
      </c>
      <c r="F19" s="178" t="str">
        <f t="array" ref="F19">INDEX(Recordings!AK:AK, MATCH(C19, Recordings!AN:AN, 0))
</f>
        <v>תעתיק</v>
      </c>
      <c r="G19" s="178" t="str">
        <f t="array" ref="G19">INDEX(Recordings!AL:AL, MATCH(C19, Recordings!AN:AN, 0))
</f>
        <v>אושר (אורי)</v>
      </c>
      <c r="H19" s="174"/>
      <c r="I19" s="174"/>
      <c r="J19" s="174"/>
      <c r="K19" s="174"/>
      <c r="L19" s="174"/>
      <c r="M19" s="174"/>
      <c r="N19" s="174"/>
      <c r="O19" s="174"/>
      <c r="P19" s="174"/>
      <c r="Q19" s="174"/>
      <c r="R19" s="174"/>
      <c r="S19" s="174"/>
      <c r="T19" s="174"/>
      <c r="U19" s="174"/>
      <c r="V19" s="174"/>
      <c r="W19" s="174"/>
      <c r="X19" s="174"/>
      <c r="Y19" s="174"/>
      <c r="Z19" s="174"/>
      <c r="AA19" s="174"/>
    </row>
    <row r="20">
      <c r="A20" s="176"/>
      <c r="B20" s="176" t="s">
        <v>3635</v>
      </c>
      <c r="C20" s="179" t="s">
        <v>719</v>
      </c>
      <c r="D20" s="180" t="s">
        <v>3636</v>
      </c>
      <c r="E20" s="182"/>
      <c r="F20" s="178" t="str">
        <f t="array" ref="F20">INDEX(Recordings!AK:AK, MATCH(C20, Recordings!AN:AN, 0))
</f>
        <v>בקרה</v>
      </c>
      <c r="G20" s="178" t="str">
        <f t="array" ref="G20">INDEX(Recordings!AL:AL, MATCH(C20, Recordings!AN:AN, 0))
</f>
        <v>אושר (אורי)</v>
      </c>
      <c r="H20" s="182" t="s">
        <v>3632</v>
      </c>
      <c r="I20" s="174"/>
      <c r="J20" s="174"/>
      <c r="K20" s="174"/>
      <c r="L20" s="174"/>
      <c r="M20" s="174"/>
      <c r="N20" s="174"/>
      <c r="O20" s="174"/>
      <c r="P20" s="174"/>
      <c r="Q20" s="174"/>
      <c r="R20" s="174"/>
      <c r="S20" s="174"/>
      <c r="T20" s="174"/>
      <c r="U20" s="174"/>
      <c r="V20" s="174"/>
      <c r="W20" s="174"/>
      <c r="X20" s="174"/>
      <c r="Y20" s="174"/>
      <c r="Z20" s="174"/>
      <c r="AA20" s="174"/>
    </row>
    <row r="21">
      <c r="A21" s="176"/>
      <c r="B21" s="176"/>
      <c r="C21" s="179" t="s">
        <v>1057</v>
      </c>
      <c r="D21" s="180" t="s">
        <v>3637</v>
      </c>
      <c r="E21" s="174"/>
      <c r="F21" s="178" t="str">
        <f t="array" ref="F21">INDEX(Recordings!AK:AK, MATCH(C21, Recordings!AN:AN, 0))
</f>
        <v>הגהה</v>
      </c>
      <c r="G21" s="178" t="str">
        <f t="array" ref="G21">INDEX(Recordings!AL:AL, MATCH(C21, Recordings!AN:AN, 0))
</f>
        <v>אושר (אורי)</v>
      </c>
      <c r="H21" s="182" t="s">
        <v>3632</v>
      </c>
      <c r="I21" s="174"/>
      <c r="J21" s="174"/>
      <c r="K21" s="174"/>
      <c r="L21" s="174"/>
      <c r="M21" s="174"/>
      <c r="N21" s="174"/>
      <c r="O21" s="174"/>
      <c r="P21" s="174"/>
      <c r="Q21" s="174"/>
      <c r="R21" s="174"/>
      <c r="S21" s="174"/>
      <c r="T21" s="174"/>
      <c r="U21" s="174"/>
      <c r="V21" s="174"/>
      <c r="W21" s="174"/>
      <c r="X21" s="174"/>
      <c r="Y21" s="174"/>
      <c r="Z21" s="174"/>
      <c r="AA21" s="174"/>
    </row>
    <row r="22">
      <c r="A22" s="176"/>
      <c r="B22" s="176" t="s">
        <v>3638</v>
      </c>
      <c r="C22" s="179" t="s">
        <v>757</v>
      </c>
      <c r="D22" s="180" t="s">
        <v>3639</v>
      </c>
      <c r="E22" s="176" t="s">
        <v>3640</v>
      </c>
      <c r="F22" s="178" t="str">
        <f t="array" ref="F22">INDEX(Recordings!AK:AK, MATCH(C22, Recordings!AN:AN, 0))
</f>
        <v>הגהה</v>
      </c>
      <c r="G22" s="178" t="str">
        <f t="array" ref="G22">INDEX(Recordings!AL:AL, MATCH(C22, Recordings!AN:AN, 0))
</f>
        <v>אושר (אורי)</v>
      </c>
      <c r="H22" s="191" t="s">
        <v>3641</v>
      </c>
      <c r="I22" s="174"/>
      <c r="J22" s="174"/>
      <c r="K22" s="174"/>
      <c r="L22" s="174"/>
      <c r="M22" s="174"/>
      <c r="N22" s="174"/>
      <c r="O22" s="174"/>
      <c r="P22" s="174"/>
      <c r="Q22" s="174"/>
      <c r="R22" s="174"/>
      <c r="S22" s="174"/>
      <c r="T22" s="174"/>
      <c r="U22" s="174"/>
      <c r="V22" s="174"/>
      <c r="W22" s="174"/>
      <c r="X22" s="174"/>
      <c r="Y22" s="174"/>
      <c r="Z22" s="174"/>
      <c r="AA22" s="174"/>
    </row>
    <row r="23">
      <c r="A23" s="176"/>
      <c r="B23" s="176"/>
      <c r="C23" s="188" t="s">
        <v>1014</v>
      </c>
      <c r="D23" s="184" t="s">
        <v>3642</v>
      </c>
      <c r="E23" s="174"/>
      <c r="F23" s="178" t="str">
        <f t="array" ref="F23">INDEX(Recordings!AK:AK, MATCH(C23, Recordings!AN:AN, 0))
</f>
        <v>הגהה</v>
      </c>
      <c r="G23" s="178" t="str">
        <f t="array" ref="G23">INDEX(Recordings!AL:AL, MATCH(C23, Recordings!AN:AN, 0))
</f>
        <v>עבר הגהה</v>
      </c>
      <c r="H23" s="174"/>
      <c r="I23" s="174"/>
      <c r="J23" s="174"/>
      <c r="K23" s="174"/>
      <c r="L23" s="174"/>
      <c r="M23" s="174"/>
      <c r="N23" s="174"/>
      <c r="O23" s="174"/>
      <c r="P23" s="174"/>
      <c r="Q23" s="174"/>
      <c r="R23" s="174"/>
      <c r="S23" s="174"/>
      <c r="T23" s="174"/>
      <c r="U23" s="174"/>
      <c r="V23" s="174"/>
      <c r="W23" s="174"/>
      <c r="X23" s="174"/>
      <c r="Y23" s="174"/>
      <c r="Z23" s="174"/>
      <c r="AA23" s="174"/>
    </row>
    <row r="24">
      <c r="A24" s="176"/>
      <c r="B24" s="176"/>
      <c r="C24" s="176" t="s">
        <v>1284</v>
      </c>
      <c r="D24" s="177"/>
      <c r="E24" s="71" t="s">
        <v>1283</v>
      </c>
      <c r="F24" s="181" t="s">
        <v>631</v>
      </c>
      <c r="G24" s="178" t="str">
        <f t="array" ref="G24">INDEX(Recordings!AL:AL, MATCH(C24, Recordings!AN:AN, 0))
</f>
        <v>מאושר לתעתיק</v>
      </c>
      <c r="H24" s="182" t="s">
        <v>3643</v>
      </c>
      <c r="I24" s="174"/>
      <c r="J24" s="174"/>
      <c r="K24" s="174"/>
      <c r="L24" s="174"/>
      <c r="M24" s="174"/>
      <c r="N24" s="174"/>
      <c r="O24" s="174"/>
      <c r="P24" s="174"/>
      <c r="Q24" s="174"/>
      <c r="R24" s="174"/>
      <c r="S24" s="174"/>
      <c r="T24" s="174"/>
      <c r="U24" s="174"/>
      <c r="V24" s="174"/>
      <c r="W24" s="174"/>
      <c r="X24" s="174"/>
      <c r="Y24" s="174"/>
      <c r="Z24" s="174"/>
      <c r="AA24" s="174"/>
    </row>
    <row r="25">
      <c r="A25" s="176"/>
      <c r="B25" s="176"/>
      <c r="C25" s="176"/>
      <c r="D25" s="177"/>
      <c r="E25" s="174"/>
      <c r="F25" s="178"/>
      <c r="G25" s="178"/>
      <c r="H25" s="174"/>
      <c r="I25" s="174"/>
      <c r="J25" s="174"/>
      <c r="K25" s="174"/>
      <c r="L25" s="174"/>
      <c r="M25" s="174"/>
      <c r="N25" s="174"/>
      <c r="O25" s="174"/>
      <c r="P25" s="174"/>
      <c r="Q25" s="174"/>
      <c r="R25" s="174"/>
      <c r="S25" s="174"/>
      <c r="T25" s="174"/>
      <c r="U25" s="174"/>
      <c r="V25" s="174"/>
      <c r="W25" s="174"/>
      <c r="X25" s="174"/>
      <c r="Y25" s="174"/>
      <c r="Z25" s="174"/>
      <c r="AA25" s="174"/>
    </row>
    <row r="26">
      <c r="A26" s="176" t="s">
        <v>3644</v>
      </c>
      <c r="B26" s="176" t="s">
        <v>112</v>
      </c>
      <c r="C26" s="179" t="s">
        <v>1436</v>
      </c>
      <c r="D26" s="180" t="s">
        <v>3645</v>
      </c>
      <c r="E26" s="174"/>
      <c r="F26" s="181" t="s">
        <v>698</v>
      </c>
      <c r="G26" s="181" t="s">
        <v>675</v>
      </c>
      <c r="H26" s="191" t="s">
        <v>3632</v>
      </c>
      <c r="I26" s="174"/>
      <c r="J26" s="174"/>
      <c r="K26" s="174"/>
      <c r="L26" s="174"/>
      <c r="M26" s="174"/>
      <c r="N26" s="174"/>
      <c r="O26" s="174"/>
      <c r="P26" s="174"/>
      <c r="Q26" s="174"/>
      <c r="R26" s="174"/>
      <c r="S26" s="174"/>
      <c r="T26" s="174"/>
      <c r="U26" s="174"/>
      <c r="V26" s="174"/>
      <c r="W26" s="174"/>
      <c r="X26" s="174"/>
      <c r="Y26" s="174"/>
      <c r="Z26" s="174"/>
      <c r="AA26" s="174"/>
    </row>
    <row r="27">
      <c r="A27" s="176"/>
      <c r="B27" s="176"/>
      <c r="C27" s="176" t="s">
        <v>1463</v>
      </c>
      <c r="D27" s="192" t="s">
        <v>3646</v>
      </c>
      <c r="E27" s="174"/>
      <c r="F27" s="178" t="str">
        <f t="array" ref="F27">INDEX(Recordings!AK:AK, MATCH(C27, Recordings!AN:AN, 0))
</f>
        <v>הגהה</v>
      </c>
      <c r="G27" s="178" t="str">
        <f t="array" ref="G27">INDEX(Recordings!AL:AL, MATCH(C27, Recordings!AN:AN, 0))
</f>
        <v>עבר הגהה</v>
      </c>
      <c r="H27" s="174"/>
      <c r="I27" s="174"/>
      <c r="J27" s="174"/>
      <c r="K27" s="174"/>
      <c r="L27" s="174"/>
      <c r="M27" s="174"/>
      <c r="N27" s="174"/>
      <c r="O27" s="174"/>
      <c r="P27" s="174"/>
      <c r="Q27" s="174"/>
      <c r="R27" s="174"/>
      <c r="S27" s="174"/>
      <c r="T27" s="174"/>
      <c r="U27" s="174"/>
      <c r="V27" s="174"/>
      <c r="W27" s="174"/>
      <c r="X27" s="174"/>
      <c r="Y27" s="174"/>
      <c r="Z27" s="174"/>
      <c r="AA27" s="174"/>
    </row>
    <row r="28">
      <c r="A28" s="176"/>
      <c r="B28" s="176"/>
      <c r="C28" s="176" t="s">
        <v>1455</v>
      </c>
      <c r="D28" s="192" t="s">
        <v>3647</v>
      </c>
      <c r="E28" s="174"/>
      <c r="F28" s="178" t="str">
        <f t="array" ref="F28">INDEX(Recordings!AK:AK, MATCH(C28, Recordings!AN:AN, 0))
</f>
        <v>תעתיק</v>
      </c>
      <c r="G28" s="178" t="str">
        <f t="array" ref="G28">INDEX(Recordings!AL:AL, MATCH(C28, Recordings!AN:AN, 0))
</f>
        <v>אושר (אורי)</v>
      </c>
      <c r="H28" s="174"/>
      <c r="I28" s="174"/>
      <c r="J28" s="174"/>
      <c r="K28" s="174"/>
      <c r="L28" s="174"/>
      <c r="M28" s="174"/>
      <c r="N28" s="174"/>
      <c r="O28" s="174"/>
      <c r="P28" s="174"/>
      <c r="Q28" s="174"/>
      <c r="R28" s="174"/>
      <c r="S28" s="174"/>
      <c r="T28" s="174"/>
      <c r="U28" s="174"/>
      <c r="V28" s="174"/>
      <c r="W28" s="174"/>
      <c r="X28" s="174"/>
      <c r="Y28" s="174"/>
      <c r="Z28" s="174"/>
      <c r="AA28" s="174"/>
    </row>
    <row r="29">
      <c r="A29" s="176"/>
      <c r="B29" s="176"/>
      <c r="C29" s="176"/>
      <c r="D29" s="177"/>
      <c r="E29" s="174"/>
      <c r="F29" s="178"/>
      <c r="G29" s="178"/>
      <c r="H29" s="174"/>
      <c r="I29" s="174"/>
      <c r="J29" s="174"/>
      <c r="K29" s="174"/>
      <c r="L29" s="174"/>
      <c r="M29" s="174"/>
      <c r="N29" s="174"/>
      <c r="O29" s="174"/>
      <c r="P29" s="174"/>
      <c r="Q29" s="174"/>
      <c r="R29" s="174"/>
      <c r="S29" s="174"/>
      <c r="T29" s="174"/>
      <c r="U29" s="174"/>
      <c r="V29" s="174"/>
      <c r="W29" s="174"/>
      <c r="X29" s="174"/>
      <c r="Y29" s="174"/>
      <c r="Z29" s="174"/>
      <c r="AA29" s="174"/>
    </row>
    <row r="30">
      <c r="A30" s="176" t="s">
        <v>3648</v>
      </c>
      <c r="B30" s="176"/>
      <c r="C30" s="176" t="s">
        <v>2279</v>
      </c>
      <c r="D30" s="177" t="s">
        <v>3649</v>
      </c>
      <c r="E30" s="174"/>
      <c r="F30" s="178" t="str">
        <f t="array" ref="F30">INDEX(Recordings!AK:AK, MATCH(C30, Recordings!AN:AN, 0))
</f>
        <v>תעתיק</v>
      </c>
      <c r="G30" s="178" t="str">
        <f t="array" ref="G30">INDEX(Recordings!AL:AL, MATCH(C30, Recordings!AN:AN, 0))
</f>
        <v>אושר (אורי)</v>
      </c>
      <c r="H30" s="174"/>
      <c r="I30" s="174"/>
      <c r="J30" s="174"/>
      <c r="K30" s="174"/>
      <c r="L30" s="174"/>
      <c r="M30" s="174"/>
      <c r="N30" s="174"/>
      <c r="O30" s="174"/>
      <c r="P30" s="174"/>
      <c r="Q30" s="174"/>
      <c r="R30" s="174"/>
      <c r="S30" s="174"/>
      <c r="T30" s="174"/>
      <c r="U30" s="174"/>
      <c r="V30" s="174"/>
      <c r="W30" s="174"/>
      <c r="X30" s="174"/>
      <c r="Y30" s="174"/>
      <c r="Z30" s="174"/>
      <c r="AA30" s="174"/>
    </row>
    <row r="31">
      <c r="A31" s="176"/>
      <c r="B31" s="176"/>
      <c r="C31" s="176"/>
      <c r="D31" s="176"/>
      <c r="E31" s="174"/>
      <c r="F31" s="178"/>
      <c r="G31" s="178"/>
      <c r="H31" s="174"/>
      <c r="I31" s="174"/>
      <c r="J31" s="174"/>
      <c r="K31" s="174"/>
      <c r="L31" s="174"/>
      <c r="M31" s="174"/>
      <c r="N31" s="174"/>
      <c r="O31" s="174"/>
      <c r="P31" s="174"/>
      <c r="Q31" s="174"/>
      <c r="R31" s="174"/>
      <c r="S31" s="174"/>
      <c r="T31" s="174"/>
      <c r="U31" s="174"/>
      <c r="V31" s="174"/>
      <c r="W31" s="174"/>
      <c r="X31" s="174"/>
      <c r="Y31" s="174"/>
      <c r="Z31" s="174"/>
      <c r="AA31" s="174"/>
    </row>
    <row r="32">
      <c r="A32" s="176" t="s">
        <v>3650</v>
      </c>
      <c r="B32" s="176"/>
      <c r="C32" s="193" t="s">
        <v>2637</v>
      </c>
      <c r="D32" s="194" t="s">
        <v>3651</v>
      </c>
      <c r="E32" s="174"/>
      <c r="F32" s="178" t="str">
        <f t="array" ref="F32">INDEX(Recordings!AK:AK, MATCH(C32, Recordings!AN:AN, 0))
</f>
        <v>הגהה</v>
      </c>
      <c r="G32" s="178" t="str">
        <f t="array" ref="G32">INDEX(Recordings!AL:AL, MATCH(C32, Recordings!AN:AN, 0))
</f>
        <v>בטיפול</v>
      </c>
      <c r="H32" s="174"/>
      <c r="I32" s="174"/>
      <c r="J32" s="174"/>
      <c r="K32" s="174"/>
      <c r="L32" s="174"/>
      <c r="M32" s="174"/>
      <c r="N32" s="174"/>
      <c r="O32" s="174"/>
      <c r="P32" s="174"/>
      <c r="Q32" s="174"/>
      <c r="R32" s="174"/>
      <c r="S32" s="174"/>
      <c r="T32" s="174"/>
      <c r="U32" s="174"/>
      <c r="V32" s="174"/>
      <c r="W32" s="174"/>
      <c r="X32" s="174"/>
      <c r="Y32" s="174"/>
      <c r="Z32" s="174"/>
      <c r="AA32" s="174"/>
    </row>
    <row r="33">
      <c r="A33" s="174"/>
      <c r="B33" s="174"/>
      <c r="C33" s="193" t="s">
        <v>3113</v>
      </c>
      <c r="D33" s="194" t="s">
        <v>3652</v>
      </c>
      <c r="E33" s="174"/>
      <c r="F33" s="178" t="str">
        <f t="array" ref="F33">INDEX(Recordings!AK:AK, MATCH(C33, Recordings!AN:AN, 0))
</f>
        <v>הגהה</v>
      </c>
      <c r="G33" s="178" t="str">
        <f t="array" ref="G33">INDEX(Recordings!AL:AL, MATCH(C33, Recordings!AN:AN, 0))
</f>
        <v>עבר הגהה</v>
      </c>
      <c r="H33" s="174"/>
      <c r="I33" s="174"/>
      <c r="J33" s="174"/>
      <c r="K33" s="174"/>
      <c r="L33" s="174"/>
      <c r="M33" s="174"/>
      <c r="N33" s="174"/>
      <c r="O33" s="174"/>
      <c r="P33" s="174"/>
      <c r="Q33" s="174"/>
      <c r="R33" s="174"/>
      <c r="S33" s="174"/>
      <c r="T33" s="174"/>
      <c r="U33" s="174"/>
      <c r="V33" s="174"/>
      <c r="W33" s="174"/>
      <c r="X33" s="174"/>
      <c r="Y33" s="174"/>
      <c r="Z33" s="174"/>
      <c r="AA33" s="174"/>
    </row>
    <row r="34">
      <c r="A34" s="174"/>
      <c r="B34" s="176" t="s">
        <v>3238</v>
      </c>
      <c r="C34" s="195" t="s">
        <v>3244</v>
      </c>
      <c r="D34" s="195" t="s">
        <v>3653</v>
      </c>
      <c r="E34" s="174"/>
      <c r="F34" s="178" t="str">
        <f t="array" ref="F34">INDEX(Recordings!AK:AK, MATCH(C34, Recordings!AN:AN, 0))
</f>
        <v>הגהה</v>
      </c>
      <c r="G34" s="181" t="s">
        <v>675</v>
      </c>
      <c r="H34" s="182" t="s">
        <v>3632</v>
      </c>
      <c r="I34" s="174"/>
      <c r="J34" s="174"/>
      <c r="K34" s="174"/>
      <c r="L34" s="174"/>
      <c r="M34" s="174"/>
      <c r="N34" s="174"/>
      <c r="O34" s="174"/>
      <c r="P34" s="174"/>
      <c r="Q34" s="174"/>
      <c r="R34" s="174"/>
      <c r="S34" s="174"/>
      <c r="T34" s="174"/>
      <c r="U34" s="174"/>
      <c r="V34" s="174"/>
      <c r="W34" s="174"/>
      <c r="X34" s="174"/>
      <c r="Y34" s="174"/>
      <c r="Z34" s="174"/>
      <c r="AA34" s="174"/>
    </row>
    <row r="35">
      <c r="A35" s="174"/>
      <c r="B35" s="176" t="s">
        <v>49</v>
      </c>
      <c r="C35" s="196" t="s">
        <v>3416</v>
      </c>
      <c r="D35" s="197" t="s">
        <v>3654</v>
      </c>
      <c r="E35" s="176" t="s">
        <v>3655</v>
      </c>
      <c r="F35" s="178" t="str">
        <f t="array" ref="F35">INDEX(Recordings!AK:AK, MATCH(C35, Recordings!AN:AN, 0))
</f>
        <v>הגהה</v>
      </c>
      <c r="G35" s="181" t="s">
        <v>675</v>
      </c>
      <c r="H35" s="182" t="s">
        <v>3656</v>
      </c>
      <c r="I35" s="174"/>
      <c r="J35" s="174"/>
      <c r="K35" s="174"/>
      <c r="L35" s="174"/>
      <c r="M35" s="174"/>
      <c r="N35" s="174"/>
      <c r="O35" s="174"/>
      <c r="P35" s="174"/>
      <c r="Q35" s="174"/>
      <c r="R35" s="174"/>
      <c r="S35" s="174"/>
      <c r="T35" s="174"/>
      <c r="U35" s="174"/>
      <c r="V35" s="174"/>
      <c r="W35" s="174"/>
      <c r="X35" s="174"/>
      <c r="Y35" s="174"/>
      <c r="Z35" s="174"/>
      <c r="AA35" s="174"/>
    </row>
    <row r="36">
      <c r="A36" s="174"/>
      <c r="B36" s="176" t="s">
        <v>145</v>
      </c>
      <c r="C36" s="196" t="s">
        <v>2309</v>
      </c>
      <c r="D36" s="197" t="s">
        <v>3657</v>
      </c>
      <c r="E36" s="174"/>
      <c r="F36" s="178" t="str">
        <f t="array" ref="F36">INDEX(Recordings!AK:AK, MATCH(C36, Recordings!AN:AN, 0))
</f>
        <v>הגהה</v>
      </c>
      <c r="G36" s="181" t="s">
        <v>675</v>
      </c>
      <c r="H36" s="174"/>
      <c r="I36" s="174"/>
      <c r="J36" s="174"/>
      <c r="K36" s="174"/>
      <c r="L36" s="174"/>
      <c r="M36" s="174"/>
      <c r="N36" s="174"/>
      <c r="O36" s="174"/>
      <c r="P36" s="174"/>
      <c r="Q36" s="174"/>
      <c r="R36" s="174"/>
      <c r="S36" s="174"/>
      <c r="T36" s="174"/>
      <c r="U36" s="174"/>
      <c r="V36" s="174"/>
      <c r="W36" s="174"/>
      <c r="X36" s="174"/>
      <c r="Y36" s="174"/>
      <c r="Z36" s="174"/>
      <c r="AA36" s="174"/>
    </row>
    <row r="37">
      <c r="A37" s="174"/>
      <c r="B37" s="176" t="s">
        <v>174</v>
      </c>
      <c r="C37" s="193" t="s">
        <v>3137</v>
      </c>
      <c r="D37" s="193" t="s">
        <v>3658</v>
      </c>
      <c r="E37" s="174"/>
      <c r="F37" s="178" t="str">
        <f t="array" ref="F37">INDEX(Recordings!AK:AK, MATCH(C37, Recordings!AN:AN, 0))
</f>
        <v>הגהה</v>
      </c>
      <c r="G37" s="178" t="str">
        <f t="array" ref="G37">INDEX(Recordings!AL:AL, MATCH(C37, Recordings!AN:AN, 0))
</f>
        <v>עבר הגהה</v>
      </c>
      <c r="H37" s="174"/>
      <c r="I37" s="174"/>
      <c r="J37" s="174"/>
      <c r="K37" s="174"/>
      <c r="L37" s="174"/>
      <c r="M37" s="174"/>
      <c r="N37" s="174"/>
      <c r="O37" s="174"/>
      <c r="P37" s="174"/>
      <c r="Q37" s="174"/>
      <c r="R37" s="174"/>
      <c r="S37" s="174"/>
      <c r="T37" s="174"/>
      <c r="U37" s="174"/>
      <c r="V37" s="174"/>
      <c r="W37" s="174"/>
      <c r="X37" s="174"/>
      <c r="Y37" s="174"/>
      <c r="Z37" s="174"/>
      <c r="AA37" s="174"/>
    </row>
    <row r="38">
      <c r="A38" s="174"/>
      <c r="B38" s="176" t="s">
        <v>286</v>
      </c>
      <c r="C38" s="194" t="s">
        <v>1525</v>
      </c>
      <c r="D38" s="198" t="s">
        <v>3659</v>
      </c>
      <c r="E38" s="174"/>
      <c r="F38" s="181" t="s">
        <v>698</v>
      </c>
      <c r="G38" s="181" t="s">
        <v>675</v>
      </c>
      <c r="H38" s="182" t="s">
        <v>3656</v>
      </c>
      <c r="I38" s="174"/>
      <c r="J38" s="174"/>
      <c r="K38" s="174"/>
      <c r="L38" s="174"/>
      <c r="M38" s="174"/>
      <c r="N38" s="174"/>
      <c r="O38" s="174"/>
      <c r="P38" s="174"/>
      <c r="Q38" s="174"/>
      <c r="R38" s="174"/>
      <c r="S38" s="174"/>
      <c r="T38" s="174"/>
      <c r="U38" s="174"/>
      <c r="V38" s="174"/>
      <c r="W38" s="174"/>
      <c r="X38" s="174"/>
      <c r="Y38" s="174"/>
      <c r="Z38" s="174"/>
      <c r="AA38" s="174"/>
    </row>
    <row r="39">
      <c r="A39" s="174"/>
      <c r="B39" s="174"/>
      <c r="C39" s="193" t="s">
        <v>1745</v>
      </c>
      <c r="D39" s="193" t="s">
        <v>3660</v>
      </c>
      <c r="E39" s="174"/>
      <c r="F39" s="178" t="str">
        <f t="array" ref="F39">INDEX(Recordings!AK:AK, MATCH(C39, Recordings!AN:AN, 0))
</f>
        <v>הגהה</v>
      </c>
      <c r="G39" s="178" t="str">
        <f t="array" ref="G39">INDEX(Recordings!AL:AL, MATCH(C39, Recordings!AN:AN, 0))
</f>
        <v>עבר הגהה</v>
      </c>
      <c r="H39" s="174"/>
      <c r="I39" s="174"/>
      <c r="J39" s="174"/>
      <c r="K39" s="174"/>
      <c r="L39" s="174"/>
      <c r="M39" s="174"/>
      <c r="N39" s="174"/>
      <c r="O39" s="174"/>
      <c r="P39" s="174"/>
      <c r="Q39" s="174"/>
      <c r="R39" s="174"/>
      <c r="S39" s="174"/>
      <c r="T39" s="174"/>
      <c r="U39" s="174"/>
      <c r="V39" s="174"/>
      <c r="W39" s="174"/>
      <c r="X39" s="174"/>
      <c r="Y39" s="174"/>
      <c r="Z39" s="174"/>
      <c r="AA39" s="174"/>
    </row>
    <row r="40">
      <c r="A40" s="174"/>
      <c r="B40" s="174"/>
      <c r="C40" s="194" t="s">
        <v>1742</v>
      </c>
      <c r="D40" s="193"/>
      <c r="E40" s="174"/>
      <c r="F40" s="178" t="str">
        <f t="array" ref="F40">INDEX(Recordings!AK:AK, MATCH(C40, Recordings!AN:AN, 0))
</f>
        <v>תעתיק</v>
      </c>
      <c r="G40" s="178" t="str">
        <f t="array" ref="G40">INDEX(Recordings!AL:AL, MATCH(C40, Recordings!AN:AN, 0))
</f>
        <v>בטיפול</v>
      </c>
      <c r="H40" s="174"/>
      <c r="I40" s="174"/>
      <c r="J40" s="174"/>
      <c r="K40" s="174"/>
      <c r="L40" s="174"/>
      <c r="M40" s="174"/>
      <c r="N40" s="174"/>
      <c r="O40" s="174"/>
      <c r="P40" s="174"/>
      <c r="Q40" s="174"/>
      <c r="R40" s="174"/>
      <c r="S40" s="174"/>
      <c r="T40" s="174"/>
      <c r="U40" s="174"/>
      <c r="V40" s="174"/>
      <c r="W40" s="174"/>
      <c r="X40" s="174"/>
      <c r="Y40" s="174"/>
      <c r="Z40" s="174"/>
      <c r="AA40" s="174"/>
    </row>
    <row r="41">
      <c r="A41" s="174"/>
      <c r="B41" s="174"/>
      <c r="C41" s="199" t="s">
        <v>3508</v>
      </c>
      <c r="D41" s="200" t="s">
        <v>3661</v>
      </c>
      <c r="E41" s="174"/>
      <c r="F41" s="178" t="str">
        <f t="array" ref="F41">INDEX(Recordings!AK:AK, MATCH(C41, Recordings!AN:AN, 0))
</f>
        <v>הגהה</v>
      </c>
      <c r="G41" s="178" t="str">
        <f t="array" ref="G41">INDEX(Recordings!AL:AL, MATCH(C41, Recordings!AN:AN, 0))
</f>
        <v>עבר הגהה</v>
      </c>
      <c r="H41" s="174"/>
      <c r="I41" s="174"/>
      <c r="J41" s="174"/>
      <c r="K41" s="174"/>
      <c r="L41" s="174"/>
      <c r="M41" s="174"/>
      <c r="N41" s="174"/>
      <c r="O41" s="174"/>
      <c r="P41" s="174"/>
      <c r="Q41" s="174"/>
      <c r="R41" s="174"/>
      <c r="S41" s="174"/>
      <c r="T41" s="174"/>
      <c r="U41" s="174"/>
      <c r="V41" s="174"/>
      <c r="W41" s="174"/>
      <c r="X41" s="174"/>
      <c r="Y41" s="174"/>
      <c r="Z41" s="174"/>
      <c r="AA41" s="174"/>
    </row>
    <row r="42">
      <c r="A42" s="174"/>
      <c r="B42" s="174"/>
      <c r="C42" s="194" t="s">
        <v>3572</v>
      </c>
      <c r="D42" s="198" t="s">
        <v>3662</v>
      </c>
      <c r="E42" s="176" t="s">
        <v>3663</v>
      </c>
      <c r="F42" s="178" t="str">
        <f t="array" ref="F42">INDEX(Recordings!AK:AK, MATCH(C42, Recordings!AN:AN, 0))
</f>
        <v>הגהה</v>
      </c>
      <c r="G42" s="178" t="str">
        <f t="array" ref="G42">INDEX(Recordings!AL:AL, MATCH(C42, Recordings!AN:AN, 0))
</f>
        <v>עבר הגהה</v>
      </c>
      <c r="H42" s="174"/>
      <c r="I42" s="174"/>
      <c r="J42" s="174"/>
      <c r="K42" s="174"/>
      <c r="L42" s="174"/>
      <c r="M42" s="174"/>
      <c r="N42" s="174"/>
      <c r="O42" s="174"/>
      <c r="P42" s="174"/>
      <c r="Q42" s="174"/>
      <c r="R42" s="174"/>
      <c r="S42" s="174"/>
      <c r="T42" s="174"/>
      <c r="U42" s="174"/>
      <c r="V42" s="174"/>
      <c r="W42" s="174"/>
      <c r="X42" s="174"/>
      <c r="Y42" s="174"/>
      <c r="Z42" s="174"/>
      <c r="AA42" s="174"/>
    </row>
    <row r="43">
      <c r="A43" s="176"/>
      <c r="B43" s="176"/>
      <c r="C43" s="176" t="s">
        <v>2014</v>
      </c>
      <c r="D43" s="176" t="s">
        <v>3664</v>
      </c>
      <c r="E43" s="174"/>
      <c r="F43" s="178" t="str">
        <f t="array" ref="F43">INDEX(Recordings!AK:AK, MATCH(C43, Recordings!AN:AN, 0))
</f>
        <v>הגהה</v>
      </c>
      <c r="G43" s="178" t="str">
        <f t="array" ref="G43">INDEX(Recordings!AL:AL, MATCH(C43, Recordings!AN:AN, 0))
</f>
        <v>עבר הגהה</v>
      </c>
      <c r="H43" s="174"/>
      <c r="I43" s="174"/>
      <c r="J43" s="174"/>
      <c r="K43" s="174"/>
      <c r="L43" s="174"/>
      <c r="M43" s="174"/>
      <c r="N43" s="174"/>
      <c r="O43" s="174"/>
      <c r="P43" s="174"/>
      <c r="Q43" s="174"/>
      <c r="R43" s="174"/>
      <c r="S43" s="174"/>
      <c r="T43" s="174"/>
      <c r="U43" s="174"/>
      <c r="V43" s="174"/>
      <c r="W43" s="174"/>
      <c r="X43" s="174"/>
      <c r="Y43" s="174"/>
      <c r="Z43" s="174"/>
      <c r="AA43" s="174"/>
    </row>
    <row r="44">
      <c r="A44" s="176"/>
      <c r="B44" s="176" t="s">
        <v>2207</v>
      </c>
      <c r="C44" s="176" t="s">
        <v>2225</v>
      </c>
      <c r="D44" s="177" t="s">
        <v>3665</v>
      </c>
      <c r="E44" s="201" t="s">
        <v>3666</v>
      </c>
      <c r="F44" s="178" t="str">
        <f t="array" ref="F44">INDEX(Recordings!AK:AK, MATCH(C44, Recordings!AN:AN, 0))
</f>
        <v>בקרה</v>
      </c>
      <c r="G44" s="178" t="str">
        <f t="array" ref="G44">INDEX(Recordings!AL:AL, MATCH(C44, Recordings!AN:AN, 0))
</f>
        <v>עבר הגהה</v>
      </c>
      <c r="H44" s="174"/>
      <c r="I44" s="174"/>
      <c r="J44" s="174"/>
      <c r="K44" s="174"/>
      <c r="L44" s="174"/>
      <c r="M44" s="174"/>
      <c r="N44" s="174"/>
      <c r="O44" s="174"/>
      <c r="P44" s="174"/>
      <c r="Q44" s="174"/>
      <c r="R44" s="174"/>
      <c r="S44" s="174"/>
      <c r="T44" s="174"/>
      <c r="U44" s="174"/>
      <c r="V44" s="174"/>
      <c r="W44" s="174"/>
      <c r="X44" s="174"/>
      <c r="Y44" s="174"/>
      <c r="Z44" s="174"/>
      <c r="AA44" s="174"/>
    </row>
    <row r="45">
      <c r="A45" s="176"/>
      <c r="B45" s="176"/>
      <c r="C45" s="188" t="s">
        <v>1525</v>
      </c>
      <c r="D45" s="184" t="s">
        <v>3667</v>
      </c>
      <c r="E45" s="201"/>
      <c r="F45" s="178" t="str">
        <f t="array" ref="F45">INDEX(Recordings!AK:AK, MATCH(C45, Recordings!AN:AN, 0))
</f>
        <v>הגהה</v>
      </c>
      <c r="G45" s="178" t="str">
        <f t="array" ref="G45">INDEX(Recordings!AL:AL, MATCH(C45, Recordings!AN:AN, 0))
</f>
        <v>אושר (אורי)</v>
      </c>
      <c r="H45" s="174"/>
      <c r="I45" s="174"/>
      <c r="J45" s="174"/>
      <c r="K45" s="174"/>
      <c r="L45" s="174"/>
      <c r="M45" s="174"/>
      <c r="N45" s="174"/>
      <c r="O45" s="174"/>
      <c r="P45" s="174"/>
      <c r="Q45" s="174"/>
      <c r="R45" s="174"/>
      <c r="S45" s="174"/>
      <c r="T45" s="174"/>
      <c r="U45" s="174"/>
      <c r="V45" s="174"/>
      <c r="W45" s="174"/>
      <c r="X45" s="174"/>
      <c r="Y45" s="174"/>
      <c r="Z45" s="174"/>
      <c r="AA45" s="174"/>
    </row>
    <row r="46">
      <c r="A46" s="176"/>
      <c r="B46" s="176" t="s">
        <v>284</v>
      </c>
      <c r="C46" s="176" t="s">
        <v>1861</v>
      </c>
      <c r="D46" s="177" t="s">
        <v>3668</v>
      </c>
      <c r="E46" s="174"/>
      <c r="F46" s="178" t="str">
        <f t="array" ref="F46">INDEX(Recordings!AK:AK, MATCH(C46, Recordings!AN:AN, 0))
</f>
        <v>הגהה</v>
      </c>
      <c r="G46" s="181" t="s">
        <v>675</v>
      </c>
      <c r="H46" s="174"/>
      <c r="I46" s="174"/>
      <c r="J46" s="174"/>
      <c r="K46" s="174"/>
      <c r="L46" s="174"/>
      <c r="M46" s="174"/>
      <c r="N46" s="174"/>
      <c r="O46" s="174"/>
      <c r="P46" s="174"/>
      <c r="Q46" s="174"/>
      <c r="R46" s="174"/>
      <c r="S46" s="174"/>
      <c r="T46" s="174"/>
      <c r="U46" s="174"/>
      <c r="V46" s="174"/>
      <c r="W46" s="174"/>
      <c r="X46" s="174"/>
      <c r="Y46" s="174"/>
      <c r="Z46" s="174"/>
      <c r="AA46" s="174"/>
    </row>
    <row r="47">
      <c r="A47" s="176"/>
      <c r="B47" s="176"/>
      <c r="C47" s="176"/>
      <c r="D47" s="177"/>
      <c r="E47" s="174"/>
      <c r="F47" s="178"/>
      <c r="G47" s="178"/>
      <c r="H47" s="174"/>
      <c r="I47" s="174"/>
      <c r="J47" s="174"/>
      <c r="K47" s="174"/>
      <c r="L47" s="174"/>
      <c r="M47" s="174"/>
      <c r="N47" s="174"/>
      <c r="O47" s="174"/>
      <c r="P47" s="174"/>
      <c r="Q47" s="174"/>
      <c r="R47" s="174"/>
      <c r="S47" s="174"/>
      <c r="T47" s="174"/>
      <c r="U47" s="174"/>
      <c r="V47" s="174"/>
      <c r="W47" s="174"/>
      <c r="X47" s="174"/>
      <c r="Y47" s="174"/>
      <c r="Z47" s="174"/>
      <c r="AA47" s="174"/>
    </row>
    <row r="48">
      <c r="A48" s="176" t="s">
        <v>3669</v>
      </c>
      <c r="B48" s="176" t="s">
        <v>3670</v>
      </c>
      <c r="C48" s="176" t="s">
        <v>3671</v>
      </c>
      <c r="D48" s="177" t="s">
        <v>3672</v>
      </c>
      <c r="E48" s="174"/>
      <c r="F48" s="178" t="str">
        <f t="array" ref="F48">INDEX(Recordings!AK:AK, MATCH(C48, Recordings!AN:AN, 0))
</f>
        <v>הגהה</v>
      </c>
      <c r="G48" s="178" t="str">
        <f t="array" ref="G48">INDEX(Recordings!AL:AL, MATCH(C48, Recordings!AN:AN, 0))
</f>
        <v>עבר הגהה</v>
      </c>
      <c r="H48" s="174"/>
      <c r="I48" s="174"/>
      <c r="J48" s="174"/>
      <c r="K48" s="174"/>
      <c r="L48" s="174"/>
      <c r="M48" s="174"/>
      <c r="N48" s="174"/>
      <c r="O48" s="174"/>
      <c r="P48" s="174"/>
      <c r="Q48" s="174"/>
      <c r="R48" s="174"/>
      <c r="S48" s="174"/>
      <c r="T48" s="174"/>
      <c r="U48" s="174"/>
      <c r="V48" s="174"/>
      <c r="W48" s="174"/>
      <c r="X48" s="174"/>
      <c r="Y48" s="174"/>
      <c r="Z48" s="174"/>
      <c r="AA48" s="174"/>
    </row>
    <row r="49">
      <c r="A49" s="174"/>
      <c r="B49" s="176" t="s">
        <v>3673</v>
      </c>
      <c r="C49" s="179" t="s">
        <v>3674</v>
      </c>
      <c r="D49" s="180" t="s">
        <v>3675</v>
      </c>
      <c r="E49" s="174"/>
      <c r="F49" s="178" t="str">
        <f t="array" ref="F49">INDEX(Recordings!AK:AK, MATCH(C49, Recordings!AN:AN, 0))
</f>
        <v>הגהה</v>
      </c>
      <c r="G49" s="181" t="s">
        <v>675</v>
      </c>
      <c r="H49" s="182" t="s">
        <v>3632</v>
      </c>
      <c r="I49" s="174"/>
      <c r="J49" s="174"/>
      <c r="K49" s="174"/>
      <c r="L49" s="174"/>
      <c r="M49" s="174"/>
      <c r="N49" s="174"/>
      <c r="O49" s="174"/>
      <c r="P49" s="174"/>
      <c r="Q49" s="174"/>
      <c r="R49" s="174"/>
      <c r="S49" s="174"/>
      <c r="T49" s="174"/>
      <c r="U49" s="174"/>
      <c r="V49" s="174"/>
      <c r="W49" s="174"/>
      <c r="X49" s="174"/>
      <c r="Y49" s="174"/>
      <c r="Z49" s="174"/>
      <c r="AA49" s="174"/>
    </row>
    <row r="50">
      <c r="A50" s="174"/>
      <c r="B50" s="176" t="s">
        <v>3676</v>
      </c>
      <c r="C50" s="179" t="s">
        <v>3677</v>
      </c>
      <c r="D50" s="180" t="s">
        <v>3678</v>
      </c>
      <c r="E50" s="174"/>
      <c r="F50" s="178" t="str">
        <f t="array" ref="F50">INDEX(Recordings!AK:AK, MATCH(C50, Recordings!AN:AN, 0))
</f>
        <v>הגהה</v>
      </c>
      <c r="G50" s="178" t="str">
        <f t="array" ref="G50">INDEX(Recordings!AL:AL, MATCH(C50, Recordings!AN:AN, 0))
</f>
        <v>אושר (אורי)</v>
      </c>
      <c r="H50" s="182"/>
      <c r="I50" s="174"/>
      <c r="J50" s="174"/>
      <c r="K50" s="174"/>
      <c r="L50" s="174"/>
      <c r="M50" s="174"/>
      <c r="N50" s="174"/>
      <c r="O50" s="174"/>
      <c r="P50" s="174"/>
      <c r="Q50" s="174"/>
      <c r="R50" s="174"/>
      <c r="S50" s="174"/>
      <c r="T50" s="174"/>
      <c r="U50" s="174"/>
      <c r="V50" s="174"/>
      <c r="W50" s="174"/>
      <c r="X50" s="174"/>
      <c r="Y50" s="174"/>
      <c r="Z50" s="174"/>
      <c r="AA50" s="174"/>
    </row>
    <row r="51">
      <c r="A51" s="174"/>
      <c r="B51" s="174"/>
      <c r="C51" s="174"/>
      <c r="D51" s="174"/>
      <c r="E51" s="174"/>
      <c r="F51" s="178"/>
      <c r="G51" s="178"/>
      <c r="H51" s="174"/>
      <c r="I51" s="174"/>
      <c r="J51" s="174"/>
      <c r="K51" s="174"/>
      <c r="L51" s="174"/>
      <c r="M51" s="174"/>
      <c r="N51" s="174"/>
      <c r="O51" s="174"/>
      <c r="P51" s="174"/>
      <c r="Q51" s="174"/>
      <c r="R51" s="174"/>
      <c r="S51" s="174"/>
      <c r="T51" s="174"/>
      <c r="U51" s="174"/>
      <c r="V51" s="174"/>
      <c r="W51" s="174"/>
      <c r="X51" s="174"/>
      <c r="Y51" s="174"/>
      <c r="Z51" s="174"/>
      <c r="AA51" s="174"/>
    </row>
    <row r="52">
      <c r="A52" s="176" t="s">
        <v>3679</v>
      </c>
      <c r="B52" s="176" t="s">
        <v>564</v>
      </c>
      <c r="C52" s="176" t="s">
        <v>1019</v>
      </c>
      <c r="D52" s="177" t="s">
        <v>3680</v>
      </c>
      <c r="E52" s="174"/>
      <c r="F52" s="178" t="str">
        <f t="array" ref="F52">INDEX(Recordings!AK:AK, MATCH(C52, Recordings!AN:AN, 0))
</f>
        <v>הגהה</v>
      </c>
      <c r="G52" s="178" t="str">
        <f t="array" ref="G52">INDEX(Recordings!AL:AL, MATCH(C52, Recordings!AN:AN, 0))
</f>
        <v>עבר הגהה</v>
      </c>
      <c r="H52" s="174"/>
      <c r="I52" s="174"/>
      <c r="J52" s="174"/>
      <c r="K52" s="174"/>
      <c r="L52" s="174"/>
      <c r="M52" s="174"/>
      <c r="N52" s="174"/>
      <c r="O52" s="174"/>
      <c r="P52" s="174"/>
      <c r="Q52" s="174"/>
      <c r="R52" s="174"/>
      <c r="S52" s="174"/>
      <c r="T52" s="174"/>
      <c r="U52" s="174"/>
      <c r="V52" s="174"/>
      <c r="W52" s="174"/>
      <c r="X52" s="174"/>
      <c r="Y52" s="174"/>
      <c r="Z52" s="174"/>
      <c r="AA52" s="174"/>
    </row>
    <row r="53">
      <c r="A53" s="174"/>
      <c r="B53" s="176" t="s">
        <v>3681</v>
      </c>
      <c r="C53" s="176" t="s">
        <v>938</v>
      </c>
      <c r="D53" s="177" t="s">
        <v>3682</v>
      </c>
      <c r="E53" s="174"/>
      <c r="F53" s="178" t="str">
        <f t="array" ref="F53">INDEX(Recordings!AK:AK, MATCH(C53, Recordings!AN:AN, 0))
</f>
        <v>תעתיק</v>
      </c>
      <c r="G53" s="181" t="s">
        <v>734</v>
      </c>
      <c r="H53" s="174"/>
      <c r="I53" s="174"/>
      <c r="J53" s="174"/>
      <c r="K53" s="174"/>
      <c r="L53" s="174"/>
      <c r="M53" s="174"/>
      <c r="N53" s="174"/>
      <c r="O53" s="174"/>
      <c r="P53" s="174"/>
      <c r="Q53" s="174"/>
      <c r="R53" s="174"/>
      <c r="S53" s="174"/>
      <c r="T53" s="174"/>
      <c r="U53" s="174"/>
      <c r="V53" s="174"/>
      <c r="W53" s="174"/>
      <c r="X53" s="174"/>
      <c r="Y53" s="174"/>
      <c r="Z53" s="174"/>
      <c r="AA53" s="174"/>
    </row>
    <row r="54">
      <c r="A54" s="174"/>
      <c r="B54" s="174"/>
      <c r="C54" s="174"/>
      <c r="D54" s="174"/>
      <c r="E54" s="174"/>
      <c r="F54" s="178"/>
      <c r="G54" s="178"/>
      <c r="H54" s="174"/>
      <c r="I54" s="174"/>
      <c r="J54" s="174"/>
      <c r="K54" s="174"/>
      <c r="L54" s="174"/>
      <c r="M54" s="174"/>
      <c r="N54" s="174"/>
      <c r="O54" s="174"/>
      <c r="P54" s="174"/>
      <c r="Q54" s="174"/>
      <c r="R54" s="174"/>
      <c r="S54" s="174"/>
      <c r="T54" s="174"/>
      <c r="U54" s="174"/>
      <c r="V54" s="174"/>
      <c r="W54" s="174"/>
      <c r="X54" s="174"/>
      <c r="Y54" s="174"/>
      <c r="Z54" s="174"/>
      <c r="AA54" s="174"/>
    </row>
    <row r="55">
      <c r="A55" s="176" t="s">
        <v>3683</v>
      </c>
      <c r="B55" s="176" t="s">
        <v>567</v>
      </c>
      <c r="C55" s="202" t="s">
        <v>2696</v>
      </c>
      <c r="D55" s="203" t="s">
        <v>3684</v>
      </c>
      <c r="E55" s="176" t="s">
        <v>3685</v>
      </c>
      <c r="F55" s="178" t="str">
        <f t="array" ref="F55">INDEX(Recordings!AK:AK, MATCH(C55, Recordings!AN:AN, 0))
</f>
        <v>הגהה</v>
      </c>
      <c r="G55" s="178" t="str">
        <f t="array" ref="G55">INDEX(Recordings!AL:AL, MATCH(C55, Recordings!AN:AN, 0))
</f>
        <v>בטיפול</v>
      </c>
      <c r="H55" s="174"/>
      <c r="I55" s="174"/>
      <c r="J55" s="174"/>
      <c r="K55" s="174"/>
      <c r="L55" s="174"/>
      <c r="M55" s="174"/>
      <c r="N55" s="174"/>
      <c r="O55" s="174"/>
      <c r="P55" s="174"/>
      <c r="Q55" s="174"/>
      <c r="R55" s="174"/>
      <c r="S55" s="174"/>
      <c r="T55" s="174"/>
      <c r="U55" s="174"/>
      <c r="V55" s="174"/>
      <c r="W55" s="174"/>
      <c r="X55" s="174"/>
      <c r="Y55" s="174"/>
      <c r="Z55" s="174"/>
      <c r="AA55" s="174"/>
    </row>
    <row r="56">
      <c r="A56" s="176"/>
      <c r="B56" s="176"/>
      <c r="C56" s="176" t="s">
        <v>3686</v>
      </c>
      <c r="D56" s="204" t="s">
        <v>3687</v>
      </c>
      <c r="E56" s="176" t="s">
        <v>3688</v>
      </c>
      <c r="F56" s="178" t="str">
        <f t="array" ref="F56">INDEX(Recordings!AK:AK, MATCH(C56, Recordings!AN:AN, 0))
</f>
        <v>בקרה</v>
      </c>
      <c r="G56" s="178" t="str">
        <f t="array" ref="G56">INDEX(Recordings!AL:AL, MATCH(C56, Recordings!AN:AN, 0))
</f>
        <v>בטיפול</v>
      </c>
      <c r="H56" s="174"/>
      <c r="I56" s="174"/>
      <c r="J56" s="174"/>
      <c r="K56" s="174"/>
      <c r="L56" s="174"/>
      <c r="M56" s="174"/>
      <c r="N56" s="174"/>
      <c r="O56" s="174"/>
      <c r="P56" s="174"/>
      <c r="Q56" s="174"/>
      <c r="R56" s="174"/>
      <c r="S56" s="174"/>
      <c r="T56" s="174"/>
      <c r="U56" s="174"/>
      <c r="V56" s="174"/>
      <c r="W56" s="174"/>
      <c r="X56" s="174"/>
      <c r="Y56" s="174"/>
      <c r="Z56" s="174"/>
      <c r="AA56" s="174"/>
    </row>
    <row r="57">
      <c r="A57" s="176"/>
      <c r="B57" s="176" t="s">
        <v>3689</v>
      </c>
      <c r="C57" s="179" t="s">
        <v>2770</v>
      </c>
      <c r="D57" s="180" t="s">
        <v>3690</v>
      </c>
      <c r="E57" s="176" t="s">
        <v>3691</v>
      </c>
      <c r="F57" s="178" t="str">
        <f t="array" ref="F57">INDEX(Recordings!AK:AK, MATCH(C57, Recordings!AN:AN, 0))
</f>
        <v>הגהה</v>
      </c>
      <c r="G57" s="178" t="str">
        <f t="array" ref="G57">INDEX(Recordings!AL:AL, MATCH(C57, Recordings!AN:AN, 0))
</f>
        <v>אושר (אורי)</v>
      </c>
      <c r="H57" s="182" t="s">
        <v>3692</v>
      </c>
      <c r="I57" s="174"/>
      <c r="J57" s="174"/>
      <c r="K57" s="174"/>
      <c r="L57" s="174"/>
      <c r="M57" s="174"/>
      <c r="N57" s="174"/>
      <c r="O57" s="174"/>
      <c r="P57" s="174"/>
      <c r="Q57" s="174"/>
      <c r="R57" s="174"/>
      <c r="S57" s="174"/>
      <c r="T57" s="174"/>
      <c r="U57" s="174"/>
      <c r="V57" s="174"/>
      <c r="W57" s="174"/>
      <c r="X57" s="174"/>
      <c r="Y57" s="174"/>
      <c r="Z57" s="174"/>
      <c r="AA57" s="174"/>
    </row>
    <row r="58">
      <c r="A58" s="176"/>
      <c r="B58" s="176"/>
      <c r="C58" s="176" t="s">
        <v>1874</v>
      </c>
      <c r="D58" s="177" t="s">
        <v>3693</v>
      </c>
      <c r="E58" s="174"/>
      <c r="F58" s="178" t="str">
        <f t="array" ref="F58">INDEX(Recordings!AK:AK, MATCH(C58, Recordings!AN:AN, 0))
</f>
        <v>הגהה</v>
      </c>
      <c r="G58" s="178" t="str">
        <f t="array" ref="G58">INDEX(Recordings!AL:AL, MATCH(C58, Recordings!AN:AN, 0))
</f>
        <v>עבר הגהה</v>
      </c>
      <c r="H58" s="182"/>
      <c r="I58" s="174"/>
      <c r="J58" s="174"/>
      <c r="K58" s="174"/>
      <c r="L58" s="174"/>
      <c r="M58" s="174"/>
      <c r="N58" s="174"/>
      <c r="O58" s="174"/>
      <c r="P58" s="174"/>
      <c r="Q58" s="174"/>
      <c r="R58" s="174"/>
      <c r="S58" s="174"/>
      <c r="T58" s="174"/>
      <c r="U58" s="174"/>
      <c r="V58" s="174"/>
      <c r="W58" s="174"/>
      <c r="X58" s="174"/>
      <c r="Y58" s="174"/>
      <c r="Z58" s="174"/>
      <c r="AA58" s="174"/>
    </row>
    <row r="59">
      <c r="B59" s="176" t="s">
        <v>3694</v>
      </c>
      <c r="C59" s="205" t="s">
        <v>3584</v>
      </c>
      <c r="D59" s="177" t="s">
        <v>3695</v>
      </c>
      <c r="E59" s="174"/>
      <c r="F59" s="178" t="str">
        <f t="array" ref="F59">INDEX(Recordings!AK:AK, MATCH(C59, Recordings!AN:AN, 0))
</f>
        <v>תעתיק</v>
      </c>
      <c r="G59" s="178" t="str">
        <f t="array" ref="G59">INDEX(Recordings!AL:AL, MATCH(C59, Recordings!AN:AN, 0))
</f>
        <v/>
      </c>
      <c r="H59" s="182" t="s">
        <v>3643</v>
      </c>
      <c r="I59" s="174"/>
      <c r="J59" s="174"/>
      <c r="K59" s="174"/>
      <c r="L59" s="174"/>
      <c r="M59" s="174"/>
      <c r="N59" s="174"/>
      <c r="O59" s="174"/>
      <c r="P59" s="174"/>
      <c r="Q59" s="174"/>
      <c r="R59" s="174"/>
      <c r="S59" s="174"/>
      <c r="T59" s="174"/>
      <c r="U59" s="174"/>
      <c r="V59" s="174"/>
      <c r="W59" s="174"/>
      <c r="X59" s="174"/>
      <c r="Y59" s="174"/>
      <c r="Z59" s="174"/>
      <c r="AA59" s="174"/>
    </row>
    <row r="60">
      <c r="B60" s="176"/>
      <c r="C60" s="205"/>
      <c r="D60" s="177"/>
      <c r="H60" s="182"/>
      <c r="I60" s="174"/>
      <c r="J60" s="174"/>
      <c r="K60" s="174"/>
      <c r="L60" s="174"/>
      <c r="M60" s="174"/>
      <c r="N60" s="174"/>
      <c r="O60" s="174"/>
      <c r="P60" s="174"/>
      <c r="Q60" s="174"/>
      <c r="R60" s="174"/>
      <c r="S60" s="174"/>
      <c r="T60" s="174"/>
      <c r="U60" s="174"/>
      <c r="V60" s="174"/>
      <c r="W60" s="174"/>
      <c r="X60" s="174"/>
      <c r="Y60" s="174"/>
      <c r="Z60" s="174"/>
      <c r="AA60" s="174"/>
    </row>
    <row r="61">
      <c r="A61" s="174"/>
      <c r="B61" s="174"/>
      <c r="C61" s="188" t="s">
        <v>1830</v>
      </c>
      <c r="D61" s="184" t="s">
        <v>3696</v>
      </c>
      <c r="E61" s="174"/>
      <c r="F61" s="178" t="str">
        <f t="array" ref="F61">INDEX(Recordings!AK:AK, MATCH(C61, Recordings!AN:AN, 0))
</f>
        <v>הגהה</v>
      </c>
      <c r="G61" s="178" t="str">
        <f t="array" ref="G61">INDEX(Recordings!AL:AL, MATCH(C61, Recordings!AN:AN, 0))
</f>
        <v>עבר הגהה</v>
      </c>
      <c r="I61" s="174"/>
      <c r="J61" s="174"/>
      <c r="K61" s="174"/>
      <c r="L61" s="174"/>
      <c r="M61" s="174"/>
      <c r="N61" s="174"/>
      <c r="O61" s="174"/>
      <c r="P61" s="174"/>
      <c r="Q61" s="174"/>
      <c r="R61" s="174"/>
      <c r="S61" s="174"/>
      <c r="T61" s="174"/>
      <c r="U61" s="174"/>
      <c r="V61" s="174"/>
      <c r="W61" s="174"/>
      <c r="X61" s="174"/>
      <c r="Y61" s="174"/>
      <c r="Z61" s="174"/>
      <c r="AA61" s="174"/>
    </row>
    <row r="62">
      <c r="A62" s="176"/>
      <c r="B62" s="176" t="s">
        <v>139</v>
      </c>
      <c r="C62" s="188" t="s">
        <v>2690</v>
      </c>
      <c r="D62" s="184" t="s">
        <v>3697</v>
      </c>
      <c r="E62" s="174"/>
      <c r="F62" s="178" t="str">
        <f t="array" ref="F62">INDEX(Recordings!AK:AK, MATCH(C62, Recordings!AN:AN, 0))
</f>
        <v>הגהה</v>
      </c>
      <c r="G62" s="178" t="str">
        <f t="array" ref="G62">INDEX(Recordings!AL:AL, MATCH(C62, Recordings!AN:AN, 0))
</f>
        <v>עבר הגהה</v>
      </c>
      <c r="H62" s="174"/>
      <c r="I62" s="174"/>
      <c r="J62" s="174"/>
      <c r="K62" s="174"/>
      <c r="L62" s="174"/>
      <c r="M62" s="174"/>
      <c r="N62" s="174"/>
      <c r="O62" s="174"/>
      <c r="P62" s="174"/>
      <c r="Q62" s="174"/>
      <c r="R62" s="174"/>
      <c r="S62" s="174"/>
      <c r="T62" s="174"/>
      <c r="U62" s="174"/>
      <c r="V62" s="174"/>
      <c r="W62" s="174"/>
      <c r="X62" s="174"/>
      <c r="Y62" s="174"/>
      <c r="Z62" s="174"/>
      <c r="AA62" s="174"/>
    </row>
    <row r="63">
      <c r="A63" s="176"/>
      <c r="B63" s="176" t="s">
        <v>3698</v>
      </c>
      <c r="C63" s="188" t="s">
        <v>3467</v>
      </c>
      <c r="D63" s="184" t="s">
        <v>3699</v>
      </c>
      <c r="E63" s="174"/>
      <c r="F63" s="178" t="str">
        <f t="array" ref="F63">INDEX(Recordings!AK:AK, MATCH(C63, Recordings!AN:AN, 0))
</f>
        <v>תעתיק</v>
      </c>
      <c r="G63" s="178" t="str">
        <f t="array" ref="G63">INDEX(Recordings!AL:AL, MATCH(C63, Recordings!AN:AN, 0))
</f>
        <v>אושר (אורי)</v>
      </c>
      <c r="H63" s="174"/>
      <c r="I63" s="174"/>
      <c r="J63" s="174"/>
      <c r="K63" s="174"/>
      <c r="L63" s="174"/>
      <c r="M63" s="174"/>
      <c r="N63" s="174"/>
      <c r="O63" s="174"/>
      <c r="P63" s="174"/>
      <c r="Q63" s="174"/>
      <c r="R63" s="174"/>
      <c r="S63" s="174"/>
      <c r="T63" s="174"/>
      <c r="U63" s="174"/>
      <c r="V63" s="174"/>
      <c r="W63" s="174"/>
      <c r="X63" s="174"/>
      <c r="Y63" s="174"/>
      <c r="Z63" s="174"/>
      <c r="AA63" s="174"/>
    </row>
    <row r="64">
      <c r="A64" s="176"/>
      <c r="B64" s="176"/>
      <c r="C64" s="174"/>
      <c r="D64" s="174"/>
      <c r="E64" s="174"/>
      <c r="F64" s="178"/>
      <c r="G64" s="178"/>
      <c r="H64" s="174"/>
      <c r="I64" s="174"/>
      <c r="J64" s="174"/>
      <c r="K64" s="174"/>
      <c r="L64" s="174"/>
      <c r="M64" s="174"/>
      <c r="N64" s="174"/>
      <c r="O64" s="174"/>
      <c r="P64" s="174"/>
      <c r="Q64" s="174"/>
      <c r="R64" s="174"/>
      <c r="S64" s="174"/>
      <c r="T64" s="174"/>
      <c r="U64" s="174"/>
      <c r="V64" s="174"/>
      <c r="W64" s="174"/>
      <c r="X64" s="174"/>
      <c r="Y64" s="174"/>
      <c r="Z64" s="174"/>
      <c r="AA64" s="174"/>
    </row>
    <row r="65">
      <c r="A65" s="176" t="s">
        <v>3700</v>
      </c>
      <c r="B65" s="176"/>
      <c r="C65" s="174"/>
      <c r="D65" s="174"/>
      <c r="E65" s="174"/>
      <c r="F65" s="178"/>
      <c r="G65" s="178"/>
      <c r="H65" s="174"/>
      <c r="I65" s="174"/>
      <c r="J65" s="174"/>
      <c r="K65" s="174"/>
      <c r="L65" s="174"/>
      <c r="M65" s="174"/>
      <c r="N65" s="174"/>
      <c r="O65" s="174"/>
      <c r="P65" s="174"/>
      <c r="Q65" s="174"/>
      <c r="R65" s="174"/>
      <c r="S65" s="174"/>
      <c r="T65" s="174"/>
      <c r="U65" s="174"/>
      <c r="V65" s="174"/>
      <c r="W65" s="174"/>
      <c r="X65" s="174"/>
      <c r="Y65" s="174"/>
      <c r="Z65" s="174"/>
      <c r="AA65" s="174"/>
    </row>
    <row r="66">
      <c r="C66" s="188" t="s">
        <v>2845</v>
      </c>
      <c r="D66" s="177"/>
      <c r="E66" s="174"/>
      <c r="F66" s="178" t="str">
        <f t="array" ref="F66">INDEX(Recordings!AK:AK, MATCH(C66, Recordings!AN:AN, 0))
</f>
        <v>תעתיק</v>
      </c>
      <c r="G66" s="178" t="str">
        <f t="array" ref="G66">INDEX(Recordings!AL:AL, MATCH(C66, Recordings!AN:AN, 0))
</f>
        <v>בטיפול</v>
      </c>
      <c r="H66" s="174"/>
      <c r="I66" s="174"/>
      <c r="J66" s="174"/>
      <c r="K66" s="174"/>
      <c r="L66" s="174"/>
      <c r="M66" s="174"/>
      <c r="N66" s="174"/>
      <c r="O66" s="174"/>
      <c r="P66" s="174"/>
      <c r="Q66" s="174"/>
      <c r="R66" s="174"/>
      <c r="S66" s="174"/>
      <c r="T66" s="174"/>
      <c r="U66" s="174"/>
      <c r="V66" s="174"/>
      <c r="W66" s="174"/>
      <c r="X66" s="174"/>
      <c r="Y66" s="174"/>
      <c r="Z66" s="174"/>
      <c r="AA66" s="174"/>
    </row>
    <row r="67">
      <c r="A67" s="174"/>
      <c r="B67" s="176" t="s">
        <v>3701</v>
      </c>
      <c r="C67" s="176" t="s">
        <v>2877</v>
      </c>
      <c r="D67" s="177" t="s">
        <v>3702</v>
      </c>
      <c r="E67" s="174"/>
      <c r="F67" s="178" t="str">
        <f t="array" ref="F67">INDEX(Recordings!AK:AK, MATCH(C67, Recordings!AN:AN, 0))
</f>
        <v>בקרה</v>
      </c>
      <c r="G67" s="178" t="str">
        <f t="array" ref="G67">INDEX(Recordings!AL:AL, MATCH(C67, Recordings!AN:AN, 0))
</f>
        <v>עבר תעתיק</v>
      </c>
      <c r="I67" s="174"/>
      <c r="J67" s="174"/>
      <c r="K67" s="174"/>
      <c r="L67" s="174"/>
      <c r="M67" s="174"/>
      <c r="N67" s="174"/>
      <c r="O67" s="174"/>
      <c r="P67" s="174"/>
      <c r="Q67" s="174"/>
      <c r="R67" s="174"/>
      <c r="S67" s="174"/>
      <c r="T67" s="174"/>
      <c r="U67" s="174"/>
      <c r="V67" s="174"/>
      <c r="W67" s="174"/>
      <c r="X67" s="174"/>
      <c r="Y67" s="174"/>
      <c r="Z67" s="174"/>
      <c r="AA67" s="174"/>
    </row>
    <row r="68">
      <c r="A68" s="174"/>
      <c r="B68" s="174"/>
      <c r="C68" s="174"/>
      <c r="D68" s="174"/>
      <c r="E68" s="174"/>
      <c r="F68" s="175"/>
      <c r="G68" s="175"/>
      <c r="H68" s="174"/>
      <c r="I68" s="174"/>
      <c r="J68" s="174"/>
      <c r="K68" s="174"/>
      <c r="L68" s="174"/>
      <c r="M68" s="174"/>
      <c r="N68" s="174"/>
      <c r="O68" s="174"/>
      <c r="P68" s="174"/>
      <c r="Q68" s="174"/>
      <c r="R68" s="174"/>
      <c r="S68" s="174"/>
      <c r="T68" s="174"/>
      <c r="U68" s="174"/>
      <c r="V68" s="174"/>
      <c r="W68" s="174"/>
      <c r="X68" s="174"/>
      <c r="Y68" s="174"/>
      <c r="Z68" s="174"/>
      <c r="AA68" s="174"/>
    </row>
    <row r="69">
      <c r="A69" s="174"/>
      <c r="B69" s="174"/>
      <c r="C69" s="174"/>
      <c r="D69" s="174"/>
      <c r="E69" s="174"/>
      <c r="F69" s="175"/>
      <c r="G69" s="175"/>
      <c r="H69" s="174"/>
      <c r="I69" s="174"/>
      <c r="J69" s="174"/>
      <c r="K69" s="174"/>
      <c r="L69" s="174"/>
      <c r="M69" s="174"/>
      <c r="N69" s="174"/>
      <c r="O69" s="174"/>
      <c r="P69" s="174"/>
      <c r="Q69" s="174"/>
      <c r="R69" s="174"/>
      <c r="S69" s="174"/>
      <c r="T69" s="174"/>
      <c r="U69" s="174"/>
      <c r="V69" s="174"/>
      <c r="W69" s="174"/>
      <c r="X69" s="174"/>
      <c r="Y69" s="174"/>
      <c r="Z69" s="174"/>
      <c r="AA69" s="174"/>
    </row>
    <row r="70">
      <c r="A70" s="174"/>
      <c r="B70" s="174"/>
      <c r="C70" s="202"/>
      <c r="D70" s="174"/>
      <c r="E70" s="174"/>
      <c r="F70" s="175"/>
      <c r="G70" s="175"/>
      <c r="H70" s="174"/>
      <c r="I70" s="174"/>
      <c r="J70" s="174"/>
      <c r="K70" s="174"/>
      <c r="L70" s="174"/>
      <c r="M70" s="174"/>
      <c r="N70" s="174"/>
      <c r="O70" s="174"/>
      <c r="P70" s="174"/>
      <c r="Q70" s="174"/>
      <c r="R70" s="174"/>
      <c r="S70" s="174"/>
      <c r="T70" s="174"/>
      <c r="U70" s="174"/>
      <c r="V70" s="174"/>
      <c r="W70" s="174"/>
      <c r="X70" s="174"/>
      <c r="Y70" s="174"/>
      <c r="Z70" s="174"/>
      <c r="AA70" s="174"/>
    </row>
    <row r="71">
      <c r="A71" s="174"/>
      <c r="B71" s="174"/>
      <c r="C71" s="174"/>
      <c r="D71" s="174"/>
      <c r="E71" s="174"/>
      <c r="F71" s="175"/>
      <c r="G71" s="175"/>
      <c r="H71" s="174"/>
      <c r="I71" s="174"/>
      <c r="J71" s="174"/>
      <c r="K71" s="174"/>
      <c r="L71" s="174"/>
      <c r="M71" s="174"/>
      <c r="N71" s="174"/>
      <c r="O71" s="174"/>
      <c r="P71" s="174"/>
      <c r="Q71" s="174"/>
      <c r="R71" s="174"/>
      <c r="S71" s="174"/>
      <c r="T71" s="174"/>
      <c r="U71" s="174"/>
      <c r="V71" s="174"/>
      <c r="W71" s="174"/>
      <c r="X71" s="174"/>
      <c r="Y71" s="174"/>
      <c r="Z71" s="174"/>
      <c r="AA71" s="174"/>
    </row>
    <row r="72">
      <c r="A72" s="176"/>
      <c r="B72" s="176"/>
      <c r="C72" s="176"/>
      <c r="D72" s="174"/>
      <c r="E72" s="174"/>
      <c r="F72" s="175"/>
      <c r="G72" s="175"/>
      <c r="H72" s="174"/>
      <c r="I72" s="174"/>
      <c r="J72" s="174"/>
      <c r="K72" s="174"/>
      <c r="L72" s="174"/>
      <c r="M72" s="174"/>
      <c r="N72" s="174"/>
      <c r="O72" s="174"/>
      <c r="P72" s="174"/>
      <c r="Q72" s="174"/>
      <c r="R72" s="174"/>
      <c r="S72" s="174"/>
      <c r="T72" s="174"/>
      <c r="U72" s="174"/>
      <c r="V72" s="174"/>
      <c r="W72" s="174"/>
      <c r="X72" s="174"/>
      <c r="Y72" s="174"/>
      <c r="Z72" s="174"/>
      <c r="AA72" s="174"/>
    </row>
    <row r="73">
      <c r="A73" s="176"/>
      <c r="B73" s="176"/>
      <c r="C73" s="176"/>
      <c r="D73" s="174"/>
      <c r="E73" s="174"/>
      <c r="F73" s="175"/>
      <c r="G73" s="175"/>
      <c r="H73" s="174"/>
      <c r="I73" s="174"/>
      <c r="J73" s="174"/>
      <c r="K73" s="174"/>
      <c r="L73" s="174"/>
      <c r="M73" s="174"/>
      <c r="N73" s="174"/>
      <c r="O73" s="174"/>
      <c r="P73" s="174"/>
      <c r="Q73" s="174"/>
      <c r="R73" s="174"/>
      <c r="S73" s="174"/>
      <c r="T73" s="174"/>
      <c r="U73" s="174"/>
      <c r="V73" s="174"/>
      <c r="W73" s="174"/>
      <c r="X73" s="174"/>
      <c r="Y73" s="174"/>
      <c r="Z73" s="174"/>
      <c r="AA73" s="174"/>
    </row>
    <row r="74">
      <c r="A74" s="174"/>
      <c r="B74" s="174"/>
      <c r="C74" s="174"/>
      <c r="D74" s="174"/>
      <c r="E74" s="174"/>
      <c r="F74" s="175"/>
      <c r="G74" s="175"/>
      <c r="H74" s="174"/>
      <c r="I74" s="174"/>
      <c r="J74" s="174"/>
      <c r="K74" s="174"/>
      <c r="L74" s="174"/>
      <c r="M74" s="174"/>
      <c r="N74" s="174"/>
      <c r="O74" s="174"/>
      <c r="P74" s="174"/>
      <c r="Q74" s="174"/>
      <c r="R74" s="174"/>
      <c r="S74" s="174"/>
      <c r="T74" s="174"/>
      <c r="U74" s="174"/>
      <c r="V74" s="174"/>
      <c r="W74" s="174"/>
      <c r="X74" s="174"/>
      <c r="Y74" s="174"/>
      <c r="Z74" s="174"/>
      <c r="AA74" s="174"/>
    </row>
    <row r="75">
      <c r="A75" s="174"/>
      <c r="B75" s="174"/>
      <c r="C75" s="174"/>
      <c r="D75" s="174"/>
      <c r="E75" s="174"/>
      <c r="F75" s="175"/>
      <c r="G75" s="175"/>
      <c r="H75" s="174"/>
      <c r="I75" s="174"/>
      <c r="J75" s="174"/>
      <c r="K75" s="174"/>
      <c r="L75" s="174"/>
      <c r="M75" s="174"/>
      <c r="N75" s="174"/>
      <c r="O75" s="174"/>
      <c r="P75" s="174"/>
      <c r="Q75" s="174"/>
      <c r="R75" s="174"/>
      <c r="S75" s="174"/>
      <c r="T75" s="174"/>
      <c r="U75" s="174"/>
      <c r="V75" s="174"/>
      <c r="W75" s="174"/>
      <c r="X75" s="174"/>
      <c r="Y75" s="174"/>
      <c r="Z75" s="174"/>
      <c r="AA75" s="174"/>
    </row>
    <row r="76">
      <c r="A76" s="176"/>
      <c r="B76" s="176"/>
      <c r="C76" s="206" t="s">
        <v>2713</v>
      </c>
      <c r="D76" s="207" t="s">
        <v>3703</v>
      </c>
      <c r="E76" s="208" t="s">
        <v>3704</v>
      </c>
      <c r="F76" s="178" t="str">
        <f t="array" ref="F76">INDEX(Recordings!AK:AK, MATCH(C76, Recordings!AN:AN, 0))
</f>
        <v>תעתיק</v>
      </c>
      <c r="G76" s="178" t="str">
        <f t="array" ref="G76">INDEX(Recordings!AL:AL, MATCH(C76, Recordings!AN:AN, 0))
</f>
        <v>עבר תעתיק</v>
      </c>
      <c r="H76" s="174"/>
      <c r="I76" s="174"/>
      <c r="J76" s="174"/>
      <c r="K76" s="174"/>
      <c r="L76" s="174"/>
      <c r="M76" s="174"/>
      <c r="N76" s="174"/>
      <c r="O76" s="174"/>
      <c r="P76" s="174"/>
      <c r="Q76" s="174"/>
      <c r="R76" s="174"/>
      <c r="S76" s="174"/>
      <c r="T76" s="174"/>
      <c r="U76" s="174"/>
      <c r="V76" s="174"/>
      <c r="W76" s="174"/>
      <c r="X76" s="174"/>
      <c r="Y76" s="174"/>
      <c r="Z76" s="174"/>
      <c r="AA76" s="174"/>
    </row>
    <row r="77">
      <c r="A77" s="174"/>
      <c r="B77" s="174"/>
      <c r="C77" s="174"/>
      <c r="D77" s="174"/>
      <c r="E77" s="174"/>
      <c r="F77" s="175"/>
      <c r="G77" s="175"/>
      <c r="H77" s="174"/>
      <c r="I77" s="174"/>
      <c r="J77" s="174"/>
      <c r="K77" s="174"/>
      <c r="L77" s="174"/>
      <c r="M77" s="174"/>
      <c r="N77" s="174"/>
      <c r="O77" s="174"/>
      <c r="P77" s="174"/>
      <c r="Q77" s="174"/>
      <c r="R77" s="174"/>
      <c r="S77" s="174"/>
      <c r="T77" s="174"/>
      <c r="U77" s="174"/>
      <c r="V77" s="174"/>
      <c r="W77" s="174"/>
      <c r="X77" s="174"/>
      <c r="Y77" s="174"/>
      <c r="Z77" s="174"/>
      <c r="AA77" s="174"/>
    </row>
    <row r="78">
      <c r="A78" s="174"/>
      <c r="B78" s="174"/>
      <c r="C78" s="174"/>
      <c r="D78" s="174"/>
      <c r="E78" s="174"/>
      <c r="F78" s="175"/>
      <c r="G78" s="175"/>
      <c r="H78" s="174"/>
      <c r="I78" s="174"/>
      <c r="J78" s="174"/>
      <c r="K78" s="174"/>
      <c r="L78" s="174"/>
      <c r="M78" s="174"/>
      <c r="N78" s="174"/>
      <c r="O78" s="174"/>
      <c r="P78" s="174"/>
      <c r="Q78" s="174"/>
      <c r="R78" s="174"/>
      <c r="S78" s="174"/>
      <c r="T78" s="174"/>
      <c r="U78" s="174"/>
      <c r="V78" s="174"/>
      <c r="W78" s="174"/>
      <c r="X78" s="174"/>
      <c r="Y78" s="174"/>
      <c r="Z78" s="174"/>
      <c r="AA78" s="174"/>
    </row>
    <row r="79">
      <c r="A79" s="174"/>
      <c r="B79" s="174"/>
      <c r="C79" s="174"/>
      <c r="D79" s="174"/>
      <c r="E79" s="174"/>
      <c r="F79" s="175"/>
      <c r="G79" s="175"/>
      <c r="H79" s="174"/>
      <c r="I79" s="174"/>
      <c r="J79" s="174"/>
      <c r="K79" s="174"/>
      <c r="L79" s="174"/>
      <c r="M79" s="174"/>
      <c r="N79" s="174"/>
      <c r="O79" s="174"/>
      <c r="P79" s="174"/>
      <c r="Q79" s="174"/>
      <c r="R79" s="174"/>
      <c r="S79" s="174"/>
      <c r="T79" s="174"/>
      <c r="U79" s="174"/>
      <c r="V79" s="174"/>
      <c r="W79" s="174"/>
      <c r="X79" s="174"/>
      <c r="Y79" s="174"/>
      <c r="Z79" s="174"/>
      <c r="AA79" s="174"/>
    </row>
    <row r="80">
      <c r="A80" s="174"/>
      <c r="B80" s="174"/>
      <c r="C80" s="174"/>
      <c r="D80" s="174"/>
      <c r="E80" s="174"/>
      <c r="F80" s="175"/>
      <c r="G80" s="175"/>
      <c r="H80" s="174"/>
      <c r="I80" s="174"/>
      <c r="J80" s="174"/>
      <c r="K80" s="174"/>
      <c r="L80" s="174"/>
      <c r="M80" s="174"/>
      <c r="N80" s="174"/>
      <c r="O80" s="174"/>
      <c r="P80" s="174"/>
      <c r="Q80" s="174"/>
      <c r="R80" s="174"/>
      <c r="S80" s="174"/>
      <c r="T80" s="174"/>
      <c r="U80" s="174"/>
      <c r="V80" s="174"/>
      <c r="W80" s="174"/>
      <c r="X80" s="174"/>
      <c r="Y80" s="174"/>
      <c r="Z80" s="174"/>
      <c r="AA80" s="174"/>
    </row>
    <row r="81">
      <c r="A81" s="174"/>
      <c r="B81" s="174"/>
      <c r="C81" s="174"/>
      <c r="D81" s="174"/>
      <c r="E81" s="174"/>
      <c r="F81" s="175"/>
      <c r="G81" s="175"/>
      <c r="H81" s="174"/>
      <c r="I81" s="174"/>
      <c r="J81" s="174"/>
      <c r="K81" s="174"/>
      <c r="L81" s="174"/>
      <c r="M81" s="174"/>
      <c r="N81" s="174"/>
      <c r="O81" s="174"/>
      <c r="P81" s="174"/>
      <c r="Q81" s="174"/>
      <c r="R81" s="174"/>
      <c r="S81" s="174"/>
      <c r="T81" s="174"/>
      <c r="U81" s="174"/>
      <c r="V81" s="174"/>
      <c r="W81" s="174"/>
      <c r="X81" s="174"/>
      <c r="Y81" s="174"/>
      <c r="Z81" s="174"/>
      <c r="AA81" s="174"/>
    </row>
    <row r="82">
      <c r="A82" s="174"/>
      <c r="B82" s="174"/>
      <c r="C82" s="174"/>
      <c r="D82" s="174"/>
      <c r="E82" s="174"/>
      <c r="F82" s="175"/>
      <c r="G82" s="175"/>
      <c r="H82" s="174"/>
      <c r="I82" s="174"/>
      <c r="J82" s="174"/>
      <c r="K82" s="174"/>
      <c r="L82" s="174"/>
      <c r="M82" s="174"/>
      <c r="N82" s="174"/>
      <c r="O82" s="174"/>
      <c r="P82" s="174"/>
      <c r="Q82" s="174"/>
      <c r="R82" s="174"/>
      <c r="S82" s="174"/>
      <c r="T82" s="174"/>
      <c r="U82" s="174"/>
      <c r="V82" s="174"/>
      <c r="W82" s="174"/>
      <c r="X82" s="174"/>
      <c r="Y82" s="174"/>
      <c r="Z82" s="174"/>
      <c r="AA82" s="174"/>
    </row>
    <row r="83">
      <c r="A83" s="174"/>
      <c r="B83" s="174"/>
      <c r="C83" s="174"/>
      <c r="D83" s="174"/>
      <c r="E83" s="174"/>
      <c r="F83" s="175"/>
      <c r="G83" s="175"/>
      <c r="H83" s="174"/>
      <c r="I83" s="174"/>
      <c r="J83" s="174"/>
      <c r="K83" s="174"/>
      <c r="L83" s="174"/>
      <c r="M83" s="174"/>
      <c r="N83" s="174"/>
      <c r="O83" s="174"/>
      <c r="P83" s="174"/>
      <c r="Q83" s="174"/>
      <c r="R83" s="174"/>
      <c r="S83" s="174"/>
      <c r="T83" s="174"/>
      <c r="U83" s="174"/>
      <c r="V83" s="174"/>
      <c r="W83" s="174"/>
      <c r="X83" s="174"/>
      <c r="Y83" s="174"/>
      <c r="Z83" s="174"/>
      <c r="AA83" s="174"/>
    </row>
    <row r="84">
      <c r="A84" s="174"/>
      <c r="B84" s="174"/>
      <c r="C84" s="174"/>
      <c r="D84" s="174"/>
      <c r="E84" s="174"/>
      <c r="F84" s="175"/>
      <c r="G84" s="175"/>
      <c r="H84" s="174"/>
      <c r="I84" s="174"/>
      <c r="J84" s="174"/>
      <c r="K84" s="174"/>
      <c r="L84" s="174"/>
      <c r="M84" s="174"/>
      <c r="N84" s="174"/>
      <c r="O84" s="174"/>
      <c r="P84" s="174"/>
      <c r="Q84" s="174"/>
      <c r="R84" s="174"/>
      <c r="S84" s="174"/>
      <c r="T84" s="174"/>
      <c r="U84" s="174"/>
      <c r="V84" s="174"/>
      <c r="W84" s="174"/>
      <c r="X84" s="174"/>
      <c r="Y84" s="174"/>
      <c r="Z84" s="174"/>
      <c r="AA84" s="174"/>
    </row>
    <row r="85">
      <c r="A85" s="174"/>
      <c r="B85" s="174"/>
      <c r="C85" s="174"/>
      <c r="D85" s="174"/>
      <c r="E85" s="174"/>
      <c r="F85" s="175"/>
      <c r="G85" s="175"/>
      <c r="H85" s="174"/>
      <c r="I85" s="174"/>
      <c r="J85" s="174"/>
      <c r="K85" s="174"/>
      <c r="L85" s="174"/>
      <c r="M85" s="174"/>
      <c r="N85" s="174"/>
      <c r="O85" s="174"/>
      <c r="P85" s="174"/>
      <c r="Q85" s="174"/>
      <c r="R85" s="174"/>
      <c r="S85" s="174"/>
      <c r="T85" s="174"/>
      <c r="U85" s="174"/>
      <c r="V85" s="174"/>
      <c r="W85" s="174"/>
      <c r="X85" s="174"/>
      <c r="Y85" s="174"/>
      <c r="Z85" s="174"/>
      <c r="AA85" s="174"/>
    </row>
    <row r="86">
      <c r="A86" s="174"/>
      <c r="B86" s="174"/>
      <c r="C86" s="174"/>
      <c r="D86" s="174"/>
      <c r="E86" s="174"/>
      <c r="F86" s="175"/>
      <c r="G86" s="175"/>
      <c r="H86" s="174"/>
      <c r="I86" s="174"/>
      <c r="J86" s="174"/>
      <c r="K86" s="174"/>
      <c r="L86" s="174"/>
      <c r="M86" s="174"/>
      <c r="N86" s="174"/>
      <c r="O86" s="174"/>
      <c r="P86" s="174"/>
      <c r="Q86" s="174"/>
      <c r="R86" s="174"/>
      <c r="S86" s="174"/>
      <c r="T86" s="174"/>
      <c r="U86" s="174"/>
      <c r="V86" s="174"/>
      <c r="W86" s="174"/>
      <c r="X86" s="174"/>
      <c r="Y86" s="174"/>
      <c r="Z86" s="174"/>
      <c r="AA86" s="174"/>
    </row>
    <row r="87">
      <c r="A87" s="174"/>
      <c r="B87" s="174"/>
      <c r="C87" s="174"/>
      <c r="D87" s="174"/>
      <c r="E87" s="174"/>
      <c r="F87" s="175"/>
      <c r="G87" s="175"/>
      <c r="H87" s="174"/>
      <c r="I87" s="174"/>
      <c r="J87" s="174"/>
      <c r="K87" s="174"/>
      <c r="L87" s="174"/>
      <c r="M87" s="174"/>
      <c r="N87" s="174"/>
      <c r="O87" s="174"/>
      <c r="P87" s="174"/>
      <c r="Q87" s="174"/>
      <c r="R87" s="174"/>
      <c r="S87" s="174"/>
      <c r="T87" s="174"/>
      <c r="U87" s="174"/>
      <c r="V87" s="174"/>
      <c r="W87" s="174"/>
      <c r="X87" s="174"/>
      <c r="Y87" s="174"/>
      <c r="Z87" s="174"/>
      <c r="AA87" s="174"/>
    </row>
    <row r="88">
      <c r="A88" s="174"/>
      <c r="B88" s="174"/>
      <c r="C88" s="174"/>
      <c r="D88" s="174"/>
      <c r="E88" s="174"/>
      <c r="F88" s="175"/>
      <c r="G88" s="175"/>
      <c r="H88" s="174"/>
      <c r="I88" s="174"/>
      <c r="J88" s="174"/>
      <c r="K88" s="174"/>
      <c r="L88" s="174"/>
      <c r="M88" s="174"/>
      <c r="N88" s="174"/>
      <c r="O88" s="174"/>
      <c r="P88" s="174"/>
      <c r="Q88" s="174"/>
      <c r="R88" s="174"/>
      <c r="S88" s="174"/>
      <c r="T88" s="174"/>
      <c r="U88" s="174"/>
      <c r="V88" s="174"/>
      <c r="W88" s="174"/>
      <c r="X88" s="174"/>
      <c r="Y88" s="174"/>
      <c r="Z88" s="174"/>
      <c r="AA88" s="174"/>
    </row>
    <row r="89">
      <c r="A89" s="174"/>
      <c r="B89" s="174"/>
      <c r="C89" s="174"/>
      <c r="D89" s="174"/>
      <c r="E89" s="174"/>
      <c r="F89" s="175"/>
      <c r="G89" s="175"/>
      <c r="H89" s="174"/>
      <c r="I89" s="174"/>
      <c r="J89" s="174"/>
      <c r="K89" s="174"/>
      <c r="L89" s="174"/>
      <c r="M89" s="174"/>
      <c r="N89" s="174"/>
      <c r="O89" s="174"/>
      <c r="P89" s="174"/>
      <c r="Q89" s="174"/>
      <c r="R89" s="174"/>
      <c r="S89" s="174"/>
      <c r="T89" s="174"/>
      <c r="U89" s="174"/>
      <c r="V89" s="174"/>
      <c r="W89" s="174"/>
      <c r="X89" s="174"/>
      <c r="Y89" s="174"/>
      <c r="Z89" s="174"/>
      <c r="AA89" s="174"/>
    </row>
    <row r="90">
      <c r="A90" s="174"/>
      <c r="B90" s="174"/>
      <c r="C90" s="174"/>
      <c r="D90" s="174"/>
      <c r="E90" s="174"/>
      <c r="F90" s="175"/>
      <c r="G90" s="175"/>
      <c r="H90" s="174"/>
      <c r="I90" s="174"/>
      <c r="J90" s="174"/>
      <c r="K90" s="174"/>
      <c r="L90" s="174"/>
      <c r="M90" s="174"/>
      <c r="N90" s="174"/>
      <c r="O90" s="174"/>
      <c r="P90" s="174"/>
      <c r="Q90" s="174"/>
      <c r="R90" s="174"/>
      <c r="S90" s="174"/>
      <c r="T90" s="174"/>
      <c r="U90" s="174"/>
      <c r="V90" s="174"/>
      <c r="W90" s="174"/>
      <c r="X90" s="174"/>
      <c r="Y90" s="174"/>
      <c r="Z90" s="174"/>
      <c r="AA90" s="174"/>
    </row>
    <row r="91">
      <c r="A91" s="174"/>
      <c r="B91" s="174"/>
      <c r="C91" s="174"/>
      <c r="D91" s="174"/>
      <c r="E91" s="174"/>
      <c r="F91" s="175"/>
      <c r="G91" s="175"/>
      <c r="H91" s="174"/>
      <c r="I91" s="174"/>
      <c r="J91" s="174"/>
      <c r="K91" s="174"/>
      <c r="L91" s="174"/>
      <c r="M91" s="174"/>
      <c r="N91" s="174"/>
      <c r="O91" s="174"/>
      <c r="P91" s="174"/>
      <c r="Q91" s="174"/>
      <c r="R91" s="174"/>
      <c r="S91" s="174"/>
      <c r="T91" s="174"/>
      <c r="U91" s="174"/>
      <c r="V91" s="174"/>
      <c r="W91" s="174"/>
      <c r="X91" s="174"/>
      <c r="Y91" s="174"/>
      <c r="Z91" s="174"/>
      <c r="AA91" s="174"/>
    </row>
    <row r="92">
      <c r="A92" s="174"/>
      <c r="B92" s="174"/>
      <c r="C92" s="174"/>
      <c r="D92" s="174"/>
      <c r="E92" s="174"/>
      <c r="F92" s="175"/>
      <c r="G92" s="175"/>
      <c r="H92" s="174"/>
      <c r="I92" s="174"/>
      <c r="J92" s="174"/>
      <c r="K92" s="174"/>
      <c r="L92" s="174"/>
      <c r="M92" s="174"/>
      <c r="N92" s="174"/>
      <c r="O92" s="174"/>
      <c r="P92" s="174"/>
      <c r="Q92" s="174"/>
      <c r="R92" s="174"/>
      <c r="S92" s="174"/>
      <c r="T92" s="174"/>
      <c r="U92" s="174"/>
      <c r="V92" s="174"/>
      <c r="W92" s="174"/>
      <c r="X92" s="174"/>
      <c r="Y92" s="174"/>
      <c r="Z92" s="174"/>
      <c r="AA92" s="174"/>
    </row>
    <row r="93">
      <c r="A93" s="174"/>
      <c r="B93" s="174"/>
      <c r="C93" s="174"/>
      <c r="D93" s="174"/>
      <c r="E93" s="174"/>
      <c r="F93" s="175"/>
      <c r="G93" s="175"/>
      <c r="H93" s="174"/>
      <c r="I93" s="174"/>
      <c r="J93" s="174"/>
      <c r="K93" s="174"/>
      <c r="L93" s="174"/>
      <c r="M93" s="174"/>
      <c r="N93" s="174"/>
      <c r="O93" s="174"/>
      <c r="P93" s="174"/>
      <c r="Q93" s="174"/>
      <c r="R93" s="174"/>
      <c r="S93" s="174"/>
      <c r="T93" s="174"/>
      <c r="U93" s="174"/>
      <c r="V93" s="174"/>
      <c r="W93" s="174"/>
      <c r="X93" s="174"/>
      <c r="Y93" s="174"/>
      <c r="Z93" s="174"/>
      <c r="AA93" s="174"/>
    </row>
    <row r="94">
      <c r="A94" s="174"/>
      <c r="B94" s="174"/>
      <c r="C94" s="174"/>
      <c r="D94" s="174"/>
      <c r="E94" s="174"/>
      <c r="F94" s="175"/>
      <c r="G94" s="175"/>
      <c r="H94" s="174"/>
      <c r="I94" s="174"/>
      <c r="J94" s="174"/>
      <c r="K94" s="174"/>
      <c r="L94" s="174"/>
      <c r="M94" s="174"/>
      <c r="N94" s="174"/>
      <c r="O94" s="174"/>
      <c r="P94" s="174"/>
      <c r="Q94" s="174"/>
      <c r="R94" s="174"/>
      <c r="S94" s="174"/>
      <c r="T94" s="174"/>
      <c r="U94" s="174"/>
      <c r="V94" s="174"/>
      <c r="W94" s="174"/>
      <c r="X94" s="174"/>
      <c r="Y94" s="174"/>
      <c r="Z94" s="174"/>
      <c r="AA94" s="174"/>
    </row>
    <row r="95">
      <c r="A95" s="174"/>
      <c r="B95" s="174"/>
      <c r="C95" s="174"/>
      <c r="D95" s="174"/>
      <c r="E95" s="174"/>
      <c r="F95" s="175"/>
      <c r="G95" s="175"/>
      <c r="H95" s="174"/>
      <c r="I95" s="174"/>
      <c r="J95" s="174"/>
      <c r="K95" s="174"/>
      <c r="L95" s="174"/>
      <c r="M95" s="174"/>
      <c r="N95" s="174"/>
      <c r="O95" s="174"/>
      <c r="P95" s="174"/>
      <c r="Q95" s="174"/>
      <c r="R95" s="174"/>
      <c r="S95" s="174"/>
      <c r="T95" s="174"/>
      <c r="U95" s="174"/>
      <c r="V95" s="174"/>
      <c r="W95" s="174"/>
      <c r="X95" s="174"/>
      <c r="Y95" s="174"/>
      <c r="Z95" s="174"/>
      <c r="AA95" s="174"/>
    </row>
    <row r="96">
      <c r="A96" s="174"/>
      <c r="B96" s="174"/>
      <c r="C96" s="174"/>
      <c r="D96" s="174"/>
      <c r="E96" s="174"/>
      <c r="F96" s="175"/>
      <c r="G96" s="175"/>
      <c r="H96" s="174"/>
      <c r="I96" s="174"/>
      <c r="J96" s="174"/>
      <c r="K96" s="174"/>
      <c r="L96" s="174"/>
      <c r="M96" s="174"/>
      <c r="N96" s="174"/>
      <c r="O96" s="174"/>
      <c r="P96" s="174"/>
      <c r="Q96" s="174"/>
      <c r="R96" s="174"/>
      <c r="S96" s="174"/>
      <c r="T96" s="174"/>
      <c r="U96" s="174"/>
      <c r="V96" s="174"/>
      <c r="W96" s="174"/>
      <c r="X96" s="174"/>
      <c r="Y96" s="174"/>
      <c r="Z96" s="174"/>
      <c r="AA96" s="174"/>
    </row>
    <row r="97">
      <c r="A97" s="174"/>
      <c r="B97" s="174"/>
      <c r="C97" s="174"/>
      <c r="D97" s="174"/>
      <c r="E97" s="174"/>
      <c r="F97" s="175"/>
      <c r="G97" s="175"/>
      <c r="H97" s="174"/>
      <c r="I97" s="174"/>
      <c r="J97" s="174"/>
      <c r="K97" s="174"/>
      <c r="L97" s="174"/>
      <c r="M97" s="174"/>
      <c r="N97" s="174"/>
      <c r="O97" s="174"/>
      <c r="P97" s="174"/>
      <c r="Q97" s="174"/>
      <c r="R97" s="174"/>
      <c r="S97" s="174"/>
      <c r="T97" s="174"/>
      <c r="U97" s="174"/>
      <c r="V97" s="174"/>
      <c r="W97" s="174"/>
      <c r="X97" s="174"/>
      <c r="Y97" s="174"/>
      <c r="Z97" s="174"/>
      <c r="AA97" s="174"/>
    </row>
    <row r="98">
      <c r="A98" s="174"/>
      <c r="B98" s="174"/>
      <c r="C98" s="174"/>
      <c r="D98" s="174"/>
      <c r="E98" s="174"/>
      <c r="F98" s="175"/>
      <c r="G98" s="175"/>
      <c r="H98" s="174"/>
      <c r="I98" s="174"/>
      <c r="J98" s="174"/>
      <c r="K98" s="174"/>
      <c r="L98" s="174"/>
      <c r="M98" s="174"/>
      <c r="N98" s="174"/>
      <c r="O98" s="174"/>
      <c r="P98" s="174"/>
      <c r="Q98" s="174"/>
      <c r="R98" s="174"/>
      <c r="S98" s="174"/>
      <c r="T98" s="174"/>
      <c r="U98" s="174"/>
      <c r="V98" s="174"/>
      <c r="W98" s="174"/>
      <c r="X98" s="174"/>
      <c r="Y98" s="174"/>
      <c r="Z98" s="174"/>
      <c r="AA98" s="174"/>
    </row>
    <row r="99">
      <c r="A99" s="174"/>
      <c r="B99" s="174"/>
      <c r="C99" s="174"/>
      <c r="D99" s="174"/>
      <c r="E99" s="174"/>
      <c r="F99" s="175"/>
      <c r="G99" s="175"/>
      <c r="H99" s="174"/>
      <c r="I99" s="174"/>
      <c r="J99" s="174"/>
      <c r="K99" s="174"/>
      <c r="L99" s="174"/>
      <c r="M99" s="174"/>
      <c r="N99" s="174"/>
      <c r="O99" s="174"/>
      <c r="P99" s="174"/>
      <c r="Q99" s="174"/>
      <c r="R99" s="174"/>
      <c r="S99" s="174"/>
      <c r="T99" s="174"/>
      <c r="U99" s="174"/>
      <c r="V99" s="174"/>
      <c r="W99" s="174"/>
      <c r="X99" s="174"/>
      <c r="Y99" s="174"/>
      <c r="Z99" s="174"/>
      <c r="AA99" s="174"/>
    </row>
    <row r="100">
      <c r="A100" s="174"/>
      <c r="B100" s="174"/>
      <c r="C100" s="174"/>
      <c r="D100" s="174"/>
      <c r="E100" s="174"/>
      <c r="F100" s="175"/>
      <c r="G100" s="175"/>
      <c r="H100" s="174"/>
      <c r="I100" s="174"/>
      <c r="J100" s="174"/>
      <c r="K100" s="174"/>
      <c r="L100" s="174"/>
      <c r="M100" s="174"/>
      <c r="N100" s="174"/>
      <c r="O100" s="174"/>
      <c r="P100" s="174"/>
      <c r="Q100" s="174"/>
      <c r="R100" s="174"/>
      <c r="S100" s="174"/>
      <c r="T100" s="174"/>
      <c r="U100" s="174"/>
      <c r="V100" s="174"/>
      <c r="W100" s="174"/>
      <c r="X100" s="174"/>
      <c r="Y100" s="174"/>
      <c r="Z100" s="174"/>
      <c r="AA100" s="174"/>
    </row>
    <row r="101">
      <c r="A101" s="174"/>
      <c r="B101" s="174"/>
      <c r="C101" s="174"/>
      <c r="D101" s="174"/>
      <c r="E101" s="174"/>
      <c r="F101" s="175"/>
      <c r="G101" s="175"/>
      <c r="H101" s="174"/>
      <c r="I101" s="174"/>
      <c r="J101" s="174"/>
      <c r="K101" s="174"/>
      <c r="L101" s="174"/>
      <c r="M101" s="174"/>
      <c r="N101" s="174"/>
      <c r="O101" s="174"/>
      <c r="P101" s="174"/>
      <c r="Q101" s="174"/>
      <c r="R101" s="174"/>
      <c r="S101" s="174"/>
      <c r="T101" s="174"/>
      <c r="U101" s="174"/>
      <c r="V101" s="174"/>
      <c r="W101" s="174"/>
      <c r="X101" s="174"/>
      <c r="Y101" s="174"/>
      <c r="Z101" s="174"/>
      <c r="AA101" s="174"/>
    </row>
    <row r="102">
      <c r="A102" s="174"/>
      <c r="B102" s="174"/>
      <c r="C102" s="174"/>
      <c r="D102" s="174"/>
      <c r="E102" s="174"/>
      <c r="F102" s="175"/>
      <c r="G102" s="175"/>
      <c r="H102" s="174"/>
      <c r="I102" s="174"/>
      <c r="J102" s="174"/>
      <c r="K102" s="174"/>
      <c r="L102" s="174"/>
      <c r="M102" s="174"/>
      <c r="N102" s="174"/>
      <c r="O102" s="174"/>
      <c r="P102" s="174"/>
      <c r="Q102" s="174"/>
      <c r="R102" s="174"/>
      <c r="S102" s="174"/>
      <c r="T102" s="174"/>
      <c r="U102" s="174"/>
      <c r="V102" s="174"/>
      <c r="W102" s="174"/>
      <c r="X102" s="174"/>
      <c r="Y102" s="174"/>
      <c r="Z102" s="174"/>
      <c r="AA102" s="174"/>
    </row>
    <row r="103">
      <c r="A103" s="174"/>
      <c r="B103" s="174"/>
      <c r="C103" s="174"/>
      <c r="D103" s="174"/>
      <c r="E103" s="174"/>
      <c r="F103" s="175"/>
      <c r="G103" s="175"/>
      <c r="H103" s="174"/>
      <c r="I103" s="174"/>
      <c r="J103" s="174"/>
      <c r="K103" s="174"/>
      <c r="L103" s="174"/>
      <c r="M103" s="174"/>
      <c r="N103" s="174"/>
      <c r="O103" s="174"/>
      <c r="P103" s="174"/>
      <c r="Q103" s="174"/>
      <c r="R103" s="174"/>
      <c r="S103" s="174"/>
      <c r="T103" s="174"/>
      <c r="U103" s="174"/>
      <c r="V103" s="174"/>
      <c r="W103" s="174"/>
      <c r="X103" s="174"/>
      <c r="Y103" s="174"/>
      <c r="Z103" s="174"/>
      <c r="AA103" s="174"/>
    </row>
    <row r="104">
      <c r="A104" s="174"/>
      <c r="B104" s="174"/>
      <c r="C104" s="174"/>
      <c r="D104" s="174"/>
      <c r="E104" s="174"/>
      <c r="F104" s="175"/>
      <c r="G104" s="175"/>
      <c r="H104" s="174"/>
      <c r="I104" s="174"/>
      <c r="J104" s="174"/>
      <c r="K104" s="174"/>
      <c r="L104" s="174"/>
      <c r="M104" s="174"/>
      <c r="N104" s="174"/>
      <c r="O104" s="174"/>
      <c r="P104" s="174"/>
      <c r="Q104" s="174"/>
      <c r="R104" s="174"/>
      <c r="S104" s="174"/>
      <c r="T104" s="174"/>
      <c r="U104" s="174"/>
      <c r="V104" s="174"/>
      <c r="W104" s="174"/>
      <c r="X104" s="174"/>
      <c r="Y104" s="174"/>
      <c r="Z104" s="174"/>
      <c r="AA104" s="174"/>
    </row>
    <row r="105">
      <c r="A105" s="174"/>
      <c r="B105" s="174"/>
      <c r="C105" s="174"/>
      <c r="D105" s="174"/>
      <c r="E105" s="174"/>
      <c r="F105" s="175"/>
      <c r="G105" s="175"/>
      <c r="H105" s="174"/>
      <c r="I105" s="174"/>
      <c r="J105" s="174"/>
      <c r="K105" s="174"/>
      <c r="L105" s="174"/>
      <c r="M105" s="174"/>
      <c r="N105" s="174"/>
      <c r="O105" s="174"/>
      <c r="P105" s="174"/>
      <c r="Q105" s="174"/>
      <c r="R105" s="174"/>
      <c r="S105" s="174"/>
      <c r="T105" s="174"/>
      <c r="U105" s="174"/>
      <c r="V105" s="174"/>
      <c r="W105" s="174"/>
      <c r="X105" s="174"/>
      <c r="Y105" s="174"/>
      <c r="Z105" s="174"/>
      <c r="AA105" s="174"/>
    </row>
    <row r="106">
      <c r="A106" s="174"/>
      <c r="B106" s="174"/>
      <c r="C106" s="174"/>
      <c r="D106" s="174"/>
      <c r="E106" s="174"/>
      <c r="F106" s="175"/>
      <c r="G106" s="175"/>
      <c r="H106" s="174"/>
      <c r="I106" s="174"/>
      <c r="J106" s="174"/>
      <c r="K106" s="174"/>
      <c r="L106" s="174"/>
      <c r="M106" s="174"/>
      <c r="N106" s="174"/>
      <c r="O106" s="174"/>
      <c r="P106" s="174"/>
      <c r="Q106" s="174"/>
      <c r="R106" s="174"/>
      <c r="S106" s="174"/>
      <c r="T106" s="174"/>
      <c r="U106" s="174"/>
      <c r="V106" s="174"/>
      <c r="W106" s="174"/>
      <c r="X106" s="174"/>
      <c r="Y106" s="174"/>
      <c r="Z106" s="174"/>
      <c r="AA106" s="174"/>
    </row>
    <row r="107">
      <c r="A107" s="174"/>
      <c r="B107" s="174"/>
      <c r="C107" s="174"/>
      <c r="D107" s="174"/>
      <c r="E107" s="174"/>
      <c r="F107" s="175"/>
      <c r="G107" s="175"/>
      <c r="H107" s="174"/>
      <c r="I107" s="174"/>
      <c r="J107" s="174"/>
      <c r="K107" s="174"/>
      <c r="L107" s="174"/>
      <c r="M107" s="174"/>
      <c r="N107" s="174"/>
      <c r="O107" s="174"/>
      <c r="P107" s="174"/>
      <c r="Q107" s="174"/>
      <c r="R107" s="174"/>
      <c r="S107" s="174"/>
      <c r="T107" s="174"/>
      <c r="U107" s="174"/>
      <c r="V107" s="174"/>
      <c r="W107" s="174"/>
      <c r="X107" s="174"/>
      <c r="Y107" s="174"/>
      <c r="Z107" s="174"/>
      <c r="AA107" s="174"/>
    </row>
    <row r="108">
      <c r="A108" s="174"/>
      <c r="B108" s="174"/>
      <c r="C108" s="174"/>
      <c r="D108" s="174"/>
      <c r="E108" s="174"/>
      <c r="F108" s="175"/>
      <c r="G108" s="175"/>
      <c r="H108" s="174"/>
      <c r="I108" s="174"/>
      <c r="J108" s="174"/>
      <c r="K108" s="174"/>
      <c r="L108" s="174"/>
      <c r="M108" s="174"/>
      <c r="N108" s="174"/>
      <c r="O108" s="174"/>
      <c r="P108" s="174"/>
      <c r="Q108" s="174"/>
      <c r="R108" s="174"/>
      <c r="S108" s="174"/>
      <c r="T108" s="174"/>
      <c r="U108" s="174"/>
      <c r="V108" s="174"/>
      <c r="W108" s="174"/>
      <c r="X108" s="174"/>
      <c r="Y108" s="174"/>
      <c r="Z108" s="174"/>
      <c r="AA108" s="174"/>
    </row>
    <row r="109">
      <c r="A109" s="174"/>
      <c r="B109" s="174"/>
      <c r="C109" s="174"/>
      <c r="D109" s="174"/>
      <c r="E109" s="174"/>
      <c r="F109" s="175"/>
      <c r="G109" s="175"/>
      <c r="H109" s="174"/>
      <c r="I109" s="174"/>
      <c r="J109" s="174"/>
      <c r="K109" s="174"/>
      <c r="L109" s="174"/>
      <c r="M109" s="174"/>
      <c r="N109" s="174"/>
      <c r="O109" s="174"/>
      <c r="P109" s="174"/>
      <c r="Q109" s="174"/>
      <c r="R109" s="174"/>
      <c r="S109" s="174"/>
      <c r="T109" s="174"/>
      <c r="U109" s="174"/>
      <c r="V109" s="174"/>
      <c r="W109" s="174"/>
      <c r="X109" s="174"/>
      <c r="Y109" s="174"/>
      <c r="Z109" s="174"/>
      <c r="AA109" s="174"/>
    </row>
    <row r="110">
      <c r="A110" s="174"/>
      <c r="B110" s="174"/>
      <c r="C110" s="174"/>
      <c r="D110" s="174"/>
      <c r="E110" s="174"/>
      <c r="F110" s="175"/>
      <c r="G110" s="175"/>
      <c r="H110" s="174"/>
      <c r="I110" s="174"/>
      <c r="J110" s="174"/>
      <c r="K110" s="174"/>
      <c r="L110" s="174"/>
      <c r="M110" s="174"/>
      <c r="N110" s="174"/>
      <c r="O110" s="174"/>
      <c r="P110" s="174"/>
      <c r="Q110" s="174"/>
      <c r="R110" s="174"/>
      <c r="S110" s="174"/>
      <c r="T110" s="174"/>
      <c r="U110" s="174"/>
      <c r="V110" s="174"/>
      <c r="W110" s="174"/>
      <c r="X110" s="174"/>
      <c r="Y110" s="174"/>
      <c r="Z110" s="174"/>
      <c r="AA110" s="174"/>
    </row>
    <row r="111">
      <c r="A111" s="174"/>
      <c r="B111" s="174"/>
      <c r="C111" s="174"/>
      <c r="D111" s="174"/>
      <c r="E111" s="174"/>
      <c r="F111" s="175"/>
      <c r="G111" s="175"/>
      <c r="H111" s="174"/>
      <c r="I111" s="174"/>
      <c r="J111" s="174"/>
      <c r="K111" s="174"/>
      <c r="L111" s="174"/>
      <c r="M111" s="174"/>
      <c r="N111" s="174"/>
      <c r="O111" s="174"/>
      <c r="P111" s="174"/>
      <c r="Q111" s="174"/>
      <c r="R111" s="174"/>
      <c r="S111" s="174"/>
      <c r="T111" s="174"/>
      <c r="U111" s="174"/>
      <c r="V111" s="174"/>
      <c r="W111" s="174"/>
      <c r="X111" s="174"/>
      <c r="Y111" s="174"/>
      <c r="Z111" s="174"/>
      <c r="AA111" s="174"/>
    </row>
    <row r="112">
      <c r="A112" s="174"/>
      <c r="B112" s="174"/>
      <c r="C112" s="174"/>
      <c r="D112" s="174"/>
      <c r="E112" s="174"/>
      <c r="F112" s="175"/>
      <c r="G112" s="175"/>
      <c r="H112" s="174"/>
      <c r="I112" s="174"/>
      <c r="J112" s="174"/>
      <c r="K112" s="174"/>
      <c r="L112" s="174"/>
      <c r="M112" s="174"/>
      <c r="N112" s="174"/>
      <c r="O112" s="174"/>
      <c r="P112" s="174"/>
      <c r="Q112" s="174"/>
      <c r="R112" s="174"/>
      <c r="S112" s="174"/>
      <c r="T112" s="174"/>
      <c r="U112" s="174"/>
      <c r="V112" s="174"/>
      <c r="W112" s="174"/>
      <c r="X112" s="174"/>
      <c r="Y112" s="174"/>
      <c r="Z112" s="174"/>
      <c r="AA112" s="174"/>
    </row>
    <row r="113">
      <c r="A113" s="174"/>
      <c r="B113" s="174"/>
      <c r="C113" s="174"/>
      <c r="D113" s="174"/>
      <c r="E113" s="174"/>
      <c r="F113" s="175"/>
      <c r="G113" s="175"/>
      <c r="H113" s="174"/>
      <c r="I113" s="174"/>
      <c r="J113" s="174"/>
      <c r="K113" s="174"/>
      <c r="L113" s="174"/>
      <c r="M113" s="174"/>
      <c r="N113" s="174"/>
      <c r="O113" s="174"/>
      <c r="P113" s="174"/>
      <c r="Q113" s="174"/>
      <c r="R113" s="174"/>
      <c r="S113" s="174"/>
      <c r="T113" s="174"/>
      <c r="U113" s="174"/>
      <c r="V113" s="174"/>
      <c r="W113" s="174"/>
      <c r="X113" s="174"/>
      <c r="Y113" s="174"/>
      <c r="Z113" s="174"/>
      <c r="AA113" s="174"/>
    </row>
    <row r="114">
      <c r="A114" s="174"/>
      <c r="B114" s="174"/>
      <c r="C114" s="174"/>
      <c r="D114" s="174"/>
      <c r="E114" s="174"/>
      <c r="F114" s="175"/>
      <c r="G114" s="175"/>
      <c r="H114" s="174"/>
      <c r="I114" s="174"/>
      <c r="J114" s="174"/>
      <c r="K114" s="174"/>
      <c r="L114" s="174"/>
      <c r="M114" s="174"/>
      <c r="N114" s="174"/>
      <c r="O114" s="174"/>
      <c r="P114" s="174"/>
      <c r="Q114" s="174"/>
      <c r="R114" s="174"/>
      <c r="S114" s="174"/>
      <c r="T114" s="174"/>
      <c r="U114" s="174"/>
      <c r="V114" s="174"/>
      <c r="W114" s="174"/>
      <c r="X114" s="174"/>
      <c r="Y114" s="174"/>
      <c r="Z114" s="174"/>
      <c r="AA114" s="174"/>
    </row>
    <row r="115">
      <c r="A115" s="174"/>
      <c r="B115" s="174"/>
      <c r="C115" s="174"/>
      <c r="D115" s="174"/>
      <c r="E115" s="174"/>
      <c r="F115" s="175"/>
      <c r="G115" s="175"/>
      <c r="H115" s="174"/>
      <c r="I115" s="174"/>
      <c r="J115" s="174"/>
      <c r="K115" s="174"/>
      <c r="L115" s="174"/>
      <c r="M115" s="174"/>
      <c r="N115" s="174"/>
      <c r="O115" s="174"/>
      <c r="P115" s="174"/>
      <c r="Q115" s="174"/>
      <c r="R115" s="174"/>
      <c r="S115" s="174"/>
      <c r="T115" s="174"/>
      <c r="U115" s="174"/>
      <c r="V115" s="174"/>
      <c r="W115" s="174"/>
      <c r="X115" s="174"/>
      <c r="Y115" s="174"/>
      <c r="Z115" s="174"/>
      <c r="AA115" s="174"/>
    </row>
    <row r="116">
      <c r="A116" s="174"/>
      <c r="B116" s="174"/>
      <c r="C116" s="174"/>
      <c r="D116" s="174"/>
      <c r="E116" s="174"/>
      <c r="F116" s="175"/>
      <c r="G116" s="175"/>
      <c r="H116" s="174"/>
      <c r="I116" s="174"/>
      <c r="J116" s="174"/>
      <c r="K116" s="174"/>
      <c r="L116" s="174"/>
      <c r="M116" s="174"/>
      <c r="N116" s="174"/>
      <c r="O116" s="174"/>
      <c r="P116" s="174"/>
      <c r="Q116" s="174"/>
      <c r="R116" s="174"/>
      <c r="S116" s="174"/>
      <c r="T116" s="174"/>
      <c r="U116" s="174"/>
      <c r="V116" s="174"/>
      <c r="W116" s="174"/>
      <c r="X116" s="174"/>
      <c r="Y116" s="174"/>
      <c r="Z116" s="174"/>
      <c r="AA116" s="174"/>
    </row>
    <row r="117">
      <c r="A117" s="174"/>
      <c r="B117" s="174"/>
      <c r="C117" s="174"/>
      <c r="D117" s="174"/>
      <c r="E117" s="174"/>
      <c r="F117" s="175"/>
      <c r="G117" s="175"/>
      <c r="H117" s="174"/>
      <c r="I117" s="174"/>
      <c r="J117" s="174"/>
      <c r="K117" s="174"/>
      <c r="L117" s="174"/>
      <c r="M117" s="174"/>
      <c r="N117" s="174"/>
      <c r="O117" s="174"/>
      <c r="P117" s="174"/>
      <c r="Q117" s="174"/>
      <c r="R117" s="174"/>
      <c r="S117" s="174"/>
      <c r="T117" s="174"/>
      <c r="U117" s="174"/>
      <c r="V117" s="174"/>
      <c r="W117" s="174"/>
      <c r="X117" s="174"/>
      <c r="Y117" s="174"/>
      <c r="Z117" s="174"/>
      <c r="AA117" s="174"/>
    </row>
    <row r="118">
      <c r="A118" s="174"/>
      <c r="B118" s="174"/>
      <c r="C118" s="174"/>
      <c r="D118" s="174"/>
      <c r="E118" s="174"/>
      <c r="F118" s="175"/>
      <c r="G118" s="175"/>
      <c r="H118" s="174"/>
      <c r="I118" s="174"/>
      <c r="J118" s="174"/>
      <c r="K118" s="174"/>
      <c r="L118" s="174"/>
      <c r="M118" s="174"/>
      <c r="N118" s="174"/>
      <c r="O118" s="174"/>
      <c r="P118" s="174"/>
      <c r="Q118" s="174"/>
      <c r="R118" s="174"/>
      <c r="S118" s="174"/>
      <c r="T118" s="174"/>
      <c r="U118" s="174"/>
      <c r="V118" s="174"/>
      <c r="W118" s="174"/>
      <c r="X118" s="174"/>
      <c r="Y118" s="174"/>
      <c r="Z118" s="174"/>
      <c r="AA118" s="174"/>
    </row>
    <row r="119">
      <c r="A119" s="174"/>
      <c r="B119" s="174"/>
      <c r="C119" s="174"/>
      <c r="D119" s="174"/>
      <c r="E119" s="174"/>
      <c r="F119" s="175"/>
      <c r="G119" s="175"/>
      <c r="H119" s="174"/>
      <c r="I119" s="174"/>
      <c r="J119" s="174"/>
      <c r="K119" s="174"/>
      <c r="L119" s="174"/>
      <c r="M119" s="174"/>
      <c r="N119" s="174"/>
      <c r="O119" s="174"/>
      <c r="P119" s="174"/>
      <c r="Q119" s="174"/>
      <c r="R119" s="174"/>
      <c r="S119" s="174"/>
      <c r="T119" s="174"/>
      <c r="U119" s="174"/>
      <c r="V119" s="174"/>
      <c r="W119" s="174"/>
      <c r="X119" s="174"/>
      <c r="Y119" s="174"/>
      <c r="Z119" s="174"/>
      <c r="AA119" s="174"/>
    </row>
    <row r="120">
      <c r="A120" s="174"/>
      <c r="B120" s="174"/>
      <c r="C120" s="174"/>
      <c r="D120" s="174"/>
      <c r="E120" s="174"/>
      <c r="F120" s="175"/>
      <c r="G120" s="175"/>
      <c r="H120" s="174"/>
      <c r="I120" s="174"/>
      <c r="J120" s="174"/>
      <c r="K120" s="174"/>
      <c r="L120" s="174"/>
      <c r="M120" s="174"/>
      <c r="N120" s="174"/>
      <c r="O120" s="174"/>
      <c r="P120" s="174"/>
      <c r="Q120" s="174"/>
      <c r="R120" s="174"/>
      <c r="S120" s="174"/>
      <c r="T120" s="174"/>
      <c r="U120" s="174"/>
      <c r="V120" s="174"/>
      <c r="W120" s="174"/>
      <c r="X120" s="174"/>
      <c r="Y120" s="174"/>
      <c r="Z120" s="174"/>
      <c r="AA120" s="174"/>
    </row>
    <row r="121">
      <c r="A121" s="174"/>
      <c r="B121" s="174"/>
      <c r="C121" s="174"/>
      <c r="D121" s="174"/>
      <c r="E121" s="174"/>
      <c r="F121" s="175"/>
      <c r="G121" s="175"/>
      <c r="H121" s="174"/>
      <c r="I121" s="174"/>
      <c r="J121" s="174"/>
      <c r="K121" s="174"/>
      <c r="L121" s="174"/>
      <c r="M121" s="174"/>
      <c r="N121" s="174"/>
      <c r="O121" s="174"/>
      <c r="P121" s="174"/>
      <c r="Q121" s="174"/>
      <c r="R121" s="174"/>
      <c r="S121" s="174"/>
      <c r="T121" s="174"/>
      <c r="U121" s="174"/>
      <c r="V121" s="174"/>
      <c r="W121" s="174"/>
      <c r="X121" s="174"/>
      <c r="Y121" s="174"/>
      <c r="Z121" s="174"/>
      <c r="AA121" s="174"/>
    </row>
    <row r="122">
      <c r="A122" s="174"/>
      <c r="B122" s="174"/>
      <c r="C122" s="174"/>
      <c r="D122" s="174"/>
      <c r="E122" s="174"/>
      <c r="F122" s="175"/>
      <c r="G122" s="175"/>
      <c r="H122" s="174"/>
      <c r="I122" s="174"/>
      <c r="J122" s="174"/>
      <c r="K122" s="174"/>
      <c r="L122" s="174"/>
      <c r="M122" s="174"/>
      <c r="N122" s="174"/>
      <c r="O122" s="174"/>
      <c r="P122" s="174"/>
      <c r="Q122" s="174"/>
      <c r="R122" s="174"/>
      <c r="S122" s="174"/>
      <c r="T122" s="174"/>
      <c r="U122" s="174"/>
      <c r="V122" s="174"/>
      <c r="W122" s="174"/>
      <c r="X122" s="174"/>
      <c r="Y122" s="174"/>
      <c r="Z122" s="174"/>
      <c r="AA122" s="174"/>
    </row>
    <row r="123">
      <c r="A123" s="174"/>
      <c r="B123" s="174"/>
      <c r="C123" s="174"/>
      <c r="D123" s="174"/>
      <c r="E123" s="174"/>
      <c r="F123" s="175"/>
      <c r="G123" s="175"/>
      <c r="H123" s="174"/>
      <c r="I123" s="174"/>
      <c r="J123" s="174"/>
      <c r="K123" s="174"/>
      <c r="L123" s="174"/>
      <c r="M123" s="174"/>
      <c r="N123" s="174"/>
      <c r="O123" s="174"/>
      <c r="P123" s="174"/>
      <c r="Q123" s="174"/>
      <c r="R123" s="174"/>
      <c r="S123" s="174"/>
      <c r="T123" s="174"/>
      <c r="U123" s="174"/>
      <c r="V123" s="174"/>
      <c r="W123" s="174"/>
      <c r="X123" s="174"/>
      <c r="Y123" s="174"/>
      <c r="Z123" s="174"/>
      <c r="AA123" s="174"/>
    </row>
    <row r="124">
      <c r="A124" s="174"/>
      <c r="B124" s="174"/>
      <c r="C124" s="174"/>
      <c r="D124" s="174"/>
      <c r="E124" s="174"/>
      <c r="F124" s="175"/>
      <c r="G124" s="175"/>
      <c r="H124" s="174"/>
      <c r="I124" s="174"/>
      <c r="J124" s="174"/>
      <c r="K124" s="174"/>
      <c r="L124" s="174"/>
      <c r="M124" s="174"/>
      <c r="N124" s="174"/>
      <c r="O124" s="174"/>
      <c r="P124" s="174"/>
      <c r="Q124" s="174"/>
      <c r="R124" s="174"/>
      <c r="S124" s="174"/>
      <c r="T124" s="174"/>
      <c r="U124" s="174"/>
      <c r="V124" s="174"/>
      <c r="W124" s="174"/>
      <c r="X124" s="174"/>
      <c r="Y124" s="174"/>
      <c r="Z124" s="174"/>
      <c r="AA124" s="174"/>
    </row>
    <row r="125">
      <c r="A125" s="174"/>
      <c r="B125" s="174"/>
      <c r="C125" s="174"/>
      <c r="D125" s="174"/>
      <c r="E125" s="174"/>
      <c r="F125" s="175"/>
      <c r="G125" s="175"/>
      <c r="H125" s="174"/>
      <c r="I125" s="174"/>
      <c r="J125" s="174"/>
      <c r="K125" s="174"/>
      <c r="L125" s="174"/>
      <c r="M125" s="174"/>
      <c r="N125" s="174"/>
      <c r="O125" s="174"/>
      <c r="P125" s="174"/>
      <c r="Q125" s="174"/>
      <c r="R125" s="174"/>
      <c r="S125" s="174"/>
      <c r="T125" s="174"/>
      <c r="U125" s="174"/>
      <c r="V125" s="174"/>
      <c r="W125" s="174"/>
      <c r="X125" s="174"/>
      <c r="Y125" s="174"/>
      <c r="Z125" s="174"/>
      <c r="AA125" s="174"/>
    </row>
    <row r="126">
      <c r="A126" s="174"/>
      <c r="B126" s="174"/>
      <c r="C126" s="174"/>
      <c r="D126" s="174"/>
      <c r="E126" s="174"/>
      <c r="F126" s="175"/>
      <c r="G126" s="175"/>
      <c r="H126" s="174"/>
      <c r="I126" s="174"/>
      <c r="J126" s="174"/>
      <c r="K126" s="174"/>
      <c r="L126" s="174"/>
      <c r="M126" s="174"/>
      <c r="N126" s="174"/>
      <c r="O126" s="174"/>
      <c r="P126" s="174"/>
      <c r="Q126" s="174"/>
      <c r="R126" s="174"/>
      <c r="S126" s="174"/>
      <c r="T126" s="174"/>
      <c r="U126" s="174"/>
      <c r="V126" s="174"/>
      <c r="W126" s="174"/>
      <c r="X126" s="174"/>
      <c r="Y126" s="174"/>
      <c r="Z126" s="174"/>
      <c r="AA126" s="174"/>
    </row>
    <row r="127">
      <c r="A127" s="174"/>
      <c r="B127" s="174"/>
      <c r="C127" s="174"/>
      <c r="D127" s="174"/>
      <c r="E127" s="174"/>
      <c r="F127" s="175"/>
      <c r="G127" s="175"/>
      <c r="H127" s="174"/>
      <c r="I127" s="174"/>
      <c r="J127" s="174"/>
      <c r="K127" s="174"/>
      <c r="L127" s="174"/>
      <c r="M127" s="174"/>
      <c r="N127" s="174"/>
      <c r="O127" s="174"/>
      <c r="P127" s="174"/>
      <c r="Q127" s="174"/>
      <c r="R127" s="174"/>
      <c r="S127" s="174"/>
      <c r="T127" s="174"/>
      <c r="U127" s="174"/>
      <c r="V127" s="174"/>
      <c r="W127" s="174"/>
      <c r="X127" s="174"/>
      <c r="Y127" s="174"/>
      <c r="Z127" s="174"/>
      <c r="AA127" s="174"/>
    </row>
    <row r="128">
      <c r="A128" s="174"/>
      <c r="B128" s="174"/>
      <c r="C128" s="174"/>
      <c r="D128" s="174"/>
      <c r="E128" s="174"/>
      <c r="F128" s="175"/>
      <c r="G128" s="175"/>
      <c r="H128" s="174"/>
      <c r="I128" s="174"/>
      <c r="J128" s="174"/>
      <c r="K128" s="174"/>
      <c r="L128" s="174"/>
      <c r="M128" s="174"/>
      <c r="N128" s="174"/>
      <c r="O128" s="174"/>
      <c r="P128" s="174"/>
      <c r="Q128" s="174"/>
      <c r="R128" s="174"/>
      <c r="S128" s="174"/>
      <c r="T128" s="174"/>
      <c r="U128" s="174"/>
      <c r="V128" s="174"/>
      <c r="W128" s="174"/>
      <c r="X128" s="174"/>
      <c r="Y128" s="174"/>
      <c r="Z128" s="174"/>
      <c r="AA128" s="174"/>
    </row>
    <row r="129">
      <c r="A129" s="174"/>
      <c r="B129" s="174"/>
      <c r="C129" s="174"/>
      <c r="D129" s="174"/>
      <c r="E129" s="174"/>
      <c r="F129" s="175"/>
      <c r="G129" s="175"/>
      <c r="H129" s="174"/>
      <c r="I129" s="174"/>
      <c r="J129" s="174"/>
      <c r="K129" s="174"/>
      <c r="L129" s="174"/>
      <c r="M129" s="174"/>
      <c r="N129" s="174"/>
      <c r="O129" s="174"/>
      <c r="P129" s="174"/>
      <c r="Q129" s="174"/>
      <c r="R129" s="174"/>
      <c r="S129" s="174"/>
      <c r="T129" s="174"/>
      <c r="U129" s="174"/>
      <c r="V129" s="174"/>
      <c r="W129" s="174"/>
      <c r="X129" s="174"/>
      <c r="Y129" s="174"/>
      <c r="Z129" s="174"/>
      <c r="AA129" s="174"/>
    </row>
    <row r="130">
      <c r="A130" s="174"/>
      <c r="B130" s="174"/>
      <c r="C130" s="174"/>
      <c r="D130" s="174"/>
      <c r="E130" s="174"/>
      <c r="F130" s="175"/>
      <c r="G130" s="175"/>
      <c r="H130" s="174"/>
      <c r="I130" s="174"/>
      <c r="J130" s="174"/>
      <c r="K130" s="174"/>
      <c r="L130" s="174"/>
      <c r="M130" s="174"/>
      <c r="N130" s="174"/>
      <c r="O130" s="174"/>
      <c r="P130" s="174"/>
      <c r="Q130" s="174"/>
      <c r="R130" s="174"/>
      <c r="S130" s="174"/>
      <c r="T130" s="174"/>
      <c r="U130" s="174"/>
      <c r="V130" s="174"/>
      <c r="W130" s="174"/>
      <c r="X130" s="174"/>
      <c r="Y130" s="174"/>
      <c r="Z130" s="174"/>
      <c r="AA130" s="174"/>
    </row>
    <row r="131">
      <c r="A131" s="174"/>
      <c r="B131" s="174"/>
      <c r="C131" s="174"/>
      <c r="D131" s="174"/>
      <c r="E131" s="174"/>
      <c r="F131" s="175"/>
      <c r="G131" s="175"/>
      <c r="H131" s="174"/>
      <c r="I131" s="174"/>
      <c r="J131" s="174"/>
      <c r="K131" s="174"/>
      <c r="L131" s="174"/>
      <c r="M131" s="174"/>
      <c r="N131" s="174"/>
      <c r="O131" s="174"/>
      <c r="P131" s="174"/>
      <c r="Q131" s="174"/>
      <c r="R131" s="174"/>
      <c r="S131" s="174"/>
      <c r="T131" s="174"/>
      <c r="U131" s="174"/>
      <c r="V131" s="174"/>
      <c r="W131" s="174"/>
      <c r="X131" s="174"/>
      <c r="Y131" s="174"/>
      <c r="Z131" s="174"/>
      <c r="AA131" s="174"/>
    </row>
    <row r="132">
      <c r="A132" s="174"/>
      <c r="B132" s="174"/>
      <c r="C132" s="174"/>
      <c r="D132" s="174"/>
      <c r="E132" s="174"/>
      <c r="F132" s="175"/>
      <c r="G132" s="175"/>
      <c r="H132" s="174"/>
      <c r="I132" s="174"/>
      <c r="J132" s="174"/>
      <c r="K132" s="174"/>
      <c r="L132" s="174"/>
      <c r="M132" s="174"/>
      <c r="N132" s="174"/>
      <c r="O132" s="174"/>
      <c r="P132" s="174"/>
      <c r="Q132" s="174"/>
      <c r="R132" s="174"/>
      <c r="S132" s="174"/>
      <c r="T132" s="174"/>
      <c r="U132" s="174"/>
      <c r="V132" s="174"/>
      <c r="W132" s="174"/>
      <c r="X132" s="174"/>
      <c r="Y132" s="174"/>
      <c r="Z132" s="174"/>
      <c r="AA132" s="174"/>
    </row>
    <row r="133">
      <c r="A133" s="174"/>
      <c r="B133" s="174"/>
      <c r="C133" s="174"/>
      <c r="D133" s="174"/>
      <c r="E133" s="174"/>
      <c r="F133" s="175"/>
      <c r="G133" s="175"/>
      <c r="H133" s="174"/>
      <c r="I133" s="174"/>
      <c r="J133" s="174"/>
      <c r="K133" s="174"/>
      <c r="L133" s="174"/>
      <c r="M133" s="174"/>
      <c r="N133" s="174"/>
      <c r="O133" s="174"/>
      <c r="P133" s="174"/>
      <c r="Q133" s="174"/>
      <c r="R133" s="174"/>
      <c r="S133" s="174"/>
      <c r="T133" s="174"/>
      <c r="U133" s="174"/>
      <c r="V133" s="174"/>
      <c r="W133" s="174"/>
      <c r="X133" s="174"/>
      <c r="Y133" s="174"/>
      <c r="Z133" s="174"/>
      <c r="AA133" s="174"/>
    </row>
    <row r="134">
      <c r="A134" s="174"/>
      <c r="B134" s="174"/>
      <c r="C134" s="174"/>
      <c r="D134" s="174"/>
      <c r="E134" s="174"/>
      <c r="F134" s="175"/>
      <c r="G134" s="175"/>
      <c r="H134" s="174"/>
      <c r="I134" s="174"/>
      <c r="J134" s="174"/>
      <c r="K134" s="174"/>
      <c r="L134" s="174"/>
      <c r="M134" s="174"/>
      <c r="N134" s="174"/>
      <c r="O134" s="174"/>
      <c r="P134" s="174"/>
      <c r="Q134" s="174"/>
      <c r="R134" s="174"/>
      <c r="S134" s="174"/>
      <c r="T134" s="174"/>
      <c r="U134" s="174"/>
      <c r="V134" s="174"/>
      <c r="W134" s="174"/>
      <c r="X134" s="174"/>
      <c r="Y134" s="174"/>
      <c r="Z134" s="174"/>
      <c r="AA134" s="174"/>
    </row>
    <row r="135">
      <c r="A135" s="174"/>
      <c r="B135" s="174"/>
      <c r="C135" s="174"/>
      <c r="D135" s="174"/>
      <c r="E135" s="174"/>
      <c r="F135" s="175"/>
      <c r="G135" s="175"/>
      <c r="H135" s="174"/>
      <c r="I135" s="174"/>
      <c r="J135" s="174"/>
      <c r="K135" s="174"/>
      <c r="L135" s="174"/>
      <c r="M135" s="174"/>
      <c r="N135" s="174"/>
      <c r="O135" s="174"/>
      <c r="P135" s="174"/>
      <c r="Q135" s="174"/>
      <c r="R135" s="174"/>
      <c r="S135" s="174"/>
      <c r="T135" s="174"/>
      <c r="U135" s="174"/>
      <c r="V135" s="174"/>
      <c r="W135" s="174"/>
      <c r="X135" s="174"/>
      <c r="Y135" s="174"/>
      <c r="Z135" s="174"/>
      <c r="AA135" s="174"/>
    </row>
    <row r="136">
      <c r="A136" s="174"/>
      <c r="B136" s="174"/>
      <c r="C136" s="174"/>
      <c r="D136" s="174"/>
      <c r="E136" s="174"/>
      <c r="F136" s="175"/>
      <c r="G136" s="175"/>
      <c r="H136" s="174"/>
      <c r="I136" s="174"/>
      <c r="J136" s="174"/>
      <c r="K136" s="174"/>
      <c r="L136" s="174"/>
      <c r="M136" s="174"/>
      <c r="N136" s="174"/>
      <c r="O136" s="174"/>
      <c r="P136" s="174"/>
      <c r="Q136" s="174"/>
      <c r="R136" s="174"/>
      <c r="S136" s="174"/>
      <c r="T136" s="174"/>
      <c r="U136" s="174"/>
      <c r="V136" s="174"/>
      <c r="W136" s="174"/>
      <c r="X136" s="174"/>
      <c r="Y136" s="174"/>
      <c r="Z136" s="174"/>
      <c r="AA136" s="174"/>
    </row>
    <row r="137">
      <c r="A137" s="174"/>
      <c r="B137" s="174"/>
      <c r="C137" s="174"/>
      <c r="D137" s="174"/>
      <c r="E137" s="174"/>
      <c r="F137" s="175"/>
      <c r="G137" s="175"/>
      <c r="H137" s="174"/>
      <c r="I137" s="174"/>
      <c r="J137" s="174"/>
      <c r="K137" s="174"/>
      <c r="L137" s="174"/>
      <c r="M137" s="174"/>
      <c r="N137" s="174"/>
      <c r="O137" s="174"/>
      <c r="P137" s="174"/>
      <c r="Q137" s="174"/>
      <c r="R137" s="174"/>
      <c r="S137" s="174"/>
      <c r="T137" s="174"/>
      <c r="U137" s="174"/>
      <c r="V137" s="174"/>
      <c r="W137" s="174"/>
      <c r="X137" s="174"/>
      <c r="Y137" s="174"/>
      <c r="Z137" s="174"/>
      <c r="AA137" s="174"/>
    </row>
    <row r="138">
      <c r="A138" s="174"/>
      <c r="B138" s="174"/>
      <c r="C138" s="174"/>
      <c r="D138" s="174"/>
      <c r="E138" s="174"/>
      <c r="F138" s="175"/>
      <c r="G138" s="175"/>
      <c r="H138" s="174"/>
      <c r="I138" s="174"/>
      <c r="J138" s="174"/>
      <c r="K138" s="174"/>
      <c r="L138" s="174"/>
      <c r="M138" s="174"/>
      <c r="N138" s="174"/>
      <c r="O138" s="174"/>
      <c r="P138" s="174"/>
      <c r="Q138" s="174"/>
      <c r="R138" s="174"/>
      <c r="S138" s="174"/>
      <c r="T138" s="174"/>
      <c r="U138" s="174"/>
      <c r="V138" s="174"/>
      <c r="W138" s="174"/>
      <c r="X138" s="174"/>
      <c r="Y138" s="174"/>
      <c r="Z138" s="174"/>
      <c r="AA138" s="174"/>
    </row>
    <row r="139">
      <c r="A139" s="174"/>
      <c r="B139" s="174"/>
      <c r="C139" s="174"/>
      <c r="D139" s="174"/>
      <c r="E139" s="174"/>
      <c r="F139" s="175"/>
      <c r="G139" s="175"/>
      <c r="H139" s="174"/>
      <c r="I139" s="174"/>
      <c r="J139" s="174"/>
      <c r="K139" s="174"/>
      <c r="L139" s="174"/>
      <c r="M139" s="174"/>
      <c r="N139" s="174"/>
      <c r="O139" s="174"/>
      <c r="P139" s="174"/>
      <c r="Q139" s="174"/>
      <c r="R139" s="174"/>
      <c r="S139" s="174"/>
      <c r="T139" s="174"/>
      <c r="U139" s="174"/>
      <c r="V139" s="174"/>
      <c r="W139" s="174"/>
      <c r="X139" s="174"/>
      <c r="Y139" s="174"/>
      <c r="Z139" s="174"/>
      <c r="AA139" s="174"/>
    </row>
    <row r="140">
      <c r="A140" s="174"/>
      <c r="B140" s="174"/>
      <c r="C140" s="174"/>
      <c r="D140" s="174"/>
      <c r="E140" s="174"/>
      <c r="F140" s="175"/>
      <c r="G140" s="175"/>
      <c r="H140" s="174"/>
      <c r="I140" s="174"/>
      <c r="J140" s="174"/>
      <c r="K140" s="174"/>
      <c r="L140" s="174"/>
      <c r="M140" s="174"/>
      <c r="N140" s="174"/>
      <c r="O140" s="174"/>
      <c r="P140" s="174"/>
      <c r="Q140" s="174"/>
      <c r="R140" s="174"/>
      <c r="S140" s="174"/>
      <c r="T140" s="174"/>
      <c r="U140" s="174"/>
      <c r="V140" s="174"/>
      <c r="W140" s="174"/>
      <c r="X140" s="174"/>
      <c r="Y140" s="174"/>
      <c r="Z140" s="174"/>
      <c r="AA140" s="174"/>
    </row>
    <row r="141">
      <c r="A141" s="174"/>
      <c r="B141" s="174"/>
      <c r="C141" s="174"/>
      <c r="D141" s="174"/>
      <c r="E141" s="174"/>
      <c r="F141" s="175"/>
      <c r="G141" s="175"/>
      <c r="H141" s="174"/>
      <c r="I141" s="174"/>
      <c r="J141" s="174"/>
      <c r="K141" s="174"/>
      <c r="L141" s="174"/>
      <c r="M141" s="174"/>
      <c r="N141" s="174"/>
      <c r="O141" s="174"/>
      <c r="P141" s="174"/>
      <c r="Q141" s="174"/>
      <c r="R141" s="174"/>
      <c r="S141" s="174"/>
      <c r="T141" s="174"/>
      <c r="U141" s="174"/>
      <c r="V141" s="174"/>
      <c r="W141" s="174"/>
      <c r="X141" s="174"/>
      <c r="Y141" s="174"/>
      <c r="Z141" s="174"/>
      <c r="AA141" s="174"/>
    </row>
    <row r="142">
      <c r="A142" s="174"/>
      <c r="B142" s="174"/>
      <c r="C142" s="174"/>
      <c r="D142" s="174"/>
      <c r="E142" s="174"/>
      <c r="F142" s="175"/>
      <c r="G142" s="175"/>
      <c r="H142" s="174"/>
      <c r="I142" s="174"/>
      <c r="J142" s="174"/>
      <c r="K142" s="174"/>
      <c r="L142" s="174"/>
      <c r="M142" s="174"/>
      <c r="N142" s="174"/>
      <c r="O142" s="174"/>
      <c r="P142" s="174"/>
      <c r="Q142" s="174"/>
      <c r="R142" s="174"/>
      <c r="S142" s="174"/>
      <c r="T142" s="174"/>
      <c r="U142" s="174"/>
      <c r="V142" s="174"/>
      <c r="W142" s="174"/>
      <c r="X142" s="174"/>
      <c r="Y142" s="174"/>
      <c r="Z142" s="174"/>
      <c r="AA142" s="174"/>
    </row>
    <row r="143">
      <c r="A143" s="174"/>
      <c r="B143" s="174"/>
      <c r="C143" s="174"/>
      <c r="D143" s="174"/>
      <c r="E143" s="174"/>
      <c r="F143" s="175"/>
      <c r="G143" s="175"/>
      <c r="H143" s="174"/>
      <c r="I143" s="174"/>
      <c r="J143" s="174"/>
      <c r="K143" s="174"/>
      <c r="L143" s="174"/>
      <c r="M143" s="174"/>
      <c r="N143" s="174"/>
      <c r="O143" s="174"/>
      <c r="P143" s="174"/>
      <c r="Q143" s="174"/>
      <c r="R143" s="174"/>
      <c r="S143" s="174"/>
      <c r="T143" s="174"/>
      <c r="U143" s="174"/>
      <c r="V143" s="174"/>
      <c r="W143" s="174"/>
      <c r="X143" s="174"/>
      <c r="Y143" s="174"/>
      <c r="Z143" s="174"/>
      <c r="AA143" s="174"/>
    </row>
    <row r="144">
      <c r="A144" s="174"/>
      <c r="B144" s="174"/>
      <c r="C144" s="174"/>
      <c r="D144" s="174"/>
      <c r="E144" s="174"/>
      <c r="F144" s="175"/>
      <c r="G144" s="175"/>
      <c r="H144" s="174"/>
      <c r="I144" s="174"/>
      <c r="J144" s="174"/>
      <c r="K144" s="174"/>
      <c r="L144" s="174"/>
      <c r="M144" s="174"/>
      <c r="N144" s="174"/>
      <c r="O144" s="174"/>
      <c r="P144" s="174"/>
      <c r="Q144" s="174"/>
      <c r="R144" s="174"/>
      <c r="S144" s="174"/>
      <c r="T144" s="174"/>
      <c r="U144" s="174"/>
      <c r="V144" s="174"/>
      <c r="W144" s="174"/>
      <c r="X144" s="174"/>
      <c r="Y144" s="174"/>
      <c r="Z144" s="174"/>
      <c r="AA144" s="174"/>
    </row>
    <row r="145">
      <c r="A145" s="174"/>
      <c r="B145" s="174"/>
      <c r="C145" s="174"/>
      <c r="D145" s="174"/>
      <c r="E145" s="174"/>
      <c r="F145" s="175"/>
      <c r="G145" s="175"/>
      <c r="H145" s="174"/>
      <c r="I145" s="174"/>
      <c r="J145" s="174"/>
      <c r="K145" s="174"/>
      <c r="L145" s="174"/>
      <c r="M145" s="174"/>
      <c r="N145" s="174"/>
      <c r="O145" s="174"/>
      <c r="P145" s="174"/>
      <c r="Q145" s="174"/>
      <c r="R145" s="174"/>
      <c r="S145" s="174"/>
      <c r="T145" s="174"/>
      <c r="U145" s="174"/>
      <c r="V145" s="174"/>
      <c r="W145" s="174"/>
      <c r="X145" s="174"/>
      <c r="Y145" s="174"/>
      <c r="Z145" s="174"/>
      <c r="AA145" s="174"/>
    </row>
    <row r="146">
      <c r="A146" s="174"/>
      <c r="B146" s="174"/>
      <c r="C146" s="174"/>
      <c r="D146" s="174"/>
      <c r="E146" s="174"/>
      <c r="F146" s="175"/>
      <c r="G146" s="175"/>
      <c r="H146" s="174"/>
      <c r="I146" s="174"/>
      <c r="J146" s="174"/>
      <c r="K146" s="174"/>
      <c r="L146" s="174"/>
      <c r="M146" s="174"/>
      <c r="N146" s="174"/>
      <c r="O146" s="174"/>
      <c r="P146" s="174"/>
      <c r="Q146" s="174"/>
      <c r="R146" s="174"/>
      <c r="S146" s="174"/>
      <c r="T146" s="174"/>
      <c r="U146" s="174"/>
      <c r="V146" s="174"/>
      <c r="W146" s="174"/>
      <c r="X146" s="174"/>
      <c r="Y146" s="174"/>
      <c r="Z146" s="174"/>
      <c r="AA146" s="174"/>
    </row>
    <row r="147">
      <c r="A147" s="174"/>
      <c r="B147" s="174"/>
      <c r="C147" s="174"/>
      <c r="D147" s="174"/>
      <c r="E147" s="174"/>
      <c r="F147" s="175"/>
      <c r="G147" s="175"/>
      <c r="H147" s="174"/>
      <c r="I147" s="174"/>
      <c r="J147" s="174"/>
      <c r="K147" s="174"/>
      <c r="L147" s="174"/>
      <c r="M147" s="174"/>
      <c r="N147" s="174"/>
      <c r="O147" s="174"/>
      <c r="P147" s="174"/>
      <c r="Q147" s="174"/>
      <c r="R147" s="174"/>
      <c r="S147" s="174"/>
      <c r="T147" s="174"/>
      <c r="U147" s="174"/>
      <c r="V147" s="174"/>
      <c r="W147" s="174"/>
      <c r="X147" s="174"/>
      <c r="Y147" s="174"/>
      <c r="Z147" s="174"/>
      <c r="AA147" s="174"/>
    </row>
    <row r="148">
      <c r="A148" s="174"/>
      <c r="B148" s="174"/>
      <c r="C148" s="174"/>
      <c r="D148" s="174"/>
      <c r="E148" s="174"/>
      <c r="F148" s="175"/>
      <c r="G148" s="175"/>
      <c r="H148" s="174"/>
      <c r="I148" s="174"/>
      <c r="J148" s="174"/>
      <c r="K148" s="174"/>
      <c r="L148" s="174"/>
      <c r="M148" s="174"/>
      <c r="N148" s="174"/>
      <c r="O148" s="174"/>
      <c r="P148" s="174"/>
      <c r="Q148" s="174"/>
      <c r="R148" s="174"/>
      <c r="S148" s="174"/>
      <c r="T148" s="174"/>
      <c r="U148" s="174"/>
      <c r="V148" s="174"/>
      <c r="W148" s="174"/>
      <c r="X148" s="174"/>
      <c r="Y148" s="174"/>
      <c r="Z148" s="174"/>
      <c r="AA148" s="174"/>
    </row>
    <row r="149">
      <c r="A149" s="174"/>
      <c r="B149" s="174"/>
      <c r="C149" s="174"/>
      <c r="D149" s="174"/>
      <c r="E149" s="174"/>
      <c r="F149" s="175"/>
      <c r="G149" s="175"/>
      <c r="H149" s="174"/>
      <c r="I149" s="174"/>
      <c r="J149" s="174"/>
      <c r="K149" s="174"/>
      <c r="L149" s="174"/>
      <c r="M149" s="174"/>
      <c r="N149" s="174"/>
      <c r="O149" s="174"/>
      <c r="P149" s="174"/>
      <c r="Q149" s="174"/>
      <c r="R149" s="174"/>
      <c r="S149" s="174"/>
      <c r="T149" s="174"/>
      <c r="U149" s="174"/>
      <c r="V149" s="174"/>
      <c r="W149" s="174"/>
      <c r="X149" s="174"/>
      <c r="Y149" s="174"/>
      <c r="Z149" s="174"/>
      <c r="AA149" s="174"/>
    </row>
    <row r="150">
      <c r="A150" s="174"/>
      <c r="B150" s="174"/>
      <c r="C150" s="174"/>
      <c r="D150" s="174"/>
      <c r="E150" s="174"/>
      <c r="F150" s="175"/>
      <c r="G150" s="175"/>
      <c r="H150" s="174"/>
      <c r="I150" s="174"/>
      <c r="J150" s="174"/>
      <c r="K150" s="174"/>
      <c r="L150" s="174"/>
      <c r="M150" s="174"/>
      <c r="N150" s="174"/>
      <c r="O150" s="174"/>
      <c r="P150" s="174"/>
      <c r="Q150" s="174"/>
      <c r="R150" s="174"/>
      <c r="S150" s="174"/>
      <c r="T150" s="174"/>
      <c r="U150" s="174"/>
      <c r="V150" s="174"/>
      <c r="W150" s="174"/>
      <c r="X150" s="174"/>
      <c r="Y150" s="174"/>
      <c r="Z150" s="174"/>
      <c r="AA150" s="174"/>
    </row>
    <row r="151">
      <c r="A151" s="174"/>
      <c r="B151" s="174"/>
      <c r="C151" s="174"/>
      <c r="D151" s="174"/>
      <c r="E151" s="174"/>
      <c r="F151" s="175"/>
      <c r="G151" s="175"/>
      <c r="H151" s="174"/>
      <c r="I151" s="174"/>
      <c r="J151" s="174"/>
      <c r="K151" s="174"/>
      <c r="L151" s="174"/>
      <c r="M151" s="174"/>
      <c r="N151" s="174"/>
      <c r="O151" s="174"/>
      <c r="P151" s="174"/>
      <c r="Q151" s="174"/>
      <c r="R151" s="174"/>
      <c r="S151" s="174"/>
      <c r="T151" s="174"/>
      <c r="U151" s="174"/>
      <c r="V151" s="174"/>
      <c r="W151" s="174"/>
      <c r="X151" s="174"/>
      <c r="Y151" s="174"/>
      <c r="Z151" s="174"/>
      <c r="AA151" s="174"/>
    </row>
    <row r="152">
      <c r="A152" s="174"/>
      <c r="B152" s="174"/>
      <c r="C152" s="174"/>
      <c r="D152" s="174"/>
      <c r="E152" s="174"/>
      <c r="F152" s="175"/>
      <c r="G152" s="175"/>
      <c r="H152" s="174"/>
      <c r="I152" s="174"/>
      <c r="J152" s="174"/>
      <c r="K152" s="174"/>
      <c r="L152" s="174"/>
      <c r="M152" s="174"/>
      <c r="N152" s="174"/>
      <c r="O152" s="174"/>
      <c r="P152" s="174"/>
      <c r="Q152" s="174"/>
      <c r="R152" s="174"/>
      <c r="S152" s="174"/>
      <c r="T152" s="174"/>
      <c r="U152" s="174"/>
      <c r="V152" s="174"/>
      <c r="W152" s="174"/>
      <c r="X152" s="174"/>
      <c r="Y152" s="174"/>
      <c r="Z152" s="174"/>
      <c r="AA152" s="174"/>
    </row>
    <row r="153">
      <c r="A153" s="174"/>
      <c r="B153" s="174"/>
      <c r="C153" s="174"/>
      <c r="D153" s="174"/>
      <c r="E153" s="174"/>
      <c r="F153" s="175"/>
      <c r="G153" s="175"/>
      <c r="H153" s="174"/>
      <c r="I153" s="174"/>
      <c r="J153" s="174"/>
      <c r="K153" s="174"/>
      <c r="L153" s="174"/>
      <c r="M153" s="174"/>
      <c r="N153" s="174"/>
      <c r="O153" s="174"/>
      <c r="P153" s="174"/>
      <c r="Q153" s="174"/>
      <c r="R153" s="174"/>
      <c r="S153" s="174"/>
      <c r="T153" s="174"/>
      <c r="U153" s="174"/>
      <c r="V153" s="174"/>
      <c r="W153" s="174"/>
      <c r="X153" s="174"/>
      <c r="Y153" s="174"/>
      <c r="Z153" s="174"/>
      <c r="AA153" s="174"/>
    </row>
    <row r="154">
      <c r="A154" s="174"/>
      <c r="B154" s="174"/>
      <c r="C154" s="174"/>
      <c r="D154" s="174"/>
      <c r="E154" s="174"/>
      <c r="F154" s="175"/>
      <c r="G154" s="175"/>
      <c r="H154" s="174"/>
      <c r="I154" s="174"/>
      <c r="J154" s="174"/>
      <c r="K154" s="174"/>
      <c r="L154" s="174"/>
      <c r="M154" s="174"/>
      <c r="N154" s="174"/>
      <c r="O154" s="174"/>
      <c r="P154" s="174"/>
      <c r="Q154" s="174"/>
      <c r="R154" s="174"/>
      <c r="S154" s="174"/>
      <c r="T154" s="174"/>
      <c r="U154" s="174"/>
      <c r="V154" s="174"/>
      <c r="W154" s="174"/>
      <c r="X154" s="174"/>
      <c r="Y154" s="174"/>
      <c r="Z154" s="174"/>
      <c r="AA154" s="174"/>
    </row>
    <row r="155">
      <c r="A155" s="174"/>
      <c r="B155" s="174"/>
      <c r="C155" s="174"/>
      <c r="D155" s="174"/>
      <c r="E155" s="174"/>
      <c r="F155" s="175"/>
      <c r="G155" s="175"/>
      <c r="H155" s="174"/>
      <c r="I155" s="174"/>
      <c r="J155" s="174"/>
      <c r="K155" s="174"/>
      <c r="L155" s="174"/>
      <c r="M155" s="174"/>
      <c r="N155" s="174"/>
      <c r="O155" s="174"/>
      <c r="P155" s="174"/>
      <c r="Q155" s="174"/>
      <c r="R155" s="174"/>
      <c r="S155" s="174"/>
      <c r="T155" s="174"/>
      <c r="U155" s="174"/>
      <c r="V155" s="174"/>
      <c r="W155" s="174"/>
      <c r="X155" s="174"/>
      <c r="Y155" s="174"/>
      <c r="Z155" s="174"/>
      <c r="AA155" s="174"/>
    </row>
    <row r="156">
      <c r="A156" s="174"/>
      <c r="B156" s="174"/>
      <c r="C156" s="174"/>
      <c r="D156" s="174"/>
      <c r="E156" s="174"/>
      <c r="F156" s="175"/>
      <c r="G156" s="175"/>
      <c r="H156" s="174"/>
      <c r="I156" s="174"/>
      <c r="J156" s="174"/>
      <c r="K156" s="174"/>
      <c r="L156" s="174"/>
      <c r="M156" s="174"/>
      <c r="N156" s="174"/>
      <c r="O156" s="174"/>
      <c r="P156" s="174"/>
      <c r="Q156" s="174"/>
      <c r="R156" s="174"/>
      <c r="S156" s="174"/>
      <c r="T156" s="174"/>
      <c r="U156" s="174"/>
      <c r="V156" s="174"/>
      <c r="W156" s="174"/>
      <c r="X156" s="174"/>
      <c r="Y156" s="174"/>
      <c r="Z156" s="174"/>
      <c r="AA156" s="174"/>
    </row>
    <row r="157">
      <c r="A157" s="174"/>
      <c r="B157" s="174"/>
      <c r="C157" s="174"/>
      <c r="D157" s="174"/>
      <c r="E157" s="174"/>
      <c r="F157" s="175"/>
      <c r="G157" s="175"/>
      <c r="H157" s="174"/>
      <c r="I157" s="174"/>
      <c r="J157" s="174"/>
      <c r="K157" s="174"/>
      <c r="L157" s="174"/>
      <c r="M157" s="174"/>
      <c r="N157" s="174"/>
      <c r="O157" s="174"/>
      <c r="P157" s="174"/>
      <c r="Q157" s="174"/>
      <c r="R157" s="174"/>
      <c r="S157" s="174"/>
      <c r="T157" s="174"/>
      <c r="U157" s="174"/>
      <c r="V157" s="174"/>
      <c r="W157" s="174"/>
      <c r="X157" s="174"/>
      <c r="Y157" s="174"/>
      <c r="Z157" s="174"/>
      <c r="AA157" s="174"/>
    </row>
    <row r="158">
      <c r="A158" s="174"/>
      <c r="B158" s="174"/>
      <c r="C158" s="174"/>
      <c r="D158" s="174"/>
      <c r="E158" s="174"/>
      <c r="F158" s="175"/>
      <c r="G158" s="175"/>
      <c r="H158" s="174"/>
      <c r="I158" s="174"/>
      <c r="J158" s="174"/>
      <c r="K158" s="174"/>
      <c r="L158" s="174"/>
      <c r="M158" s="174"/>
      <c r="N158" s="174"/>
      <c r="O158" s="174"/>
      <c r="P158" s="174"/>
      <c r="Q158" s="174"/>
      <c r="R158" s="174"/>
      <c r="S158" s="174"/>
      <c r="T158" s="174"/>
      <c r="U158" s="174"/>
      <c r="V158" s="174"/>
      <c r="W158" s="174"/>
      <c r="X158" s="174"/>
      <c r="Y158" s="174"/>
      <c r="Z158" s="174"/>
      <c r="AA158" s="174"/>
    </row>
    <row r="159">
      <c r="A159" s="174"/>
      <c r="B159" s="174"/>
      <c r="C159" s="174"/>
      <c r="D159" s="174"/>
      <c r="E159" s="174"/>
      <c r="F159" s="175"/>
      <c r="G159" s="175"/>
      <c r="H159" s="174"/>
      <c r="I159" s="174"/>
      <c r="J159" s="174"/>
      <c r="K159" s="174"/>
      <c r="L159" s="174"/>
      <c r="M159" s="174"/>
      <c r="N159" s="174"/>
      <c r="O159" s="174"/>
      <c r="P159" s="174"/>
      <c r="Q159" s="174"/>
      <c r="R159" s="174"/>
      <c r="S159" s="174"/>
      <c r="T159" s="174"/>
      <c r="U159" s="174"/>
      <c r="V159" s="174"/>
      <c r="W159" s="174"/>
      <c r="X159" s="174"/>
      <c r="Y159" s="174"/>
      <c r="Z159" s="174"/>
      <c r="AA159" s="174"/>
    </row>
    <row r="160">
      <c r="A160" s="174"/>
      <c r="B160" s="174"/>
      <c r="C160" s="174"/>
      <c r="D160" s="174"/>
      <c r="E160" s="174"/>
      <c r="F160" s="175"/>
      <c r="G160" s="175"/>
      <c r="H160" s="174"/>
      <c r="I160" s="174"/>
      <c r="J160" s="174"/>
      <c r="K160" s="174"/>
      <c r="L160" s="174"/>
      <c r="M160" s="174"/>
      <c r="N160" s="174"/>
      <c r="O160" s="174"/>
      <c r="P160" s="174"/>
      <c r="Q160" s="174"/>
      <c r="R160" s="174"/>
      <c r="S160" s="174"/>
      <c r="T160" s="174"/>
      <c r="U160" s="174"/>
      <c r="V160" s="174"/>
      <c r="W160" s="174"/>
      <c r="X160" s="174"/>
      <c r="Y160" s="174"/>
      <c r="Z160" s="174"/>
      <c r="AA160" s="174"/>
    </row>
    <row r="161">
      <c r="A161" s="174"/>
      <c r="B161" s="174"/>
      <c r="C161" s="174"/>
      <c r="D161" s="174"/>
      <c r="E161" s="174"/>
      <c r="F161" s="175"/>
      <c r="G161" s="175"/>
      <c r="H161" s="174"/>
      <c r="I161" s="174"/>
      <c r="J161" s="174"/>
      <c r="K161" s="174"/>
      <c r="L161" s="174"/>
      <c r="M161" s="174"/>
      <c r="N161" s="174"/>
      <c r="O161" s="174"/>
      <c r="P161" s="174"/>
      <c r="Q161" s="174"/>
      <c r="R161" s="174"/>
      <c r="S161" s="174"/>
      <c r="T161" s="174"/>
      <c r="U161" s="174"/>
      <c r="V161" s="174"/>
      <c r="W161" s="174"/>
      <c r="X161" s="174"/>
      <c r="Y161" s="174"/>
      <c r="Z161" s="174"/>
      <c r="AA161" s="174"/>
    </row>
    <row r="162">
      <c r="A162" s="174"/>
      <c r="B162" s="174"/>
      <c r="C162" s="174"/>
      <c r="D162" s="174"/>
      <c r="E162" s="174"/>
      <c r="F162" s="175"/>
      <c r="G162" s="175"/>
      <c r="H162" s="174"/>
      <c r="I162" s="174"/>
      <c r="J162" s="174"/>
      <c r="K162" s="174"/>
      <c r="L162" s="174"/>
      <c r="M162" s="174"/>
      <c r="N162" s="174"/>
      <c r="O162" s="174"/>
      <c r="P162" s="174"/>
      <c r="Q162" s="174"/>
      <c r="R162" s="174"/>
      <c r="S162" s="174"/>
      <c r="T162" s="174"/>
      <c r="U162" s="174"/>
      <c r="V162" s="174"/>
      <c r="W162" s="174"/>
      <c r="X162" s="174"/>
      <c r="Y162" s="174"/>
      <c r="Z162" s="174"/>
      <c r="AA162" s="174"/>
    </row>
    <row r="163">
      <c r="A163" s="174"/>
      <c r="B163" s="174"/>
      <c r="C163" s="174"/>
      <c r="D163" s="174"/>
      <c r="E163" s="174"/>
      <c r="F163" s="175"/>
      <c r="G163" s="175"/>
      <c r="H163" s="174"/>
      <c r="I163" s="174"/>
      <c r="J163" s="174"/>
      <c r="K163" s="174"/>
      <c r="L163" s="174"/>
      <c r="M163" s="174"/>
      <c r="N163" s="174"/>
      <c r="O163" s="174"/>
      <c r="P163" s="174"/>
      <c r="Q163" s="174"/>
      <c r="R163" s="174"/>
      <c r="S163" s="174"/>
      <c r="T163" s="174"/>
      <c r="U163" s="174"/>
      <c r="V163" s="174"/>
      <c r="W163" s="174"/>
      <c r="X163" s="174"/>
      <c r="Y163" s="174"/>
      <c r="Z163" s="174"/>
      <c r="AA163" s="174"/>
    </row>
    <row r="164">
      <c r="A164" s="174"/>
      <c r="B164" s="174"/>
      <c r="C164" s="174"/>
      <c r="D164" s="174"/>
      <c r="E164" s="174"/>
      <c r="F164" s="175"/>
      <c r="G164" s="175"/>
      <c r="H164" s="174"/>
      <c r="I164" s="174"/>
      <c r="J164" s="174"/>
      <c r="K164" s="174"/>
      <c r="L164" s="174"/>
      <c r="M164" s="174"/>
      <c r="N164" s="174"/>
      <c r="O164" s="174"/>
      <c r="P164" s="174"/>
      <c r="Q164" s="174"/>
      <c r="R164" s="174"/>
      <c r="S164" s="174"/>
      <c r="T164" s="174"/>
      <c r="U164" s="174"/>
      <c r="V164" s="174"/>
      <c r="W164" s="174"/>
      <c r="X164" s="174"/>
      <c r="Y164" s="174"/>
      <c r="Z164" s="174"/>
      <c r="AA164" s="174"/>
    </row>
    <row r="165">
      <c r="A165" s="174"/>
      <c r="B165" s="174"/>
      <c r="C165" s="174"/>
      <c r="D165" s="174"/>
      <c r="E165" s="174"/>
      <c r="F165" s="175"/>
      <c r="G165" s="175"/>
      <c r="H165" s="174"/>
      <c r="I165" s="174"/>
      <c r="J165" s="174"/>
      <c r="K165" s="174"/>
      <c r="L165" s="174"/>
      <c r="M165" s="174"/>
      <c r="N165" s="174"/>
      <c r="O165" s="174"/>
      <c r="P165" s="174"/>
      <c r="Q165" s="174"/>
      <c r="R165" s="174"/>
      <c r="S165" s="174"/>
      <c r="T165" s="174"/>
      <c r="U165" s="174"/>
      <c r="V165" s="174"/>
      <c r="W165" s="174"/>
      <c r="X165" s="174"/>
      <c r="Y165" s="174"/>
      <c r="Z165" s="174"/>
      <c r="AA165" s="174"/>
    </row>
    <row r="166">
      <c r="A166" s="174"/>
      <c r="B166" s="174"/>
      <c r="C166" s="174"/>
      <c r="D166" s="174"/>
      <c r="E166" s="174"/>
      <c r="F166" s="175"/>
      <c r="G166" s="175"/>
      <c r="H166" s="174"/>
      <c r="I166" s="174"/>
      <c r="J166" s="174"/>
      <c r="K166" s="174"/>
      <c r="L166" s="174"/>
      <c r="M166" s="174"/>
      <c r="N166" s="174"/>
      <c r="O166" s="174"/>
      <c r="P166" s="174"/>
      <c r="Q166" s="174"/>
      <c r="R166" s="174"/>
      <c r="S166" s="174"/>
      <c r="T166" s="174"/>
      <c r="U166" s="174"/>
      <c r="V166" s="174"/>
      <c r="W166" s="174"/>
      <c r="X166" s="174"/>
      <c r="Y166" s="174"/>
      <c r="Z166" s="174"/>
      <c r="AA166" s="174"/>
    </row>
    <row r="167">
      <c r="A167" s="174"/>
      <c r="B167" s="174"/>
      <c r="C167" s="174"/>
      <c r="D167" s="174"/>
      <c r="E167" s="174"/>
      <c r="F167" s="175"/>
      <c r="G167" s="175"/>
      <c r="H167" s="174"/>
      <c r="I167" s="174"/>
      <c r="J167" s="174"/>
      <c r="K167" s="174"/>
      <c r="L167" s="174"/>
      <c r="M167" s="174"/>
      <c r="N167" s="174"/>
      <c r="O167" s="174"/>
      <c r="P167" s="174"/>
      <c r="Q167" s="174"/>
      <c r="R167" s="174"/>
      <c r="S167" s="174"/>
      <c r="T167" s="174"/>
      <c r="U167" s="174"/>
      <c r="V167" s="174"/>
      <c r="W167" s="174"/>
      <c r="X167" s="174"/>
      <c r="Y167" s="174"/>
      <c r="Z167" s="174"/>
      <c r="AA167" s="174"/>
    </row>
    <row r="168">
      <c r="A168" s="174"/>
      <c r="B168" s="174"/>
      <c r="C168" s="174"/>
      <c r="D168" s="174"/>
      <c r="E168" s="174"/>
      <c r="F168" s="175"/>
      <c r="G168" s="175"/>
      <c r="H168" s="174"/>
      <c r="I168" s="174"/>
      <c r="J168" s="174"/>
      <c r="K168" s="174"/>
      <c r="L168" s="174"/>
      <c r="M168" s="174"/>
      <c r="N168" s="174"/>
      <c r="O168" s="174"/>
      <c r="P168" s="174"/>
      <c r="Q168" s="174"/>
      <c r="R168" s="174"/>
      <c r="S168" s="174"/>
      <c r="T168" s="174"/>
      <c r="U168" s="174"/>
      <c r="V168" s="174"/>
      <c r="W168" s="174"/>
      <c r="X168" s="174"/>
      <c r="Y168" s="174"/>
      <c r="Z168" s="174"/>
      <c r="AA168" s="174"/>
    </row>
    <row r="169">
      <c r="A169" s="174"/>
      <c r="B169" s="174"/>
      <c r="C169" s="174"/>
      <c r="D169" s="174"/>
      <c r="E169" s="174"/>
      <c r="F169" s="175"/>
      <c r="G169" s="175"/>
      <c r="H169" s="174"/>
      <c r="I169" s="174"/>
      <c r="J169" s="174"/>
      <c r="K169" s="174"/>
      <c r="L169" s="174"/>
      <c r="M169" s="174"/>
      <c r="N169" s="174"/>
      <c r="O169" s="174"/>
      <c r="P169" s="174"/>
      <c r="Q169" s="174"/>
      <c r="R169" s="174"/>
      <c r="S169" s="174"/>
      <c r="T169" s="174"/>
      <c r="U169" s="174"/>
      <c r="V169" s="174"/>
      <c r="W169" s="174"/>
      <c r="X169" s="174"/>
      <c r="Y169" s="174"/>
      <c r="Z169" s="174"/>
      <c r="AA169" s="174"/>
    </row>
    <row r="170">
      <c r="A170" s="174"/>
      <c r="B170" s="174"/>
      <c r="C170" s="174"/>
      <c r="D170" s="174"/>
      <c r="E170" s="174"/>
      <c r="F170" s="175"/>
      <c r="G170" s="175"/>
      <c r="H170" s="174"/>
      <c r="I170" s="174"/>
      <c r="J170" s="174"/>
      <c r="K170" s="174"/>
      <c r="L170" s="174"/>
      <c r="M170" s="174"/>
      <c r="N170" s="174"/>
      <c r="O170" s="174"/>
      <c r="P170" s="174"/>
      <c r="Q170" s="174"/>
      <c r="R170" s="174"/>
      <c r="S170" s="174"/>
      <c r="T170" s="174"/>
      <c r="U170" s="174"/>
      <c r="V170" s="174"/>
      <c r="W170" s="174"/>
      <c r="X170" s="174"/>
      <c r="Y170" s="174"/>
      <c r="Z170" s="174"/>
      <c r="AA170" s="174"/>
    </row>
    <row r="171">
      <c r="A171" s="174"/>
      <c r="B171" s="174"/>
      <c r="C171" s="174"/>
      <c r="D171" s="174"/>
      <c r="E171" s="174"/>
      <c r="F171" s="175"/>
      <c r="G171" s="175"/>
      <c r="H171" s="174"/>
      <c r="I171" s="174"/>
      <c r="J171" s="174"/>
      <c r="K171" s="174"/>
      <c r="L171" s="174"/>
      <c r="M171" s="174"/>
      <c r="N171" s="174"/>
      <c r="O171" s="174"/>
      <c r="P171" s="174"/>
      <c r="Q171" s="174"/>
      <c r="R171" s="174"/>
      <c r="S171" s="174"/>
      <c r="T171" s="174"/>
      <c r="U171" s="174"/>
      <c r="V171" s="174"/>
      <c r="W171" s="174"/>
      <c r="X171" s="174"/>
      <c r="Y171" s="174"/>
      <c r="Z171" s="174"/>
      <c r="AA171" s="174"/>
    </row>
    <row r="172">
      <c r="A172" s="174"/>
      <c r="B172" s="174"/>
      <c r="C172" s="174"/>
      <c r="D172" s="174"/>
      <c r="E172" s="174"/>
      <c r="F172" s="175"/>
      <c r="G172" s="175"/>
      <c r="H172" s="174"/>
      <c r="I172" s="174"/>
      <c r="J172" s="174"/>
      <c r="K172" s="174"/>
      <c r="L172" s="174"/>
      <c r="M172" s="174"/>
      <c r="N172" s="174"/>
      <c r="O172" s="174"/>
      <c r="P172" s="174"/>
      <c r="Q172" s="174"/>
      <c r="R172" s="174"/>
      <c r="S172" s="174"/>
      <c r="T172" s="174"/>
      <c r="U172" s="174"/>
      <c r="V172" s="174"/>
      <c r="W172" s="174"/>
      <c r="X172" s="174"/>
      <c r="Y172" s="174"/>
      <c r="Z172" s="174"/>
      <c r="AA172" s="174"/>
    </row>
    <row r="173">
      <c r="A173" s="174"/>
      <c r="B173" s="174"/>
      <c r="C173" s="174"/>
      <c r="D173" s="174"/>
      <c r="E173" s="174"/>
      <c r="F173" s="175"/>
      <c r="G173" s="175"/>
      <c r="H173" s="174"/>
      <c r="I173" s="174"/>
      <c r="J173" s="174"/>
      <c r="K173" s="174"/>
      <c r="L173" s="174"/>
      <c r="M173" s="174"/>
      <c r="N173" s="174"/>
      <c r="O173" s="174"/>
      <c r="P173" s="174"/>
      <c r="Q173" s="174"/>
      <c r="R173" s="174"/>
      <c r="S173" s="174"/>
      <c r="T173" s="174"/>
      <c r="U173" s="174"/>
      <c r="V173" s="174"/>
      <c r="W173" s="174"/>
      <c r="X173" s="174"/>
      <c r="Y173" s="174"/>
      <c r="Z173" s="174"/>
      <c r="AA173" s="174"/>
    </row>
    <row r="174">
      <c r="A174" s="174"/>
      <c r="B174" s="174"/>
      <c r="C174" s="174"/>
      <c r="D174" s="174"/>
      <c r="E174" s="174"/>
      <c r="F174" s="175"/>
      <c r="G174" s="175"/>
      <c r="H174" s="174"/>
      <c r="I174" s="174"/>
      <c r="J174" s="174"/>
      <c r="K174" s="174"/>
      <c r="L174" s="174"/>
      <c r="M174" s="174"/>
      <c r="N174" s="174"/>
      <c r="O174" s="174"/>
      <c r="P174" s="174"/>
      <c r="Q174" s="174"/>
      <c r="R174" s="174"/>
      <c r="S174" s="174"/>
      <c r="T174" s="174"/>
      <c r="U174" s="174"/>
      <c r="V174" s="174"/>
      <c r="W174" s="174"/>
      <c r="X174" s="174"/>
      <c r="Y174" s="174"/>
      <c r="Z174" s="174"/>
      <c r="AA174" s="174"/>
    </row>
    <row r="175">
      <c r="A175" s="174"/>
      <c r="B175" s="174"/>
      <c r="C175" s="174"/>
      <c r="D175" s="174"/>
      <c r="E175" s="174"/>
      <c r="F175" s="175"/>
      <c r="G175" s="175"/>
      <c r="H175" s="174"/>
      <c r="I175" s="174"/>
      <c r="J175" s="174"/>
      <c r="K175" s="174"/>
      <c r="L175" s="174"/>
      <c r="M175" s="174"/>
      <c r="N175" s="174"/>
      <c r="O175" s="174"/>
      <c r="P175" s="174"/>
      <c r="Q175" s="174"/>
      <c r="R175" s="174"/>
      <c r="S175" s="174"/>
      <c r="T175" s="174"/>
      <c r="U175" s="174"/>
      <c r="V175" s="174"/>
      <c r="W175" s="174"/>
      <c r="X175" s="174"/>
      <c r="Y175" s="174"/>
      <c r="Z175" s="174"/>
      <c r="AA175" s="174"/>
    </row>
    <row r="176">
      <c r="A176" s="174"/>
      <c r="B176" s="174"/>
      <c r="C176" s="174"/>
      <c r="D176" s="174"/>
      <c r="E176" s="174"/>
      <c r="F176" s="175"/>
      <c r="G176" s="175"/>
      <c r="H176" s="174"/>
      <c r="I176" s="174"/>
      <c r="J176" s="174"/>
      <c r="K176" s="174"/>
      <c r="L176" s="174"/>
      <c r="M176" s="174"/>
      <c r="N176" s="174"/>
      <c r="O176" s="174"/>
      <c r="P176" s="174"/>
      <c r="Q176" s="174"/>
      <c r="R176" s="174"/>
      <c r="S176" s="174"/>
      <c r="T176" s="174"/>
      <c r="U176" s="174"/>
      <c r="V176" s="174"/>
      <c r="W176" s="174"/>
      <c r="X176" s="174"/>
      <c r="Y176" s="174"/>
      <c r="Z176" s="174"/>
      <c r="AA176" s="174"/>
    </row>
    <row r="177">
      <c r="A177" s="174"/>
      <c r="B177" s="174"/>
      <c r="C177" s="174"/>
      <c r="D177" s="174"/>
      <c r="E177" s="174"/>
      <c r="F177" s="175"/>
      <c r="G177" s="175"/>
      <c r="H177" s="174"/>
      <c r="I177" s="174"/>
      <c r="J177" s="174"/>
      <c r="K177" s="174"/>
      <c r="L177" s="174"/>
      <c r="M177" s="174"/>
      <c r="N177" s="174"/>
      <c r="O177" s="174"/>
      <c r="P177" s="174"/>
      <c r="Q177" s="174"/>
      <c r="R177" s="174"/>
      <c r="S177" s="174"/>
      <c r="T177" s="174"/>
      <c r="U177" s="174"/>
      <c r="V177" s="174"/>
      <c r="W177" s="174"/>
      <c r="X177" s="174"/>
      <c r="Y177" s="174"/>
      <c r="Z177" s="174"/>
      <c r="AA177" s="174"/>
    </row>
    <row r="178">
      <c r="A178" s="174"/>
      <c r="B178" s="174"/>
      <c r="C178" s="174"/>
      <c r="D178" s="174"/>
      <c r="E178" s="174"/>
      <c r="F178" s="175"/>
      <c r="G178" s="175"/>
      <c r="H178" s="174"/>
      <c r="I178" s="174"/>
      <c r="J178" s="174"/>
      <c r="K178" s="174"/>
      <c r="L178" s="174"/>
      <c r="M178" s="174"/>
      <c r="N178" s="174"/>
      <c r="O178" s="174"/>
      <c r="P178" s="174"/>
      <c r="Q178" s="174"/>
      <c r="R178" s="174"/>
      <c r="S178" s="174"/>
      <c r="T178" s="174"/>
      <c r="U178" s="174"/>
      <c r="V178" s="174"/>
      <c r="W178" s="174"/>
      <c r="X178" s="174"/>
      <c r="Y178" s="174"/>
      <c r="Z178" s="174"/>
      <c r="AA178" s="174"/>
    </row>
    <row r="179">
      <c r="A179" s="174"/>
      <c r="B179" s="174"/>
      <c r="C179" s="174"/>
      <c r="D179" s="174"/>
      <c r="E179" s="174"/>
      <c r="F179" s="175"/>
      <c r="G179" s="175"/>
      <c r="H179" s="174"/>
      <c r="I179" s="174"/>
      <c r="J179" s="174"/>
      <c r="K179" s="174"/>
      <c r="L179" s="174"/>
      <c r="M179" s="174"/>
      <c r="N179" s="174"/>
      <c r="O179" s="174"/>
      <c r="P179" s="174"/>
      <c r="Q179" s="174"/>
      <c r="R179" s="174"/>
      <c r="S179" s="174"/>
      <c r="T179" s="174"/>
      <c r="U179" s="174"/>
      <c r="V179" s="174"/>
      <c r="W179" s="174"/>
      <c r="X179" s="174"/>
      <c r="Y179" s="174"/>
      <c r="Z179" s="174"/>
      <c r="AA179" s="174"/>
    </row>
    <row r="180">
      <c r="A180" s="174"/>
      <c r="B180" s="174"/>
      <c r="C180" s="174"/>
      <c r="D180" s="174"/>
      <c r="E180" s="174"/>
      <c r="F180" s="175"/>
      <c r="G180" s="175"/>
      <c r="H180" s="174"/>
      <c r="I180" s="174"/>
      <c r="J180" s="174"/>
      <c r="K180" s="174"/>
      <c r="L180" s="174"/>
      <c r="M180" s="174"/>
      <c r="N180" s="174"/>
      <c r="O180" s="174"/>
      <c r="P180" s="174"/>
      <c r="Q180" s="174"/>
      <c r="R180" s="174"/>
      <c r="S180" s="174"/>
      <c r="T180" s="174"/>
      <c r="U180" s="174"/>
      <c r="V180" s="174"/>
      <c r="W180" s="174"/>
      <c r="X180" s="174"/>
      <c r="Y180" s="174"/>
      <c r="Z180" s="174"/>
      <c r="AA180" s="174"/>
    </row>
    <row r="181">
      <c r="A181" s="174"/>
      <c r="B181" s="174"/>
      <c r="C181" s="174"/>
      <c r="D181" s="174"/>
      <c r="E181" s="174"/>
      <c r="F181" s="175"/>
      <c r="G181" s="175"/>
      <c r="H181" s="174"/>
      <c r="I181" s="174"/>
      <c r="J181" s="174"/>
      <c r="K181" s="174"/>
      <c r="L181" s="174"/>
      <c r="M181" s="174"/>
      <c r="N181" s="174"/>
      <c r="O181" s="174"/>
      <c r="P181" s="174"/>
      <c r="Q181" s="174"/>
      <c r="R181" s="174"/>
      <c r="S181" s="174"/>
      <c r="T181" s="174"/>
      <c r="U181" s="174"/>
      <c r="V181" s="174"/>
      <c r="W181" s="174"/>
      <c r="X181" s="174"/>
      <c r="Y181" s="174"/>
      <c r="Z181" s="174"/>
      <c r="AA181" s="174"/>
    </row>
    <row r="182">
      <c r="A182" s="174"/>
      <c r="B182" s="174"/>
      <c r="C182" s="174"/>
      <c r="D182" s="174"/>
      <c r="E182" s="174"/>
      <c r="F182" s="175"/>
      <c r="G182" s="175"/>
      <c r="H182" s="174"/>
      <c r="I182" s="174"/>
      <c r="J182" s="174"/>
      <c r="K182" s="174"/>
      <c r="L182" s="174"/>
      <c r="M182" s="174"/>
      <c r="N182" s="174"/>
      <c r="O182" s="174"/>
      <c r="P182" s="174"/>
      <c r="Q182" s="174"/>
      <c r="R182" s="174"/>
      <c r="S182" s="174"/>
      <c r="T182" s="174"/>
      <c r="U182" s="174"/>
      <c r="V182" s="174"/>
      <c r="W182" s="174"/>
      <c r="X182" s="174"/>
      <c r="Y182" s="174"/>
      <c r="Z182" s="174"/>
      <c r="AA182" s="174"/>
    </row>
    <row r="183">
      <c r="A183" s="174"/>
      <c r="B183" s="174"/>
      <c r="C183" s="174"/>
      <c r="D183" s="174"/>
      <c r="E183" s="174"/>
      <c r="F183" s="175"/>
      <c r="G183" s="175"/>
      <c r="H183" s="174"/>
      <c r="I183" s="174"/>
      <c r="J183" s="174"/>
      <c r="K183" s="174"/>
      <c r="L183" s="174"/>
      <c r="M183" s="174"/>
      <c r="N183" s="174"/>
      <c r="O183" s="174"/>
      <c r="P183" s="174"/>
      <c r="Q183" s="174"/>
      <c r="R183" s="174"/>
      <c r="S183" s="174"/>
      <c r="T183" s="174"/>
      <c r="U183" s="174"/>
      <c r="V183" s="174"/>
      <c r="W183" s="174"/>
      <c r="X183" s="174"/>
      <c r="Y183" s="174"/>
      <c r="Z183" s="174"/>
      <c r="AA183" s="174"/>
    </row>
    <row r="184">
      <c r="A184" s="174"/>
      <c r="B184" s="174"/>
      <c r="C184" s="174"/>
      <c r="D184" s="174"/>
      <c r="E184" s="174"/>
      <c r="F184" s="175"/>
      <c r="G184" s="175"/>
      <c r="H184" s="174"/>
      <c r="I184" s="174"/>
      <c r="J184" s="174"/>
      <c r="K184" s="174"/>
      <c r="L184" s="174"/>
      <c r="M184" s="174"/>
      <c r="N184" s="174"/>
      <c r="O184" s="174"/>
      <c r="P184" s="174"/>
      <c r="Q184" s="174"/>
      <c r="R184" s="174"/>
      <c r="S184" s="174"/>
      <c r="T184" s="174"/>
      <c r="U184" s="174"/>
      <c r="V184" s="174"/>
      <c r="W184" s="174"/>
      <c r="X184" s="174"/>
      <c r="Y184" s="174"/>
      <c r="Z184" s="174"/>
      <c r="AA184" s="174"/>
    </row>
    <row r="185">
      <c r="A185" s="174"/>
      <c r="B185" s="174"/>
      <c r="C185" s="174"/>
      <c r="D185" s="174"/>
      <c r="E185" s="174"/>
      <c r="F185" s="175"/>
      <c r="G185" s="175"/>
      <c r="H185" s="174"/>
      <c r="I185" s="174"/>
      <c r="J185" s="174"/>
      <c r="K185" s="174"/>
      <c r="L185" s="174"/>
      <c r="M185" s="174"/>
      <c r="N185" s="174"/>
      <c r="O185" s="174"/>
      <c r="P185" s="174"/>
      <c r="Q185" s="174"/>
      <c r="R185" s="174"/>
      <c r="S185" s="174"/>
      <c r="T185" s="174"/>
      <c r="U185" s="174"/>
      <c r="V185" s="174"/>
      <c r="W185" s="174"/>
      <c r="X185" s="174"/>
      <c r="Y185" s="174"/>
      <c r="Z185" s="174"/>
      <c r="AA185" s="174"/>
    </row>
    <row r="186">
      <c r="A186" s="174"/>
      <c r="B186" s="174"/>
      <c r="C186" s="174"/>
      <c r="D186" s="174"/>
      <c r="E186" s="174"/>
      <c r="F186" s="175"/>
      <c r="G186" s="175"/>
      <c r="H186" s="174"/>
      <c r="I186" s="174"/>
      <c r="J186" s="174"/>
      <c r="K186" s="174"/>
      <c r="L186" s="174"/>
      <c r="M186" s="174"/>
      <c r="N186" s="174"/>
      <c r="O186" s="174"/>
      <c r="P186" s="174"/>
      <c r="Q186" s="174"/>
      <c r="R186" s="174"/>
      <c r="S186" s="174"/>
      <c r="T186" s="174"/>
      <c r="U186" s="174"/>
      <c r="V186" s="174"/>
      <c r="W186" s="174"/>
      <c r="X186" s="174"/>
      <c r="Y186" s="174"/>
      <c r="Z186" s="174"/>
      <c r="AA186" s="174"/>
    </row>
    <row r="187">
      <c r="A187" s="174"/>
      <c r="B187" s="174"/>
      <c r="C187" s="174"/>
      <c r="D187" s="174"/>
      <c r="E187" s="174"/>
      <c r="F187" s="175"/>
      <c r="G187" s="175"/>
      <c r="H187" s="174"/>
      <c r="I187" s="174"/>
      <c r="J187" s="174"/>
      <c r="K187" s="174"/>
      <c r="L187" s="174"/>
      <c r="M187" s="174"/>
      <c r="N187" s="174"/>
      <c r="O187" s="174"/>
      <c r="P187" s="174"/>
      <c r="Q187" s="174"/>
      <c r="R187" s="174"/>
      <c r="S187" s="174"/>
      <c r="T187" s="174"/>
      <c r="U187" s="174"/>
      <c r="V187" s="174"/>
      <c r="W187" s="174"/>
      <c r="X187" s="174"/>
      <c r="Y187" s="174"/>
      <c r="Z187" s="174"/>
      <c r="AA187" s="174"/>
    </row>
    <row r="188">
      <c r="A188" s="174"/>
      <c r="B188" s="174"/>
      <c r="C188" s="174"/>
      <c r="D188" s="174"/>
      <c r="E188" s="174"/>
      <c r="F188" s="175"/>
      <c r="G188" s="175"/>
      <c r="H188" s="174"/>
      <c r="I188" s="174"/>
      <c r="J188" s="174"/>
      <c r="K188" s="174"/>
      <c r="L188" s="174"/>
      <c r="M188" s="174"/>
      <c r="N188" s="174"/>
      <c r="O188" s="174"/>
      <c r="P188" s="174"/>
      <c r="Q188" s="174"/>
      <c r="R188" s="174"/>
      <c r="S188" s="174"/>
      <c r="T188" s="174"/>
      <c r="U188" s="174"/>
      <c r="V188" s="174"/>
      <c r="W188" s="174"/>
      <c r="X188" s="174"/>
      <c r="Y188" s="174"/>
      <c r="Z188" s="174"/>
      <c r="AA188" s="174"/>
    </row>
    <row r="189">
      <c r="A189" s="174"/>
      <c r="B189" s="174"/>
      <c r="C189" s="174"/>
      <c r="D189" s="174"/>
      <c r="E189" s="174"/>
      <c r="F189" s="175"/>
      <c r="G189" s="175"/>
      <c r="H189" s="174"/>
      <c r="I189" s="174"/>
      <c r="J189" s="174"/>
      <c r="K189" s="174"/>
      <c r="L189" s="174"/>
      <c r="M189" s="174"/>
      <c r="N189" s="174"/>
      <c r="O189" s="174"/>
      <c r="P189" s="174"/>
      <c r="Q189" s="174"/>
      <c r="R189" s="174"/>
      <c r="S189" s="174"/>
      <c r="T189" s="174"/>
      <c r="U189" s="174"/>
      <c r="V189" s="174"/>
      <c r="W189" s="174"/>
      <c r="X189" s="174"/>
      <c r="Y189" s="174"/>
      <c r="Z189" s="174"/>
      <c r="AA189" s="174"/>
    </row>
    <row r="190">
      <c r="A190" s="174"/>
      <c r="B190" s="174"/>
      <c r="C190" s="174"/>
      <c r="D190" s="174"/>
      <c r="E190" s="174"/>
      <c r="F190" s="175"/>
      <c r="G190" s="175"/>
      <c r="H190" s="174"/>
      <c r="I190" s="174"/>
      <c r="J190" s="174"/>
      <c r="K190" s="174"/>
      <c r="L190" s="174"/>
      <c r="M190" s="174"/>
      <c r="N190" s="174"/>
      <c r="O190" s="174"/>
      <c r="P190" s="174"/>
      <c r="Q190" s="174"/>
      <c r="R190" s="174"/>
      <c r="S190" s="174"/>
      <c r="T190" s="174"/>
      <c r="U190" s="174"/>
      <c r="V190" s="174"/>
      <c r="W190" s="174"/>
      <c r="X190" s="174"/>
      <c r="Y190" s="174"/>
      <c r="Z190" s="174"/>
      <c r="AA190" s="174"/>
    </row>
    <row r="191">
      <c r="A191" s="174"/>
      <c r="B191" s="174"/>
      <c r="C191" s="174"/>
      <c r="D191" s="174"/>
      <c r="E191" s="174"/>
      <c r="F191" s="175"/>
      <c r="G191" s="175"/>
      <c r="H191" s="174"/>
      <c r="I191" s="174"/>
      <c r="J191" s="174"/>
      <c r="K191" s="174"/>
      <c r="L191" s="174"/>
      <c r="M191" s="174"/>
      <c r="N191" s="174"/>
      <c r="O191" s="174"/>
      <c r="P191" s="174"/>
      <c r="Q191" s="174"/>
      <c r="R191" s="174"/>
      <c r="S191" s="174"/>
      <c r="T191" s="174"/>
      <c r="U191" s="174"/>
      <c r="V191" s="174"/>
      <c r="W191" s="174"/>
      <c r="X191" s="174"/>
      <c r="Y191" s="174"/>
      <c r="Z191" s="174"/>
      <c r="AA191" s="174"/>
    </row>
    <row r="192">
      <c r="A192" s="174"/>
      <c r="B192" s="174"/>
      <c r="C192" s="174"/>
      <c r="D192" s="174"/>
      <c r="E192" s="174"/>
      <c r="F192" s="175"/>
      <c r="G192" s="175"/>
      <c r="H192" s="174"/>
      <c r="I192" s="174"/>
      <c r="J192" s="174"/>
      <c r="K192" s="174"/>
      <c r="L192" s="174"/>
      <c r="M192" s="174"/>
      <c r="N192" s="174"/>
      <c r="O192" s="174"/>
      <c r="P192" s="174"/>
      <c r="Q192" s="174"/>
      <c r="R192" s="174"/>
      <c r="S192" s="174"/>
      <c r="T192" s="174"/>
      <c r="U192" s="174"/>
      <c r="V192" s="174"/>
      <c r="W192" s="174"/>
      <c r="X192" s="174"/>
      <c r="Y192" s="174"/>
      <c r="Z192" s="174"/>
      <c r="AA192" s="174"/>
    </row>
    <row r="193">
      <c r="A193" s="174"/>
      <c r="B193" s="174"/>
      <c r="C193" s="174"/>
      <c r="D193" s="174"/>
      <c r="E193" s="174"/>
      <c r="F193" s="175"/>
      <c r="G193" s="175"/>
      <c r="H193" s="174"/>
      <c r="I193" s="174"/>
      <c r="J193" s="174"/>
      <c r="K193" s="174"/>
      <c r="L193" s="174"/>
      <c r="M193" s="174"/>
      <c r="N193" s="174"/>
      <c r="O193" s="174"/>
      <c r="P193" s="174"/>
      <c r="Q193" s="174"/>
      <c r="R193" s="174"/>
      <c r="S193" s="174"/>
      <c r="T193" s="174"/>
      <c r="U193" s="174"/>
      <c r="V193" s="174"/>
      <c r="W193" s="174"/>
      <c r="X193" s="174"/>
      <c r="Y193" s="174"/>
      <c r="Z193" s="174"/>
      <c r="AA193" s="174"/>
    </row>
    <row r="194">
      <c r="A194" s="174"/>
      <c r="B194" s="174"/>
      <c r="C194" s="174"/>
      <c r="D194" s="174"/>
      <c r="E194" s="174"/>
      <c r="F194" s="175"/>
      <c r="G194" s="175"/>
      <c r="H194" s="174"/>
      <c r="I194" s="174"/>
      <c r="J194" s="174"/>
      <c r="K194" s="174"/>
      <c r="L194" s="174"/>
      <c r="M194" s="174"/>
      <c r="N194" s="174"/>
      <c r="O194" s="174"/>
      <c r="P194" s="174"/>
      <c r="Q194" s="174"/>
      <c r="R194" s="174"/>
      <c r="S194" s="174"/>
      <c r="T194" s="174"/>
      <c r="U194" s="174"/>
      <c r="V194" s="174"/>
      <c r="W194" s="174"/>
      <c r="X194" s="174"/>
      <c r="Y194" s="174"/>
      <c r="Z194" s="174"/>
      <c r="AA194" s="174"/>
    </row>
    <row r="195">
      <c r="A195" s="174"/>
      <c r="B195" s="174"/>
      <c r="C195" s="174"/>
      <c r="D195" s="174"/>
      <c r="E195" s="174"/>
      <c r="F195" s="175"/>
      <c r="G195" s="175"/>
      <c r="H195" s="174"/>
      <c r="I195" s="174"/>
      <c r="J195" s="174"/>
      <c r="K195" s="174"/>
      <c r="L195" s="174"/>
      <c r="M195" s="174"/>
      <c r="N195" s="174"/>
      <c r="O195" s="174"/>
      <c r="P195" s="174"/>
      <c r="Q195" s="174"/>
      <c r="R195" s="174"/>
      <c r="S195" s="174"/>
      <c r="T195" s="174"/>
      <c r="U195" s="174"/>
      <c r="V195" s="174"/>
      <c r="W195" s="174"/>
      <c r="X195" s="174"/>
      <c r="Y195" s="174"/>
      <c r="Z195" s="174"/>
      <c r="AA195" s="174"/>
    </row>
    <row r="196">
      <c r="A196" s="174"/>
      <c r="B196" s="174"/>
      <c r="C196" s="174"/>
      <c r="D196" s="174"/>
      <c r="E196" s="174"/>
      <c r="F196" s="175"/>
      <c r="G196" s="175"/>
      <c r="H196" s="174"/>
      <c r="I196" s="174"/>
      <c r="J196" s="174"/>
      <c r="K196" s="174"/>
      <c r="L196" s="174"/>
      <c r="M196" s="174"/>
      <c r="N196" s="174"/>
      <c r="O196" s="174"/>
      <c r="P196" s="174"/>
      <c r="Q196" s="174"/>
      <c r="R196" s="174"/>
      <c r="S196" s="174"/>
      <c r="T196" s="174"/>
      <c r="U196" s="174"/>
      <c r="V196" s="174"/>
      <c r="W196" s="174"/>
      <c r="X196" s="174"/>
      <c r="Y196" s="174"/>
      <c r="Z196" s="174"/>
      <c r="AA196" s="174"/>
    </row>
    <row r="197">
      <c r="A197" s="174"/>
      <c r="B197" s="174"/>
      <c r="C197" s="174"/>
      <c r="D197" s="174"/>
      <c r="E197" s="174"/>
      <c r="F197" s="175"/>
      <c r="G197" s="175"/>
      <c r="H197" s="174"/>
      <c r="I197" s="174"/>
      <c r="J197" s="174"/>
      <c r="K197" s="174"/>
      <c r="L197" s="174"/>
      <c r="M197" s="174"/>
      <c r="N197" s="174"/>
      <c r="O197" s="174"/>
      <c r="P197" s="174"/>
      <c r="Q197" s="174"/>
      <c r="R197" s="174"/>
      <c r="S197" s="174"/>
      <c r="T197" s="174"/>
      <c r="U197" s="174"/>
      <c r="V197" s="174"/>
      <c r="W197" s="174"/>
      <c r="X197" s="174"/>
      <c r="Y197" s="174"/>
      <c r="Z197" s="174"/>
      <c r="AA197" s="174"/>
    </row>
    <row r="198">
      <c r="A198" s="174"/>
      <c r="B198" s="174"/>
      <c r="C198" s="174"/>
      <c r="D198" s="174"/>
      <c r="E198" s="174"/>
      <c r="F198" s="175"/>
      <c r="G198" s="175"/>
      <c r="H198" s="174"/>
      <c r="I198" s="174"/>
      <c r="J198" s="174"/>
      <c r="K198" s="174"/>
      <c r="L198" s="174"/>
      <c r="M198" s="174"/>
      <c r="N198" s="174"/>
      <c r="O198" s="174"/>
      <c r="P198" s="174"/>
      <c r="Q198" s="174"/>
      <c r="R198" s="174"/>
      <c r="S198" s="174"/>
      <c r="T198" s="174"/>
      <c r="U198" s="174"/>
      <c r="V198" s="174"/>
      <c r="W198" s="174"/>
      <c r="X198" s="174"/>
      <c r="Y198" s="174"/>
      <c r="Z198" s="174"/>
      <c r="AA198" s="174"/>
    </row>
    <row r="199">
      <c r="A199" s="174"/>
      <c r="B199" s="174"/>
      <c r="C199" s="174"/>
      <c r="D199" s="174"/>
      <c r="E199" s="174"/>
      <c r="F199" s="175"/>
      <c r="G199" s="175"/>
      <c r="H199" s="174"/>
      <c r="I199" s="174"/>
      <c r="J199" s="174"/>
      <c r="K199" s="174"/>
      <c r="L199" s="174"/>
      <c r="M199" s="174"/>
      <c r="N199" s="174"/>
      <c r="O199" s="174"/>
      <c r="P199" s="174"/>
      <c r="Q199" s="174"/>
      <c r="R199" s="174"/>
      <c r="S199" s="174"/>
      <c r="T199" s="174"/>
      <c r="U199" s="174"/>
      <c r="V199" s="174"/>
      <c r="W199" s="174"/>
      <c r="X199" s="174"/>
      <c r="Y199" s="174"/>
      <c r="Z199" s="174"/>
      <c r="AA199" s="174"/>
    </row>
    <row r="200">
      <c r="A200" s="174"/>
      <c r="B200" s="174"/>
      <c r="C200" s="174"/>
      <c r="D200" s="174"/>
      <c r="E200" s="174"/>
      <c r="F200" s="175"/>
      <c r="G200" s="175"/>
      <c r="H200" s="174"/>
      <c r="I200" s="174"/>
      <c r="J200" s="174"/>
      <c r="K200" s="174"/>
      <c r="L200" s="174"/>
      <c r="M200" s="174"/>
      <c r="N200" s="174"/>
      <c r="O200" s="174"/>
      <c r="P200" s="174"/>
      <c r="Q200" s="174"/>
      <c r="R200" s="174"/>
      <c r="S200" s="174"/>
      <c r="T200" s="174"/>
      <c r="U200" s="174"/>
      <c r="V200" s="174"/>
      <c r="W200" s="174"/>
      <c r="X200" s="174"/>
      <c r="Y200" s="174"/>
      <c r="Z200" s="174"/>
      <c r="AA200" s="174"/>
    </row>
    <row r="201">
      <c r="A201" s="174"/>
      <c r="B201" s="174"/>
      <c r="C201" s="174"/>
      <c r="D201" s="174"/>
      <c r="E201" s="174"/>
      <c r="F201" s="175"/>
      <c r="G201" s="175"/>
      <c r="H201" s="174"/>
      <c r="I201" s="174"/>
      <c r="J201" s="174"/>
      <c r="K201" s="174"/>
      <c r="L201" s="174"/>
      <c r="M201" s="174"/>
      <c r="N201" s="174"/>
      <c r="O201" s="174"/>
      <c r="P201" s="174"/>
      <c r="Q201" s="174"/>
      <c r="R201" s="174"/>
      <c r="S201" s="174"/>
      <c r="T201" s="174"/>
      <c r="U201" s="174"/>
      <c r="V201" s="174"/>
      <c r="W201" s="174"/>
      <c r="X201" s="174"/>
      <c r="Y201" s="174"/>
      <c r="Z201" s="174"/>
      <c r="AA201" s="174"/>
    </row>
    <row r="202">
      <c r="A202" s="174"/>
      <c r="B202" s="174"/>
      <c r="C202" s="174"/>
      <c r="D202" s="174"/>
      <c r="E202" s="174"/>
      <c r="F202" s="175"/>
      <c r="G202" s="175"/>
      <c r="H202" s="174"/>
      <c r="I202" s="174"/>
      <c r="J202" s="174"/>
      <c r="K202" s="174"/>
      <c r="L202" s="174"/>
      <c r="M202" s="174"/>
      <c r="N202" s="174"/>
      <c r="O202" s="174"/>
      <c r="P202" s="174"/>
      <c r="Q202" s="174"/>
      <c r="R202" s="174"/>
      <c r="S202" s="174"/>
      <c r="T202" s="174"/>
      <c r="U202" s="174"/>
      <c r="V202" s="174"/>
      <c r="W202" s="174"/>
      <c r="X202" s="174"/>
      <c r="Y202" s="174"/>
      <c r="Z202" s="174"/>
      <c r="AA202" s="174"/>
    </row>
    <row r="203">
      <c r="A203" s="174"/>
      <c r="B203" s="174"/>
      <c r="C203" s="174"/>
      <c r="D203" s="174"/>
      <c r="E203" s="174"/>
      <c r="F203" s="175"/>
      <c r="G203" s="175"/>
      <c r="H203" s="174"/>
      <c r="I203" s="174"/>
      <c r="J203" s="174"/>
      <c r="K203" s="174"/>
      <c r="L203" s="174"/>
      <c r="M203" s="174"/>
      <c r="N203" s="174"/>
      <c r="O203" s="174"/>
      <c r="P203" s="174"/>
      <c r="Q203" s="174"/>
      <c r="R203" s="174"/>
      <c r="S203" s="174"/>
      <c r="T203" s="174"/>
      <c r="U203" s="174"/>
      <c r="V203" s="174"/>
      <c r="W203" s="174"/>
      <c r="X203" s="174"/>
      <c r="Y203" s="174"/>
      <c r="Z203" s="174"/>
      <c r="AA203" s="174"/>
    </row>
    <row r="204">
      <c r="A204" s="174"/>
      <c r="B204" s="174"/>
      <c r="C204" s="174"/>
      <c r="D204" s="174"/>
      <c r="E204" s="174"/>
      <c r="F204" s="175"/>
      <c r="G204" s="175"/>
      <c r="H204" s="174"/>
      <c r="I204" s="174"/>
      <c r="J204" s="174"/>
      <c r="K204" s="174"/>
      <c r="L204" s="174"/>
      <c r="M204" s="174"/>
      <c r="N204" s="174"/>
      <c r="O204" s="174"/>
      <c r="P204" s="174"/>
      <c r="Q204" s="174"/>
      <c r="R204" s="174"/>
      <c r="S204" s="174"/>
      <c r="T204" s="174"/>
      <c r="U204" s="174"/>
      <c r="V204" s="174"/>
      <c r="W204" s="174"/>
      <c r="X204" s="174"/>
      <c r="Y204" s="174"/>
      <c r="Z204" s="174"/>
      <c r="AA204" s="174"/>
    </row>
    <row r="205">
      <c r="A205" s="174"/>
      <c r="B205" s="174"/>
      <c r="C205" s="174"/>
      <c r="D205" s="174"/>
      <c r="E205" s="174"/>
      <c r="F205" s="175"/>
      <c r="G205" s="175"/>
      <c r="H205" s="174"/>
      <c r="I205" s="174"/>
      <c r="J205" s="174"/>
      <c r="K205" s="174"/>
      <c r="L205" s="174"/>
      <c r="M205" s="174"/>
      <c r="N205" s="174"/>
      <c r="O205" s="174"/>
      <c r="P205" s="174"/>
      <c r="Q205" s="174"/>
      <c r="R205" s="174"/>
      <c r="S205" s="174"/>
      <c r="T205" s="174"/>
      <c r="U205" s="174"/>
      <c r="V205" s="174"/>
      <c r="W205" s="174"/>
      <c r="X205" s="174"/>
      <c r="Y205" s="174"/>
      <c r="Z205" s="174"/>
      <c r="AA205" s="174"/>
    </row>
    <row r="206">
      <c r="A206" s="174"/>
      <c r="B206" s="174"/>
      <c r="C206" s="174"/>
      <c r="D206" s="174"/>
      <c r="E206" s="174"/>
      <c r="F206" s="175"/>
      <c r="G206" s="175"/>
      <c r="H206" s="174"/>
      <c r="I206" s="174"/>
      <c r="J206" s="174"/>
      <c r="K206" s="174"/>
      <c r="L206" s="174"/>
      <c r="M206" s="174"/>
      <c r="N206" s="174"/>
      <c r="O206" s="174"/>
      <c r="P206" s="174"/>
      <c r="Q206" s="174"/>
      <c r="R206" s="174"/>
      <c r="S206" s="174"/>
      <c r="T206" s="174"/>
      <c r="U206" s="174"/>
      <c r="V206" s="174"/>
      <c r="W206" s="174"/>
      <c r="X206" s="174"/>
      <c r="Y206" s="174"/>
      <c r="Z206" s="174"/>
      <c r="AA206" s="174"/>
    </row>
    <row r="207">
      <c r="A207" s="174"/>
      <c r="B207" s="174"/>
      <c r="C207" s="174"/>
      <c r="D207" s="174"/>
      <c r="E207" s="174"/>
      <c r="F207" s="175"/>
      <c r="G207" s="175"/>
      <c r="H207" s="174"/>
      <c r="I207" s="174"/>
      <c r="J207" s="174"/>
      <c r="K207" s="174"/>
      <c r="L207" s="174"/>
      <c r="M207" s="174"/>
      <c r="N207" s="174"/>
      <c r="O207" s="174"/>
      <c r="P207" s="174"/>
      <c r="Q207" s="174"/>
      <c r="R207" s="174"/>
      <c r="S207" s="174"/>
      <c r="T207" s="174"/>
      <c r="U207" s="174"/>
      <c r="V207" s="174"/>
      <c r="W207" s="174"/>
      <c r="X207" s="174"/>
      <c r="Y207" s="174"/>
      <c r="Z207" s="174"/>
      <c r="AA207" s="174"/>
    </row>
    <row r="208">
      <c r="A208" s="174"/>
      <c r="B208" s="174"/>
      <c r="C208" s="174"/>
      <c r="D208" s="174"/>
      <c r="E208" s="174"/>
      <c r="F208" s="175"/>
      <c r="G208" s="175"/>
      <c r="H208" s="174"/>
      <c r="I208" s="174"/>
      <c r="J208" s="174"/>
      <c r="K208" s="174"/>
      <c r="L208" s="174"/>
      <c r="M208" s="174"/>
      <c r="N208" s="174"/>
      <c r="O208" s="174"/>
      <c r="P208" s="174"/>
      <c r="Q208" s="174"/>
      <c r="R208" s="174"/>
      <c r="S208" s="174"/>
      <c r="T208" s="174"/>
      <c r="U208" s="174"/>
      <c r="V208" s="174"/>
      <c r="W208" s="174"/>
      <c r="X208" s="174"/>
      <c r="Y208" s="174"/>
      <c r="Z208" s="174"/>
      <c r="AA208" s="174"/>
    </row>
    <row r="209">
      <c r="A209" s="174"/>
      <c r="B209" s="174"/>
      <c r="C209" s="174"/>
      <c r="D209" s="174"/>
      <c r="E209" s="174"/>
      <c r="F209" s="175"/>
      <c r="G209" s="175"/>
      <c r="H209" s="174"/>
      <c r="I209" s="174"/>
      <c r="J209" s="174"/>
      <c r="K209" s="174"/>
      <c r="L209" s="174"/>
      <c r="M209" s="174"/>
      <c r="N209" s="174"/>
      <c r="O209" s="174"/>
      <c r="P209" s="174"/>
      <c r="Q209" s="174"/>
      <c r="R209" s="174"/>
      <c r="S209" s="174"/>
      <c r="T209" s="174"/>
      <c r="U209" s="174"/>
      <c r="V209" s="174"/>
      <c r="W209" s="174"/>
      <c r="X209" s="174"/>
      <c r="Y209" s="174"/>
      <c r="Z209" s="174"/>
      <c r="AA209" s="174"/>
    </row>
    <row r="210">
      <c r="A210" s="174"/>
      <c r="B210" s="174"/>
      <c r="C210" s="174"/>
      <c r="D210" s="174"/>
      <c r="E210" s="174"/>
      <c r="F210" s="175"/>
      <c r="G210" s="175"/>
      <c r="H210" s="174"/>
      <c r="I210" s="174"/>
      <c r="J210" s="174"/>
      <c r="K210" s="174"/>
      <c r="L210" s="174"/>
      <c r="M210" s="174"/>
      <c r="N210" s="174"/>
      <c r="O210" s="174"/>
      <c r="P210" s="174"/>
      <c r="Q210" s="174"/>
      <c r="R210" s="174"/>
      <c r="S210" s="174"/>
      <c r="T210" s="174"/>
      <c r="U210" s="174"/>
      <c r="V210" s="174"/>
      <c r="W210" s="174"/>
      <c r="X210" s="174"/>
      <c r="Y210" s="174"/>
      <c r="Z210" s="174"/>
      <c r="AA210" s="174"/>
    </row>
    <row r="211">
      <c r="A211" s="174"/>
      <c r="B211" s="174"/>
      <c r="C211" s="174"/>
      <c r="D211" s="174"/>
      <c r="E211" s="174"/>
      <c r="F211" s="175"/>
      <c r="G211" s="175"/>
      <c r="H211" s="174"/>
      <c r="I211" s="174"/>
      <c r="J211" s="174"/>
      <c r="K211" s="174"/>
      <c r="L211" s="174"/>
      <c r="M211" s="174"/>
      <c r="N211" s="174"/>
      <c r="O211" s="174"/>
      <c r="P211" s="174"/>
      <c r="Q211" s="174"/>
      <c r="R211" s="174"/>
      <c r="S211" s="174"/>
      <c r="T211" s="174"/>
      <c r="U211" s="174"/>
      <c r="V211" s="174"/>
      <c r="W211" s="174"/>
      <c r="X211" s="174"/>
      <c r="Y211" s="174"/>
      <c r="Z211" s="174"/>
      <c r="AA211" s="174"/>
    </row>
    <row r="212">
      <c r="A212" s="174"/>
      <c r="B212" s="174"/>
      <c r="C212" s="174"/>
      <c r="D212" s="174"/>
      <c r="E212" s="174"/>
      <c r="F212" s="175"/>
      <c r="G212" s="175"/>
      <c r="H212" s="174"/>
      <c r="I212" s="174"/>
      <c r="J212" s="174"/>
      <c r="K212" s="174"/>
      <c r="L212" s="174"/>
      <c r="M212" s="174"/>
      <c r="N212" s="174"/>
      <c r="O212" s="174"/>
      <c r="P212" s="174"/>
      <c r="Q212" s="174"/>
      <c r="R212" s="174"/>
      <c r="S212" s="174"/>
      <c r="T212" s="174"/>
      <c r="U212" s="174"/>
      <c r="V212" s="174"/>
      <c r="W212" s="174"/>
      <c r="X212" s="174"/>
      <c r="Y212" s="174"/>
      <c r="Z212" s="174"/>
      <c r="AA212" s="174"/>
    </row>
    <row r="213">
      <c r="A213" s="174"/>
      <c r="B213" s="174"/>
      <c r="C213" s="174"/>
      <c r="D213" s="174"/>
      <c r="E213" s="174"/>
      <c r="F213" s="175"/>
      <c r="G213" s="175"/>
      <c r="H213" s="174"/>
      <c r="I213" s="174"/>
      <c r="J213" s="174"/>
      <c r="K213" s="174"/>
      <c r="L213" s="174"/>
      <c r="M213" s="174"/>
      <c r="N213" s="174"/>
      <c r="O213" s="174"/>
      <c r="P213" s="174"/>
      <c r="Q213" s="174"/>
      <c r="R213" s="174"/>
      <c r="S213" s="174"/>
      <c r="T213" s="174"/>
      <c r="U213" s="174"/>
      <c r="V213" s="174"/>
      <c r="W213" s="174"/>
      <c r="X213" s="174"/>
      <c r="Y213" s="174"/>
      <c r="Z213" s="174"/>
      <c r="AA213" s="174"/>
    </row>
    <row r="214">
      <c r="A214" s="174"/>
      <c r="B214" s="174"/>
      <c r="C214" s="174"/>
      <c r="D214" s="174"/>
      <c r="E214" s="174"/>
      <c r="F214" s="175"/>
      <c r="G214" s="175"/>
      <c r="H214" s="174"/>
      <c r="I214" s="174"/>
      <c r="J214" s="174"/>
      <c r="K214" s="174"/>
      <c r="L214" s="174"/>
      <c r="M214" s="174"/>
      <c r="N214" s="174"/>
      <c r="O214" s="174"/>
      <c r="P214" s="174"/>
      <c r="Q214" s="174"/>
      <c r="R214" s="174"/>
      <c r="S214" s="174"/>
      <c r="T214" s="174"/>
      <c r="U214" s="174"/>
      <c r="V214" s="174"/>
      <c r="W214" s="174"/>
      <c r="X214" s="174"/>
      <c r="Y214" s="174"/>
      <c r="Z214" s="174"/>
      <c r="AA214" s="174"/>
    </row>
    <row r="215">
      <c r="A215" s="174"/>
      <c r="B215" s="174"/>
      <c r="C215" s="174"/>
      <c r="D215" s="174"/>
      <c r="E215" s="174"/>
      <c r="F215" s="175"/>
      <c r="G215" s="175"/>
      <c r="H215" s="174"/>
      <c r="I215" s="174"/>
      <c r="J215" s="174"/>
      <c r="K215" s="174"/>
      <c r="L215" s="174"/>
      <c r="M215" s="174"/>
      <c r="N215" s="174"/>
      <c r="O215" s="174"/>
      <c r="P215" s="174"/>
      <c r="Q215" s="174"/>
      <c r="R215" s="174"/>
      <c r="S215" s="174"/>
      <c r="T215" s="174"/>
      <c r="U215" s="174"/>
      <c r="V215" s="174"/>
      <c r="W215" s="174"/>
      <c r="X215" s="174"/>
      <c r="Y215" s="174"/>
      <c r="Z215" s="174"/>
      <c r="AA215" s="174"/>
    </row>
    <row r="216">
      <c r="A216" s="174"/>
      <c r="B216" s="174"/>
      <c r="C216" s="174"/>
      <c r="D216" s="174"/>
      <c r="E216" s="174"/>
      <c r="F216" s="175"/>
      <c r="G216" s="175"/>
      <c r="H216" s="174"/>
      <c r="I216" s="174"/>
      <c r="J216" s="174"/>
      <c r="K216" s="174"/>
      <c r="L216" s="174"/>
      <c r="M216" s="174"/>
      <c r="N216" s="174"/>
      <c r="O216" s="174"/>
      <c r="P216" s="174"/>
      <c r="Q216" s="174"/>
      <c r="R216" s="174"/>
      <c r="S216" s="174"/>
      <c r="T216" s="174"/>
      <c r="U216" s="174"/>
      <c r="V216" s="174"/>
      <c r="W216" s="174"/>
      <c r="X216" s="174"/>
      <c r="Y216" s="174"/>
      <c r="Z216" s="174"/>
      <c r="AA216" s="174"/>
    </row>
    <row r="217">
      <c r="A217" s="174"/>
      <c r="B217" s="174"/>
      <c r="C217" s="174"/>
      <c r="D217" s="174"/>
      <c r="E217" s="174"/>
      <c r="F217" s="175"/>
      <c r="G217" s="175"/>
      <c r="H217" s="174"/>
      <c r="I217" s="174"/>
      <c r="J217" s="174"/>
      <c r="K217" s="174"/>
      <c r="L217" s="174"/>
      <c r="M217" s="174"/>
      <c r="N217" s="174"/>
      <c r="O217" s="174"/>
      <c r="P217" s="174"/>
      <c r="Q217" s="174"/>
      <c r="R217" s="174"/>
      <c r="S217" s="174"/>
      <c r="T217" s="174"/>
      <c r="U217" s="174"/>
      <c r="V217" s="174"/>
      <c r="W217" s="174"/>
      <c r="X217" s="174"/>
      <c r="Y217" s="174"/>
      <c r="Z217" s="174"/>
      <c r="AA217" s="174"/>
    </row>
    <row r="218">
      <c r="A218" s="174"/>
      <c r="B218" s="174"/>
      <c r="C218" s="174"/>
      <c r="D218" s="174"/>
      <c r="E218" s="174"/>
      <c r="F218" s="175"/>
      <c r="G218" s="175"/>
      <c r="H218" s="174"/>
      <c r="I218" s="174"/>
      <c r="J218" s="174"/>
      <c r="K218" s="174"/>
      <c r="L218" s="174"/>
      <c r="M218" s="174"/>
      <c r="N218" s="174"/>
      <c r="O218" s="174"/>
      <c r="P218" s="174"/>
      <c r="Q218" s="174"/>
      <c r="R218" s="174"/>
      <c r="S218" s="174"/>
      <c r="T218" s="174"/>
      <c r="U218" s="174"/>
      <c r="V218" s="174"/>
      <c r="W218" s="174"/>
      <c r="X218" s="174"/>
      <c r="Y218" s="174"/>
      <c r="Z218" s="174"/>
      <c r="AA218" s="174"/>
    </row>
    <row r="219">
      <c r="A219" s="174"/>
      <c r="B219" s="174"/>
      <c r="C219" s="174"/>
      <c r="D219" s="174"/>
      <c r="E219" s="174"/>
      <c r="F219" s="175"/>
      <c r="G219" s="175"/>
      <c r="H219" s="174"/>
      <c r="I219" s="174"/>
      <c r="J219" s="174"/>
      <c r="K219" s="174"/>
      <c r="L219" s="174"/>
      <c r="M219" s="174"/>
      <c r="N219" s="174"/>
      <c r="O219" s="174"/>
      <c r="P219" s="174"/>
      <c r="Q219" s="174"/>
      <c r="R219" s="174"/>
      <c r="S219" s="174"/>
      <c r="T219" s="174"/>
      <c r="U219" s="174"/>
      <c r="V219" s="174"/>
      <c r="W219" s="174"/>
      <c r="X219" s="174"/>
      <c r="Y219" s="174"/>
      <c r="Z219" s="174"/>
      <c r="AA219" s="174"/>
    </row>
    <row r="220">
      <c r="A220" s="174"/>
      <c r="B220" s="174"/>
      <c r="C220" s="174"/>
      <c r="D220" s="174"/>
      <c r="E220" s="174"/>
      <c r="F220" s="175"/>
      <c r="G220" s="175"/>
      <c r="H220" s="174"/>
      <c r="I220" s="174"/>
      <c r="J220" s="174"/>
      <c r="K220" s="174"/>
      <c r="L220" s="174"/>
      <c r="M220" s="174"/>
      <c r="N220" s="174"/>
      <c r="O220" s="174"/>
      <c r="P220" s="174"/>
      <c r="Q220" s="174"/>
      <c r="R220" s="174"/>
      <c r="S220" s="174"/>
      <c r="T220" s="174"/>
      <c r="U220" s="174"/>
      <c r="V220" s="174"/>
      <c r="W220" s="174"/>
      <c r="X220" s="174"/>
      <c r="Y220" s="174"/>
      <c r="Z220" s="174"/>
      <c r="AA220" s="174"/>
    </row>
    <row r="221">
      <c r="A221" s="174"/>
      <c r="B221" s="174"/>
      <c r="C221" s="174"/>
      <c r="D221" s="174"/>
      <c r="E221" s="174"/>
      <c r="F221" s="175"/>
      <c r="G221" s="175"/>
      <c r="H221" s="174"/>
      <c r="I221" s="174"/>
      <c r="J221" s="174"/>
      <c r="K221" s="174"/>
      <c r="L221" s="174"/>
      <c r="M221" s="174"/>
      <c r="N221" s="174"/>
      <c r="O221" s="174"/>
      <c r="P221" s="174"/>
      <c r="Q221" s="174"/>
      <c r="R221" s="174"/>
      <c r="S221" s="174"/>
      <c r="T221" s="174"/>
      <c r="U221" s="174"/>
      <c r="V221" s="174"/>
      <c r="W221" s="174"/>
      <c r="X221" s="174"/>
      <c r="Y221" s="174"/>
      <c r="Z221" s="174"/>
      <c r="AA221" s="174"/>
    </row>
    <row r="222">
      <c r="A222" s="174"/>
      <c r="B222" s="174"/>
      <c r="C222" s="174"/>
      <c r="D222" s="174"/>
      <c r="E222" s="174"/>
      <c r="F222" s="175"/>
      <c r="G222" s="175"/>
      <c r="H222" s="174"/>
      <c r="I222" s="174"/>
      <c r="J222" s="174"/>
      <c r="K222" s="174"/>
      <c r="L222" s="174"/>
      <c r="M222" s="174"/>
      <c r="N222" s="174"/>
      <c r="O222" s="174"/>
      <c r="P222" s="174"/>
      <c r="Q222" s="174"/>
      <c r="R222" s="174"/>
      <c r="S222" s="174"/>
      <c r="T222" s="174"/>
      <c r="U222" s="174"/>
      <c r="V222" s="174"/>
      <c r="W222" s="174"/>
      <c r="X222" s="174"/>
      <c r="Y222" s="174"/>
      <c r="Z222" s="174"/>
      <c r="AA222" s="174"/>
    </row>
    <row r="223">
      <c r="A223" s="174"/>
      <c r="B223" s="174"/>
      <c r="C223" s="174"/>
      <c r="D223" s="174"/>
      <c r="E223" s="174"/>
      <c r="F223" s="175"/>
      <c r="G223" s="175"/>
      <c r="H223" s="174"/>
      <c r="I223" s="174"/>
      <c r="J223" s="174"/>
      <c r="K223" s="174"/>
      <c r="L223" s="174"/>
      <c r="M223" s="174"/>
      <c r="N223" s="174"/>
      <c r="O223" s="174"/>
      <c r="P223" s="174"/>
      <c r="Q223" s="174"/>
      <c r="R223" s="174"/>
      <c r="S223" s="174"/>
      <c r="T223" s="174"/>
      <c r="U223" s="174"/>
      <c r="V223" s="174"/>
      <c r="W223" s="174"/>
      <c r="X223" s="174"/>
      <c r="Y223" s="174"/>
      <c r="Z223" s="174"/>
      <c r="AA223" s="174"/>
    </row>
    <row r="224">
      <c r="A224" s="174"/>
      <c r="B224" s="174"/>
      <c r="C224" s="174"/>
      <c r="D224" s="174"/>
      <c r="E224" s="174"/>
      <c r="F224" s="175"/>
      <c r="G224" s="175"/>
      <c r="H224" s="174"/>
      <c r="I224" s="174"/>
      <c r="J224" s="174"/>
      <c r="K224" s="174"/>
      <c r="L224" s="174"/>
      <c r="M224" s="174"/>
      <c r="N224" s="174"/>
      <c r="O224" s="174"/>
      <c r="P224" s="174"/>
      <c r="Q224" s="174"/>
      <c r="R224" s="174"/>
      <c r="S224" s="174"/>
      <c r="T224" s="174"/>
      <c r="U224" s="174"/>
      <c r="V224" s="174"/>
      <c r="W224" s="174"/>
      <c r="X224" s="174"/>
      <c r="Y224" s="174"/>
      <c r="Z224" s="174"/>
      <c r="AA224" s="174"/>
    </row>
    <row r="225">
      <c r="A225" s="174"/>
      <c r="B225" s="174"/>
      <c r="C225" s="174"/>
      <c r="D225" s="174"/>
      <c r="E225" s="174"/>
      <c r="F225" s="175"/>
      <c r="G225" s="175"/>
      <c r="H225" s="174"/>
      <c r="I225" s="174"/>
      <c r="J225" s="174"/>
      <c r="K225" s="174"/>
      <c r="L225" s="174"/>
      <c r="M225" s="174"/>
      <c r="N225" s="174"/>
      <c r="O225" s="174"/>
      <c r="P225" s="174"/>
      <c r="Q225" s="174"/>
      <c r="R225" s="174"/>
      <c r="S225" s="174"/>
      <c r="T225" s="174"/>
      <c r="U225" s="174"/>
      <c r="V225" s="174"/>
      <c r="W225" s="174"/>
      <c r="X225" s="174"/>
      <c r="Y225" s="174"/>
      <c r="Z225" s="174"/>
      <c r="AA225" s="174"/>
    </row>
    <row r="226">
      <c r="A226" s="174"/>
      <c r="B226" s="174"/>
      <c r="C226" s="174"/>
      <c r="D226" s="174"/>
      <c r="E226" s="174"/>
      <c r="F226" s="175"/>
      <c r="G226" s="175"/>
      <c r="H226" s="174"/>
      <c r="I226" s="174"/>
      <c r="J226" s="174"/>
      <c r="K226" s="174"/>
      <c r="L226" s="174"/>
      <c r="M226" s="174"/>
      <c r="N226" s="174"/>
      <c r="O226" s="174"/>
      <c r="P226" s="174"/>
      <c r="Q226" s="174"/>
      <c r="R226" s="174"/>
      <c r="S226" s="174"/>
      <c r="T226" s="174"/>
      <c r="U226" s="174"/>
      <c r="V226" s="174"/>
      <c r="W226" s="174"/>
      <c r="X226" s="174"/>
      <c r="Y226" s="174"/>
      <c r="Z226" s="174"/>
      <c r="AA226" s="174"/>
    </row>
    <row r="227">
      <c r="A227" s="174"/>
      <c r="B227" s="174"/>
      <c r="C227" s="174"/>
      <c r="D227" s="174"/>
      <c r="E227" s="174"/>
      <c r="F227" s="175"/>
      <c r="G227" s="175"/>
      <c r="H227" s="174"/>
      <c r="I227" s="174"/>
      <c r="J227" s="174"/>
      <c r="K227" s="174"/>
      <c r="L227" s="174"/>
      <c r="M227" s="174"/>
      <c r="N227" s="174"/>
      <c r="O227" s="174"/>
      <c r="P227" s="174"/>
      <c r="Q227" s="174"/>
      <c r="R227" s="174"/>
      <c r="S227" s="174"/>
      <c r="T227" s="174"/>
      <c r="U227" s="174"/>
      <c r="V227" s="174"/>
      <c r="W227" s="174"/>
      <c r="X227" s="174"/>
      <c r="Y227" s="174"/>
      <c r="Z227" s="174"/>
      <c r="AA227" s="174"/>
    </row>
    <row r="228">
      <c r="A228" s="174"/>
      <c r="B228" s="174"/>
      <c r="C228" s="174"/>
      <c r="D228" s="174"/>
      <c r="E228" s="174"/>
      <c r="F228" s="175"/>
      <c r="G228" s="175"/>
      <c r="H228" s="174"/>
      <c r="I228" s="174"/>
      <c r="J228" s="174"/>
      <c r="K228" s="174"/>
      <c r="L228" s="174"/>
      <c r="M228" s="174"/>
      <c r="N228" s="174"/>
      <c r="O228" s="174"/>
      <c r="P228" s="174"/>
      <c r="Q228" s="174"/>
      <c r="R228" s="174"/>
      <c r="S228" s="174"/>
      <c r="T228" s="174"/>
      <c r="U228" s="174"/>
      <c r="V228" s="174"/>
      <c r="W228" s="174"/>
      <c r="X228" s="174"/>
      <c r="Y228" s="174"/>
      <c r="Z228" s="174"/>
      <c r="AA228" s="174"/>
    </row>
    <row r="229">
      <c r="A229" s="174"/>
      <c r="B229" s="174"/>
      <c r="C229" s="174"/>
      <c r="D229" s="174"/>
      <c r="E229" s="174"/>
      <c r="F229" s="175"/>
      <c r="G229" s="175"/>
      <c r="H229" s="174"/>
      <c r="I229" s="174"/>
      <c r="J229" s="174"/>
      <c r="K229" s="174"/>
      <c r="L229" s="174"/>
      <c r="M229" s="174"/>
      <c r="N229" s="174"/>
      <c r="O229" s="174"/>
      <c r="P229" s="174"/>
      <c r="Q229" s="174"/>
      <c r="R229" s="174"/>
      <c r="S229" s="174"/>
      <c r="T229" s="174"/>
      <c r="U229" s="174"/>
      <c r="V229" s="174"/>
      <c r="W229" s="174"/>
      <c r="X229" s="174"/>
      <c r="Y229" s="174"/>
      <c r="Z229" s="174"/>
      <c r="AA229" s="174"/>
    </row>
    <row r="230">
      <c r="A230" s="174"/>
      <c r="B230" s="174"/>
      <c r="C230" s="174"/>
      <c r="D230" s="174"/>
      <c r="E230" s="174"/>
      <c r="F230" s="175"/>
      <c r="G230" s="175"/>
      <c r="H230" s="174"/>
      <c r="I230" s="174"/>
      <c r="J230" s="174"/>
      <c r="K230" s="174"/>
      <c r="L230" s="174"/>
      <c r="M230" s="174"/>
      <c r="N230" s="174"/>
      <c r="O230" s="174"/>
      <c r="P230" s="174"/>
      <c r="Q230" s="174"/>
      <c r="R230" s="174"/>
      <c r="S230" s="174"/>
      <c r="T230" s="174"/>
      <c r="U230" s="174"/>
      <c r="V230" s="174"/>
      <c r="W230" s="174"/>
      <c r="X230" s="174"/>
      <c r="Y230" s="174"/>
      <c r="Z230" s="174"/>
      <c r="AA230" s="174"/>
    </row>
    <row r="231">
      <c r="A231" s="174"/>
      <c r="B231" s="174"/>
      <c r="C231" s="174"/>
      <c r="D231" s="174"/>
      <c r="E231" s="174"/>
      <c r="F231" s="175"/>
      <c r="G231" s="175"/>
      <c r="H231" s="174"/>
      <c r="I231" s="174"/>
      <c r="J231" s="174"/>
      <c r="K231" s="174"/>
      <c r="L231" s="174"/>
      <c r="M231" s="174"/>
      <c r="N231" s="174"/>
      <c r="O231" s="174"/>
      <c r="P231" s="174"/>
      <c r="Q231" s="174"/>
      <c r="R231" s="174"/>
      <c r="S231" s="174"/>
      <c r="T231" s="174"/>
      <c r="U231" s="174"/>
      <c r="V231" s="174"/>
      <c r="W231" s="174"/>
      <c r="X231" s="174"/>
      <c r="Y231" s="174"/>
      <c r="Z231" s="174"/>
      <c r="AA231" s="174"/>
    </row>
    <row r="232">
      <c r="A232" s="174"/>
      <c r="B232" s="174"/>
      <c r="C232" s="174"/>
      <c r="D232" s="174"/>
      <c r="E232" s="174"/>
      <c r="F232" s="175"/>
      <c r="G232" s="175"/>
      <c r="H232" s="174"/>
      <c r="I232" s="174"/>
      <c r="J232" s="174"/>
      <c r="K232" s="174"/>
      <c r="L232" s="174"/>
      <c r="M232" s="174"/>
      <c r="N232" s="174"/>
      <c r="O232" s="174"/>
      <c r="P232" s="174"/>
      <c r="Q232" s="174"/>
      <c r="R232" s="174"/>
      <c r="S232" s="174"/>
      <c r="T232" s="174"/>
      <c r="U232" s="174"/>
      <c r="V232" s="174"/>
      <c r="W232" s="174"/>
      <c r="X232" s="174"/>
      <c r="Y232" s="174"/>
      <c r="Z232" s="174"/>
      <c r="AA232" s="174"/>
    </row>
    <row r="233">
      <c r="A233" s="174"/>
      <c r="B233" s="174"/>
      <c r="C233" s="174"/>
      <c r="D233" s="174"/>
      <c r="E233" s="174"/>
      <c r="F233" s="175"/>
      <c r="G233" s="175"/>
      <c r="H233" s="174"/>
      <c r="I233" s="174"/>
      <c r="J233" s="174"/>
      <c r="K233" s="174"/>
      <c r="L233" s="174"/>
      <c r="M233" s="174"/>
      <c r="N233" s="174"/>
      <c r="O233" s="174"/>
      <c r="P233" s="174"/>
      <c r="Q233" s="174"/>
      <c r="R233" s="174"/>
      <c r="S233" s="174"/>
      <c r="T233" s="174"/>
      <c r="U233" s="174"/>
      <c r="V233" s="174"/>
      <c r="W233" s="174"/>
      <c r="X233" s="174"/>
      <c r="Y233" s="174"/>
      <c r="Z233" s="174"/>
      <c r="AA233" s="174"/>
    </row>
    <row r="234">
      <c r="A234" s="174"/>
      <c r="B234" s="174"/>
      <c r="C234" s="174"/>
      <c r="D234" s="174"/>
      <c r="E234" s="174"/>
      <c r="F234" s="175"/>
      <c r="G234" s="175"/>
      <c r="H234" s="174"/>
      <c r="I234" s="174"/>
      <c r="J234" s="174"/>
      <c r="K234" s="174"/>
      <c r="L234" s="174"/>
      <c r="M234" s="174"/>
      <c r="N234" s="174"/>
      <c r="O234" s="174"/>
      <c r="P234" s="174"/>
      <c r="Q234" s="174"/>
      <c r="R234" s="174"/>
      <c r="S234" s="174"/>
      <c r="T234" s="174"/>
      <c r="U234" s="174"/>
      <c r="V234" s="174"/>
      <c r="W234" s="174"/>
      <c r="X234" s="174"/>
      <c r="Y234" s="174"/>
      <c r="Z234" s="174"/>
      <c r="AA234" s="174"/>
    </row>
    <row r="235">
      <c r="A235" s="174"/>
      <c r="B235" s="174"/>
      <c r="C235" s="174"/>
      <c r="D235" s="174"/>
      <c r="E235" s="174"/>
      <c r="F235" s="175"/>
      <c r="G235" s="175"/>
      <c r="H235" s="174"/>
      <c r="I235" s="174"/>
      <c r="J235" s="174"/>
      <c r="K235" s="174"/>
      <c r="L235" s="174"/>
      <c r="M235" s="174"/>
      <c r="N235" s="174"/>
      <c r="O235" s="174"/>
      <c r="P235" s="174"/>
      <c r="Q235" s="174"/>
      <c r="R235" s="174"/>
      <c r="S235" s="174"/>
      <c r="T235" s="174"/>
      <c r="U235" s="174"/>
      <c r="V235" s="174"/>
      <c r="W235" s="174"/>
      <c r="X235" s="174"/>
      <c r="Y235" s="174"/>
      <c r="Z235" s="174"/>
      <c r="AA235" s="174"/>
    </row>
    <row r="236">
      <c r="A236" s="174"/>
      <c r="B236" s="174"/>
      <c r="C236" s="174"/>
      <c r="D236" s="174"/>
      <c r="E236" s="174"/>
      <c r="F236" s="175"/>
      <c r="G236" s="175"/>
      <c r="H236" s="174"/>
      <c r="I236" s="174"/>
      <c r="J236" s="174"/>
      <c r="K236" s="174"/>
      <c r="L236" s="174"/>
      <c r="M236" s="174"/>
      <c r="N236" s="174"/>
      <c r="O236" s="174"/>
      <c r="P236" s="174"/>
      <c r="Q236" s="174"/>
      <c r="R236" s="174"/>
      <c r="S236" s="174"/>
      <c r="T236" s="174"/>
      <c r="U236" s="174"/>
      <c r="V236" s="174"/>
      <c r="W236" s="174"/>
      <c r="X236" s="174"/>
      <c r="Y236" s="174"/>
      <c r="Z236" s="174"/>
      <c r="AA236" s="174"/>
    </row>
    <row r="237">
      <c r="A237" s="174"/>
      <c r="B237" s="174"/>
      <c r="C237" s="174"/>
      <c r="D237" s="174"/>
      <c r="E237" s="174"/>
      <c r="F237" s="175"/>
      <c r="G237" s="175"/>
      <c r="H237" s="174"/>
      <c r="I237" s="174"/>
      <c r="J237" s="174"/>
      <c r="K237" s="174"/>
      <c r="L237" s="174"/>
      <c r="M237" s="174"/>
      <c r="N237" s="174"/>
      <c r="O237" s="174"/>
      <c r="P237" s="174"/>
      <c r="Q237" s="174"/>
      <c r="R237" s="174"/>
      <c r="S237" s="174"/>
      <c r="T237" s="174"/>
      <c r="U237" s="174"/>
      <c r="V237" s="174"/>
      <c r="W237" s="174"/>
      <c r="X237" s="174"/>
      <c r="Y237" s="174"/>
      <c r="Z237" s="174"/>
      <c r="AA237" s="174"/>
    </row>
    <row r="238">
      <c r="A238" s="174"/>
      <c r="B238" s="174"/>
      <c r="C238" s="174"/>
      <c r="D238" s="174"/>
      <c r="E238" s="174"/>
      <c r="F238" s="175"/>
      <c r="G238" s="175"/>
      <c r="H238" s="174"/>
      <c r="I238" s="174"/>
      <c r="J238" s="174"/>
      <c r="K238" s="174"/>
      <c r="L238" s="174"/>
      <c r="M238" s="174"/>
      <c r="N238" s="174"/>
      <c r="O238" s="174"/>
      <c r="P238" s="174"/>
      <c r="Q238" s="174"/>
      <c r="R238" s="174"/>
      <c r="S238" s="174"/>
      <c r="T238" s="174"/>
      <c r="U238" s="174"/>
      <c r="V238" s="174"/>
      <c r="W238" s="174"/>
      <c r="X238" s="174"/>
      <c r="Y238" s="174"/>
      <c r="Z238" s="174"/>
      <c r="AA238" s="174"/>
    </row>
    <row r="239">
      <c r="A239" s="174"/>
      <c r="B239" s="174"/>
      <c r="C239" s="174"/>
      <c r="D239" s="174"/>
      <c r="E239" s="174"/>
      <c r="F239" s="175"/>
      <c r="G239" s="175"/>
      <c r="H239" s="174"/>
      <c r="I239" s="174"/>
      <c r="J239" s="174"/>
      <c r="K239" s="174"/>
      <c r="L239" s="174"/>
      <c r="M239" s="174"/>
      <c r="N239" s="174"/>
      <c r="O239" s="174"/>
      <c r="P239" s="174"/>
      <c r="Q239" s="174"/>
      <c r="R239" s="174"/>
      <c r="S239" s="174"/>
      <c r="T239" s="174"/>
      <c r="U239" s="174"/>
      <c r="V239" s="174"/>
      <c r="W239" s="174"/>
      <c r="X239" s="174"/>
      <c r="Y239" s="174"/>
      <c r="Z239" s="174"/>
      <c r="AA239" s="174"/>
    </row>
    <row r="240">
      <c r="A240" s="174"/>
      <c r="B240" s="174"/>
      <c r="C240" s="174"/>
      <c r="D240" s="174"/>
      <c r="E240" s="174"/>
      <c r="F240" s="175"/>
      <c r="G240" s="175"/>
      <c r="H240" s="174"/>
      <c r="I240" s="174"/>
      <c r="J240" s="174"/>
      <c r="K240" s="174"/>
      <c r="L240" s="174"/>
      <c r="M240" s="174"/>
      <c r="N240" s="174"/>
      <c r="O240" s="174"/>
      <c r="P240" s="174"/>
      <c r="Q240" s="174"/>
      <c r="R240" s="174"/>
      <c r="S240" s="174"/>
      <c r="T240" s="174"/>
      <c r="U240" s="174"/>
      <c r="V240" s="174"/>
      <c r="W240" s="174"/>
      <c r="X240" s="174"/>
      <c r="Y240" s="174"/>
      <c r="Z240" s="174"/>
      <c r="AA240" s="174"/>
    </row>
    <row r="241">
      <c r="A241" s="174"/>
      <c r="B241" s="174"/>
      <c r="C241" s="174"/>
      <c r="D241" s="174"/>
      <c r="E241" s="174"/>
      <c r="F241" s="175"/>
      <c r="G241" s="175"/>
      <c r="H241" s="174"/>
      <c r="I241" s="174"/>
      <c r="J241" s="174"/>
      <c r="K241" s="174"/>
      <c r="L241" s="174"/>
      <c r="M241" s="174"/>
      <c r="N241" s="174"/>
      <c r="O241" s="174"/>
      <c r="P241" s="174"/>
      <c r="Q241" s="174"/>
      <c r="R241" s="174"/>
      <c r="S241" s="174"/>
      <c r="T241" s="174"/>
      <c r="U241" s="174"/>
      <c r="V241" s="174"/>
      <c r="W241" s="174"/>
      <c r="X241" s="174"/>
      <c r="Y241" s="174"/>
      <c r="Z241" s="174"/>
      <c r="AA241" s="174"/>
    </row>
    <row r="242">
      <c r="A242" s="174"/>
      <c r="B242" s="174"/>
      <c r="C242" s="174"/>
      <c r="D242" s="174"/>
      <c r="E242" s="174"/>
      <c r="F242" s="175"/>
      <c r="G242" s="175"/>
      <c r="H242" s="174"/>
      <c r="I242" s="174"/>
      <c r="J242" s="174"/>
      <c r="K242" s="174"/>
      <c r="L242" s="174"/>
      <c r="M242" s="174"/>
      <c r="N242" s="174"/>
      <c r="O242" s="174"/>
      <c r="P242" s="174"/>
      <c r="Q242" s="174"/>
      <c r="R242" s="174"/>
      <c r="S242" s="174"/>
      <c r="T242" s="174"/>
      <c r="U242" s="174"/>
      <c r="V242" s="174"/>
      <c r="W242" s="174"/>
      <c r="X242" s="174"/>
      <c r="Y242" s="174"/>
      <c r="Z242" s="174"/>
      <c r="AA242" s="174"/>
    </row>
    <row r="243">
      <c r="A243" s="174"/>
      <c r="B243" s="174"/>
      <c r="C243" s="174"/>
      <c r="D243" s="174"/>
      <c r="E243" s="174"/>
      <c r="F243" s="175"/>
      <c r="G243" s="175"/>
      <c r="H243" s="174"/>
      <c r="I243" s="174"/>
      <c r="J243" s="174"/>
      <c r="K243" s="174"/>
      <c r="L243" s="174"/>
      <c r="M243" s="174"/>
      <c r="N243" s="174"/>
      <c r="O243" s="174"/>
      <c r="P243" s="174"/>
      <c r="Q243" s="174"/>
      <c r="R243" s="174"/>
      <c r="S243" s="174"/>
      <c r="T243" s="174"/>
      <c r="U243" s="174"/>
      <c r="V243" s="174"/>
      <c r="W243" s="174"/>
      <c r="X243" s="174"/>
      <c r="Y243" s="174"/>
      <c r="Z243" s="174"/>
      <c r="AA243" s="174"/>
    </row>
    <row r="244">
      <c r="A244" s="174"/>
      <c r="B244" s="174"/>
      <c r="C244" s="174"/>
      <c r="D244" s="174"/>
      <c r="E244" s="174"/>
      <c r="F244" s="175"/>
      <c r="G244" s="175"/>
      <c r="H244" s="174"/>
      <c r="I244" s="174"/>
      <c r="J244" s="174"/>
      <c r="K244" s="174"/>
      <c r="L244" s="174"/>
      <c r="M244" s="174"/>
      <c r="N244" s="174"/>
      <c r="O244" s="174"/>
      <c r="P244" s="174"/>
      <c r="Q244" s="174"/>
      <c r="R244" s="174"/>
      <c r="S244" s="174"/>
      <c r="T244" s="174"/>
      <c r="U244" s="174"/>
      <c r="V244" s="174"/>
      <c r="W244" s="174"/>
      <c r="X244" s="174"/>
      <c r="Y244" s="174"/>
      <c r="Z244" s="174"/>
      <c r="AA244" s="174"/>
    </row>
    <row r="245">
      <c r="A245" s="174"/>
      <c r="B245" s="174"/>
      <c r="C245" s="174"/>
      <c r="D245" s="174"/>
      <c r="E245" s="174"/>
      <c r="F245" s="175"/>
      <c r="G245" s="175"/>
      <c r="H245" s="174"/>
      <c r="I245" s="174"/>
      <c r="J245" s="174"/>
      <c r="K245" s="174"/>
      <c r="L245" s="174"/>
      <c r="M245" s="174"/>
      <c r="N245" s="174"/>
      <c r="O245" s="174"/>
      <c r="P245" s="174"/>
      <c r="Q245" s="174"/>
      <c r="R245" s="174"/>
      <c r="S245" s="174"/>
      <c r="T245" s="174"/>
      <c r="U245" s="174"/>
      <c r="V245" s="174"/>
      <c r="W245" s="174"/>
      <c r="X245" s="174"/>
      <c r="Y245" s="174"/>
      <c r="Z245" s="174"/>
      <c r="AA245" s="174"/>
    </row>
    <row r="246">
      <c r="A246" s="174"/>
      <c r="B246" s="174"/>
      <c r="C246" s="174"/>
      <c r="D246" s="174"/>
      <c r="E246" s="174"/>
      <c r="F246" s="175"/>
      <c r="G246" s="175"/>
      <c r="H246" s="174"/>
      <c r="I246" s="174"/>
      <c r="J246" s="174"/>
      <c r="K246" s="174"/>
      <c r="L246" s="174"/>
      <c r="M246" s="174"/>
      <c r="N246" s="174"/>
      <c r="O246" s="174"/>
      <c r="P246" s="174"/>
      <c r="Q246" s="174"/>
      <c r="R246" s="174"/>
      <c r="S246" s="174"/>
      <c r="T246" s="174"/>
      <c r="U246" s="174"/>
      <c r="V246" s="174"/>
      <c r="W246" s="174"/>
      <c r="X246" s="174"/>
      <c r="Y246" s="174"/>
      <c r="Z246" s="174"/>
      <c r="AA246" s="174"/>
    </row>
    <row r="247">
      <c r="A247" s="174"/>
      <c r="B247" s="174"/>
      <c r="C247" s="174"/>
      <c r="D247" s="174"/>
      <c r="E247" s="174"/>
      <c r="F247" s="175"/>
      <c r="G247" s="175"/>
      <c r="H247" s="174"/>
      <c r="I247" s="174"/>
      <c r="J247" s="174"/>
      <c r="K247" s="174"/>
      <c r="L247" s="174"/>
      <c r="M247" s="174"/>
      <c r="N247" s="174"/>
      <c r="O247" s="174"/>
      <c r="P247" s="174"/>
      <c r="Q247" s="174"/>
      <c r="R247" s="174"/>
      <c r="S247" s="174"/>
      <c r="T247" s="174"/>
      <c r="U247" s="174"/>
      <c r="V247" s="174"/>
      <c r="W247" s="174"/>
      <c r="X247" s="174"/>
      <c r="Y247" s="174"/>
      <c r="Z247" s="174"/>
      <c r="AA247" s="174"/>
    </row>
    <row r="248">
      <c r="A248" s="174"/>
      <c r="B248" s="174"/>
      <c r="C248" s="174"/>
      <c r="D248" s="174"/>
      <c r="E248" s="174"/>
      <c r="F248" s="175"/>
      <c r="G248" s="175"/>
      <c r="H248" s="174"/>
      <c r="I248" s="174"/>
      <c r="J248" s="174"/>
      <c r="K248" s="174"/>
      <c r="L248" s="174"/>
      <c r="M248" s="174"/>
      <c r="N248" s="174"/>
      <c r="O248" s="174"/>
      <c r="P248" s="174"/>
      <c r="Q248" s="174"/>
      <c r="R248" s="174"/>
      <c r="S248" s="174"/>
      <c r="T248" s="174"/>
      <c r="U248" s="174"/>
      <c r="V248" s="174"/>
      <c r="W248" s="174"/>
      <c r="X248" s="174"/>
      <c r="Y248" s="174"/>
      <c r="Z248" s="174"/>
      <c r="AA248" s="174"/>
    </row>
    <row r="249">
      <c r="A249" s="174"/>
      <c r="B249" s="174"/>
      <c r="C249" s="174"/>
      <c r="D249" s="174"/>
      <c r="E249" s="174"/>
      <c r="F249" s="175"/>
      <c r="G249" s="175"/>
      <c r="H249" s="174"/>
      <c r="I249" s="174"/>
      <c r="J249" s="174"/>
      <c r="K249" s="174"/>
      <c r="L249" s="174"/>
      <c r="M249" s="174"/>
      <c r="N249" s="174"/>
      <c r="O249" s="174"/>
      <c r="P249" s="174"/>
      <c r="Q249" s="174"/>
      <c r="R249" s="174"/>
      <c r="S249" s="174"/>
      <c r="T249" s="174"/>
      <c r="U249" s="174"/>
      <c r="V249" s="174"/>
      <c r="W249" s="174"/>
      <c r="X249" s="174"/>
      <c r="Y249" s="174"/>
      <c r="Z249" s="174"/>
      <c r="AA249" s="174"/>
    </row>
    <row r="250">
      <c r="A250" s="174"/>
      <c r="B250" s="174"/>
      <c r="C250" s="174"/>
      <c r="D250" s="174"/>
      <c r="E250" s="174"/>
      <c r="F250" s="175"/>
      <c r="G250" s="175"/>
      <c r="H250" s="174"/>
      <c r="I250" s="174"/>
      <c r="J250" s="174"/>
      <c r="K250" s="174"/>
      <c r="L250" s="174"/>
      <c r="M250" s="174"/>
      <c r="N250" s="174"/>
      <c r="O250" s="174"/>
      <c r="P250" s="174"/>
      <c r="Q250" s="174"/>
      <c r="R250" s="174"/>
      <c r="S250" s="174"/>
      <c r="T250" s="174"/>
      <c r="U250" s="174"/>
      <c r="V250" s="174"/>
      <c r="W250" s="174"/>
      <c r="X250" s="174"/>
      <c r="Y250" s="174"/>
      <c r="Z250" s="174"/>
      <c r="AA250" s="174"/>
    </row>
    <row r="251">
      <c r="A251" s="174"/>
      <c r="B251" s="174"/>
      <c r="C251" s="174"/>
      <c r="D251" s="174"/>
      <c r="E251" s="174"/>
      <c r="F251" s="175"/>
      <c r="G251" s="175"/>
      <c r="H251" s="174"/>
      <c r="I251" s="174"/>
      <c r="J251" s="174"/>
      <c r="K251" s="174"/>
      <c r="L251" s="174"/>
      <c r="M251" s="174"/>
      <c r="N251" s="174"/>
      <c r="O251" s="174"/>
      <c r="P251" s="174"/>
      <c r="Q251" s="174"/>
      <c r="R251" s="174"/>
      <c r="S251" s="174"/>
      <c r="T251" s="174"/>
      <c r="U251" s="174"/>
      <c r="V251" s="174"/>
      <c r="W251" s="174"/>
      <c r="X251" s="174"/>
      <c r="Y251" s="174"/>
      <c r="Z251" s="174"/>
      <c r="AA251" s="174"/>
    </row>
    <row r="252">
      <c r="A252" s="174"/>
      <c r="B252" s="174"/>
      <c r="C252" s="174"/>
      <c r="D252" s="174"/>
      <c r="E252" s="174"/>
      <c r="F252" s="175"/>
      <c r="G252" s="175"/>
      <c r="H252" s="174"/>
      <c r="I252" s="174"/>
      <c r="J252" s="174"/>
      <c r="K252" s="174"/>
      <c r="L252" s="174"/>
      <c r="M252" s="174"/>
      <c r="N252" s="174"/>
      <c r="O252" s="174"/>
      <c r="P252" s="174"/>
      <c r="Q252" s="174"/>
      <c r="R252" s="174"/>
      <c r="S252" s="174"/>
      <c r="T252" s="174"/>
      <c r="U252" s="174"/>
      <c r="V252" s="174"/>
      <c r="W252" s="174"/>
      <c r="X252" s="174"/>
      <c r="Y252" s="174"/>
      <c r="Z252" s="174"/>
      <c r="AA252" s="174"/>
    </row>
    <row r="253">
      <c r="A253" s="174"/>
      <c r="B253" s="174"/>
      <c r="C253" s="174"/>
      <c r="D253" s="174"/>
      <c r="E253" s="174"/>
      <c r="F253" s="175"/>
      <c r="G253" s="175"/>
      <c r="H253" s="174"/>
      <c r="I253" s="174"/>
      <c r="J253" s="174"/>
      <c r="K253" s="174"/>
      <c r="L253" s="174"/>
      <c r="M253" s="174"/>
      <c r="N253" s="174"/>
      <c r="O253" s="174"/>
      <c r="P253" s="174"/>
      <c r="Q253" s="174"/>
      <c r="R253" s="174"/>
      <c r="S253" s="174"/>
      <c r="T253" s="174"/>
      <c r="U253" s="174"/>
      <c r="V253" s="174"/>
      <c r="W253" s="174"/>
      <c r="X253" s="174"/>
      <c r="Y253" s="174"/>
      <c r="Z253" s="174"/>
      <c r="AA253" s="174"/>
    </row>
    <row r="254">
      <c r="A254" s="174"/>
      <c r="B254" s="174"/>
      <c r="C254" s="174"/>
      <c r="D254" s="174"/>
      <c r="E254" s="174"/>
      <c r="F254" s="175"/>
      <c r="G254" s="175"/>
      <c r="H254" s="174"/>
      <c r="I254" s="174"/>
      <c r="J254" s="174"/>
      <c r="K254" s="174"/>
      <c r="L254" s="174"/>
      <c r="M254" s="174"/>
      <c r="N254" s="174"/>
      <c r="O254" s="174"/>
      <c r="P254" s="174"/>
      <c r="Q254" s="174"/>
      <c r="R254" s="174"/>
      <c r="S254" s="174"/>
      <c r="T254" s="174"/>
      <c r="U254" s="174"/>
      <c r="V254" s="174"/>
      <c r="W254" s="174"/>
      <c r="X254" s="174"/>
      <c r="Y254" s="174"/>
      <c r="Z254" s="174"/>
      <c r="AA254" s="174"/>
    </row>
    <row r="255">
      <c r="A255" s="174"/>
      <c r="B255" s="174"/>
      <c r="C255" s="174"/>
      <c r="D255" s="174"/>
      <c r="E255" s="174"/>
      <c r="F255" s="175"/>
      <c r="G255" s="175"/>
      <c r="H255" s="174"/>
      <c r="I255" s="174"/>
      <c r="J255" s="174"/>
      <c r="K255" s="174"/>
      <c r="L255" s="174"/>
      <c r="M255" s="174"/>
      <c r="N255" s="174"/>
      <c r="O255" s="174"/>
      <c r="P255" s="174"/>
      <c r="Q255" s="174"/>
      <c r="R255" s="174"/>
      <c r="S255" s="174"/>
      <c r="T255" s="174"/>
      <c r="U255" s="174"/>
      <c r="V255" s="174"/>
      <c r="W255" s="174"/>
      <c r="X255" s="174"/>
      <c r="Y255" s="174"/>
      <c r="Z255" s="174"/>
      <c r="AA255" s="174"/>
    </row>
    <row r="256">
      <c r="A256" s="174"/>
      <c r="B256" s="174"/>
      <c r="C256" s="174"/>
      <c r="D256" s="174"/>
      <c r="E256" s="174"/>
      <c r="F256" s="175"/>
      <c r="G256" s="175"/>
      <c r="H256" s="174"/>
      <c r="I256" s="174"/>
      <c r="J256" s="174"/>
      <c r="K256" s="174"/>
      <c r="L256" s="174"/>
      <c r="M256" s="174"/>
      <c r="N256" s="174"/>
      <c r="O256" s="174"/>
      <c r="P256" s="174"/>
      <c r="Q256" s="174"/>
      <c r="R256" s="174"/>
      <c r="S256" s="174"/>
      <c r="T256" s="174"/>
      <c r="U256" s="174"/>
      <c r="V256" s="174"/>
      <c r="W256" s="174"/>
      <c r="X256" s="174"/>
      <c r="Y256" s="174"/>
      <c r="Z256" s="174"/>
      <c r="AA256" s="174"/>
    </row>
    <row r="257">
      <c r="A257" s="174"/>
      <c r="B257" s="174"/>
      <c r="C257" s="174"/>
      <c r="D257" s="174"/>
      <c r="E257" s="174"/>
      <c r="F257" s="175"/>
      <c r="G257" s="175"/>
      <c r="H257" s="174"/>
      <c r="I257" s="174"/>
      <c r="J257" s="174"/>
      <c r="K257" s="174"/>
      <c r="L257" s="174"/>
      <c r="M257" s="174"/>
      <c r="N257" s="174"/>
      <c r="O257" s="174"/>
      <c r="P257" s="174"/>
      <c r="Q257" s="174"/>
      <c r="R257" s="174"/>
      <c r="S257" s="174"/>
      <c r="T257" s="174"/>
      <c r="U257" s="174"/>
      <c r="V257" s="174"/>
      <c r="W257" s="174"/>
      <c r="X257" s="174"/>
      <c r="Y257" s="174"/>
      <c r="Z257" s="174"/>
      <c r="AA257" s="174"/>
    </row>
    <row r="258">
      <c r="A258" s="174"/>
      <c r="B258" s="174"/>
      <c r="C258" s="174"/>
      <c r="D258" s="174"/>
      <c r="E258" s="174"/>
      <c r="F258" s="175"/>
      <c r="G258" s="175"/>
      <c r="H258" s="174"/>
      <c r="I258" s="174"/>
      <c r="J258" s="174"/>
      <c r="K258" s="174"/>
      <c r="L258" s="174"/>
      <c r="M258" s="174"/>
      <c r="N258" s="174"/>
      <c r="O258" s="174"/>
      <c r="P258" s="174"/>
      <c r="Q258" s="174"/>
      <c r="R258" s="174"/>
      <c r="S258" s="174"/>
      <c r="T258" s="174"/>
      <c r="U258" s="174"/>
      <c r="V258" s="174"/>
      <c r="W258" s="174"/>
      <c r="X258" s="174"/>
      <c r="Y258" s="174"/>
      <c r="Z258" s="174"/>
      <c r="AA258" s="174"/>
    </row>
    <row r="259">
      <c r="A259" s="174"/>
      <c r="B259" s="174"/>
      <c r="C259" s="174"/>
      <c r="D259" s="174"/>
      <c r="E259" s="174"/>
      <c r="F259" s="175"/>
      <c r="G259" s="175"/>
      <c r="H259" s="174"/>
      <c r="I259" s="174"/>
      <c r="J259" s="174"/>
      <c r="K259" s="174"/>
      <c r="L259" s="174"/>
      <c r="M259" s="174"/>
      <c r="N259" s="174"/>
      <c r="O259" s="174"/>
      <c r="P259" s="174"/>
      <c r="Q259" s="174"/>
      <c r="R259" s="174"/>
      <c r="S259" s="174"/>
      <c r="T259" s="174"/>
      <c r="U259" s="174"/>
      <c r="V259" s="174"/>
      <c r="W259" s="174"/>
      <c r="X259" s="174"/>
      <c r="Y259" s="174"/>
      <c r="Z259" s="174"/>
      <c r="AA259" s="174"/>
    </row>
    <row r="260">
      <c r="A260" s="174"/>
      <c r="B260" s="174"/>
      <c r="C260" s="174"/>
      <c r="D260" s="174"/>
      <c r="E260" s="174"/>
      <c r="F260" s="175"/>
      <c r="G260" s="175"/>
      <c r="H260" s="174"/>
      <c r="I260" s="174"/>
      <c r="J260" s="174"/>
      <c r="K260" s="174"/>
      <c r="L260" s="174"/>
      <c r="M260" s="174"/>
      <c r="N260" s="174"/>
      <c r="O260" s="174"/>
      <c r="P260" s="174"/>
      <c r="Q260" s="174"/>
      <c r="R260" s="174"/>
      <c r="S260" s="174"/>
      <c r="T260" s="174"/>
      <c r="U260" s="174"/>
      <c r="V260" s="174"/>
      <c r="W260" s="174"/>
      <c r="X260" s="174"/>
      <c r="Y260" s="174"/>
      <c r="Z260" s="174"/>
      <c r="AA260" s="174"/>
    </row>
    <row r="261">
      <c r="A261" s="174"/>
      <c r="B261" s="174"/>
      <c r="C261" s="174"/>
      <c r="D261" s="174"/>
      <c r="E261" s="174"/>
      <c r="F261" s="175"/>
      <c r="G261" s="175"/>
      <c r="H261" s="174"/>
      <c r="I261" s="174"/>
      <c r="J261" s="174"/>
      <c r="K261" s="174"/>
      <c r="L261" s="174"/>
      <c r="M261" s="174"/>
      <c r="N261" s="174"/>
      <c r="O261" s="174"/>
      <c r="P261" s="174"/>
      <c r="Q261" s="174"/>
      <c r="R261" s="174"/>
      <c r="S261" s="174"/>
      <c r="T261" s="174"/>
      <c r="U261" s="174"/>
      <c r="V261" s="174"/>
      <c r="W261" s="174"/>
      <c r="X261" s="174"/>
      <c r="Y261" s="174"/>
      <c r="Z261" s="174"/>
      <c r="AA261" s="174"/>
    </row>
    <row r="262">
      <c r="A262" s="174"/>
      <c r="B262" s="174"/>
      <c r="C262" s="174"/>
      <c r="D262" s="174"/>
      <c r="E262" s="174"/>
      <c r="F262" s="175"/>
      <c r="G262" s="175"/>
      <c r="H262" s="174"/>
      <c r="I262" s="174"/>
      <c r="J262" s="174"/>
      <c r="K262" s="174"/>
      <c r="L262" s="174"/>
      <c r="M262" s="174"/>
      <c r="N262" s="174"/>
      <c r="O262" s="174"/>
      <c r="P262" s="174"/>
      <c r="Q262" s="174"/>
      <c r="R262" s="174"/>
      <c r="S262" s="174"/>
      <c r="T262" s="174"/>
      <c r="U262" s="174"/>
      <c r="V262" s="174"/>
      <c r="W262" s="174"/>
      <c r="X262" s="174"/>
      <c r="Y262" s="174"/>
      <c r="Z262" s="174"/>
      <c r="AA262" s="174"/>
    </row>
    <row r="263">
      <c r="A263" s="174"/>
      <c r="B263" s="174"/>
      <c r="C263" s="174"/>
      <c r="D263" s="174"/>
      <c r="E263" s="174"/>
      <c r="F263" s="175"/>
      <c r="G263" s="175"/>
      <c r="H263" s="174"/>
      <c r="I263" s="174"/>
      <c r="J263" s="174"/>
      <c r="K263" s="174"/>
      <c r="L263" s="174"/>
      <c r="M263" s="174"/>
      <c r="N263" s="174"/>
      <c r="O263" s="174"/>
      <c r="P263" s="174"/>
      <c r="Q263" s="174"/>
      <c r="R263" s="174"/>
      <c r="S263" s="174"/>
      <c r="T263" s="174"/>
      <c r="U263" s="174"/>
      <c r="V263" s="174"/>
      <c r="W263" s="174"/>
      <c r="X263" s="174"/>
      <c r="Y263" s="174"/>
      <c r="Z263" s="174"/>
      <c r="AA263" s="174"/>
    </row>
    <row r="264">
      <c r="A264" s="174"/>
      <c r="B264" s="174"/>
      <c r="C264" s="174"/>
      <c r="D264" s="174"/>
      <c r="E264" s="174"/>
      <c r="F264" s="175"/>
      <c r="G264" s="175"/>
      <c r="H264" s="174"/>
      <c r="I264" s="174"/>
      <c r="J264" s="174"/>
      <c r="K264" s="174"/>
      <c r="L264" s="174"/>
      <c r="M264" s="174"/>
      <c r="N264" s="174"/>
      <c r="O264" s="174"/>
      <c r="P264" s="174"/>
      <c r="Q264" s="174"/>
      <c r="R264" s="174"/>
      <c r="S264" s="174"/>
      <c r="T264" s="174"/>
      <c r="U264" s="174"/>
      <c r="V264" s="174"/>
      <c r="W264" s="174"/>
      <c r="X264" s="174"/>
      <c r="Y264" s="174"/>
      <c r="Z264" s="174"/>
      <c r="AA264" s="174"/>
    </row>
    <row r="265">
      <c r="A265" s="174"/>
      <c r="B265" s="174"/>
      <c r="C265" s="174"/>
      <c r="D265" s="174"/>
      <c r="E265" s="174"/>
      <c r="F265" s="175"/>
      <c r="G265" s="175"/>
      <c r="H265" s="174"/>
      <c r="I265" s="174"/>
      <c r="J265" s="174"/>
      <c r="K265" s="174"/>
      <c r="L265" s="174"/>
      <c r="M265" s="174"/>
      <c r="N265" s="174"/>
      <c r="O265" s="174"/>
      <c r="P265" s="174"/>
      <c r="Q265" s="174"/>
      <c r="R265" s="174"/>
      <c r="S265" s="174"/>
      <c r="T265" s="174"/>
      <c r="U265" s="174"/>
      <c r="V265" s="174"/>
      <c r="W265" s="174"/>
      <c r="X265" s="174"/>
      <c r="Y265" s="174"/>
      <c r="Z265" s="174"/>
      <c r="AA265" s="174"/>
    </row>
    <row r="266">
      <c r="A266" s="174"/>
      <c r="B266" s="174"/>
      <c r="C266" s="174"/>
      <c r="D266" s="174"/>
      <c r="E266" s="174"/>
      <c r="F266" s="175"/>
      <c r="G266" s="175"/>
      <c r="H266" s="174"/>
      <c r="I266" s="174"/>
      <c r="J266" s="174"/>
      <c r="K266" s="174"/>
      <c r="L266" s="174"/>
      <c r="M266" s="174"/>
      <c r="N266" s="174"/>
      <c r="O266" s="174"/>
      <c r="P266" s="174"/>
      <c r="Q266" s="174"/>
      <c r="R266" s="174"/>
      <c r="S266" s="174"/>
      <c r="T266" s="174"/>
      <c r="U266" s="174"/>
      <c r="V266" s="174"/>
      <c r="W266" s="174"/>
      <c r="X266" s="174"/>
      <c r="Y266" s="174"/>
      <c r="Z266" s="174"/>
      <c r="AA266" s="174"/>
    </row>
    <row r="267">
      <c r="A267" s="174"/>
      <c r="B267" s="174"/>
      <c r="C267" s="174"/>
      <c r="D267" s="174"/>
      <c r="E267" s="174"/>
      <c r="F267" s="175"/>
      <c r="G267" s="175"/>
      <c r="H267" s="174"/>
      <c r="I267" s="174"/>
      <c r="J267" s="174"/>
      <c r="K267" s="174"/>
      <c r="L267" s="174"/>
      <c r="M267" s="174"/>
      <c r="N267" s="174"/>
      <c r="O267" s="174"/>
      <c r="P267" s="174"/>
      <c r="Q267" s="174"/>
      <c r="R267" s="174"/>
      <c r="S267" s="174"/>
      <c r="T267" s="174"/>
      <c r="U267" s="174"/>
      <c r="V267" s="174"/>
      <c r="W267" s="174"/>
      <c r="X267" s="174"/>
      <c r="Y267" s="174"/>
      <c r="Z267" s="174"/>
      <c r="AA267" s="174"/>
    </row>
    <row r="268">
      <c r="A268" s="174"/>
      <c r="B268" s="174"/>
      <c r="C268" s="174"/>
      <c r="D268" s="174"/>
      <c r="E268" s="174"/>
      <c r="F268" s="175"/>
      <c r="G268" s="175"/>
      <c r="H268" s="174"/>
      <c r="I268" s="174"/>
      <c r="J268" s="174"/>
      <c r="K268" s="174"/>
      <c r="L268" s="174"/>
      <c r="M268" s="174"/>
      <c r="N268" s="174"/>
      <c r="O268" s="174"/>
      <c r="P268" s="174"/>
      <c r="Q268" s="174"/>
      <c r="R268" s="174"/>
      <c r="S268" s="174"/>
      <c r="T268" s="174"/>
      <c r="U268" s="174"/>
      <c r="V268" s="174"/>
      <c r="W268" s="174"/>
      <c r="X268" s="174"/>
      <c r="Y268" s="174"/>
      <c r="Z268" s="174"/>
      <c r="AA268" s="174"/>
    </row>
    <row r="269">
      <c r="A269" s="174"/>
      <c r="B269" s="174"/>
      <c r="C269" s="174"/>
      <c r="D269" s="174"/>
      <c r="E269" s="174"/>
      <c r="F269" s="175"/>
      <c r="G269" s="175"/>
      <c r="H269" s="174"/>
      <c r="I269" s="174"/>
      <c r="J269" s="174"/>
      <c r="K269" s="174"/>
      <c r="L269" s="174"/>
      <c r="M269" s="174"/>
      <c r="N269" s="174"/>
      <c r="O269" s="174"/>
      <c r="P269" s="174"/>
      <c r="Q269" s="174"/>
      <c r="R269" s="174"/>
      <c r="S269" s="174"/>
      <c r="T269" s="174"/>
      <c r="U269" s="174"/>
      <c r="V269" s="174"/>
      <c r="W269" s="174"/>
      <c r="X269" s="174"/>
      <c r="Y269" s="174"/>
      <c r="Z269" s="174"/>
      <c r="AA269" s="174"/>
    </row>
    <row r="270">
      <c r="A270" s="174"/>
      <c r="B270" s="174"/>
      <c r="C270" s="174"/>
      <c r="D270" s="174"/>
      <c r="E270" s="174"/>
      <c r="F270" s="175"/>
      <c r="G270" s="175"/>
      <c r="H270" s="174"/>
      <c r="I270" s="174"/>
      <c r="J270" s="174"/>
      <c r="K270" s="174"/>
      <c r="L270" s="174"/>
      <c r="M270" s="174"/>
      <c r="N270" s="174"/>
      <c r="O270" s="174"/>
      <c r="P270" s="174"/>
      <c r="Q270" s="174"/>
      <c r="R270" s="174"/>
      <c r="S270" s="174"/>
      <c r="T270" s="174"/>
      <c r="U270" s="174"/>
      <c r="V270" s="174"/>
      <c r="W270" s="174"/>
      <c r="X270" s="174"/>
      <c r="Y270" s="174"/>
      <c r="Z270" s="174"/>
      <c r="AA270" s="174"/>
    </row>
    <row r="271">
      <c r="A271" s="174"/>
      <c r="B271" s="174"/>
      <c r="C271" s="174"/>
      <c r="D271" s="174"/>
      <c r="E271" s="174"/>
      <c r="F271" s="175"/>
      <c r="G271" s="175"/>
      <c r="H271" s="174"/>
      <c r="I271" s="174"/>
      <c r="J271" s="174"/>
      <c r="K271" s="174"/>
      <c r="L271" s="174"/>
      <c r="M271" s="174"/>
      <c r="N271" s="174"/>
      <c r="O271" s="174"/>
      <c r="P271" s="174"/>
      <c r="Q271" s="174"/>
      <c r="R271" s="174"/>
      <c r="S271" s="174"/>
      <c r="T271" s="174"/>
      <c r="U271" s="174"/>
      <c r="V271" s="174"/>
      <c r="W271" s="174"/>
      <c r="X271" s="174"/>
      <c r="Y271" s="174"/>
      <c r="Z271" s="174"/>
      <c r="AA271" s="174"/>
    </row>
    <row r="272">
      <c r="A272" s="174"/>
      <c r="B272" s="174"/>
      <c r="C272" s="174"/>
      <c r="D272" s="174"/>
      <c r="E272" s="174"/>
      <c r="F272" s="175"/>
      <c r="G272" s="175"/>
      <c r="H272" s="174"/>
      <c r="I272" s="174"/>
      <c r="J272" s="174"/>
      <c r="K272" s="174"/>
      <c r="L272" s="174"/>
      <c r="M272" s="174"/>
      <c r="N272" s="174"/>
      <c r="O272" s="174"/>
      <c r="P272" s="174"/>
      <c r="Q272" s="174"/>
      <c r="R272" s="174"/>
      <c r="S272" s="174"/>
      <c r="T272" s="174"/>
      <c r="U272" s="174"/>
      <c r="V272" s="174"/>
      <c r="W272" s="174"/>
      <c r="X272" s="174"/>
      <c r="Y272" s="174"/>
      <c r="Z272" s="174"/>
      <c r="AA272" s="174"/>
    </row>
    <row r="273">
      <c r="A273" s="174"/>
      <c r="B273" s="174"/>
      <c r="C273" s="174"/>
      <c r="D273" s="174"/>
      <c r="E273" s="174"/>
      <c r="F273" s="175"/>
      <c r="G273" s="175"/>
      <c r="H273" s="174"/>
      <c r="I273" s="174"/>
      <c r="J273" s="174"/>
      <c r="K273" s="174"/>
      <c r="L273" s="174"/>
      <c r="M273" s="174"/>
      <c r="N273" s="174"/>
      <c r="O273" s="174"/>
      <c r="P273" s="174"/>
      <c r="Q273" s="174"/>
      <c r="R273" s="174"/>
      <c r="S273" s="174"/>
      <c r="T273" s="174"/>
      <c r="U273" s="174"/>
      <c r="V273" s="174"/>
      <c r="W273" s="174"/>
      <c r="X273" s="174"/>
      <c r="Y273" s="174"/>
      <c r="Z273" s="174"/>
      <c r="AA273" s="174"/>
    </row>
    <row r="274">
      <c r="A274" s="174"/>
      <c r="B274" s="174"/>
      <c r="C274" s="174"/>
      <c r="D274" s="174"/>
      <c r="E274" s="174"/>
      <c r="F274" s="175"/>
      <c r="G274" s="175"/>
      <c r="H274" s="174"/>
      <c r="I274" s="174"/>
      <c r="J274" s="174"/>
      <c r="K274" s="174"/>
      <c r="L274" s="174"/>
      <c r="M274" s="174"/>
      <c r="N274" s="174"/>
      <c r="O274" s="174"/>
      <c r="P274" s="174"/>
      <c r="Q274" s="174"/>
      <c r="R274" s="174"/>
      <c r="S274" s="174"/>
      <c r="T274" s="174"/>
      <c r="U274" s="174"/>
      <c r="V274" s="174"/>
      <c r="W274" s="174"/>
      <c r="X274" s="174"/>
      <c r="Y274" s="174"/>
      <c r="Z274" s="174"/>
      <c r="AA274" s="174"/>
    </row>
    <row r="275">
      <c r="A275" s="174"/>
      <c r="B275" s="174"/>
      <c r="C275" s="174"/>
      <c r="D275" s="174"/>
      <c r="E275" s="174"/>
      <c r="F275" s="175"/>
      <c r="G275" s="175"/>
      <c r="H275" s="174"/>
      <c r="I275" s="174"/>
      <c r="J275" s="174"/>
      <c r="K275" s="174"/>
      <c r="L275" s="174"/>
      <c r="M275" s="174"/>
      <c r="N275" s="174"/>
      <c r="O275" s="174"/>
      <c r="P275" s="174"/>
      <c r="Q275" s="174"/>
      <c r="R275" s="174"/>
      <c r="S275" s="174"/>
      <c r="T275" s="174"/>
      <c r="U275" s="174"/>
      <c r="V275" s="174"/>
      <c r="W275" s="174"/>
      <c r="X275" s="174"/>
      <c r="Y275" s="174"/>
      <c r="Z275" s="174"/>
      <c r="AA275" s="174"/>
    </row>
    <row r="276">
      <c r="A276" s="174"/>
      <c r="B276" s="174"/>
      <c r="C276" s="174"/>
      <c r="D276" s="174"/>
      <c r="E276" s="174"/>
      <c r="F276" s="175"/>
      <c r="G276" s="175"/>
      <c r="H276" s="174"/>
      <c r="I276" s="174"/>
      <c r="J276" s="174"/>
      <c r="K276" s="174"/>
      <c r="L276" s="174"/>
      <c r="M276" s="174"/>
      <c r="N276" s="174"/>
      <c r="O276" s="174"/>
      <c r="P276" s="174"/>
      <c r="Q276" s="174"/>
      <c r="R276" s="174"/>
      <c r="S276" s="174"/>
      <c r="T276" s="174"/>
      <c r="U276" s="174"/>
      <c r="V276" s="174"/>
      <c r="W276" s="174"/>
      <c r="X276" s="174"/>
      <c r="Y276" s="174"/>
      <c r="Z276" s="174"/>
      <c r="AA276" s="174"/>
    </row>
    <row r="277">
      <c r="A277" s="174"/>
      <c r="B277" s="174"/>
      <c r="C277" s="174"/>
      <c r="D277" s="174"/>
      <c r="E277" s="174"/>
      <c r="F277" s="175"/>
      <c r="G277" s="175"/>
      <c r="H277" s="174"/>
      <c r="I277" s="174"/>
      <c r="J277" s="174"/>
      <c r="K277" s="174"/>
      <c r="L277" s="174"/>
      <c r="M277" s="174"/>
      <c r="N277" s="174"/>
      <c r="O277" s="174"/>
      <c r="P277" s="174"/>
      <c r="Q277" s="174"/>
      <c r="R277" s="174"/>
      <c r="S277" s="174"/>
      <c r="T277" s="174"/>
      <c r="U277" s="174"/>
      <c r="V277" s="174"/>
      <c r="W277" s="174"/>
      <c r="X277" s="174"/>
      <c r="Y277" s="174"/>
      <c r="Z277" s="174"/>
      <c r="AA277" s="174"/>
    </row>
    <row r="278">
      <c r="A278" s="174"/>
      <c r="B278" s="174"/>
      <c r="C278" s="174"/>
      <c r="D278" s="174"/>
      <c r="E278" s="174"/>
      <c r="F278" s="175"/>
      <c r="G278" s="175"/>
      <c r="H278" s="174"/>
      <c r="I278" s="174"/>
      <c r="J278" s="174"/>
      <c r="K278" s="174"/>
      <c r="L278" s="174"/>
      <c r="M278" s="174"/>
      <c r="N278" s="174"/>
      <c r="O278" s="174"/>
      <c r="P278" s="174"/>
      <c r="Q278" s="174"/>
      <c r="R278" s="174"/>
      <c r="S278" s="174"/>
      <c r="T278" s="174"/>
      <c r="U278" s="174"/>
      <c r="V278" s="174"/>
      <c r="W278" s="174"/>
      <c r="X278" s="174"/>
      <c r="Y278" s="174"/>
      <c r="Z278" s="174"/>
      <c r="AA278" s="174"/>
    </row>
    <row r="279">
      <c r="A279" s="174"/>
      <c r="B279" s="174"/>
      <c r="C279" s="174"/>
      <c r="D279" s="174"/>
      <c r="E279" s="174"/>
      <c r="F279" s="175"/>
      <c r="G279" s="175"/>
      <c r="H279" s="174"/>
      <c r="I279" s="174"/>
      <c r="J279" s="174"/>
      <c r="K279" s="174"/>
      <c r="L279" s="174"/>
      <c r="M279" s="174"/>
      <c r="N279" s="174"/>
      <c r="O279" s="174"/>
      <c r="P279" s="174"/>
      <c r="Q279" s="174"/>
      <c r="R279" s="174"/>
      <c r="S279" s="174"/>
      <c r="T279" s="174"/>
      <c r="U279" s="174"/>
      <c r="V279" s="174"/>
      <c r="W279" s="174"/>
      <c r="X279" s="174"/>
      <c r="Y279" s="174"/>
      <c r="Z279" s="174"/>
      <c r="AA279" s="174"/>
    </row>
    <row r="280">
      <c r="A280" s="174"/>
      <c r="B280" s="174"/>
      <c r="C280" s="174"/>
      <c r="D280" s="174"/>
      <c r="E280" s="174"/>
      <c r="F280" s="175"/>
      <c r="G280" s="175"/>
      <c r="H280" s="174"/>
      <c r="I280" s="174"/>
      <c r="J280" s="174"/>
      <c r="K280" s="174"/>
      <c r="L280" s="174"/>
      <c r="M280" s="174"/>
      <c r="N280" s="174"/>
      <c r="O280" s="174"/>
      <c r="P280" s="174"/>
      <c r="Q280" s="174"/>
      <c r="R280" s="174"/>
      <c r="S280" s="174"/>
      <c r="T280" s="174"/>
      <c r="U280" s="174"/>
      <c r="V280" s="174"/>
      <c r="W280" s="174"/>
      <c r="X280" s="174"/>
      <c r="Y280" s="174"/>
      <c r="Z280" s="174"/>
      <c r="AA280" s="174"/>
    </row>
    <row r="281">
      <c r="A281" s="174"/>
      <c r="B281" s="174"/>
      <c r="C281" s="174"/>
      <c r="D281" s="174"/>
      <c r="E281" s="174"/>
      <c r="F281" s="175"/>
      <c r="G281" s="175"/>
      <c r="H281" s="174"/>
      <c r="I281" s="174"/>
      <c r="J281" s="174"/>
      <c r="K281" s="174"/>
      <c r="L281" s="174"/>
      <c r="M281" s="174"/>
      <c r="N281" s="174"/>
      <c r="O281" s="174"/>
      <c r="P281" s="174"/>
      <c r="Q281" s="174"/>
      <c r="R281" s="174"/>
      <c r="S281" s="174"/>
      <c r="T281" s="174"/>
      <c r="U281" s="174"/>
      <c r="V281" s="174"/>
      <c r="W281" s="174"/>
      <c r="X281" s="174"/>
      <c r="Y281" s="174"/>
      <c r="Z281" s="174"/>
      <c r="AA281" s="174"/>
    </row>
    <row r="282">
      <c r="A282" s="174"/>
      <c r="B282" s="174"/>
      <c r="C282" s="174"/>
      <c r="D282" s="174"/>
      <c r="E282" s="174"/>
      <c r="F282" s="175"/>
      <c r="G282" s="175"/>
      <c r="H282" s="174"/>
      <c r="I282" s="174"/>
      <c r="J282" s="174"/>
      <c r="K282" s="174"/>
      <c r="L282" s="174"/>
      <c r="M282" s="174"/>
      <c r="N282" s="174"/>
      <c r="O282" s="174"/>
      <c r="P282" s="174"/>
      <c r="Q282" s="174"/>
      <c r="R282" s="174"/>
      <c r="S282" s="174"/>
      <c r="T282" s="174"/>
      <c r="U282" s="174"/>
      <c r="V282" s="174"/>
      <c r="W282" s="174"/>
      <c r="X282" s="174"/>
      <c r="Y282" s="174"/>
      <c r="Z282" s="174"/>
      <c r="AA282" s="174"/>
    </row>
    <row r="283">
      <c r="A283" s="174"/>
      <c r="B283" s="174"/>
      <c r="C283" s="174"/>
      <c r="D283" s="174"/>
      <c r="E283" s="174"/>
      <c r="F283" s="175"/>
      <c r="G283" s="175"/>
      <c r="H283" s="174"/>
      <c r="I283" s="174"/>
      <c r="J283" s="174"/>
      <c r="K283" s="174"/>
      <c r="L283" s="174"/>
      <c r="M283" s="174"/>
      <c r="N283" s="174"/>
      <c r="O283" s="174"/>
      <c r="P283" s="174"/>
      <c r="Q283" s="174"/>
      <c r="R283" s="174"/>
      <c r="S283" s="174"/>
      <c r="T283" s="174"/>
      <c r="U283" s="174"/>
      <c r="V283" s="174"/>
      <c r="W283" s="174"/>
      <c r="X283" s="174"/>
      <c r="Y283" s="174"/>
      <c r="Z283" s="174"/>
      <c r="AA283" s="174"/>
    </row>
    <row r="284">
      <c r="A284" s="174"/>
      <c r="B284" s="174"/>
      <c r="C284" s="174"/>
      <c r="D284" s="174"/>
      <c r="E284" s="174"/>
      <c r="F284" s="175"/>
      <c r="G284" s="175"/>
      <c r="H284" s="174"/>
      <c r="I284" s="174"/>
      <c r="J284" s="174"/>
      <c r="K284" s="174"/>
      <c r="L284" s="174"/>
      <c r="M284" s="174"/>
      <c r="N284" s="174"/>
      <c r="O284" s="174"/>
      <c r="P284" s="174"/>
      <c r="Q284" s="174"/>
      <c r="R284" s="174"/>
      <c r="S284" s="174"/>
      <c r="T284" s="174"/>
      <c r="U284" s="174"/>
      <c r="V284" s="174"/>
      <c r="W284" s="174"/>
      <c r="X284" s="174"/>
      <c r="Y284" s="174"/>
      <c r="Z284" s="174"/>
      <c r="AA284" s="174"/>
    </row>
    <row r="285">
      <c r="A285" s="174"/>
      <c r="B285" s="174"/>
      <c r="C285" s="174"/>
      <c r="D285" s="174"/>
      <c r="E285" s="174"/>
      <c r="F285" s="175"/>
      <c r="G285" s="175"/>
      <c r="H285" s="174"/>
      <c r="I285" s="174"/>
      <c r="J285" s="174"/>
      <c r="K285" s="174"/>
      <c r="L285" s="174"/>
      <c r="M285" s="174"/>
      <c r="N285" s="174"/>
      <c r="O285" s="174"/>
      <c r="P285" s="174"/>
      <c r="Q285" s="174"/>
      <c r="R285" s="174"/>
      <c r="S285" s="174"/>
      <c r="T285" s="174"/>
      <c r="U285" s="174"/>
      <c r="V285" s="174"/>
      <c r="W285" s="174"/>
      <c r="X285" s="174"/>
      <c r="Y285" s="174"/>
      <c r="Z285" s="174"/>
      <c r="AA285" s="174"/>
    </row>
    <row r="286">
      <c r="A286" s="174"/>
      <c r="B286" s="174"/>
      <c r="C286" s="174"/>
      <c r="D286" s="174"/>
      <c r="E286" s="174"/>
      <c r="F286" s="175"/>
      <c r="G286" s="175"/>
      <c r="H286" s="174"/>
      <c r="I286" s="174"/>
      <c r="J286" s="174"/>
      <c r="K286" s="174"/>
      <c r="L286" s="174"/>
      <c r="M286" s="174"/>
      <c r="N286" s="174"/>
      <c r="O286" s="174"/>
      <c r="P286" s="174"/>
      <c r="Q286" s="174"/>
      <c r="R286" s="174"/>
      <c r="S286" s="174"/>
      <c r="T286" s="174"/>
      <c r="U286" s="174"/>
      <c r="V286" s="174"/>
      <c r="W286" s="174"/>
      <c r="X286" s="174"/>
      <c r="Y286" s="174"/>
      <c r="Z286" s="174"/>
      <c r="AA286" s="174"/>
    </row>
    <row r="287">
      <c r="A287" s="174"/>
      <c r="B287" s="174"/>
      <c r="C287" s="174"/>
      <c r="D287" s="174"/>
      <c r="E287" s="174"/>
      <c r="F287" s="175"/>
      <c r="G287" s="175"/>
      <c r="H287" s="174"/>
      <c r="I287" s="174"/>
      <c r="J287" s="174"/>
      <c r="K287" s="174"/>
      <c r="L287" s="174"/>
      <c r="M287" s="174"/>
      <c r="N287" s="174"/>
      <c r="O287" s="174"/>
      <c r="P287" s="174"/>
      <c r="Q287" s="174"/>
      <c r="R287" s="174"/>
      <c r="S287" s="174"/>
      <c r="T287" s="174"/>
      <c r="U287" s="174"/>
      <c r="V287" s="174"/>
      <c r="W287" s="174"/>
      <c r="X287" s="174"/>
      <c r="Y287" s="174"/>
      <c r="Z287" s="174"/>
      <c r="AA287" s="174"/>
    </row>
    <row r="288">
      <c r="A288" s="174"/>
      <c r="B288" s="174"/>
      <c r="C288" s="174"/>
      <c r="D288" s="174"/>
      <c r="E288" s="174"/>
      <c r="F288" s="175"/>
      <c r="G288" s="175"/>
      <c r="H288" s="174"/>
      <c r="I288" s="174"/>
      <c r="J288" s="174"/>
      <c r="K288" s="174"/>
      <c r="L288" s="174"/>
      <c r="M288" s="174"/>
      <c r="N288" s="174"/>
      <c r="O288" s="174"/>
      <c r="P288" s="174"/>
      <c r="Q288" s="174"/>
      <c r="R288" s="174"/>
      <c r="S288" s="174"/>
      <c r="T288" s="174"/>
      <c r="U288" s="174"/>
      <c r="V288" s="174"/>
      <c r="W288" s="174"/>
      <c r="X288" s="174"/>
      <c r="Y288" s="174"/>
      <c r="Z288" s="174"/>
      <c r="AA288" s="174"/>
    </row>
    <row r="289">
      <c r="A289" s="174"/>
      <c r="B289" s="174"/>
      <c r="C289" s="174"/>
      <c r="D289" s="174"/>
      <c r="E289" s="174"/>
      <c r="F289" s="175"/>
      <c r="G289" s="175"/>
      <c r="H289" s="174"/>
      <c r="I289" s="174"/>
      <c r="J289" s="174"/>
      <c r="K289" s="174"/>
      <c r="L289" s="174"/>
      <c r="M289" s="174"/>
      <c r="N289" s="174"/>
      <c r="O289" s="174"/>
      <c r="P289" s="174"/>
      <c r="Q289" s="174"/>
      <c r="R289" s="174"/>
      <c r="S289" s="174"/>
      <c r="T289" s="174"/>
      <c r="U289" s="174"/>
      <c r="V289" s="174"/>
      <c r="W289" s="174"/>
      <c r="X289" s="174"/>
      <c r="Y289" s="174"/>
      <c r="Z289" s="174"/>
      <c r="AA289" s="174"/>
    </row>
    <row r="290">
      <c r="A290" s="174"/>
      <c r="B290" s="174"/>
      <c r="C290" s="174"/>
      <c r="D290" s="174"/>
      <c r="E290" s="174"/>
      <c r="F290" s="175"/>
      <c r="G290" s="175"/>
      <c r="H290" s="174"/>
      <c r="I290" s="174"/>
      <c r="J290" s="174"/>
      <c r="K290" s="174"/>
      <c r="L290" s="174"/>
      <c r="M290" s="174"/>
      <c r="N290" s="174"/>
      <c r="O290" s="174"/>
      <c r="P290" s="174"/>
      <c r="Q290" s="174"/>
      <c r="R290" s="174"/>
      <c r="S290" s="174"/>
      <c r="T290" s="174"/>
      <c r="U290" s="174"/>
      <c r="V290" s="174"/>
      <c r="W290" s="174"/>
      <c r="X290" s="174"/>
      <c r="Y290" s="174"/>
      <c r="Z290" s="174"/>
      <c r="AA290" s="174"/>
    </row>
    <row r="291">
      <c r="A291" s="174"/>
      <c r="B291" s="174"/>
      <c r="C291" s="174"/>
      <c r="D291" s="174"/>
      <c r="E291" s="174"/>
      <c r="F291" s="175"/>
      <c r="G291" s="175"/>
      <c r="H291" s="174"/>
      <c r="I291" s="174"/>
      <c r="J291" s="174"/>
      <c r="K291" s="174"/>
      <c r="L291" s="174"/>
      <c r="M291" s="174"/>
      <c r="N291" s="174"/>
      <c r="O291" s="174"/>
      <c r="P291" s="174"/>
      <c r="Q291" s="174"/>
      <c r="R291" s="174"/>
      <c r="S291" s="174"/>
      <c r="T291" s="174"/>
      <c r="U291" s="174"/>
      <c r="V291" s="174"/>
      <c r="W291" s="174"/>
      <c r="X291" s="174"/>
      <c r="Y291" s="174"/>
      <c r="Z291" s="174"/>
      <c r="AA291" s="174"/>
    </row>
    <row r="292">
      <c r="A292" s="174"/>
      <c r="B292" s="174"/>
      <c r="C292" s="174"/>
      <c r="D292" s="174"/>
      <c r="E292" s="174"/>
      <c r="F292" s="175"/>
      <c r="G292" s="175"/>
      <c r="H292" s="174"/>
      <c r="I292" s="174"/>
      <c r="J292" s="174"/>
      <c r="K292" s="174"/>
      <c r="L292" s="174"/>
      <c r="M292" s="174"/>
      <c r="N292" s="174"/>
      <c r="O292" s="174"/>
      <c r="P292" s="174"/>
      <c r="Q292" s="174"/>
      <c r="R292" s="174"/>
      <c r="S292" s="174"/>
      <c r="T292" s="174"/>
      <c r="U292" s="174"/>
      <c r="V292" s="174"/>
      <c r="W292" s="174"/>
      <c r="X292" s="174"/>
      <c r="Y292" s="174"/>
      <c r="Z292" s="174"/>
      <c r="AA292" s="174"/>
    </row>
    <row r="293">
      <c r="A293" s="174"/>
      <c r="B293" s="174"/>
      <c r="C293" s="174"/>
      <c r="D293" s="174"/>
      <c r="E293" s="174"/>
      <c r="F293" s="175"/>
      <c r="G293" s="175"/>
      <c r="H293" s="174"/>
      <c r="I293" s="174"/>
      <c r="J293" s="174"/>
      <c r="K293" s="174"/>
      <c r="L293" s="174"/>
      <c r="M293" s="174"/>
      <c r="N293" s="174"/>
      <c r="O293" s="174"/>
      <c r="P293" s="174"/>
      <c r="Q293" s="174"/>
      <c r="R293" s="174"/>
      <c r="S293" s="174"/>
      <c r="T293" s="174"/>
      <c r="U293" s="174"/>
      <c r="V293" s="174"/>
      <c r="W293" s="174"/>
      <c r="X293" s="174"/>
      <c r="Y293" s="174"/>
      <c r="Z293" s="174"/>
      <c r="AA293" s="174"/>
    </row>
    <row r="294">
      <c r="A294" s="174"/>
      <c r="B294" s="174"/>
      <c r="C294" s="174"/>
      <c r="D294" s="174"/>
      <c r="E294" s="174"/>
      <c r="F294" s="175"/>
      <c r="G294" s="175"/>
      <c r="H294" s="174"/>
      <c r="I294" s="174"/>
      <c r="J294" s="174"/>
      <c r="K294" s="174"/>
      <c r="L294" s="174"/>
      <c r="M294" s="174"/>
      <c r="N294" s="174"/>
      <c r="O294" s="174"/>
      <c r="P294" s="174"/>
      <c r="Q294" s="174"/>
      <c r="R294" s="174"/>
      <c r="S294" s="174"/>
      <c r="T294" s="174"/>
      <c r="U294" s="174"/>
      <c r="V294" s="174"/>
      <c r="W294" s="174"/>
      <c r="X294" s="174"/>
      <c r="Y294" s="174"/>
      <c r="Z294" s="174"/>
      <c r="AA294" s="174"/>
    </row>
    <row r="295">
      <c r="A295" s="174"/>
      <c r="B295" s="174"/>
      <c r="C295" s="174"/>
      <c r="D295" s="174"/>
      <c r="E295" s="174"/>
      <c r="F295" s="175"/>
      <c r="G295" s="175"/>
      <c r="H295" s="174"/>
      <c r="I295" s="174"/>
      <c r="J295" s="174"/>
      <c r="K295" s="174"/>
      <c r="L295" s="174"/>
      <c r="M295" s="174"/>
      <c r="N295" s="174"/>
      <c r="O295" s="174"/>
      <c r="P295" s="174"/>
      <c r="Q295" s="174"/>
      <c r="R295" s="174"/>
      <c r="S295" s="174"/>
      <c r="T295" s="174"/>
      <c r="U295" s="174"/>
      <c r="V295" s="174"/>
      <c r="W295" s="174"/>
      <c r="X295" s="174"/>
      <c r="Y295" s="174"/>
      <c r="Z295" s="174"/>
      <c r="AA295" s="174"/>
    </row>
    <row r="296">
      <c r="A296" s="174"/>
      <c r="B296" s="174"/>
      <c r="C296" s="174"/>
      <c r="D296" s="174"/>
      <c r="E296" s="174"/>
      <c r="F296" s="175"/>
      <c r="G296" s="175"/>
      <c r="H296" s="174"/>
      <c r="I296" s="174"/>
      <c r="J296" s="174"/>
      <c r="K296" s="174"/>
      <c r="L296" s="174"/>
      <c r="M296" s="174"/>
      <c r="N296" s="174"/>
      <c r="O296" s="174"/>
      <c r="P296" s="174"/>
      <c r="Q296" s="174"/>
      <c r="R296" s="174"/>
      <c r="S296" s="174"/>
      <c r="T296" s="174"/>
      <c r="U296" s="174"/>
      <c r="V296" s="174"/>
      <c r="W296" s="174"/>
      <c r="X296" s="174"/>
      <c r="Y296" s="174"/>
      <c r="Z296" s="174"/>
      <c r="AA296" s="174"/>
    </row>
    <row r="297">
      <c r="A297" s="174"/>
      <c r="B297" s="174"/>
      <c r="C297" s="174"/>
      <c r="D297" s="174"/>
      <c r="E297" s="174"/>
      <c r="F297" s="175"/>
      <c r="G297" s="175"/>
      <c r="H297" s="174"/>
      <c r="I297" s="174"/>
      <c r="J297" s="174"/>
      <c r="K297" s="174"/>
      <c r="L297" s="174"/>
      <c r="M297" s="174"/>
      <c r="N297" s="174"/>
      <c r="O297" s="174"/>
      <c r="P297" s="174"/>
      <c r="Q297" s="174"/>
      <c r="R297" s="174"/>
      <c r="S297" s="174"/>
      <c r="T297" s="174"/>
      <c r="U297" s="174"/>
      <c r="V297" s="174"/>
      <c r="W297" s="174"/>
      <c r="X297" s="174"/>
      <c r="Y297" s="174"/>
      <c r="Z297" s="174"/>
      <c r="AA297" s="174"/>
    </row>
    <row r="298">
      <c r="A298" s="174"/>
      <c r="B298" s="174"/>
      <c r="C298" s="174"/>
      <c r="D298" s="174"/>
      <c r="E298" s="174"/>
      <c r="F298" s="175"/>
      <c r="G298" s="175"/>
      <c r="H298" s="174"/>
      <c r="I298" s="174"/>
      <c r="J298" s="174"/>
      <c r="K298" s="174"/>
      <c r="L298" s="174"/>
      <c r="M298" s="174"/>
      <c r="N298" s="174"/>
      <c r="O298" s="174"/>
      <c r="P298" s="174"/>
      <c r="Q298" s="174"/>
      <c r="R298" s="174"/>
      <c r="S298" s="174"/>
      <c r="T298" s="174"/>
      <c r="U298" s="174"/>
      <c r="V298" s="174"/>
      <c r="W298" s="174"/>
      <c r="X298" s="174"/>
      <c r="Y298" s="174"/>
      <c r="Z298" s="174"/>
      <c r="AA298" s="174"/>
    </row>
    <row r="299">
      <c r="A299" s="174"/>
      <c r="B299" s="174"/>
      <c r="C299" s="174"/>
      <c r="D299" s="174"/>
      <c r="E299" s="174"/>
      <c r="F299" s="175"/>
      <c r="G299" s="175"/>
      <c r="H299" s="174"/>
      <c r="I299" s="174"/>
      <c r="J299" s="174"/>
      <c r="K299" s="174"/>
      <c r="L299" s="174"/>
      <c r="M299" s="174"/>
      <c r="N299" s="174"/>
      <c r="O299" s="174"/>
      <c r="P299" s="174"/>
      <c r="Q299" s="174"/>
      <c r="R299" s="174"/>
      <c r="S299" s="174"/>
      <c r="T299" s="174"/>
      <c r="U299" s="174"/>
      <c r="V299" s="174"/>
      <c r="W299" s="174"/>
      <c r="X299" s="174"/>
      <c r="Y299" s="174"/>
      <c r="Z299" s="174"/>
      <c r="AA299" s="174"/>
    </row>
    <row r="300">
      <c r="A300" s="174"/>
      <c r="B300" s="174"/>
      <c r="C300" s="174"/>
      <c r="D300" s="174"/>
      <c r="E300" s="174"/>
      <c r="F300" s="175"/>
      <c r="G300" s="175"/>
      <c r="H300" s="174"/>
      <c r="I300" s="174"/>
      <c r="J300" s="174"/>
      <c r="K300" s="174"/>
      <c r="L300" s="174"/>
      <c r="M300" s="174"/>
      <c r="N300" s="174"/>
      <c r="O300" s="174"/>
      <c r="P300" s="174"/>
      <c r="Q300" s="174"/>
      <c r="R300" s="174"/>
      <c r="S300" s="174"/>
      <c r="T300" s="174"/>
      <c r="U300" s="174"/>
      <c r="V300" s="174"/>
      <c r="W300" s="174"/>
      <c r="X300" s="174"/>
      <c r="Y300" s="174"/>
      <c r="Z300" s="174"/>
      <c r="AA300" s="174"/>
    </row>
    <row r="301">
      <c r="A301" s="174"/>
      <c r="B301" s="174"/>
      <c r="C301" s="174"/>
      <c r="D301" s="174"/>
      <c r="E301" s="174"/>
      <c r="F301" s="175"/>
      <c r="G301" s="175"/>
      <c r="H301" s="174"/>
      <c r="I301" s="174"/>
      <c r="J301" s="174"/>
      <c r="K301" s="174"/>
      <c r="L301" s="174"/>
      <c r="M301" s="174"/>
      <c r="N301" s="174"/>
      <c r="O301" s="174"/>
      <c r="P301" s="174"/>
      <c r="Q301" s="174"/>
      <c r="R301" s="174"/>
      <c r="S301" s="174"/>
      <c r="T301" s="174"/>
      <c r="U301" s="174"/>
      <c r="V301" s="174"/>
      <c r="W301" s="174"/>
      <c r="X301" s="174"/>
      <c r="Y301" s="174"/>
      <c r="Z301" s="174"/>
      <c r="AA301" s="174"/>
    </row>
    <row r="302">
      <c r="A302" s="174"/>
      <c r="B302" s="174"/>
      <c r="C302" s="174"/>
      <c r="D302" s="174"/>
      <c r="E302" s="174"/>
      <c r="F302" s="175"/>
      <c r="G302" s="175"/>
      <c r="H302" s="174"/>
      <c r="I302" s="174"/>
      <c r="J302" s="174"/>
      <c r="K302" s="174"/>
      <c r="L302" s="174"/>
      <c r="M302" s="174"/>
      <c r="N302" s="174"/>
      <c r="O302" s="174"/>
      <c r="P302" s="174"/>
      <c r="Q302" s="174"/>
      <c r="R302" s="174"/>
      <c r="S302" s="174"/>
      <c r="T302" s="174"/>
      <c r="U302" s="174"/>
      <c r="V302" s="174"/>
      <c r="W302" s="174"/>
      <c r="X302" s="174"/>
      <c r="Y302" s="174"/>
      <c r="Z302" s="174"/>
      <c r="AA302" s="174"/>
    </row>
    <row r="303">
      <c r="A303" s="174"/>
      <c r="B303" s="174"/>
      <c r="C303" s="174"/>
      <c r="D303" s="174"/>
      <c r="E303" s="174"/>
      <c r="F303" s="175"/>
      <c r="G303" s="175"/>
      <c r="H303" s="174"/>
      <c r="I303" s="174"/>
      <c r="J303" s="174"/>
      <c r="K303" s="174"/>
      <c r="L303" s="174"/>
      <c r="M303" s="174"/>
      <c r="N303" s="174"/>
      <c r="O303" s="174"/>
      <c r="P303" s="174"/>
      <c r="Q303" s="174"/>
      <c r="R303" s="174"/>
      <c r="S303" s="174"/>
      <c r="T303" s="174"/>
      <c r="U303" s="174"/>
      <c r="V303" s="174"/>
      <c r="W303" s="174"/>
      <c r="X303" s="174"/>
      <c r="Y303" s="174"/>
      <c r="Z303" s="174"/>
      <c r="AA303" s="174"/>
    </row>
    <row r="304">
      <c r="A304" s="174"/>
      <c r="B304" s="174"/>
      <c r="C304" s="174"/>
      <c r="D304" s="174"/>
      <c r="E304" s="174"/>
      <c r="F304" s="175"/>
      <c r="G304" s="175"/>
      <c r="H304" s="174"/>
      <c r="I304" s="174"/>
      <c r="J304" s="174"/>
      <c r="K304" s="174"/>
      <c r="L304" s="174"/>
      <c r="M304" s="174"/>
      <c r="N304" s="174"/>
      <c r="O304" s="174"/>
      <c r="P304" s="174"/>
      <c r="Q304" s="174"/>
      <c r="R304" s="174"/>
      <c r="S304" s="174"/>
      <c r="T304" s="174"/>
      <c r="U304" s="174"/>
      <c r="V304" s="174"/>
      <c r="W304" s="174"/>
      <c r="X304" s="174"/>
      <c r="Y304" s="174"/>
      <c r="Z304" s="174"/>
      <c r="AA304" s="174"/>
    </row>
    <row r="305">
      <c r="A305" s="174"/>
      <c r="B305" s="174"/>
      <c r="C305" s="174"/>
      <c r="D305" s="174"/>
      <c r="E305" s="174"/>
      <c r="F305" s="175"/>
      <c r="G305" s="175"/>
      <c r="H305" s="174"/>
      <c r="I305" s="174"/>
      <c r="J305" s="174"/>
      <c r="K305" s="174"/>
      <c r="L305" s="174"/>
      <c r="M305" s="174"/>
      <c r="N305" s="174"/>
      <c r="O305" s="174"/>
      <c r="P305" s="174"/>
      <c r="Q305" s="174"/>
      <c r="R305" s="174"/>
      <c r="S305" s="174"/>
      <c r="T305" s="174"/>
      <c r="U305" s="174"/>
      <c r="V305" s="174"/>
      <c r="W305" s="174"/>
      <c r="X305" s="174"/>
      <c r="Y305" s="174"/>
      <c r="Z305" s="174"/>
      <c r="AA305" s="174"/>
    </row>
    <row r="306">
      <c r="A306" s="174"/>
      <c r="B306" s="174"/>
      <c r="C306" s="174"/>
      <c r="D306" s="174"/>
      <c r="E306" s="174"/>
      <c r="F306" s="175"/>
      <c r="G306" s="175"/>
      <c r="H306" s="174"/>
      <c r="I306" s="174"/>
      <c r="J306" s="174"/>
      <c r="K306" s="174"/>
      <c r="L306" s="174"/>
      <c r="M306" s="174"/>
      <c r="N306" s="174"/>
      <c r="O306" s="174"/>
      <c r="P306" s="174"/>
      <c r="Q306" s="174"/>
      <c r="R306" s="174"/>
      <c r="S306" s="174"/>
      <c r="T306" s="174"/>
      <c r="U306" s="174"/>
      <c r="V306" s="174"/>
      <c r="W306" s="174"/>
      <c r="X306" s="174"/>
      <c r="Y306" s="174"/>
      <c r="Z306" s="174"/>
      <c r="AA306" s="174"/>
    </row>
    <row r="307">
      <c r="A307" s="174"/>
      <c r="B307" s="174"/>
      <c r="C307" s="174"/>
      <c r="D307" s="174"/>
      <c r="E307" s="174"/>
      <c r="F307" s="175"/>
      <c r="G307" s="175"/>
      <c r="H307" s="174"/>
      <c r="I307" s="174"/>
      <c r="J307" s="174"/>
      <c r="K307" s="174"/>
      <c r="L307" s="174"/>
      <c r="M307" s="174"/>
      <c r="N307" s="174"/>
      <c r="O307" s="174"/>
      <c r="P307" s="174"/>
      <c r="Q307" s="174"/>
      <c r="R307" s="174"/>
      <c r="S307" s="174"/>
      <c r="T307" s="174"/>
      <c r="U307" s="174"/>
      <c r="V307" s="174"/>
      <c r="W307" s="174"/>
      <c r="X307" s="174"/>
      <c r="Y307" s="174"/>
      <c r="Z307" s="174"/>
      <c r="AA307" s="174"/>
    </row>
    <row r="308">
      <c r="A308" s="174"/>
      <c r="B308" s="174"/>
      <c r="C308" s="174"/>
      <c r="D308" s="174"/>
      <c r="E308" s="174"/>
      <c r="F308" s="175"/>
      <c r="G308" s="175"/>
      <c r="H308" s="174"/>
      <c r="I308" s="174"/>
      <c r="J308" s="174"/>
      <c r="K308" s="174"/>
      <c r="L308" s="174"/>
      <c r="M308" s="174"/>
      <c r="N308" s="174"/>
      <c r="O308" s="174"/>
      <c r="P308" s="174"/>
      <c r="Q308" s="174"/>
      <c r="R308" s="174"/>
      <c r="S308" s="174"/>
      <c r="T308" s="174"/>
      <c r="U308" s="174"/>
      <c r="V308" s="174"/>
      <c r="W308" s="174"/>
      <c r="X308" s="174"/>
      <c r="Y308" s="174"/>
      <c r="Z308" s="174"/>
      <c r="AA308" s="174"/>
    </row>
    <row r="309">
      <c r="A309" s="174"/>
      <c r="B309" s="174"/>
      <c r="C309" s="174"/>
      <c r="D309" s="174"/>
      <c r="E309" s="174"/>
      <c r="F309" s="175"/>
      <c r="G309" s="175"/>
      <c r="H309" s="174"/>
      <c r="I309" s="174"/>
      <c r="J309" s="174"/>
      <c r="K309" s="174"/>
      <c r="L309" s="174"/>
      <c r="M309" s="174"/>
      <c r="N309" s="174"/>
      <c r="O309" s="174"/>
      <c r="P309" s="174"/>
      <c r="Q309" s="174"/>
      <c r="R309" s="174"/>
      <c r="S309" s="174"/>
      <c r="T309" s="174"/>
      <c r="U309" s="174"/>
      <c r="V309" s="174"/>
      <c r="W309" s="174"/>
      <c r="X309" s="174"/>
      <c r="Y309" s="174"/>
      <c r="Z309" s="174"/>
      <c r="AA309" s="174"/>
    </row>
    <row r="310">
      <c r="A310" s="174"/>
      <c r="B310" s="174"/>
      <c r="C310" s="174"/>
      <c r="D310" s="174"/>
      <c r="E310" s="174"/>
      <c r="F310" s="175"/>
      <c r="G310" s="175"/>
      <c r="H310" s="174"/>
      <c r="I310" s="174"/>
      <c r="J310" s="174"/>
      <c r="K310" s="174"/>
      <c r="L310" s="174"/>
      <c r="M310" s="174"/>
      <c r="N310" s="174"/>
      <c r="O310" s="174"/>
      <c r="P310" s="174"/>
      <c r="Q310" s="174"/>
      <c r="R310" s="174"/>
      <c r="S310" s="174"/>
      <c r="T310" s="174"/>
      <c r="U310" s="174"/>
      <c r="V310" s="174"/>
      <c r="W310" s="174"/>
      <c r="X310" s="174"/>
      <c r="Y310" s="174"/>
      <c r="Z310" s="174"/>
      <c r="AA310" s="174"/>
    </row>
    <row r="311">
      <c r="A311" s="174"/>
      <c r="B311" s="174"/>
      <c r="C311" s="174"/>
      <c r="D311" s="174"/>
      <c r="E311" s="174"/>
      <c r="F311" s="175"/>
      <c r="G311" s="175"/>
      <c r="H311" s="174"/>
      <c r="I311" s="174"/>
      <c r="J311" s="174"/>
      <c r="K311" s="174"/>
      <c r="L311" s="174"/>
      <c r="M311" s="174"/>
      <c r="N311" s="174"/>
      <c r="O311" s="174"/>
      <c r="P311" s="174"/>
      <c r="Q311" s="174"/>
      <c r="R311" s="174"/>
      <c r="S311" s="174"/>
      <c r="T311" s="174"/>
      <c r="U311" s="174"/>
      <c r="V311" s="174"/>
      <c r="W311" s="174"/>
      <c r="X311" s="174"/>
      <c r="Y311" s="174"/>
      <c r="Z311" s="174"/>
      <c r="AA311" s="174"/>
    </row>
    <row r="312">
      <c r="A312" s="174"/>
      <c r="B312" s="174"/>
      <c r="C312" s="174"/>
      <c r="D312" s="174"/>
      <c r="E312" s="174"/>
      <c r="F312" s="175"/>
      <c r="G312" s="175"/>
      <c r="H312" s="174"/>
      <c r="I312" s="174"/>
      <c r="J312" s="174"/>
      <c r="K312" s="174"/>
      <c r="L312" s="174"/>
      <c r="M312" s="174"/>
      <c r="N312" s="174"/>
      <c r="O312" s="174"/>
      <c r="P312" s="174"/>
      <c r="Q312" s="174"/>
      <c r="R312" s="174"/>
      <c r="S312" s="174"/>
      <c r="T312" s="174"/>
      <c r="U312" s="174"/>
      <c r="V312" s="174"/>
      <c r="W312" s="174"/>
      <c r="X312" s="174"/>
      <c r="Y312" s="174"/>
      <c r="Z312" s="174"/>
      <c r="AA312" s="174"/>
    </row>
    <row r="313">
      <c r="A313" s="174"/>
      <c r="B313" s="174"/>
      <c r="C313" s="174"/>
      <c r="D313" s="174"/>
      <c r="E313" s="174"/>
      <c r="F313" s="175"/>
      <c r="G313" s="175"/>
      <c r="H313" s="174"/>
      <c r="I313" s="174"/>
      <c r="J313" s="174"/>
      <c r="K313" s="174"/>
      <c r="L313" s="174"/>
      <c r="M313" s="174"/>
      <c r="N313" s="174"/>
      <c r="O313" s="174"/>
      <c r="P313" s="174"/>
      <c r="Q313" s="174"/>
      <c r="R313" s="174"/>
      <c r="S313" s="174"/>
      <c r="T313" s="174"/>
      <c r="U313" s="174"/>
      <c r="V313" s="174"/>
      <c r="W313" s="174"/>
      <c r="X313" s="174"/>
      <c r="Y313" s="174"/>
      <c r="Z313" s="174"/>
      <c r="AA313" s="174"/>
    </row>
    <row r="314">
      <c r="A314" s="174"/>
      <c r="B314" s="174"/>
      <c r="C314" s="174"/>
      <c r="D314" s="174"/>
      <c r="E314" s="174"/>
      <c r="F314" s="175"/>
      <c r="G314" s="175"/>
      <c r="H314" s="174"/>
      <c r="I314" s="174"/>
      <c r="J314" s="174"/>
      <c r="K314" s="174"/>
      <c r="L314" s="174"/>
      <c r="M314" s="174"/>
      <c r="N314" s="174"/>
      <c r="O314" s="174"/>
      <c r="P314" s="174"/>
      <c r="Q314" s="174"/>
      <c r="R314" s="174"/>
      <c r="S314" s="174"/>
      <c r="T314" s="174"/>
      <c r="U314" s="174"/>
      <c r="V314" s="174"/>
      <c r="W314" s="174"/>
      <c r="X314" s="174"/>
      <c r="Y314" s="174"/>
      <c r="Z314" s="174"/>
      <c r="AA314" s="174"/>
    </row>
    <row r="315">
      <c r="A315" s="174"/>
      <c r="B315" s="174"/>
      <c r="C315" s="174"/>
      <c r="D315" s="174"/>
      <c r="E315" s="174"/>
      <c r="F315" s="175"/>
      <c r="G315" s="175"/>
      <c r="H315" s="174"/>
      <c r="I315" s="174"/>
      <c r="J315" s="174"/>
      <c r="K315" s="174"/>
      <c r="L315" s="174"/>
      <c r="M315" s="174"/>
      <c r="N315" s="174"/>
      <c r="O315" s="174"/>
      <c r="P315" s="174"/>
      <c r="Q315" s="174"/>
      <c r="R315" s="174"/>
      <c r="S315" s="174"/>
      <c r="T315" s="174"/>
      <c r="U315" s="174"/>
      <c r="V315" s="174"/>
      <c r="W315" s="174"/>
      <c r="X315" s="174"/>
      <c r="Y315" s="174"/>
      <c r="Z315" s="174"/>
      <c r="AA315" s="174"/>
    </row>
    <row r="316">
      <c r="A316" s="174"/>
      <c r="B316" s="174"/>
      <c r="C316" s="174"/>
      <c r="D316" s="174"/>
      <c r="E316" s="174"/>
      <c r="F316" s="175"/>
      <c r="G316" s="175"/>
      <c r="H316" s="174"/>
      <c r="I316" s="174"/>
      <c r="J316" s="174"/>
      <c r="K316" s="174"/>
      <c r="L316" s="174"/>
      <c r="M316" s="174"/>
      <c r="N316" s="174"/>
      <c r="O316" s="174"/>
      <c r="P316" s="174"/>
      <c r="Q316" s="174"/>
      <c r="R316" s="174"/>
      <c r="S316" s="174"/>
      <c r="T316" s="174"/>
      <c r="U316" s="174"/>
      <c r="V316" s="174"/>
      <c r="W316" s="174"/>
      <c r="X316" s="174"/>
      <c r="Y316" s="174"/>
      <c r="Z316" s="174"/>
      <c r="AA316" s="174"/>
    </row>
    <row r="317">
      <c r="A317" s="174"/>
      <c r="B317" s="174"/>
      <c r="C317" s="174"/>
      <c r="D317" s="174"/>
      <c r="E317" s="174"/>
      <c r="F317" s="175"/>
      <c r="G317" s="175"/>
      <c r="H317" s="174"/>
      <c r="I317" s="174"/>
      <c r="J317" s="174"/>
      <c r="K317" s="174"/>
      <c r="L317" s="174"/>
      <c r="M317" s="174"/>
      <c r="N317" s="174"/>
      <c r="O317" s="174"/>
      <c r="P317" s="174"/>
      <c r="Q317" s="174"/>
      <c r="R317" s="174"/>
      <c r="S317" s="174"/>
      <c r="T317" s="174"/>
      <c r="U317" s="174"/>
      <c r="V317" s="174"/>
      <c r="W317" s="174"/>
      <c r="X317" s="174"/>
      <c r="Y317" s="174"/>
      <c r="Z317" s="174"/>
      <c r="AA317" s="174"/>
    </row>
    <row r="318">
      <c r="A318" s="174"/>
      <c r="B318" s="174"/>
      <c r="C318" s="174"/>
      <c r="D318" s="174"/>
      <c r="E318" s="174"/>
      <c r="F318" s="175"/>
      <c r="G318" s="175"/>
      <c r="H318" s="174"/>
      <c r="I318" s="174"/>
      <c r="J318" s="174"/>
      <c r="K318" s="174"/>
      <c r="L318" s="174"/>
      <c r="M318" s="174"/>
      <c r="N318" s="174"/>
      <c r="O318" s="174"/>
      <c r="P318" s="174"/>
      <c r="Q318" s="174"/>
      <c r="R318" s="174"/>
      <c r="S318" s="174"/>
      <c r="T318" s="174"/>
      <c r="U318" s="174"/>
      <c r="V318" s="174"/>
      <c r="W318" s="174"/>
      <c r="X318" s="174"/>
      <c r="Y318" s="174"/>
      <c r="Z318" s="174"/>
      <c r="AA318" s="174"/>
    </row>
    <row r="319">
      <c r="A319" s="174"/>
      <c r="B319" s="174"/>
      <c r="C319" s="174"/>
      <c r="D319" s="174"/>
      <c r="E319" s="174"/>
      <c r="F319" s="175"/>
      <c r="G319" s="175"/>
      <c r="H319" s="174"/>
      <c r="I319" s="174"/>
      <c r="J319" s="174"/>
      <c r="K319" s="174"/>
      <c r="L319" s="174"/>
      <c r="M319" s="174"/>
      <c r="N319" s="174"/>
      <c r="O319" s="174"/>
      <c r="P319" s="174"/>
      <c r="Q319" s="174"/>
      <c r="R319" s="174"/>
      <c r="S319" s="174"/>
      <c r="T319" s="174"/>
      <c r="U319" s="174"/>
      <c r="V319" s="174"/>
      <c r="W319" s="174"/>
      <c r="X319" s="174"/>
      <c r="Y319" s="174"/>
      <c r="Z319" s="174"/>
      <c r="AA319" s="174"/>
    </row>
    <row r="320">
      <c r="A320" s="174"/>
      <c r="B320" s="174"/>
      <c r="C320" s="174"/>
      <c r="D320" s="174"/>
      <c r="E320" s="174"/>
      <c r="F320" s="175"/>
      <c r="G320" s="175"/>
      <c r="H320" s="174"/>
      <c r="I320" s="174"/>
      <c r="J320" s="174"/>
      <c r="K320" s="174"/>
      <c r="L320" s="174"/>
      <c r="M320" s="174"/>
      <c r="N320" s="174"/>
      <c r="O320" s="174"/>
      <c r="P320" s="174"/>
      <c r="Q320" s="174"/>
      <c r="R320" s="174"/>
      <c r="S320" s="174"/>
      <c r="T320" s="174"/>
      <c r="U320" s="174"/>
      <c r="V320" s="174"/>
      <c r="W320" s="174"/>
      <c r="X320" s="174"/>
      <c r="Y320" s="174"/>
      <c r="Z320" s="174"/>
      <c r="AA320" s="174"/>
    </row>
    <row r="321">
      <c r="A321" s="174"/>
      <c r="B321" s="174"/>
      <c r="C321" s="174"/>
      <c r="D321" s="174"/>
      <c r="E321" s="174"/>
      <c r="F321" s="175"/>
      <c r="G321" s="175"/>
      <c r="H321" s="174"/>
      <c r="I321" s="174"/>
      <c r="J321" s="174"/>
      <c r="K321" s="174"/>
      <c r="L321" s="174"/>
      <c r="M321" s="174"/>
      <c r="N321" s="174"/>
      <c r="O321" s="174"/>
      <c r="P321" s="174"/>
      <c r="Q321" s="174"/>
      <c r="R321" s="174"/>
      <c r="S321" s="174"/>
      <c r="T321" s="174"/>
      <c r="U321" s="174"/>
      <c r="V321" s="174"/>
      <c r="W321" s="174"/>
      <c r="X321" s="174"/>
      <c r="Y321" s="174"/>
      <c r="Z321" s="174"/>
      <c r="AA321" s="174"/>
    </row>
    <row r="322">
      <c r="A322" s="174"/>
      <c r="B322" s="174"/>
      <c r="C322" s="174"/>
      <c r="D322" s="174"/>
      <c r="E322" s="174"/>
      <c r="F322" s="175"/>
      <c r="G322" s="175"/>
      <c r="H322" s="174"/>
      <c r="I322" s="174"/>
      <c r="J322" s="174"/>
      <c r="K322" s="174"/>
      <c r="L322" s="174"/>
      <c r="M322" s="174"/>
      <c r="N322" s="174"/>
      <c r="O322" s="174"/>
      <c r="P322" s="174"/>
      <c r="Q322" s="174"/>
      <c r="R322" s="174"/>
      <c r="S322" s="174"/>
      <c r="T322" s="174"/>
      <c r="U322" s="174"/>
      <c r="V322" s="174"/>
      <c r="W322" s="174"/>
      <c r="X322" s="174"/>
      <c r="Y322" s="174"/>
      <c r="Z322" s="174"/>
      <c r="AA322" s="174"/>
    </row>
    <row r="323">
      <c r="A323" s="174"/>
      <c r="B323" s="174"/>
      <c r="C323" s="174"/>
      <c r="D323" s="174"/>
      <c r="E323" s="174"/>
      <c r="F323" s="175"/>
      <c r="G323" s="175"/>
      <c r="H323" s="174"/>
      <c r="I323" s="174"/>
      <c r="J323" s="174"/>
      <c r="K323" s="174"/>
      <c r="L323" s="174"/>
      <c r="M323" s="174"/>
      <c r="N323" s="174"/>
      <c r="O323" s="174"/>
      <c r="P323" s="174"/>
      <c r="Q323" s="174"/>
      <c r="R323" s="174"/>
      <c r="S323" s="174"/>
      <c r="T323" s="174"/>
      <c r="U323" s="174"/>
      <c r="V323" s="174"/>
      <c r="W323" s="174"/>
      <c r="X323" s="174"/>
      <c r="Y323" s="174"/>
      <c r="Z323" s="174"/>
      <c r="AA323" s="174"/>
    </row>
    <row r="324">
      <c r="A324" s="174"/>
      <c r="B324" s="174"/>
      <c r="C324" s="174"/>
      <c r="D324" s="174"/>
      <c r="E324" s="174"/>
      <c r="F324" s="175"/>
      <c r="G324" s="175"/>
      <c r="H324" s="174"/>
      <c r="I324" s="174"/>
      <c r="J324" s="174"/>
      <c r="K324" s="174"/>
      <c r="L324" s="174"/>
      <c r="M324" s="174"/>
      <c r="N324" s="174"/>
      <c r="O324" s="174"/>
      <c r="P324" s="174"/>
      <c r="Q324" s="174"/>
      <c r="R324" s="174"/>
      <c r="S324" s="174"/>
      <c r="T324" s="174"/>
      <c r="U324" s="174"/>
      <c r="V324" s="174"/>
      <c r="W324" s="174"/>
      <c r="X324" s="174"/>
      <c r="Y324" s="174"/>
      <c r="Z324" s="174"/>
      <c r="AA324" s="174"/>
    </row>
    <row r="325">
      <c r="A325" s="174"/>
      <c r="B325" s="174"/>
      <c r="C325" s="174"/>
      <c r="D325" s="174"/>
      <c r="E325" s="174"/>
      <c r="F325" s="175"/>
      <c r="G325" s="175"/>
      <c r="H325" s="174"/>
      <c r="I325" s="174"/>
      <c r="J325" s="174"/>
      <c r="K325" s="174"/>
      <c r="L325" s="174"/>
      <c r="M325" s="174"/>
      <c r="N325" s="174"/>
      <c r="O325" s="174"/>
      <c r="P325" s="174"/>
      <c r="Q325" s="174"/>
      <c r="R325" s="174"/>
      <c r="S325" s="174"/>
      <c r="T325" s="174"/>
      <c r="U325" s="174"/>
      <c r="V325" s="174"/>
      <c r="W325" s="174"/>
      <c r="X325" s="174"/>
      <c r="Y325" s="174"/>
      <c r="Z325" s="174"/>
      <c r="AA325" s="174"/>
    </row>
    <row r="326">
      <c r="A326" s="174"/>
      <c r="B326" s="174"/>
      <c r="C326" s="174"/>
      <c r="D326" s="174"/>
      <c r="E326" s="174"/>
      <c r="F326" s="175"/>
      <c r="G326" s="175"/>
      <c r="H326" s="174"/>
      <c r="I326" s="174"/>
      <c r="J326" s="174"/>
      <c r="K326" s="174"/>
      <c r="L326" s="174"/>
      <c r="M326" s="174"/>
      <c r="N326" s="174"/>
      <c r="O326" s="174"/>
      <c r="P326" s="174"/>
      <c r="Q326" s="174"/>
      <c r="R326" s="174"/>
      <c r="S326" s="174"/>
      <c r="T326" s="174"/>
      <c r="U326" s="174"/>
      <c r="V326" s="174"/>
      <c r="W326" s="174"/>
      <c r="X326" s="174"/>
      <c r="Y326" s="174"/>
      <c r="Z326" s="174"/>
      <c r="AA326" s="174"/>
    </row>
    <row r="327">
      <c r="A327" s="174"/>
      <c r="B327" s="174"/>
      <c r="C327" s="174"/>
      <c r="D327" s="174"/>
      <c r="E327" s="174"/>
      <c r="F327" s="175"/>
      <c r="G327" s="175"/>
      <c r="H327" s="174"/>
      <c r="I327" s="174"/>
      <c r="J327" s="174"/>
      <c r="K327" s="174"/>
      <c r="L327" s="174"/>
      <c r="M327" s="174"/>
      <c r="N327" s="174"/>
      <c r="O327" s="174"/>
      <c r="P327" s="174"/>
      <c r="Q327" s="174"/>
      <c r="R327" s="174"/>
      <c r="S327" s="174"/>
      <c r="T327" s="174"/>
      <c r="U327" s="174"/>
      <c r="V327" s="174"/>
      <c r="W327" s="174"/>
      <c r="X327" s="174"/>
      <c r="Y327" s="174"/>
      <c r="Z327" s="174"/>
      <c r="AA327" s="174"/>
    </row>
    <row r="328">
      <c r="A328" s="174"/>
      <c r="B328" s="174"/>
      <c r="C328" s="174"/>
      <c r="D328" s="174"/>
      <c r="E328" s="174"/>
      <c r="F328" s="175"/>
      <c r="G328" s="175"/>
      <c r="H328" s="174"/>
      <c r="I328" s="174"/>
      <c r="J328" s="174"/>
      <c r="K328" s="174"/>
      <c r="L328" s="174"/>
      <c r="M328" s="174"/>
      <c r="N328" s="174"/>
      <c r="O328" s="174"/>
      <c r="P328" s="174"/>
      <c r="Q328" s="174"/>
      <c r="R328" s="174"/>
      <c r="S328" s="174"/>
      <c r="T328" s="174"/>
      <c r="U328" s="174"/>
      <c r="V328" s="174"/>
      <c r="W328" s="174"/>
      <c r="X328" s="174"/>
      <c r="Y328" s="174"/>
      <c r="Z328" s="174"/>
      <c r="AA328" s="174"/>
    </row>
    <row r="329">
      <c r="A329" s="174"/>
      <c r="B329" s="174"/>
      <c r="C329" s="174"/>
      <c r="D329" s="174"/>
      <c r="E329" s="174"/>
      <c r="F329" s="175"/>
      <c r="G329" s="175"/>
      <c r="H329" s="174"/>
      <c r="I329" s="174"/>
      <c r="J329" s="174"/>
      <c r="K329" s="174"/>
      <c r="L329" s="174"/>
      <c r="M329" s="174"/>
      <c r="N329" s="174"/>
      <c r="O329" s="174"/>
      <c r="P329" s="174"/>
      <c r="Q329" s="174"/>
      <c r="R329" s="174"/>
      <c r="S329" s="174"/>
      <c r="T329" s="174"/>
      <c r="U329" s="174"/>
      <c r="V329" s="174"/>
      <c r="W329" s="174"/>
      <c r="X329" s="174"/>
      <c r="Y329" s="174"/>
      <c r="Z329" s="174"/>
      <c r="AA329" s="174"/>
    </row>
    <row r="330">
      <c r="A330" s="174"/>
      <c r="B330" s="174"/>
      <c r="C330" s="174"/>
      <c r="D330" s="174"/>
      <c r="E330" s="174"/>
      <c r="F330" s="175"/>
      <c r="G330" s="175"/>
      <c r="H330" s="174"/>
      <c r="I330" s="174"/>
      <c r="J330" s="174"/>
      <c r="K330" s="174"/>
      <c r="L330" s="174"/>
      <c r="M330" s="174"/>
      <c r="N330" s="174"/>
      <c r="O330" s="174"/>
      <c r="P330" s="174"/>
      <c r="Q330" s="174"/>
      <c r="R330" s="174"/>
      <c r="S330" s="174"/>
      <c r="T330" s="174"/>
      <c r="U330" s="174"/>
      <c r="V330" s="174"/>
      <c r="W330" s="174"/>
      <c r="X330" s="174"/>
      <c r="Y330" s="174"/>
      <c r="Z330" s="174"/>
      <c r="AA330" s="174"/>
    </row>
    <row r="331">
      <c r="A331" s="174"/>
      <c r="B331" s="174"/>
      <c r="C331" s="174"/>
      <c r="D331" s="174"/>
      <c r="E331" s="174"/>
      <c r="F331" s="175"/>
      <c r="G331" s="175"/>
      <c r="H331" s="174"/>
      <c r="I331" s="174"/>
      <c r="J331" s="174"/>
      <c r="K331" s="174"/>
      <c r="L331" s="174"/>
      <c r="M331" s="174"/>
      <c r="N331" s="174"/>
      <c r="O331" s="174"/>
      <c r="P331" s="174"/>
      <c r="Q331" s="174"/>
      <c r="R331" s="174"/>
      <c r="S331" s="174"/>
      <c r="T331" s="174"/>
      <c r="U331" s="174"/>
      <c r="V331" s="174"/>
      <c r="W331" s="174"/>
      <c r="X331" s="174"/>
      <c r="Y331" s="174"/>
      <c r="Z331" s="174"/>
      <c r="AA331" s="174"/>
    </row>
    <row r="332">
      <c r="A332" s="174"/>
      <c r="B332" s="174"/>
      <c r="C332" s="174"/>
      <c r="D332" s="174"/>
      <c r="E332" s="174"/>
      <c r="F332" s="175"/>
      <c r="G332" s="175"/>
      <c r="H332" s="174"/>
      <c r="I332" s="174"/>
      <c r="J332" s="174"/>
      <c r="K332" s="174"/>
      <c r="L332" s="174"/>
      <c r="M332" s="174"/>
      <c r="N332" s="174"/>
      <c r="O332" s="174"/>
      <c r="P332" s="174"/>
      <c r="Q332" s="174"/>
      <c r="R332" s="174"/>
      <c r="S332" s="174"/>
      <c r="T332" s="174"/>
      <c r="U332" s="174"/>
      <c r="V332" s="174"/>
      <c r="W332" s="174"/>
      <c r="X332" s="174"/>
      <c r="Y332" s="174"/>
      <c r="Z332" s="174"/>
      <c r="AA332" s="174"/>
    </row>
    <row r="333">
      <c r="A333" s="174"/>
      <c r="B333" s="174"/>
      <c r="C333" s="174"/>
      <c r="D333" s="174"/>
      <c r="E333" s="174"/>
      <c r="F333" s="175"/>
      <c r="G333" s="175"/>
      <c r="H333" s="174"/>
      <c r="I333" s="174"/>
      <c r="J333" s="174"/>
      <c r="K333" s="174"/>
      <c r="L333" s="174"/>
      <c r="M333" s="174"/>
      <c r="N333" s="174"/>
      <c r="O333" s="174"/>
      <c r="P333" s="174"/>
      <c r="Q333" s="174"/>
      <c r="R333" s="174"/>
      <c r="S333" s="174"/>
      <c r="T333" s="174"/>
      <c r="U333" s="174"/>
      <c r="V333" s="174"/>
      <c r="W333" s="174"/>
      <c r="X333" s="174"/>
      <c r="Y333" s="174"/>
      <c r="Z333" s="174"/>
      <c r="AA333" s="174"/>
    </row>
    <row r="334">
      <c r="A334" s="174"/>
      <c r="B334" s="174"/>
      <c r="C334" s="174"/>
      <c r="D334" s="174"/>
      <c r="E334" s="174"/>
      <c r="F334" s="175"/>
      <c r="G334" s="175"/>
      <c r="H334" s="174"/>
      <c r="I334" s="174"/>
      <c r="J334" s="174"/>
      <c r="K334" s="174"/>
      <c r="L334" s="174"/>
      <c r="M334" s="174"/>
      <c r="N334" s="174"/>
      <c r="O334" s="174"/>
      <c r="P334" s="174"/>
      <c r="Q334" s="174"/>
      <c r="R334" s="174"/>
      <c r="S334" s="174"/>
      <c r="T334" s="174"/>
      <c r="U334" s="174"/>
      <c r="V334" s="174"/>
      <c r="W334" s="174"/>
      <c r="X334" s="174"/>
      <c r="Y334" s="174"/>
      <c r="Z334" s="174"/>
      <c r="AA334" s="174"/>
    </row>
    <row r="335">
      <c r="A335" s="174"/>
      <c r="B335" s="174"/>
      <c r="C335" s="174"/>
      <c r="D335" s="174"/>
      <c r="E335" s="174"/>
      <c r="F335" s="175"/>
      <c r="G335" s="175"/>
      <c r="H335" s="174"/>
      <c r="I335" s="174"/>
      <c r="J335" s="174"/>
      <c r="K335" s="174"/>
      <c r="L335" s="174"/>
      <c r="M335" s="174"/>
      <c r="N335" s="174"/>
      <c r="O335" s="174"/>
      <c r="P335" s="174"/>
      <c r="Q335" s="174"/>
      <c r="R335" s="174"/>
      <c r="S335" s="174"/>
      <c r="T335" s="174"/>
      <c r="U335" s="174"/>
      <c r="V335" s="174"/>
      <c r="W335" s="174"/>
      <c r="X335" s="174"/>
      <c r="Y335" s="174"/>
      <c r="Z335" s="174"/>
      <c r="AA335" s="174"/>
    </row>
    <row r="336">
      <c r="A336" s="174"/>
      <c r="B336" s="174"/>
      <c r="C336" s="174"/>
      <c r="D336" s="174"/>
      <c r="E336" s="174"/>
      <c r="F336" s="175"/>
      <c r="G336" s="175"/>
      <c r="H336" s="174"/>
      <c r="I336" s="174"/>
      <c r="J336" s="174"/>
      <c r="K336" s="174"/>
      <c r="L336" s="174"/>
      <c r="M336" s="174"/>
      <c r="N336" s="174"/>
      <c r="O336" s="174"/>
      <c r="P336" s="174"/>
      <c r="Q336" s="174"/>
      <c r="R336" s="174"/>
      <c r="S336" s="174"/>
      <c r="T336" s="174"/>
      <c r="U336" s="174"/>
      <c r="V336" s="174"/>
      <c r="W336" s="174"/>
      <c r="X336" s="174"/>
      <c r="Y336" s="174"/>
      <c r="Z336" s="174"/>
      <c r="AA336" s="174"/>
    </row>
    <row r="337">
      <c r="A337" s="174"/>
      <c r="B337" s="174"/>
      <c r="C337" s="174"/>
      <c r="D337" s="174"/>
      <c r="E337" s="174"/>
      <c r="F337" s="175"/>
      <c r="G337" s="175"/>
      <c r="H337" s="174"/>
      <c r="I337" s="174"/>
      <c r="J337" s="174"/>
      <c r="K337" s="174"/>
      <c r="L337" s="174"/>
      <c r="M337" s="174"/>
      <c r="N337" s="174"/>
      <c r="O337" s="174"/>
      <c r="P337" s="174"/>
      <c r="Q337" s="174"/>
      <c r="R337" s="174"/>
      <c r="S337" s="174"/>
      <c r="T337" s="174"/>
      <c r="U337" s="174"/>
      <c r="V337" s="174"/>
      <c r="W337" s="174"/>
      <c r="X337" s="174"/>
      <c r="Y337" s="174"/>
      <c r="Z337" s="174"/>
      <c r="AA337" s="174"/>
    </row>
    <row r="338">
      <c r="A338" s="174"/>
      <c r="B338" s="174"/>
      <c r="C338" s="174"/>
      <c r="D338" s="174"/>
      <c r="E338" s="174"/>
      <c r="F338" s="175"/>
      <c r="G338" s="175"/>
      <c r="H338" s="174"/>
      <c r="I338" s="174"/>
      <c r="J338" s="174"/>
      <c r="K338" s="174"/>
      <c r="L338" s="174"/>
      <c r="M338" s="174"/>
      <c r="N338" s="174"/>
      <c r="O338" s="174"/>
      <c r="P338" s="174"/>
      <c r="Q338" s="174"/>
      <c r="R338" s="174"/>
      <c r="S338" s="174"/>
      <c r="T338" s="174"/>
      <c r="U338" s="174"/>
      <c r="V338" s="174"/>
      <c r="W338" s="174"/>
      <c r="X338" s="174"/>
      <c r="Y338" s="174"/>
      <c r="Z338" s="174"/>
      <c r="AA338" s="174"/>
    </row>
    <row r="339">
      <c r="A339" s="174"/>
      <c r="B339" s="174"/>
      <c r="C339" s="174"/>
      <c r="D339" s="174"/>
      <c r="E339" s="174"/>
      <c r="F339" s="175"/>
      <c r="G339" s="175"/>
      <c r="H339" s="174"/>
      <c r="I339" s="174"/>
      <c r="J339" s="174"/>
      <c r="K339" s="174"/>
      <c r="L339" s="174"/>
      <c r="M339" s="174"/>
      <c r="N339" s="174"/>
      <c r="O339" s="174"/>
      <c r="P339" s="174"/>
      <c r="Q339" s="174"/>
      <c r="R339" s="174"/>
      <c r="S339" s="174"/>
      <c r="T339" s="174"/>
      <c r="U339" s="174"/>
      <c r="V339" s="174"/>
      <c r="W339" s="174"/>
      <c r="X339" s="174"/>
      <c r="Y339" s="174"/>
      <c r="Z339" s="174"/>
      <c r="AA339" s="174"/>
    </row>
    <row r="340">
      <c r="A340" s="174"/>
      <c r="B340" s="174"/>
      <c r="C340" s="174"/>
      <c r="D340" s="174"/>
      <c r="E340" s="174"/>
      <c r="F340" s="175"/>
      <c r="G340" s="175"/>
      <c r="H340" s="174"/>
      <c r="I340" s="174"/>
      <c r="J340" s="174"/>
      <c r="K340" s="174"/>
      <c r="L340" s="174"/>
      <c r="M340" s="174"/>
      <c r="N340" s="174"/>
      <c r="O340" s="174"/>
      <c r="P340" s="174"/>
      <c r="Q340" s="174"/>
      <c r="R340" s="174"/>
      <c r="S340" s="174"/>
      <c r="T340" s="174"/>
      <c r="U340" s="174"/>
      <c r="V340" s="174"/>
      <c r="W340" s="174"/>
      <c r="X340" s="174"/>
      <c r="Y340" s="174"/>
      <c r="Z340" s="174"/>
      <c r="AA340" s="174"/>
    </row>
    <row r="341">
      <c r="A341" s="174"/>
      <c r="B341" s="174"/>
      <c r="C341" s="174"/>
      <c r="D341" s="174"/>
      <c r="E341" s="174"/>
      <c r="F341" s="175"/>
      <c r="G341" s="175"/>
      <c r="H341" s="174"/>
      <c r="I341" s="174"/>
      <c r="J341" s="174"/>
      <c r="K341" s="174"/>
      <c r="L341" s="174"/>
      <c r="M341" s="174"/>
      <c r="N341" s="174"/>
      <c r="O341" s="174"/>
      <c r="P341" s="174"/>
      <c r="Q341" s="174"/>
      <c r="R341" s="174"/>
      <c r="S341" s="174"/>
      <c r="T341" s="174"/>
      <c r="U341" s="174"/>
      <c r="V341" s="174"/>
      <c r="W341" s="174"/>
      <c r="X341" s="174"/>
      <c r="Y341" s="174"/>
      <c r="Z341" s="174"/>
      <c r="AA341" s="174"/>
    </row>
    <row r="342">
      <c r="A342" s="174"/>
      <c r="B342" s="174"/>
      <c r="C342" s="174"/>
      <c r="D342" s="174"/>
      <c r="E342" s="174"/>
      <c r="F342" s="175"/>
      <c r="G342" s="175"/>
      <c r="H342" s="174"/>
      <c r="I342" s="174"/>
      <c r="J342" s="174"/>
      <c r="K342" s="174"/>
      <c r="L342" s="174"/>
      <c r="M342" s="174"/>
      <c r="N342" s="174"/>
      <c r="O342" s="174"/>
      <c r="P342" s="174"/>
      <c r="Q342" s="174"/>
      <c r="R342" s="174"/>
      <c r="S342" s="174"/>
      <c r="T342" s="174"/>
      <c r="U342" s="174"/>
      <c r="V342" s="174"/>
      <c r="W342" s="174"/>
      <c r="X342" s="174"/>
      <c r="Y342" s="174"/>
      <c r="Z342" s="174"/>
      <c r="AA342" s="174"/>
    </row>
    <row r="343">
      <c r="A343" s="174"/>
      <c r="B343" s="174"/>
      <c r="C343" s="174"/>
      <c r="D343" s="174"/>
      <c r="E343" s="174"/>
      <c r="F343" s="175"/>
      <c r="G343" s="175"/>
      <c r="H343" s="174"/>
      <c r="I343" s="174"/>
      <c r="J343" s="174"/>
      <c r="K343" s="174"/>
      <c r="L343" s="174"/>
      <c r="M343" s="174"/>
      <c r="N343" s="174"/>
      <c r="O343" s="174"/>
      <c r="P343" s="174"/>
      <c r="Q343" s="174"/>
      <c r="R343" s="174"/>
      <c r="S343" s="174"/>
      <c r="T343" s="174"/>
      <c r="U343" s="174"/>
      <c r="V343" s="174"/>
      <c r="W343" s="174"/>
      <c r="X343" s="174"/>
      <c r="Y343" s="174"/>
      <c r="Z343" s="174"/>
      <c r="AA343" s="174"/>
    </row>
    <row r="344">
      <c r="A344" s="174"/>
      <c r="B344" s="174"/>
      <c r="C344" s="174"/>
      <c r="D344" s="174"/>
      <c r="E344" s="174"/>
      <c r="F344" s="175"/>
      <c r="G344" s="175"/>
      <c r="H344" s="174"/>
      <c r="I344" s="174"/>
      <c r="J344" s="174"/>
      <c r="K344" s="174"/>
      <c r="L344" s="174"/>
      <c r="M344" s="174"/>
      <c r="N344" s="174"/>
      <c r="O344" s="174"/>
      <c r="P344" s="174"/>
      <c r="Q344" s="174"/>
      <c r="R344" s="174"/>
      <c r="S344" s="174"/>
      <c r="T344" s="174"/>
      <c r="U344" s="174"/>
      <c r="V344" s="174"/>
      <c r="W344" s="174"/>
      <c r="X344" s="174"/>
      <c r="Y344" s="174"/>
      <c r="Z344" s="174"/>
      <c r="AA344" s="174"/>
    </row>
    <row r="345">
      <c r="A345" s="174"/>
      <c r="B345" s="174"/>
      <c r="C345" s="174"/>
      <c r="D345" s="174"/>
      <c r="E345" s="174"/>
      <c r="F345" s="175"/>
      <c r="G345" s="175"/>
      <c r="H345" s="174"/>
      <c r="I345" s="174"/>
      <c r="J345" s="174"/>
      <c r="K345" s="174"/>
      <c r="L345" s="174"/>
      <c r="M345" s="174"/>
      <c r="N345" s="174"/>
      <c r="O345" s="174"/>
      <c r="P345" s="174"/>
      <c r="Q345" s="174"/>
      <c r="R345" s="174"/>
      <c r="S345" s="174"/>
      <c r="T345" s="174"/>
      <c r="U345" s="174"/>
      <c r="V345" s="174"/>
      <c r="W345" s="174"/>
      <c r="X345" s="174"/>
      <c r="Y345" s="174"/>
      <c r="Z345" s="174"/>
      <c r="AA345" s="174"/>
    </row>
    <row r="346">
      <c r="A346" s="174"/>
      <c r="B346" s="174"/>
      <c r="C346" s="174"/>
      <c r="D346" s="174"/>
      <c r="E346" s="174"/>
      <c r="F346" s="175"/>
      <c r="G346" s="175"/>
      <c r="H346" s="174"/>
      <c r="I346" s="174"/>
      <c r="J346" s="174"/>
      <c r="K346" s="174"/>
      <c r="L346" s="174"/>
      <c r="M346" s="174"/>
      <c r="N346" s="174"/>
      <c r="O346" s="174"/>
      <c r="P346" s="174"/>
      <c r="Q346" s="174"/>
      <c r="R346" s="174"/>
      <c r="S346" s="174"/>
      <c r="T346" s="174"/>
      <c r="U346" s="174"/>
      <c r="V346" s="174"/>
      <c r="W346" s="174"/>
      <c r="X346" s="174"/>
      <c r="Y346" s="174"/>
      <c r="Z346" s="174"/>
      <c r="AA346" s="174"/>
    </row>
    <row r="347">
      <c r="A347" s="174"/>
      <c r="B347" s="174"/>
      <c r="C347" s="174"/>
      <c r="D347" s="174"/>
      <c r="E347" s="174"/>
      <c r="F347" s="175"/>
      <c r="G347" s="175"/>
      <c r="H347" s="174"/>
      <c r="I347" s="174"/>
      <c r="J347" s="174"/>
      <c r="K347" s="174"/>
      <c r="L347" s="174"/>
      <c r="M347" s="174"/>
      <c r="N347" s="174"/>
      <c r="O347" s="174"/>
      <c r="P347" s="174"/>
      <c r="Q347" s="174"/>
      <c r="R347" s="174"/>
      <c r="S347" s="174"/>
      <c r="T347" s="174"/>
      <c r="U347" s="174"/>
      <c r="V347" s="174"/>
      <c r="W347" s="174"/>
      <c r="X347" s="174"/>
      <c r="Y347" s="174"/>
      <c r="Z347" s="174"/>
      <c r="AA347" s="174"/>
    </row>
    <row r="348">
      <c r="A348" s="174"/>
      <c r="B348" s="174"/>
      <c r="C348" s="174"/>
      <c r="D348" s="174"/>
      <c r="E348" s="174"/>
      <c r="F348" s="175"/>
      <c r="G348" s="175"/>
      <c r="H348" s="174"/>
      <c r="I348" s="174"/>
      <c r="J348" s="174"/>
      <c r="K348" s="174"/>
      <c r="L348" s="174"/>
      <c r="M348" s="174"/>
      <c r="N348" s="174"/>
      <c r="O348" s="174"/>
      <c r="P348" s="174"/>
      <c r="Q348" s="174"/>
      <c r="R348" s="174"/>
      <c r="S348" s="174"/>
      <c r="T348" s="174"/>
      <c r="U348" s="174"/>
      <c r="V348" s="174"/>
      <c r="W348" s="174"/>
      <c r="X348" s="174"/>
      <c r="Y348" s="174"/>
      <c r="Z348" s="174"/>
      <c r="AA348" s="174"/>
    </row>
    <row r="349">
      <c r="A349" s="174"/>
      <c r="B349" s="174"/>
      <c r="C349" s="174"/>
      <c r="D349" s="174"/>
      <c r="E349" s="174"/>
      <c r="F349" s="175"/>
      <c r="G349" s="175"/>
      <c r="H349" s="174"/>
      <c r="I349" s="174"/>
      <c r="J349" s="174"/>
      <c r="K349" s="174"/>
      <c r="L349" s="174"/>
      <c r="M349" s="174"/>
      <c r="N349" s="174"/>
      <c r="O349" s="174"/>
      <c r="P349" s="174"/>
      <c r="Q349" s="174"/>
      <c r="R349" s="174"/>
      <c r="S349" s="174"/>
      <c r="T349" s="174"/>
      <c r="U349" s="174"/>
      <c r="V349" s="174"/>
      <c r="W349" s="174"/>
      <c r="X349" s="174"/>
      <c r="Y349" s="174"/>
      <c r="Z349" s="174"/>
      <c r="AA349" s="174"/>
    </row>
    <row r="350">
      <c r="A350" s="174"/>
      <c r="B350" s="174"/>
      <c r="C350" s="174"/>
      <c r="D350" s="174"/>
      <c r="E350" s="174"/>
      <c r="F350" s="175"/>
      <c r="G350" s="175"/>
      <c r="H350" s="174"/>
      <c r="I350" s="174"/>
      <c r="J350" s="174"/>
      <c r="K350" s="174"/>
      <c r="L350" s="174"/>
      <c r="M350" s="174"/>
      <c r="N350" s="174"/>
      <c r="O350" s="174"/>
      <c r="P350" s="174"/>
      <c r="Q350" s="174"/>
      <c r="R350" s="174"/>
      <c r="S350" s="174"/>
      <c r="T350" s="174"/>
      <c r="U350" s="174"/>
      <c r="V350" s="174"/>
      <c r="W350" s="174"/>
      <c r="X350" s="174"/>
      <c r="Y350" s="174"/>
      <c r="Z350" s="174"/>
      <c r="AA350" s="174"/>
    </row>
    <row r="351">
      <c r="A351" s="174"/>
      <c r="B351" s="174"/>
      <c r="C351" s="174"/>
      <c r="D351" s="174"/>
      <c r="E351" s="174"/>
      <c r="F351" s="175"/>
      <c r="G351" s="175"/>
      <c r="H351" s="174"/>
      <c r="I351" s="174"/>
      <c r="J351" s="174"/>
      <c r="K351" s="174"/>
      <c r="L351" s="174"/>
      <c r="M351" s="174"/>
      <c r="N351" s="174"/>
      <c r="O351" s="174"/>
      <c r="P351" s="174"/>
      <c r="Q351" s="174"/>
      <c r="R351" s="174"/>
      <c r="S351" s="174"/>
      <c r="T351" s="174"/>
      <c r="U351" s="174"/>
      <c r="V351" s="174"/>
      <c r="W351" s="174"/>
      <c r="X351" s="174"/>
      <c r="Y351" s="174"/>
      <c r="Z351" s="174"/>
      <c r="AA351" s="174"/>
    </row>
    <row r="352">
      <c r="A352" s="174"/>
      <c r="B352" s="174"/>
      <c r="C352" s="174"/>
      <c r="D352" s="174"/>
      <c r="E352" s="174"/>
      <c r="F352" s="175"/>
      <c r="G352" s="175"/>
      <c r="H352" s="174"/>
      <c r="I352" s="174"/>
      <c r="J352" s="174"/>
      <c r="K352" s="174"/>
      <c r="L352" s="174"/>
      <c r="M352" s="174"/>
      <c r="N352" s="174"/>
      <c r="O352" s="174"/>
      <c r="P352" s="174"/>
      <c r="Q352" s="174"/>
      <c r="R352" s="174"/>
      <c r="S352" s="174"/>
      <c r="T352" s="174"/>
      <c r="U352" s="174"/>
      <c r="V352" s="174"/>
      <c r="W352" s="174"/>
      <c r="X352" s="174"/>
      <c r="Y352" s="174"/>
      <c r="Z352" s="174"/>
      <c r="AA352" s="174"/>
    </row>
    <row r="353">
      <c r="A353" s="174"/>
      <c r="B353" s="174"/>
      <c r="C353" s="174"/>
      <c r="D353" s="174"/>
      <c r="E353" s="174"/>
      <c r="F353" s="175"/>
      <c r="G353" s="175"/>
      <c r="H353" s="174"/>
      <c r="I353" s="174"/>
      <c r="J353" s="174"/>
      <c r="K353" s="174"/>
      <c r="L353" s="174"/>
      <c r="M353" s="174"/>
      <c r="N353" s="174"/>
      <c r="O353" s="174"/>
      <c r="P353" s="174"/>
      <c r="Q353" s="174"/>
      <c r="R353" s="174"/>
      <c r="S353" s="174"/>
      <c r="T353" s="174"/>
      <c r="U353" s="174"/>
      <c r="V353" s="174"/>
      <c r="W353" s="174"/>
      <c r="X353" s="174"/>
      <c r="Y353" s="174"/>
      <c r="Z353" s="174"/>
      <c r="AA353" s="174"/>
    </row>
    <row r="354">
      <c r="A354" s="174"/>
      <c r="B354" s="174"/>
      <c r="C354" s="174"/>
      <c r="D354" s="174"/>
      <c r="E354" s="174"/>
      <c r="F354" s="175"/>
      <c r="G354" s="175"/>
      <c r="H354" s="174"/>
      <c r="I354" s="174"/>
      <c r="J354" s="174"/>
      <c r="K354" s="174"/>
      <c r="L354" s="174"/>
      <c r="M354" s="174"/>
      <c r="N354" s="174"/>
      <c r="O354" s="174"/>
      <c r="P354" s="174"/>
      <c r="Q354" s="174"/>
      <c r="R354" s="174"/>
      <c r="S354" s="174"/>
      <c r="T354" s="174"/>
      <c r="U354" s="174"/>
      <c r="V354" s="174"/>
      <c r="W354" s="174"/>
      <c r="X354" s="174"/>
      <c r="Y354" s="174"/>
      <c r="Z354" s="174"/>
      <c r="AA354" s="174"/>
    </row>
    <row r="355">
      <c r="A355" s="174"/>
      <c r="B355" s="174"/>
      <c r="C355" s="174"/>
      <c r="D355" s="174"/>
      <c r="E355" s="174"/>
      <c r="F355" s="175"/>
      <c r="G355" s="175"/>
      <c r="H355" s="174"/>
      <c r="I355" s="174"/>
      <c r="J355" s="174"/>
      <c r="K355" s="174"/>
      <c r="L355" s="174"/>
      <c r="M355" s="174"/>
      <c r="N355" s="174"/>
      <c r="O355" s="174"/>
      <c r="P355" s="174"/>
      <c r="Q355" s="174"/>
      <c r="R355" s="174"/>
      <c r="S355" s="174"/>
      <c r="T355" s="174"/>
      <c r="U355" s="174"/>
      <c r="V355" s="174"/>
      <c r="W355" s="174"/>
      <c r="X355" s="174"/>
      <c r="Y355" s="174"/>
      <c r="Z355" s="174"/>
      <c r="AA355" s="174"/>
    </row>
    <row r="356">
      <c r="A356" s="174"/>
      <c r="B356" s="174"/>
      <c r="C356" s="174"/>
      <c r="D356" s="174"/>
      <c r="E356" s="174"/>
      <c r="F356" s="175"/>
      <c r="G356" s="175"/>
      <c r="H356" s="174"/>
      <c r="I356" s="174"/>
      <c r="J356" s="174"/>
      <c r="K356" s="174"/>
      <c r="L356" s="174"/>
      <c r="M356" s="174"/>
      <c r="N356" s="174"/>
      <c r="O356" s="174"/>
      <c r="P356" s="174"/>
      <c r="Q356" s="174"/>
      <c r="R356" s="174"/>
      <c r="S356" s="174"/>
      <c r="T356" s="174"/>
      <c r="U356" s="174"/>
      <c r="V356" s="174"/>
      <c r="W356" s="174"/>
      <c r="X356" s="174"/>
      <c r="Y356" s="174"/>
      <c r="Z356" s="174"/>
      <c r="AA356" s="174"/>
    </row>
    <row r="357">
      <c r="A357" s="174"/>
      <c r="B357" s="174"/>
      <c r="C357" s="174"/>
      <c r="D357" s="174"/>
      <c r="E357" s="174"/>
      <c r="F357" s="175"/>
      <c r="G357" s="175"/>
      <c r="H357" s="174"/>
      <c r="I357" s="174"/>
      <c r="J357" s="174"/>
      <c r="K357" s="174"/>
      <c r="L357" s="174"/>
      <c r="M357" s="174"/>
      <c r="N357" s="174"/>
      <c r="O357" s="174"/>
      <c r="P357" s="174"/>
      <c r="Q357" s="174"/>
      <c r="R357" s="174"/>
      <c r="S357" s="174"/>
      <c r="T357" s="174"/>
      <c r="U357" s="174"/>
      <c r="V357" s="174"/>
      <c r="W357" s="174"/>
      <c r="X357" s="174"/>
      <c r="Y357" s="174"/>
      <c r="Z357" s="174"/>
      <c r="AA357" s="174"/>
    </row>
    <row r="358">
      <c r="A358" s="174"/>
      <c r="B358" s="174"/>
      <c r="C358" s="174"/>
      <c r="D358" s="174"/>
      <c r="E358" s="174"/>
      <c r="F358" s="175"/>
      <c r="G358" s="175"/>
      <c r="H358" s="174"/>
      <c r="I358" s="174"/>
      <c r="J358" s="174"/>
      <c r="K358" s="174"/>
      <c r="L358" s="174"/>
      <c r="M358" s="174"/>
      <c r="N358" s="174"/>
      <c r="O358" s="174"/>
      <c r="P358" s="174"/>
      <c r="Q358" s="174"/>
      <c r="R358" s="174"/>
      <c r="S358" s="174"/>
      <c r="T358" s="174"/>
      <c r="U358" s="174"/>
      <c r="V358" s="174"/>
      <c r="W358" s="174"/>
      <c r="X358" s="174"/>
      <c r="Y358" s="174"/>
      <c r="Z358" s="174"/>
      <c r="AA358" s="174"/>
    </row>
    <row r="359">
      <c r="A359" s="174"/>
      <c r="B359" s="174"/>
      <c r="C359" s="174"/>
      <c r="D359" s="174"/>
      <c r="E359" s="174"/>
      <c r="F359" s="175"/>
      <c r="G359" s="175"/>
      <c r="H359" s="174"/>
      <c r="I359" s="174"/>
      <c r="J359" s="174"/>
      <c r="K359" s="174"/>
      <c r="L359" s="174"/>
      <c r="M359" s="174"/>
      <c r="N359" s="174"/>
      <c r="O359" s="174"/>
      <c r="P359" s="174"/>
      <c r="Q359" s="174"/>
      <c r="R359" s="174"/>
      <c r="S359" s="174"/>
      <c r="T359" s="174"/>
      <c r="U359" s="174"/>
      <c r="V359" s="174"/>
      <c r="W359" s="174"/>
      <c r="X359" s="174"/>
      <c r="Y359" s="174"/>
      <c r="Z359" s="174"/>
      <c r="AA359" s="174"/>
    </row>
    <row r="360">
      <c r="A360" s="174"/>
      <c r="B360" s="174"/>
      <c r="C360" s="174"/>
      <c r="D360" s="174"/>
      <c r="E360" s="174"/>
      <c r="F360" s="175"/>
      <c r="G360" s="175"/>
      <c r="H360" s="174"/>
      <c r="I360" s="174"/>
      <c r="J360" s="174"/>
      <c r="K360" s="174"/>
      <c r="L360" s="174"/>
      <c r="M360" s="174"/>
      <c r="N360" s="174"/>
      <c r="O360" s="174"/>
      <c r="P360" s="174"/>
      <c r="Q360" s="174"/>
      <c r="R360" s="174"/>
      <c r="S360" s="174"/>
      <c r="T360" s="174"/>
      <c r="U360" s="174"/>
      <c r="V360" s="174"/>
      <c r="W360" s="174"/>
      <c r="X360" s="174"/>
      <c r="Y360" s="174"/>
      <c r="Z360" s="174"/>
      <c r="AA360" s="174"/>
    </row>
    <row r="361">
      <c r="A361" s="174"/>
      <c r="B361" s="174"/>
      <c r="C361" s="174"/>
      <c r="D361" s="174"/>
      <c r="E361" s="174"/>
      <c r="F361" s="175"/>
      <c r="G361" s="175"/>
      <c r="H361" s="174"/>
      <c r="I361" s="174"/>
      <c r="J361" s="174"/>
      <c r="K361" s="174"/>
      <c r="L361" s="174"/>
      <c r="M361" s="174"/>
      <c r="N361" s="174"/>
      <c r="O361" s="174"/>
      <c r="P361" s="174"/>
      <c r="Q361" s="174"/>
      <c r="R361" s="174"/>
      <c r="S361" s="174"/>
      <c r="T361" s="174"/>
      <c r="U361" s="174"/>
      <c r="V361" s="174"/>
      <c r="W361" s="174"/>
      <c r="X361" s="174"/>
      <c r="Y361" s="174"/>
      <c r="Z361" s="174"/>
      <c r="AA361" s="174"/>
    </row>
    <row r="362">
      <c r="A362" s="174"/>
      <c r="B362" s="174"/>
      <c r="C362" s="174"/>
      <c r="D362" s="174"/>
      <c r="E362" s="174"/>
      <c r="F362" s="175"/>
      <c r="G362" s="175"/>
      <c r="H362" s="174"/>
      <c r="I362" s="174"/>
      <c r="J362" s="174"/>
      <c r="K362" s="174"/>
      <c r="L362" s="174"/>
      <c r="M362" s="174"/>
      <c r="N362" s="174"/>
      <c r="O362" s="174"/>
      <c r="P362" s="174"/>
      <c r="Q362" s="174"/>
      <c r="R362" s="174"/>
      <c r="S362" s="174"/>
      <c r="T362" s="174"/>
      <c r="U362" s="174"/>
      <c r="V362" s="174"/>
      <c r="W362" s="174"/>
      <c r="X362" s="174"/>
      <c r="Y362" s="174"/>
      <c r="Z362" s="174"/>
      <c r="AA362" s="174"/>
    </row>
    <row r="363">
      <c r="A363" s="174"/>
      <c r="B363" s="174"/>
      <c r="C363" s="174"/>
      <c r="D363" s="174"/>
      <c r="E363" s="174"/>
      <c r="F363" s="175"/>
      <c r="G363" s="175"/>
      <c r="H363" s="174"/>
      <c r="I363" s="174"/>
      <c r="J363" s="174"/>
      <c r="K363" s="174"/>
      <c r="L363" s="174"/>
      <c r="M363" s="174"/>
      <c r="N363" s="174"/>
      <c r="O363" s="174"/>
      <c r="P363" s="174"/>
      <c r="Q363" s="174"/>
      <c r="R363" s="174"/>
      <c r="S363" s="174"/>
      <c r="T363" s="174"/>
      <c r="U363" s="174"/>
      <c r="V363" s="174"/>
      <c r="W363" s="174"/>
      <c r="X363" s="174"/>
      <c r="Y363" s="174"/>
      <c r="Z363" s="174"/>
      <c r="AA363" s="174"/>
    </row>
    <row r="364">
      <c r="A364" s="174"/>
      <c r="B364" s="174"/>
      <c r="C364" s="174"/>
      <c r="D364" s="174"/>
      <c r="E364" s="174"/>
      <c r="F364" s="175"/>
      <c r="G364" s="175"/>
      <c r="H364" s="174"/>
      <c r="I364" s="174"/>
      <c r="J364" s="174"/>
      <c r="K364" s="174"/>
      <c r="L364" s="174"/>
      <c r="M364" s="174"/>
      <c r="N364" s="174"/>
      <c r="O364" s="174"/>
      <c r="P364" s="174"/>
      <c r="Q364" s="174"/>
      <c r="R364" s="174"/>
      <c r="S364" s="174"/>
      <c r="T364" s="174"/>
      <c r="U364" s="174"/>
      <c r="V364" s="174"/>
      <c r="W364" s="174"/>
      <c r="X364" s="174"/>
      <c r="Y364" s="174"/>
      <c r="Z364" s="174"/>
      <c r="AA364" s="174"/>
    </row>
    <row r="365">
      <c r="A365" s="174"/>
      <c r="B365" s="174"/>
      <c r="C365" s="174"/>
      <c r="D365" s="174"/>
      <c r="E365" s="174"/>
      <c r="F365" s="175"/>
      <c r="G365" s="175"/>
      <c r="H365" s="174"/>
      <c r="I365" s="174"/>
      <c r="J365" s="174"/>
      <c r="K365" s="174"/>
      <c r="L365" s="174"/>
      <c r="M365" s="174"/>
      <c r="N365" s="174"/>
      <c r="O365" s="174"/>
      <c r="P365" s="174"/>
      <c r="Q365" s="174"/>
      <c r="R365" s="174"/>
      <c r="S365" s="174"/>
      <c r="T365" s="174"/>
      <c r="U365" s="174"/>
      <c r="V365" s="174"/>
      <c r="W365" s="174"/>
      <c r="X365" s="174"/>
      <c r="Y365" s="174"/>
      <c r="Z365" s="174"/>
      <c r="AA365" s="174"/>
    </row>
    <row r="366">
      <c r="A366" s="174"/>
      <c r="B366" s="174"/>
      <c r="C366" s="174"/>
      <c r="D366" s="174"/>
      <c r="E366" s="174"/>
      <c r="F366" s="175"/>
      <c r="G366" s="175"/>
      <c r="H366" s="174"/>
      <c r="I366" s="174"/>
      <c r="J366" s="174"/>
      <c r="K366" s="174"/>
      <c r="L366" s="174"/>
      <c r="M366" s="174"/>
      <c r="N366" s="174"/>
      <c r="O366" s="174"/>
      <c r="P366" s="174"/>
      <c r="Q366" s="174"/>
      <c r="R366" s="174"/>
      <c r="S366" s="174"/>
      <c r="T366" s="174"/>
      <c r="U366" s="174"/>
      <c r="V366" s="174"/>
      <c r="W366" s="174"/>
      <c r="X366" s="174"/>
      <c r="Y366" s="174"/>
      <c r="Z366" s="174"/>
      <c r="AA366" s="174"/>
    </row>
    <row r="367">
      <c r="A367" s="174"/>
      <c r="B367" s="174"/>
      <c r="C367" s="174"/>
      <c r="D367" s="174"/>
      <c r="E367" s="174"/>
      <c r="F367" s="175"/>
      <c r="G367" s="175"/>
      <c r="H367" s="174"/>
      <c r="I367" s="174"/>
      <c r="J367" s="174"/>
      <c r="K367" s="174"/>
      <c r="L367" s="174"/>
      <c r="M367" s="174"/>
      <c r="N367" s="174"/>
      <c r="O367" s="174"/>
      <c r="P367" s="174"/>
      <c r="Q367" s="174"/>
      <c r="R367" s="174"/>
      <c r="S367" s="174"/>
      <c r="T367" s="174"/>
      <c r="U367" s="174"/>
      <c r="V367" s="174"/>
      <c r="W367" s="174"/>
      <c r="X367" s="174"/>
      <c r="Y367" s="174"/>
      <c r="Z367" s="174"/>
      <c r="AA367" s="174"/>
    </row>
    <row r="368">
      <c r="A368" s="174"/>
      <c r="B368" s="174"/>
      <c r="C368" s="174"/>
      <c r="D368" s="174"/>
      <c r="E368" s="174"/>
      <c r="F368" s="175"/>
      <c r="G368" s="175"/>
      <c r="H368" s="174"/>
      <c r="I368" s="174"/>
      <c r="J368" s="174"/>
      <c r="K368" s="174"/>
      <c r="L368" s="174"/>
      <c r="M368" s="174"/>
      <c r="N368" s="174"/>
      <c r="O368" s="174"/>
      <c r="P368" s="174"/>
      <c r="Q368" s="174"/>
      <c r="R368" s="174"/>
      <c r="S368" s="174"/>
      <c r="T368" s="174"/>
      <c r="U368" s="174"/>
      <c r="V368" s="174"/>
      <c r="W368" s="174"/>
      <c r="X368" s="174"/>
      <c r="Y368" s="174"/>
      <c r="Z368" s="174"/>
      <c r="AA368" s="174"/>
    </row>
    <row r="369">
      <c r="A369" s="174"/>
      <c r="B369" s="174"/>
      <c r="C369" s="174"/>
      <c r="D369" s="174"/>
      <c r="E369" s="174"/>
      <c r="F369" s="175"/>
      <c r="G369" s="175"/>
      <c r="H369" s="174"/>
      <c r="I369" s="174"/>
      <c r="J369" s="174"/>
      <c r="K369" s="174"/>
      <c r="L369" s="174"/>
      <c r="M369" s="174"/>
      <c r="N369" s="174"/>
      <c r="O369" s="174"/>
      <c r="P369" s="174"/>
      <c r="Q369" s="174"/>
      <c r="R369" s="174"/>
      <c r="S369" s="174"/>
      <c r="T369" s="174"/>
      <c r="U369" s="174"/>
      <c r="V369" s="174"/>
      <c r="W369" s="174"/>
      <c r="X369" s="174"/>
      <c r="Y369" s="174"/>
      <c r="Z369" s="174"/>
      <c r="AA369" s="174"/>
    </row>
    <row r="370">
      <c r="A370" s="174"/>
      <c r="B370" s="174"/>
      <c r="C370" s="174"/>
      <c r="D370" s="174"/>
      <c r="E370" s="174"/>
      <c r="F370" s="175"/>
      <c r="G370" s="175"/>
      <c r="H370" s="174"/>
      <c r="I370" s="174"/>
      <c r="J370" s="174"/>
      <c r="K370" s="174"/>
      <c r="L370" s="174"/>
      <c r="M370" s="174"/>
      <c r="N370" s="174"/>
      <c r="O370" s="174"/>
      <c r="P370" s="174"/>
      <c r="Q370" s="174"/>
      <c r="R370" s="174"/>
      <c r="S370" s="174"/>
      <c r="T370" s="174"/>
      <c r="U370" s="174"/>
      <c r="V370" s="174"/>
      <c r="W370" s="174"/>
      <c r="X370" s="174"/>
      <c r="Y370" s="174"/>
      <c r="Z370" s="174"/>
      <c r="AA370" s="174"/>
    </row>
    <row r="371">
      <c r="A371" s="174"/>
      <c r="B371" s="174"/>
      <c r="C371" s="174"/>
      <c r="D371" s="174"/>
      <c r="E371" s="174"/>
      <c r="F371" s="175"/>
      <c r="G371" s="175"/>
      <c r="H371" s="174"/>
      <c r="I371" s="174"/>
      <c r="J371" s="174"/>
      <c r="K371" s="174"/>
      <c r="L371" s="174"/>
      <c r="M371" s="174"/>
      <c r="N371" s="174"/>
      <c r="O371" s="174"/>
      <c r="P371" s="174"/>
      <c r="Q371" s="174"/>
      <c r="R371" s="174"/>
      <c r="S371" s="174"/>
      <c r="T371" s="174"/>
      <c r="U371" s="174"/>
      <c r="V371" s="174"/>
      <c r="W371" s="174"/>
      <c r="X371" s="174"/>
      <c r="Y371" s="174"/>
      <c r="Z371" s="174"/>
      <c r="AA371" s="174"/>
    </row>
    <row r="372">
      <c r="A372" s="174"/>
      <c r="B372" s="174"/>
      <c r="C372" s="174"/>
      <c r="D372" s="174"/>
      <c r="E372" s="174"/>
      <c r="F372" s="175"/>
      <c r="G372" s="175"/>
      <c r="H372" s="174"/>
      <c r="I372" s="174"/>
      <c r="J372" s="174"/>
      <c r="K372" s="174"/>
      <c r="L372" s="174"/>
      <c r="M372" s="174"/>
      <c r="N372" s="174"/>
      <c r="O372" s="174"/>
      <c r="P372" s="174"/>
      <c r="Q372" s="174"/>
      <c r="R372" s="174"/>
      <c r="S372" s="174"/>
      <c r="T372" s="174"/>
      <c r="U372" s="174"/>
      <c r="V372" s="174"/>
      <c r="W372" s="174"/>
      <c r="X372" s="174"/>
      <c r="Y372" s="174"/>
      <c r="Z372" s="174"/>
      <c r="AA372" s="174"/>
    </row>
    <row r="373">
      <c r="A373" s="174"/>
      <c r="B373" s="174"/>
      <c r="C373" s="174"/>
      <c r="D373" s="174"/>
      <c r="E373" s="174"/>
      <c r="F373" s="175"/>
      <c r="G373" s="175"/>
      <c r="H373" s="174"/>
      <c r="I373" s="174"/>
      <c r="J373" s="174"/>
      <c r="K373" s="174"/>
      <c r="L373" s="174"/>
      <c r="M373" s="174"/>
      <c r="N373" s="174"/>
      <c r="O373" s="174"/>
      <c r="P373" s="174"/>
      <c r="Q373" s="174"/>
      <c r="R373" s="174"/>
      <c r="S373" s="174"/>
      <c r="T373" s="174"/>
      <c r="U373" s="174"/>
      <c r="V373" s="174"/>
      <c r="W373" s="174"/>
      <c r="X373" s="174"/>
      <c r="Y373" s="174"/>
      <c r="Z373" s="174"/>
      <c r="AA373" s="174"/>
    </row>
    <row r="374">
      <c r="A374" s="174"/>
      <c r="B374" s="174"/>
      <c r="C374" s="174"/>
      <c r="D374" s="174"/>
      <c r="E374" s="174"/>
      <c r="F374" s="175"/>
      <c r="G374" s="175"/>
      <c r="H374" s="174"/>
      <c r="I374" s="174"/>
      <c r="J374" s="174"/>
      <c r="K374" s="174"/>
      <c r="L374" s="174"/>
      <c r="M374" s="174"/>
      <c r="N374" s="174"/>
      <c r="O374" s="174"/>
      <c r="P374" s="174"/>
      <c r="Q374" s="174"/>
      <c r="R374" s="174"/>
      <c r="S374" s="174"/>
      <c r="T374" s="174"/>
      <c r="U374" s="174"/>
      <c r="V374" s="174"/>
      <c r="W374" s="174"/>
      <c r="X374" s="174"/>
      <c r="Y374" s="174"/>
      <c r="Z374" s="174"/>
      <c r="AA374" s="174"/>
    </row>
    <row r="375">
      <c r="A375" s="174"/>
      <c r="B375" s="174"/>
      <c r="C375" s="174"/>
      <c r="D375" s="174"/>
      <c r="E375" s="174"/>
      <c r="F375" s="175"/>
      <c r="G375" s="175"/>
      <c r="H375" s="174"/>
      <c r="I375" s="174"/>
      <c r="J375" s="174"/>
      <c r="K375" s="174"/>
      <c r="L375" s="174"/>
      <c r="M375" s="174"/>
      <c r="N375" s="174"/>
      <c r="O375" s="174"/>
      <c r="P375" s="174"/>
      <c r="Q375" s="174"/>
      <c r="R375" s="174"/>
      <c r="S375" s="174"/>
      <c r="T375" s="174"/>
      <c r="U375" s="174"/>
      <c r="V375" s="174"/>
      <c r="W375" s="174"/>
      <c r="X375" s="174"/>
      <c r="Y375" s="174"/>
      <c r="Z375" s="174"/>
      <c r="AA375" s="174"/>
    </row>
    <row r="376">
      <c r="A376" s="174"/>
      <c r="B376" s="174"/>
      <c r="C376" s="174"/>
      <c r="D376" s="174"/>
      <c r="E376" s="174"/>
      <c r="F376" s="175"/>
      <c r="G376" s="175"/>
      <c r="H376" s="174"/>
      <c r="I376" s="174"/>
      <c r="J376" s="174"/>
      <c r="K376" s="174"/>
      <c r="L376" s="174"/>
      <c r="M376" s="174"/>
      <c r="N376" s="174"/>
      <c r="O376" s="174"/>
      <c r="P376" s="174"/>
      <c r="Q376" s="174"/>
      <c r="R376" s="174"/>
      <c r="S376" s="174"/>
      <c r="T376" s="174"/>
      <c r="U376" s="174"/>
      <c r="V376" s="174"/>
      <c r="W376" s="174"/>
      <c r="X376" s="174"/>
      <c r="Y376" s="174"/>
      <c r="Z376" s="174"/>
      <c r="AA376" s="174"/>
    </row>
    <row r="377">
      <c r="A377" s="174"/>
      <c r="B377" s="174"/>
      <c r="C377" s="174"/>
      <c r="D377" s="174"/>
      <c r="E377" s="174"/>
      <c r="F377" s="175"/>
      <c r="G377" s="175"/>
      <c r="H377" s="174"/>
      <c r="I377" s="174"/>
      <c r="J377" s="174"/>
      <c r="K377" s="174"/>
      <c r="L377" s="174"/>
      <c r="M377" s="174"/>
      <c r="N377" s="174"/>
      <c r="O377" s="174"/>
      <c r="P377" s="174"/>
      <c r="Q377" s="174"/>
      <c r="R377" s="174"/>
      <c r="S377" s="174"/>
      <c r="T377" s="174"/>
      <c r="U377" s="174"/>
      <c r="V377" s="174"/>
      <c r="W377" s="174"/>
      <c r="X377" s="174"/>
      <c r="Y377" s="174"/>
      <c r="Z377" s="174"/>
      <c r="AA377" s="174"/>
    </row>
    <row r="378">
      <c r="A378" s="174"/>
      <c r="B378" s="174"/>
      <c r="C378" s="174"/>
      <c r="D378" s="174"/>
      <c r="E378" s="174"/>
      <c r="F378" s="175"/>
      <c r="G378" s="175"/>
      <c r="H378" s="174"/>
      <c r="I378" s="174"/>
      <c r="J378" s="174"/>
      <c r="K378" s="174"/>
      <c r="L378" s="174"/>
      <c r="M378" s="174"/>
      <c r="N378" s="174"/>
      <c r="O378" s="174"/>
      <c r="P378" s="174"/>
      <c r="Q378" s="174"/>
      <c r="R378" s="174"/>
      <c r="S378" s="174"/>
      <c r="T378" s="174"/>
      <c r="U378" s="174"/>
      <c r="V378" s="174"/>
      <c r="W378" s="174"/>
      <c r="X378" s="174"/>
      <c r="Y378" s="174"/>
      <c r="Z378" s="174"/>
      <c r="AA378" s="174"/>
    </row>
    <row r="379">
      <c r="A379" s="174"/>
      <c r="B379" s="174"/>
      <c r="C379" s="174"/>
      <c r="D379" s="174"/>
      <c r="E379" s="174"/>
      <c r="F379" s="175"/>
      <c r="G379" s="175"/>
      <c r="H379" s="174"/>
      <c r="I379" s="174"/>
      <c r="J379" s="174"/>
      <c r="K379" s="174"/>
      <c r="L379" s="174"/>
      <c r="M379" s="174"/>
      <c r="N379" s="174"/>
      <c r="O379" s="174"/>
      <c r="P379" s="174"/>
      <c r="Q379" s="174"/>
      <c r="R379" s="174"/>
      <c r="S379" s="174"/>
      <c r="T379" s="174"/>
      <c r="U379" s="174"/>
      <c r="V379" s="174"/>
      <c r="W379" s="174"/>
      <c r="X379" s="174"/>
      <c r="Y379" s="174"/>
      <c r="Z379" s="174"/>
      <c r="AA379" s="174"/>
    </row>
    <row r="380">
      <c r="A380" s="174"/>
      <c r="B380" s="174"/>
      <c r="C380" s="174"/>
      <c r="D380" s="174"/>
      <c r="E380" s="174"/>
      <c r="F380" s="175"/>
      <c r="G380" s="175"/>
      <c r="H380" s="174"/>
      <c r="I380" s="174"/>
      <c r="J380" s="174"/>
      <c r="K380" s="174"/>
      <c r="L380" s="174"/>
      <c r="M380" s="174"/>
      <c r="N380" s="174"/>
      <c r="O380" s="174"/>
      <c r="P380" s="174"/>
      <c r="Q380" s="174"/>
      <c r="R380" s="174"/>
      <c r="S380" s="174"/>
      <c r="T380" s="174"/>
      <c r="U380" s="174"/>
      <c r="V380" s="174"/>
      <c r="W380" s="174"/>
      <c r="X380" s="174"/>
      <c r="Y380" s="174"/>
      <c r="Z380" s="174"/>
      <c r="AA380" s="174"/>
    </row>
    <row r="381">
      <c r="A381" s="174"/>
      <c r="B381" s="174"/>
      <c r="C381" s="174"/>
      <c r="D381" s="174"/>
      <c r="E381" s="174"/>
      <c r="F381" s="175"/>
      <c r="G381" s="175"/>
      <c r="H381" s="174"/>
      <c r="I381" s="174"/>
      <c r="J381" s="174"/>
      <c r="K381" s="174"/>
      <c r="L381" s="174"/>
      <c r="M381" s="174"/>
      <c r="N381" s="174"/>
      <c r="O381" s="174"/>
      <c r="P381" s="174"/>
      <c r="Q381" s="174"/>
      <c r="R381" s="174"/>
      <c r="S381" s="174"/>
      <c r="T381" s="174"/>
      <c r="U381" s="174"/>
      <c r="V381" s="174"/>
      <c r="W381" s="174"/>
      <c r="X381" s="174"/>
      <c r="Y381" s="174"/>
      <c r="Z381" s="174"/>
      <c r="AA381" s="174"/>
    </row>
    <row r="382">
      <c r="A382" s="174"/>
      <c r="B382" s="174"/>
      <c r="C382" s="174"/>
      <c r="D382" s="174"/>
      <c r="E382" s="174"/>
      <c r="F382" s="175"/>
      <c r="G382" s="175"/>
      <c r="H382" s="174"/>
      <c r="I382" s="174"/>
      <c r="J382" s="174"/>
      <c r="K382" s="174"/>
      <c r="L382" s="174"/>
      <c r="M382" s="174"/>
      <c r="N382" s="174"/>
      <c r="O382" s="174"/>
      <c r="P382" s="174"/>
      <c r="Q382" s="174"/>
      <c r="R382" s="174"/>
      <c r="S382" s="174"/>
      <c r="T382" s="174"/>
      <c r="U382" s="174"/>
      <c r="V382" s="174"/>
      <c r="W382" s="174"/>
      <c r="X382" s="174"/>
      <c r="Y382" s="174"/>
      <c r="Z382" s="174"/>
      <c r="AA382" s="174"/>
    </row>
    <row r="383">
      <c r="A383" s="174"/>
      <c r="B383" s="174"/>
      <c r="C383" s="174"/>
      <c r="D383" s="174"/>
      <c r="E383" s="174"/>
      <c r="F383" s="175"/>
      <c r="G383" s="175"/>
      <c r="H383" s="174"/>
      <c r="I383" s="174"/>
      <c r="J383" s="174"/>
      <c r="K383" s="174"/>
      <c r="L383" s="174"/>
      <c r="M383" s="174"/>
      <c r="N383" s="174"/>
      <c r="O383" s="174"/>
      <c r="P383" s="174"/>
      <c r="Q383" s="174"/>
      <c r="R383" s="174"/>
      <c r="S383" s="174"/>
      <c r="T383" s="174"/>
      <c r="U383" s="174"/>
      <c r="V383" s="174"/>
      <c r="W383" s="174"/>
      <c r="X383" s="174"/>
      <c r="Y383" s="174"/>
      <c r="Z383" s="174"/>
      <c r="AA383" s="174"/>
    </row>
    <row r="384">
      <c r="A384" s="174"/>
      <c r="B384" s="174"/>
      <c r="C384" s="174"/>
      <c r="D384" s="174"/>
      <c r="E384" s="174"/>
      <c r="F384" s="175"/>
      <c r="G384" s="175"/>
      <c r="H384" s="174"/>
      <c r="I384" s="174"/>
      <c r="J384" s="174"/>
      <c r="K384" s="174"/>
      <c r="L384" s="174"/>
      <c r="M384" s="174"/>
      <c r="N384" s="174"/>
      <c r="O384" s="174"/>
      <c r="P384" s="174"/>
      <c r="Q384" s="174"/>
      <c r="R384" s="174"/>
      <c r="S384" s="174"/>
      <c r="T384" s="174"/>
      <c r="U384" s="174"/>
      <c r="V384" s="174"/>
      <c r="W384" s="174"/>
      <c r="X384" s="174"/>
      <c r="Y384" s="174"/>
      <c r="Z384" s="174"/>
      <c r="AA384" s="174"/>
    </row>
    <row r="385">
      <c r="A385" s="174"/>
      <c r="B385" s="174"/>
      <c r="C385" s="174"/>
      <c r="D385" s="174"/>
      <c r="E385" s="174"/>
      <c r="F385" s="175"/>
      <c r="G385" s="175"/>
      <c r="H385" s="174"/>
      <c r="I385" s="174"/>
      <c r="J385" s="174"/>
      <c r="K385" s="174"/>
      <c r="L385" s="174"/>
      <c r="M385" s="174"/>
      <c r="N385" s="174"/>
      <c r="O385" s="174"/>
      <c r="P385" s="174"/>
      <c r="Q385" s="174"/>
      <c r="R385" s="174"/>
      <c r="S385" s="174"/>
      <c r="T385" s="174"/>
      <c r="U385" s="174"/>
      <c r="V385" s="174"/>
      <c r="W385" s="174"/>
      <c r="X385" s="174"/>
      <c r="Y385" s="174"/>
      <c r="Z385" s="174"/>
      <c r="AA385" s="174"/>
    </row>
    <row r="386">
      <c r="A386" s="174"/>
      <c r="B386" s="174"/>
      <c r="C386" s="174"/>
      <c r="D386" s="174"/>
      <c r="E386" s="174"/>
      <c r="F386" s="175"/>
      <c r="G386" s="175"/>
      <c r="H386" s="174"/>
      <c r="I386" s="174"/>
      <c r="J386" s="174"/>
      <c r="K386" s="174"/>
      <c r="L386" s="174"/>
      <c r="M386" s="174"/>
      <c r="N386" s="174"/>
      <c r="O386" s="174"/>
      <c r="P386" s="174"/>
      <c r="Q386" s="174"/>
      <c r="R386" s="174"/>
      <c r="S386" s="174"/>
      <c r="T386" s="174"/>
      <c r="U386" s="174"/>
      <c r="V386" s="174"/>
      <c r="W386" s="174"/>
      <c r="X386" s="174"/>
      <c r="Y386" s="174"/>
      <c r="Z386" s="174"/>
      <c r="AA386" s="174"/>
    </row>
    <row r="387">
      <c r="A387" s="174"/>
      <c r="B387" s="174"/>
      <c r="C387" s="174"/>
      <c r="D387" s="174"/>
      <c r="E387" s="174"/>
      <c r="F387" s="175"/>
      <c r="G387" s="175"/>
      <c r="H387" s="174"/>
      <c r="I387" s="174"/>
      <c r="J387" s="174"/>
      <c r="K387" s="174"/>
      <c r="L387" s="174"/>
      <c r="M387" s="174"/>
      <c r="N387" s="174"/>
      <c r="O387" s="174"/>
      <c r="P387" s="174"/>
      <c r="Q387" s="174"/>
      <c r="R387" s="174"/>
      <c r="S387" s="174"/>
      <c r="T387" s="174"/>
      <c r="U387" s="174"/>
      <c r="V387" s="174"/>
      <c r="W387" s="174"/>
      <c r="X387" s="174"/>
      <c r="Y387" s="174"/>
      <c r="Z387" s="174"/>
      <c r="AA387" s="174"/>
    </row>
    <row r="388">
      <c r="A388" s="174"/>
      <c r="B388" s="174"/>
      <c r="C388" s="174"/>
      <c r="D388" s="174"/>
      <c r="E388" s="174"/>
      <c r="F388" s="175"/>
      <c r="G388" s="175"/>
      <c r="H388" s="174"/>
      <c r="I388" s="174"/>
      <c r="J388" s="174"/>
      <c r="K388" s="174"/>
      <c r="L388" s="174"/>
      <c r="M388" s="174"/>
      <c r="N388" s="174"/>
      <c r="O388" s="174"/>
      <c r="P388" s="174"/>
      <c r="Q388" s="174"/>
      <c r="R388" s="174"/>
      <c r="S388" s="174"/>
      <c r="T388" s="174"/>
      <c r="U388" s="174"/>
      <c r="V388" s="174"/>
      <c r="W388" s="174"/>
      <c r="X388" s="174"/>
      <c r="Y388" s="174"/>
      <c r="Z388" s="174"/>
      <c r="AA388" s="174"/>
    </row>
    <row r="389">
      <c r="A389" s="174"/>
      <c r="B389" s="174"/>
      <c r="C389" s="174"/>
      <c r="D389" s="174"/>
      <c r="E389" s="174"/>
      <c r="F389" s="175"/>
      <c r="G389" s="175"/>
      <c r="H389" s="174"/>
      <c r="I389" s="174"/>
      <c r="J389" s="174"/>
      <c r="K389" s="174"/>
      <c r="L389" s="174"/>
      <c r="M389" s="174"/>
      <c r="N389" s="174"/>
      <c r="O389" s="174"/>
      <c r="P389" s="174"/>
      <c r="Q389" s="174"/>
      <c r="R389" s="174"/>
      <c r="S389" s="174"/>
      <c r="T389" s="174"/>
      <c r="U389" s="174"/>
      <c r="V389" s="174"/>
      <c r="W389" s="174"/>
      <c r="X389" s="174"/>
      <c r="Y389" s="174"/>
      <c r="Z389" s="174"/>
      <c r="AA389" s="174"/>
    </row>
    <row r="390">
      <c r="A390" s="174"/>
      <c r="B390" s="174"/>
      <c r="C390" s="174"/>
      <c r="D390" s="174"/>
      <c r="E390" s="174"/>
      <c r="F390" s="175"/>
      <c r="G390" s="175"/>
      <c r="H390" s="174"/>
      <c r="I390" s="174"/>
      <c r="J390" s="174"/>
      <c r="K390" s="174"/>
      <c r="L390" s="174"/>
      <c r="M390" s="174"/>
      <c r="N390" s="174"/>
      <c r="O390" s="174"/>
      <c r="P390" s="174"/>
      <c r="Q390" s="174"/>
      <c r="R390" s="174"/>
      <c r="S390" s="174"/>
      <c r="T390" s="174"/>
      <c r="U390" s="174"/>
      <c r="V390" s="174"/>
      <c r="W390" s="174"/>
      <c r="X390" s="174"/>
      <c r="Y390" s="174"/>
      <c r="Z390" s="174"/>
      <c r="AA390" s="174"/>
    </row>
    <row r="391">
      <c r="A391" s="174"/>
      <c r="B391" s="174"/>
      <c r="C391" s="174"/>
      <c r="D391" s="174"/>
      <c r="E391" s="174"/>
      <c r="F391" s="175"/>
      <c r="G391" s="175"/>
      <c r="H391" s="174"/>
      <c r="I391" s="174"/>
      <c r="J391" s="174"/>
      <c r="K391" s="174"/>
      <c r="L391" s="174"/>
      <c r="M391" s="174"/>
      <c r="N391" s="174"/>
      <c r="O391" s="174"/>
      <c r="P391" s="174"/>
      <c r="Q391" s="174"/>
      <c r="R391" s="174"/>
      <c r="S391" s="174"/>
      <c r="T391" s="174"/>
      <c r="U391" s="174"/>
      <c r="V391" s="174"/>
      <c r="W391" s="174"/>
      <c r="X391" s="174"/>
      <c r="Y391" s="174"/>
      <c r="Z391" s="174"/>
      <c r="AA391" s="174"/>
    </row>
    <row r="392">
      <c r="A392" s="174"/>
      <c r="B392" s="174"/>
      <c r="C392" s="174"/>
      <c r="D392" s="174"/>
      <c r="E392" s="174"/>
      <c r="F392" s="175"/>
      <c r="G392" s="175"/>
      <c r="H392" s="174"/>
      <c r="I392" s="174"/>
      <c r="J392" s="174"/>
      <c r="K392" s="174"/>
      <c r="L392" s="174"/>
      <c r="M392" s="174"/>
      <c r="N392" s="174"/>
      <c r="O392" s="174"/>
      <c r="P392" s="174"/>
      <c r="Q392" s="174"/>
      <c r="R392" s="174"/>
      <c r="S392" s="174"/>
      <c r="T392" s="174"/>
      <c r="U392" s="174"/>
      <c r="V392" s="174"/>
      <c r="W392" s="174"/>
      <c r="X392" s="174"/>
      <c r="Y392" s="174"/>
      <c r="Z392" s="174"/>
      <c r="AA392" s="174"/>
    </row>
    <row r="393">
      <c r="A393" s="174"/>
      <c r="B393" s="174"/>
      <c r="C393" s="174"/>
      <c r="D393" s="174"/>
      <c r="E393" s="174"/>
      <c r="F393" s="175"/>
      <c r="G393" s="175"/>
      <c r="H393" s="174"/>
      <c r="I393" s="174"/>
      <c r="J393" s="174"/>
      <c r="K393" s="174"/>
      <c r="L393" s="174"/>
      <c r="M393" s="174"/>
      <c r="N393" s="174"/>
      <c r="O393" s="174"/>
      <c r="P393" s="174"/>
      <c r="Q393" s="174"/>
      <c r="R393" s="174"/>
      <c r="S393" s="174"/>
      <c r="T393" s="174"/>
      <c r="U393" s="174"/>
      <c r="V393" s="174"/>
      <c r="W393" s="174"/>
      <c r="X393" s="174"/>
      <c r="Y393" s="174"/>
      <c r="Z393" s="174"/>
      <c r="AA393" s="174"/>
    </row>
    <row r="394">
      <c r="A394" s="174"/>
      <c r="B394" s="174"/>
      <c r="C394" s="174"/>
      <c r="D394" s="174"/>
      <c r="E394" s="174"/>
      <c r="F394" s="175"/>
      <c r="G394" s="175"/>
      <c r="H394" s="174"/>
      <c r="I394" s="174"/>
      <c r="J394" s="174"/>
      <c r="K394" s="174"/>
      <c r="L394" s="174"/>
      <c r="M394" s="174"/>
      <c r="N394" s="174"/>
      <c r="O394" s="174"/>
      <c r="P394" s="174"/>
      <c r="Q394" s="174"/>
      <c r="R394" s="174"/>
      <c r="S394" s="174"/>
      <c r="T394" s="174"/>
      <c r="U394" s="174"/>
      <c r="V394" s="174"/>
      <c r="W394" s="174"/>
      <c r="X394" s="174"/>
      <c r="Y394" s="174"/>
      <c r="Z394" s="174"/>
      <c r="AA394" s="174"/>
    </row>
    <row r="395">
      <c r="A395" s="174"/>
      <c r="B395" s="174"/>
      <c r="C395" s="174"/>
      <c r="D395" s="174"/>
      <c r="E395" s="174"/>
      <c r="F395" s="175"/>
      <c r="G395" s="175"/>
      <c r="H395" s="174"/>
      <c r="I395" s="174"/>
      <c r="J395" s="174"/>
      <c r="K395" s="174"/>
      <c r="L395" s="174"/>
      <c r="M395" s="174"/>
      <c r="N395" s="174"/>
      <c r="O395" s="174"/>
      <c r="P395" s="174"/>
      <c r="Q395" s="174"/>
      <c r="R395" s="174"/>
      <c r="S395" s="174"/>
      <c r="T395" s="174"/>
      <c r="U395" s="174"/>
      <c r="V395" s="174"/>
      <c r="W395" s="174"/>
      <c r="X395" s="174"/>
      <c r="Y395" s="174"/>
      <c r="Z395" s="174"/>
      <c r="AA395" s="174"/>
    </row>
    <row r="396">
      <c r="A396" s="174"/>
      <c r="B396" s="174"/>
      <c r="C396" s="174"/>
      <c r="D396" s="174"/>
      <c r="E396" s="174"/>
      <c r="F396" s="175"/>
      <c r="G396" s="175"/>
      <c r="H396" s="174"/>
      <c r="I396" s="174"/>
      <c r="J396" s="174"/>
      <c r="K396" s="174"/>
      <c r="L396" s="174"/>
      <c r="M396" s="174"/>
      <c r="N396" s="174"/>
      <c r="O396" s="174"/>
      <c r="P396" s="174"/>
      <c r="Q396" s="174"/>
      <c r="R396" s="174"/>
      <c r="S396" s="174"/>
      <c r="T396" s="174"/>
      <c r="U396" s="174"/>
      <c r="V396" s="174"/>
      <c r="W396" s="174"/>
      <c r="X396" s="174"/>
      <c r="Y396" s="174"/>
      <c r="Z396" s="174"/>
      <c r="AA396" s="174"/>
    </row>
    <row r="397">
      <c r="A397" s="174"/>
      <c r="B397" s="174"/>
      <c r="C397" s="174"/>
      <c r="D397" s="174"/>
      <c r="E397" s="174"/>
      <c r="F397" s="175"/>
      <c r="G397" s="175"/>
      <c r="H397" s="174"/>
      <c r="I397" s="174"/>
      <c r="J397" s="174"/>
      <c r="K397" s="174"/>
      <c r="L397" s="174"/>
      <c r="M397" s="174"/>
      <c r="N397" s="174"/>
      <c r="O397" s="174"/>
      <c r="P397" s="174"/>
      <c r="Q397" s="174"/>
      <c r="R397" s="174"/>
      <c r="S397" s="174"/>
      <c r="T397" s="174"/>
      <c r="U397" s="174"/>
      <c r="V397" s="174"/>
      <c r="W397" s="174"/>
      <c r="X397" s="174"/>
      <c r="Y397" s="174"/>
      <c r="Z397" s="174"/>
      <c r="AA397" s="174"/>
    </row>
    <row r="398">
      <c r="A398" s="174"/>
      <c r="B398" s="174"/>
      <c r="C398" s="174"/>
      <c r="D398" s="174"/>
      <c r="E398" s="174"/>
      <c r="F398" s="175"/>
      <c r="G398" s="175"/>
      <c r="H398" s="174"/>
      <c r="I398" s="174"/>
      <c r="J398" s="174"/>
      <c r="K398" s="174"/>
      <c r="L398" s="174"/>
      <c r="M398" s="174"/>
      <c r="N398" s="174"/>
      <c r="O398" s="174"/>
      <c r="P398" s="174"/>
      <c r="Q398" s="174"/>
      <c r="R398" s="174"/>
      <c r="S398" s="174"/>
      <c r="T398" s="174"/>
      <c r="U398" s="174"/>
      <c r="V398" s="174"/>
      <c r="W398" s="174"/>
      <c r="X398" s="174"/>
      <c r="Y398" s="174"/>
      <c r="Z398" s="174"/>
      <c r="AA398" s="174"/>
    </row>
    <row r="399">
      <c r="A399" s="174"/>
      <c r="B399" s="174"/>
      <c r="C399" s="174"/>
      <c r="D399" s="174"/>
      <c r="E399" s="174"/>
      <c r="F399" s="175"/>
      <c r="G399" s="175"/>
      <c r="H399" s="174"/>
      <c r="I399" s="174"/>
      <c r="J399" s="174"/>
      <c r="K399" s="174"/>
      <c r="L399" s="174"/>
      <c r="M399" s="174"/>
      <c r="N399" s="174"/>
      <c r="O399" s="174"/>
      <c r="P399" s="174"/>
      <c r="Q399" s="174"/>
      <c r="R399" s="174"/>
      <c r="S399" s="174"/>
      <c r="T399" s="174"/>
      <c r="U399" s="174"/>
      <c r="V399" s="174"/>
      <c r="W399" s="174"/>
      <c r="X399" s="174"/>
      <c r="Y399" s="174"/>
      <c r="Z399" s="174"/>
      <c r="AA399" s="174"/>
    </row>
    <row r="400">
      <c r="A400" s="174"/>
      <c r="B400" s="174"/>
      <c r="C400" s="174"/>
      <c r="D400" s="174"/>
      <c r="E400" s="174"/>
      <c r="F400" s="175"/>
      <c r="G400" s="175"/>
      <c r="H400" s="174"/>
      <c r="I400" s="174"/>
      <c r="J400" s="174"/>
      <c r="K400" s="174"/>
      <c r="L400" s="174"/>
      <c r="M400" s="174"/>
      <c r="N400" s="174"/>
      <c r="O400" s="174"/>
      <c r="P400" s="174"/>
      <c r="Q400" s="174"/>
      <c r="R400" s="174"/>
      <c r="S400" s="174"/>
      <c r="T400" s="174"/>
      <c r="U400" s="174"/>
      <c r="V400" s="174"/>
      <c r="W400" s="174"/>
      <c r="X400" s="174"/>
      <c r="Y400" s="174"/>
      <c r="Z400" s="174"/>
      <c r="AA400" s="174"/>
    </row>
    <row r="401">
      <c r="A401" s="174"/>
      <c r="B401" s="174"/>
      <c r="C401" s="174"/>
      <c r="D401" s="174"/>
      <c r="E401" s="174"/>
      <c r="F401" s="175"/>
      <c r="G401" s="175"/>
      <c r="H401" s="174"/>
      <c r="I401" s="174"/>
      <c r="J401" s="174"/>
      <c r="K401" s="174"/>
      <c r="L401" s="174"/>
      <c r="M401" s="174"/>
      <c r="N401" s="174"/>
      <c r="O401" s="174"/>
      <c r="P401" s="174"/>
      <c r="Q401" s="174"/>
      <c r="R401" s="174"/>
      <c r="S401" s="174"/>
      <c r="T401" s="174"/>
      <c r="U401" s="174"/>
      <c r="V401" s="174"/>
      <c r="W401" s="174"/>
      <c r="X401" s="174"/>
      <c r="Y401" s="174"/>
      <c r="Z401" s="174"/>
      <c r="AA401" s="174"/>
    </row>
    <row r="402">
      <c r="A402" s="174"/>
      <c r="B402" s="174"/>
      <c r="C402" s="174"/>
      <c r="D402" s="174"/>
      <c r="E402" s="174"/>
      <c r="F402" s="175"/>
      <c r="G402" s="175"/>
      <c r="H402" s="174"/>
      <c r="I402" s="174"/>
      <c r="J402" s="174"/>
      <c r="K402" s="174"/>
      <c r="L402" s="174"/>
      <c r="M402" s="174"/>
      <c r="N402" s="174"/>
      <c r="O402" s="174"/>
      <c r="P402" s="174"/>
      <c r="Q402" s="174"/>
      <c r="R402" s="174"/>
      <c r="S402" s="174"/>
      <c r="T402" s="174"/>
      <c r="U402" s="174"/>
      <c r="V402" s="174"/>
      <c r="W402" s="174"/>
      <c r="X402" s="174"/>
      <c r="Y402" s="174"/>
      <c r="Z402" s="174"/>
      <c r="AA402" s="174"/>
    </row>
    <row r="403">
      <c r="A403" s="174"/>
      <c r="B403" s="174"/>
      <c r="C403" s="174"/>
      <c r="D403" s="174"/>
      <c r="E403" s="174"/>
      <c r="F403" s="175"/>
      <c r="G403" s="175"/>
      <c r="H403" s="174"/>
      <c r="I403" s="174"/>
      <c r="J403" s="174"/>
      <c r="K403" s="174"/>
      <c r="L403" s="174"/>
      <c r="M403" s="174"/>
      <c r="N403" s="174"/>
      <c r="O403" s="174"/>
      <c r="P403" s="174"/>
      <c r="Q403" s="174"/>
      <c r="R403" s="174"/>
      <c r="S403" s="174"/>
      <c r="T403" s="174"/>
      <c r="U403" s="174"/>
      <c r="V403" s="174"/>
      <c r="W403" s="174"/>
      <c r="X403" s="174"/>
      <c r="Y403" s="174"/>
      <c r="Z403" s="174"/>
      <c r="AA403" s="174"/>
    </row>
    <row r="404">
      <c r="A404" s="174"/>
      <c r="B404" s="174"/>
      <c r="C404" s="174"/>
      <c r="D404" s="174"/>
      <c r="E404" s="174"/>
      <c r="F404" s="175"/>
      <c r="G404" s="175"/>
      <c r="H404" s="174"/>
      <c r="I404" s="174"/>
      <c r="J404" s="174"/>
      <c r="K404" s="174"/>
      <c r="L404" s="174"/>
      <c r="M404" s="174"/>
      <c r="N404" s="174"/>
      <c r="O404" s="174"/>
      <c r="P404" s="174"/>
      <c r="Q404" s="174"/>
      <c r="R404" s="174"/>
      <c r="S404" s="174"/>
      <c r="T404" s="174"/>
      <c r="U404" s="174"/>
      <c r="V404" s="174"/>
      <c r="W404" s="174"/>
      <c r="X404" s="174"/>
      <c r="Y404" s="174"/>
      <c r="Z404" s="174"/>
      <c r="AA404" s="174"/>
    </row>
    <row r="405">
      <c r="A405" s="174"/>
      <c r="B405" s="174"/>
      <c r="C405" s="174"/>
      <c r="D405" s="174"/>
      <c r="E405" s="174"/>
      <c r="F405" s="175"/>
      <c r="G405" s="175"/>
      <c r="H405" s="174"/>
      <c r="I405" s="174"/>
      <c r="J405" s="174"/>
      <c r="K405" s="174"/>
      <c r="L405" s="174"/>
      <c r="M405" s="174"/>
      <c r="N405" s="174"/>
      <c r="O405" s="174"/>
      <c r="P405" s="174"/>
      <c r="Q405" s="174"/>
      <c r="R405" s="174"/>
      <c r="S405" s="174"/>
      <c r="T405" s="174"/>
      <c r="U405" s="174"/>
      <c r="V405" s="174"/>
      <c r="W405" s="174"/>
      <c r="X405" s="174"/>
      <c r="Y405" s="174"/>
      <c r="Z405" s="174"/>
      <c r="AA405" s="174"/>
    </row>
    <row r="406">
      <c r="A406" s="174"/>
      <c r="B406" s="174"/>
      <c r="C406" s="174"/>
      <c r="D406" s="174"/>
      <c r="E406" s="174"/>
      <c r="F406" s="175"/>
      <c r="G406" s="175"/>
      <c r="H406" s="174"/>
      <c r="I406" s="174"/>
      <c r="J406" s="174"/>
      <c r="K406" s="174"/>
      <c r="L406" s="174"/>
      <c r="M406" s="174"/>
      <c r="N406" s="174"/>
      <c r="O406" s="174"/>
      <c r="P406" s="174"/>
      <c r="Q406" s="174"/>
      <c r="R406" s="174"/>
      <c r="S406" s="174"/>
      <c r="T406" s="174"/>
      <c r="U406" s="174"/>
      <c r="V406" s="174"/>
      <c r="W406" s="174"/>
      <c r="X406" s="174"/>
      <c r="Y406" s="174"/>
      <c r="Z406" s="174"/>
      <c r="AA406" s="174"/>
    </row>
    <row r="407">
      <c r="A407" s="174"/>
      <c r="B407" s="174"/>
      <c r="C407" s="174"/>
      <c r="D407" s="174"/>
      <c r="E407" s="174"/>
      <c r="F407" s="175"/>
      <c r="G407" s="175"/>
      <c r="H407" s="174"/>
      <c r="I407" s="174"/>
      <c r="J407" s="174"/>
      <c r="K407" s="174"/>
      <c r="L407" s="174"/>
      <c r="M407" s="174"/>
      <c r="N407" s="174"/>
      <c r="O407" s="174"/>
      <c r="P407" s="174"/>
      <c r="Q407" s="174"/>
      <c r="R407" s="174"/>
      <c r="S407" s="174"/>
      <c r="T407" s="174"/>
      <c r="U407" s="174"/>
      <c r="V407" s="174"/>
      <c r="W407" s="174"/>
      <c r="X407" s="174"/>
      <c r="Y407" s="174"/>
      <c r="Z407" s="174"/>
      <c r="AA407" s="174"/>
    </row>
    <row r="408">
      <c r="A408" s="174"/>
      <c r="B408" s="174"/>
      <c r="C408" s="174"/>
      <c r="D408" s="174"/>
      <c r="E408" s="174"/>
      <c r="F408" s="175"/>
      <c r="G408" s="175"/>
      <c r="H408" s="174"/>
      <c r="I408" s="174"/>
      <c r="J408" s="174"/>
      <c r="K408" s="174"/>
      <c r="L408" s="174"/>
      <c r="M408" s="174"/>
      <c r="N408" s="174"/>
      <c r="O408" s="174"/>
      <c r="P408" s="174"/>
      <c r="Q408" s="174"/>
      <c r="R408" s="174"/>
      <c r="S408" s="174"/>
      <c r="T408" s="174"/>
      <c r="U408" s="174"/>
      <c r="V408" s="174"/>
      <c r="W408" s="174"/>
      <c r="X408" s="174"/>
      <c r="Y408" s="174"/>
      <c r="Z408" s="174"/>
      <c r="AA408" s="174"/>
    </row>
    <row r="409">
      <c r="A409" s="174"/>
      <c r="B409" s="174"/>
      <c r="C409" s="174"/>
      <c r="D409" s="174"/>
      <c r="E409" s="174"/>
      <c r="F409" s="175"/>
      <c r="G409" s="175"/>
      <c r="H409" s="174"/>
      <c r="I409" s="174"/>
      <c r="J409" s="174"/>
      <c r="K409" s="174"/>
      <c r="L409" s="174"/>
      <c r="M409" s="174"/>
      <c r="N409" s="174"/>
      <c r="O409" s="174"/>
      <c r="P409" s="174"/>
      <c r="Q409" s="174"/>
      <c r="R409" s="174"/>
      <c r="S409" s="174"/>
      <c r="T409" s="174"/>
      <c r="U409" s="174"/>
      <c r="V409" s="174"/>
      <c r="W409" s="174"/>
      <c r="X409" s="174"/>
      <c r="Y409" s="174"/>
      <c r="Z409" s="174"/>
      <c r="AA409" s="174"/>
    </row>
    <row r="410">
      <c r="A410" s="174"/>
      <c r="B410" s="174"/>
      <c r="C410" s="174"/>
      <c r="D410" s="174"/>
      <c r="E410" s="174"/>
      <c r="F410" s="175"/>
      <c r="G410" s="175"/>
      <c r="H410" s="174"/>
      <c r="I410" s="174"/>
      <c r="J410" s="174"/>
      <c r="K410" s="174"/>
      <c r="L410" s="174"/>
      <c r="M410" s="174"/>
      <c r="N410" s="174"/>
      <c r="O410" s="174"/>
      <c r="P410" s="174"/>
      <c r="Q410" s="174"/>
      <c r="R410" s="174"/>
      <c r="S410" s="174"/>
      <c r="T410" s="174"/>
      <c r="U410" s="174"/>
      <c r="V410" s="174"/>
      <c r="W410" s="174"/>
      <c r="X410" s="174"/>
      <c r="Y410" s="174"/>
      <c r="Z410" s="174"/>
      <c r="AA410" s="174"/>
    </row>
    <row r="411">
      <c r="A411" s="174"/>
      <c r="B411" s="174"/>
      <c r="C411" s="174"/>
      <c r="D411" s="174"/>
      <c r="E411" s="174"/>
      <c r="F411" s="175"/>
      <c r="G411" s="175"/>
      <c r="H411" s="174"/>
      <c r="I411" s="174"/>
      <c r="J411" s="174"/>
      <c r="K411" s="174"/>
      <c r="L411" s="174"/>
      <c r="M411" s="174"/>
      <c r="N411" s="174"/>
      <c r="O411" s="174"/>
      <c r="P411" s="174"/>
      <c r="Q411" s="174"/>
      <c r="R411" s="174"/>
      <c r="S411" s="174"/>
      <c r="T411" s="174"/>
      <c r="U411" s="174"/>
      <c r="V411" s="174"/>
      <c r="W411" s="174"/>
      <c r="X411" s="174"/>
      <c r="Y411" s="174"/>
      <c r="Z411" s="174"/>
      <c r="AA411" s="174"/>
    </row>
    <row r="412">
      <c r="A412" s="174"/>
      <c r="B412" s="174"/>
      <c r="C412" s="174"/>
      <c r="D412" s="174"/>
      <c r="E412" s="174"/>
      <c r="F412" s="175"/>
      <c r="G412" s="175"/>
      <c r="H412" s="174"/>
      <c r="I412" s="174"/>
      <c r="J412" s="174"/>
      <c r="K412" s="174"/>
      <c r="L412" s="174"/>
      <c r="M412" s="174"/>
      <c r="N412" s="174"/>
      <c r="O412" s="174"/>
      <c r="P412" s="174"/>
      <c r="Q412" s="174"/>
      <c r="R412" s="174"/>
      <c r="S412" s="174"/>
      <c r="T412" s="174"/>
      <c r="U412" s="174"/>
      <c r="V412" s="174"/>
      <c r="W412" s="174"/>
      <c r="X412" s="174"/>
      <c r="Y412" s="174"/>
      <c r="Z412" s="174"/>
      <c r="AA412" s="174"/>
    </row>
    <row r="413">
      <c r="A413" s="174"/>
      <c r="B413" s="174"/>
      <c r="C413" s="174"/>
      <c r="D413" s="174"/>
      <c r="E413" s="174"/>
      <c r="F413" s="175"/>
      <c r="G413" s="175"/>
      <c r="H413" s="174"/>
      <c r="I413" s="174"/>
      <c r="J413" s="174"/>
      <c r="K413" s="174"/>
      <c r="L413" s="174"/>
      <c r="M413" s="174"/>
      <c r="N413" s="174"/>
      <c r="O413" s="174"/>
      <c r="P413" s="174"/>
      <c r="Q413" s="174"/>
      <c r="R413" s="174"/>
      <c r="S413" s="174"/>
      <c r="T413" s="174"/>
      <c r="U413" s="174"/>
      <c r="V413" s="174"/>
      <c r="W413" s="174"/>
      <c r="X413" s="174"/>
      <c r="Y413" s="174"/>
      <c r="Z413" s="174"/>
      <c r="AA413" s="174"/>
    </row>
    <row r="414">
      <c r="A414" s="174"/>
      <c r="B414" s="174"/>
      <c r="C414" s="174"/>
      <c r="D414" s="174"/>
      <c r="E414" s="174"/>
      <c r="F414" s="175"/>
      <c r="G414" s="175"/>
      <c r="H414" s="174"/>
      <c r="I414" s="174"/>
      <c r="J414" s="174"/>
      <c r="K414" s="174"/>
      <c r="L414" s="174"/>
      <c r="M414" s="174"/>
      <c r="N414" s="174"/>
      <c r="O414" s="174"/>
      <c r="P414" s="174"/>
      <c r="Q414" s="174"/>
      <c r="R414" s="174"/>
      <c r="S414" s="174"/>
      <c r="T414" s="174"/>
      <c r="U414" s="174"/>
      <c r="V414" s="174"/>
      <c r="W414" s="174"/>
      <c r="X414" s="174"/>
      <c r="Y414" s="174"/>
      <c r="Z414" s="174"/>
      <c r="AA414" s="174"/>
    </row>
    <row r="415">
      <c r="A415" s="174"/>
      <c r="B415" s="174"/>
      <c r="C415" s="174"/>
      <c r="D415" s="174"/>
      <c r="E415" s="174"/>
      <c r="F415" s="175"/>
      <c r="G415" s="175"/>
      <c r="H415" s="174"/>
      <c r="I415" s="174"/>
      <c r="J415" s="174"/>
      <c r="K415" s="174"/>
      <c r="L415" s="174"/>
      <c r="M415" s="174"/>
      <c r="N415" s="174"/>
      <c r="O415" s="174"/>
      <c r="P415" s="174"/>
      <c r="Q415" s="174"/>
      <c r="R415" s="174"/>
      <c r="S415" s="174"/>
      <c r="T415" s="174"/>
      <c r="U415" s="174"/>
      <c r="V415" s="174"/>
      <c r="W415" s="174"/>
      <c r="X415" s="174"/>
      <c r="Y415" s="174"/>
      <c r="Z415" s="174"/>
      <c r="AA415" s="174"/>
    </row>
    <row r="416">
      <c r="A416" s="174"/>
      <c r="B416" s="174"/>
      <c r="C416" s="174"/>
      <c r="D416" s="174"/>
      <c r="E416" s="174"/>
      <c r="F416" s="175"/>
      <c r="G416" s="175"/>
      <c r="H416" s="174"/>
      <c r="I416" s="174"/>
      <c r="J416" s="174"/>
      <c r="K416" s="174"/>
      <c r="L416" s="174"/>
      <c r="M416" s="174"/>
      <c r="N416" s="174"/>
      <c r="O416" s="174"/>
      <c r="P416" s="174"/>
      <c r="Q416" s="174"/>
      <c r="R416" s="174"/>
      <c r="S416" s="174"/>
      <c r="T416" s="174"/>
      <c r="U416" s="174"/>
      <c r="V416" s="174"/>
      <c r="W416" s="174"/>
      <c r="X416" s="174"/>
      <c r="Y416" s="174"/>
      <c r="Z416" s="174"/>
      <c r="AA416" s="174"/>
    </row>
    <row r="417">
      <c r="A417" s="174"/>
      <c r="B417" s="174"/>
      <c r="C417" s="174"/>
      <c r="D417" s="174"/>
      <c r="E417" s="174"/>
      <c r="F417" s="175"/>
      <c r="G417" s="175"/>
      <c r="H417" s="174"/>
      <c r="I417" s="174"/>
      <c r="J417" s="174"/>
      <c r="K417" s="174"/>
      <c r="L417" s="174"/>
      <c r="M417" s="174"/>
      <c r="N417" s="174"/>
      <c r="O417" s="174"/>
      <c r="P417" s="174"/>
      <c r="Q417" s="174"/>
      <c r="R417" s="174"/>
      <c r="S417" s="174"/>
      <c r="T417" s="174"/>
      <c r="U417" s="174"/>
      <c r="V417" s="174"/>
      <c r="W417" s="174"/>
      <c r="X417" s="174"/>
      <c r="Y417" s="174"/>
      <c r="Z417" s="174"/>
      <c r="AA417" s="174"/>
    </row>
    <row r="418">
      <c r="A418" s="174"/>
      <c r="B418" s="174"/>
      <c r="C418" s="174"/>
      <c r="D418" s="174"/>
      <c r="E418" s="174"/>
      <c r="F418" s="175"/>
      <c r="G418" s="175"/>
      <c r="H418" s="174"/>
      <c r="I418" s="174"/>
      <c r="J418" s="174"/>
      <c r="K418" s="174"/>
      <c r="L418" s="174"/>
      <c r="M418" s="174"/>
      <c r="N418" s="174"/>
      <c r="O418" s="174"/>
      <c r="P418" s="174"/>
      <c r="Q418" s="174"/>
      <c r="R418" s="174"/>
      <c r="S418" s="174"/>
      <c r="T418" s="174"/>
      <c r="U418" s="174"/>
      <c r="V418" s="174"/>
      <c r="W418" s="174"/>
      <c r="X418" s="174"/>
      <c r="Y418" s="174"/>
      <c r="Z418" s="174"/>
      <c r="AA418" s="174"/>
    </row>
    <row r="419">
      <c r="A419" s="174"/>
      <c r="B419" s="174"/>
      <c r="C419" s="174"/>
      <c r="D419" s="174"/>
      <c r="E419" s="174"/>
      <c r="F419" s="175"/>
      <c r="G419" s="175"/>
      <c r="H419" s="174"/>
      <c r="I419" s="174"/>
      <c r="J419" s="174"/>
      <c r="K419" s="174"/>
      <c r="L419" s="174"/>
      <c r="M419" s="174"/>
      <c r="N419" s="174"/>
      <c r="O419" s="174"/>
      <c r="P419" s="174"/>
      <c r="Q419" s="174"/>
      <c r="R419" s="174"/>
      <c r="S419" s="174"/>
      <c r="T419" s="174"/>
      <c r="U419" s="174"/>
      <c r="V419" s="174"/>
      <c r="W419" s="174"/>
      <c r="X419" s="174"/>
      <c r="Y419" s="174"/>
      <c r="Z419" s="174"/>
      <c r="AA419" s="174"/>
    </row>
    <row r="420">
      <c r="A420" s="174"/>
      <c r="B420" s="174"/>
      <c r="C420" s="174"/>
      <c r="D420" s="174"/>
      <c r="E420" s="174"/>
      <c r="F420" s="175"/>
      <c r="G420" s="175"/>
      <c r="H420" s="174"/>
      <c r="I420" s="174"/>
      <c r="J420" s="174"/>
      <c r="K420" s="174"/>
      <c r="L420" s="174"/>
      <c r="M420" s="174"/>
      <c r="N420" s="174"/>
      <c r="O420" s="174"/>
      <c r="P420" s="174"/>
      <c r="Q420" s="174"/>
      <c r="R420" s="174"/>
      <c r="S420" s="174"/>
      <c r="T420" s="174"/>
      <c r="U420" s="174"/>
      <c r="V420" s="174"/>
      <c r="W420" s="174"/>
      <c r="X420" s="174"/>
      <c r="Y420" s="174"/>
      <c r="Z420" s="174"/>
      <c r="AA420" s="174"/>
    </row>
    <row r="421">
      <c r="A421" s="174"/>
      <c r="B421" s="174"/>
      <c r="C421" s="174"/>
      <c r="D421" s="174"/>
      <c r="E421" s="174"/>
      <c r="F421" s="175"/>
      <c r="G421" s="175"/>
      <c r="H421" s="174"/>
      <c r="I421" s="174"/>
      <c r="J421" s="174"/>
      <c r="K421" s="174"/>
      <c r="L421" s="174"/>
      <c r="M421" s="174"/>
      <c r="N421" s="174"/>
      <c r="O421" s="174"/>
      <c r="P421" s="174"/>
      <c r="Q421" s="174"/>
      <c r="R421" s="174"/>
      <c r="S421" s="174"/>
      <c r="T421" s="174"/>
      <c r="U421" s="174"/>
      <c r="V421" s="174"/>
      <c r="W421" s="174"/>
      <c r="X421" s="174"/>
      <c r="Y421" s="174"/>
      <c r="Z421" s="174"/>
      <c r="AA421" s="174"/>
    </row>
    <row r="422">
      <c r="A422" s="174"/>
      <c r="B422" s="174"/>
      <c r="C422" s="174"/>
      <c r="D422" s="174"/>
      <c r="E422" s="174"/>
      <c r="F422" s="175"/>
      <c r="G422" s="175"/>
      <c r="H422" s="174"/>
      <c r="I422" s="174"/>
      <c r="J422" s="174"/>
      <c r="K422" s="174"/>
      <c r="L422" s="174"/>
      <c r="M422" s="174"/>
      <c r="N422" s="174"/>
      <c r="O422" s="174"/>
      <c r="P422" s="174"/>
      <c r="Q422" s="174"/>
      <c r="R422" s="174"/>
      <c r="S422" s="174"/>
      <c r="T422" s="174"/>
      <c r="U422" s="174"/>
      <c r="V422" s="174"/>
      <c r="W422" s="174"/>
      <c r="X422" s="174"/>
      <c r="Y422" s="174"/>
      <c r="Z422" s="174"/>
      <c r="AA422" s="174"/>
    </row>
    <row r="423">
      <c r="A423" s="174"/>
      <c r="B423" s="174"/>
      <c r="C423" s="174"/>
      <c r="D423" s="174"/>
      <c r="E423" s="174"/>
      <c r="F423" s="175"/>
      <c r="G423" s="175"/>
      <c r="H423" s="174"/>
      <c r="I423" s="174"/>
      <c r="J423" s="174"/>
      <c r="K423" s="174"/>
      <c r="L423" s="174"/>
      <c r="M423" s="174"/>
      <c r="N423" s="174"/>
      <c r="O423" s="174"/>
      <c r="P423" s="174"/>
      <c r="Q423" s="174"/>
      <c r="R423" s="174"/>
      <c r="S423" s="174"/>
      <c r="T423" s="174"/>
      <c r="U423" s="174"/>
      <c r="V423" s="174"/>
      <c r="W423" s="174"/>
      <c r="X423" s="174"/>
      <c r="Y423" s="174"/>
      <c r="Z423" s="174"/>
      <c r="AA423" s="174"/>
    </row>
    <row r="424">
      <c r="A424" s="174"/>
      <c r="B424" s="174"/>
      <c r="C424" s="174"/>
      <c r="D424" s="174"/>
      <c r="E424" s="174"/>
      <c r="F424" s="175"/>
      <c r="G424" s="175"/>
      <c r="H424" s="174"/>
      <c r="I424" s="174"/>
      <c r="J424" s="174"/>
      <c r="K424" s="174"/>
      <c r="L424" s="174"/>
      <c r="M424" s="174"/>
      <c r="N424" s="174"/>
      <c r="O424" s="174"/>
      <c r="P424" s="174"/>
      <c r="Q424" s="174"/>
      <c r="R424" s="174"/>
      <c r="S424" s="174"/>
      <c r="T424" s="174"/>
      <c r="U424" s="174"/>
      <c r="V424" s="174"/>
      <c r="W424" s="174"/>
      <c r="X424" s="174"/>
      <c r="Y424" s="174"/>
      <c r="Z424" s="174"/>
      <c r="AA424" s="174"/>
    </row>
    <row r="425">
      <c r="A425" s="174"/>
      <c r="B425" s="174"/>
      <c r="C425" s="174"/>
      <c r="D425" s="174"/>
      <c r="E425" s="174"/>
      <c r="F425" s="175"/>
      <c r="G425" s="175"/>
      <c r="H425" s="174"/>
      <c r="I425" s="174"/>
      <c r="J425" s="174"/>
      <c r="K425" s="174"/>
      <c r="L425" s="174"/>
      <c r="M425" s="174"/>
      <c r="N425" s="174"/>
      <c r="O425" s="174"/>
      <c r="P425" s="174"/>
      <c r="Q425" s="174"/>
      <c r="R425" s="174"/>
      <c r="S425" s="174"/>
      <c r="T425" s="174"/>
      <c r="U425" s="174"/>
      <c r="V425" s="174"/>
      <c r="W425" s="174"/>
      <c r="X425" s="174"/>
      <c r="Y425" s="174"/>
      <c r="Z425" s="174"/>
      <c r="AA425" s="174"/>
    </row>
    <row r="426">
      <c r="A426" s="174"/>
      <c r="B426" s="174"/>
      <c r="C426" s="174"/>
      <c r="D426" s="174"/>
      <c r="E426" s="174"/>
      <c r="F426" s="175"/>
      <c r="G426" s="175"/>
      <c r="H426" s="174"/>
      <c r="I426" s="174"/>
      <c r="J426" s="174"/>
      <c r="K426" s="174"/>
      <c r="L426" s="174"/>
      <c r="M426" s="174"/>
      <c r="N426" s="174"/>
      <c r="O426" s="174"/>
      <c r="P426" s="174"/>
      <c r="Q426" s="174"/>
      <c r="R426" s="174"/>
      <c r="S426" s="174"/>
      <c r="T426" s="174"/>
      <c r="U426" s="174"/>
      <c r="V426" s="174"/>
      <c r="W426" s="174"/>
      <c r="X426" s="174"/>
      <c r="Y426" s="174"/>
      <c r="Z426" s="174"/>
      <c r="AA426" s="174"/>
    </row>
    <row r="427">
      <c r="A427" s="174"/>
      <c r="B427" s="174"/>
      <c r="C427" s="174"/>
      <c r="D427" s="174"/>
      <c r="E427" s="174"/>
      <c r="F427" s="175"/>
      <c r="G427" s="175"/>
      <c r="H427" s="174"/>
      <c r="I427" s="174"/>
      <c r="J427" s="174"/>
      <c r="K427" s="174"/>
      <c r="L427" s="174"/>
      <c r="M427" s="174"/>
      <c r="N427" s="174"/>
      <c r="O427" s="174"/>
      <c r="P427" s="174"/>
      <c r="Q427" s="174"/>
      <c r="R427" s="174"/>
      <c r="S427" s="174"/>
      <c r="T427" s="174"/>
      <c r="U427" s="174"/>
      <c r="V427" s="174"/>
      <c r="W427" s="174"/>
      <c r="X427" s="174"/>
      <c r="Y427" s="174"/>
      <c r="Z427" s="174"/>
      <c r="AA427" s="174"/>
    </row>
    <row r="428">
      <c r="A428" s="174"/>
      <c r="B428" s="174"/>
      <c r="C428" s="174"/>
      <c r="D428" s="174"/>
      <c r="E428" s="174"/>
      <c r="F428" s="175"/>
      <c r="G428" s="175"/>
      <c r="H428" s="174"/>
      <c r="I428" s="174"/>
      <c r="J428" s="174"/>
      <c r="K428" s="174"/>
      <c r="L428" s="174"/>
      <c r="M428" s="174"/>
      <c r="N428" s="174"/>
      <c r="O428" s="174"/>
      <c r="P428" s="174"/>
      <c r="Q428" s="174"/>
      <c r="R428" s="174"/>
      <c r="S428" s="174"/>
      <c r="T428" s="174"/>
      <c r="U428" s="174"/>
      <c r="V428" s="174"/>
      <c r="W428" s="174"/>
      <c r="X428" s="174"/>
      <c r="Y428" s="174"/>
      <c r="Z428" s="174"/>
      <c r="AA428" s="174"/>
    </row>
    <row r="429">
      <c r="A429" s="174"/>
      <c r="B429" s="174"/>
      <c r="C429" s="174"/>
      <c r="D429" s="174"/>
      <c r="E429" s="174"/>
      <c r="F429" s="175"/>
      <c r="G429" s="175"/>
      <c r="H429" s="174"/>
      <c r="I429" s="174"/>
      <c r="J429" s="174"/>
      <c r="K429" s="174"/>
      <c r="L429" s="174"/>
      <c r="M429" s="174"/>
      <c r="N429" s="174"/>
      <c r="O429" s="174"/>
      <c r="P429" s="174"/>
      <c r="Q429" s="174"/>
      <c r="R429" s="174"/>
      <c r="S429" s="174"/>
      <c r="T429" s="174"/>
      <c r="U429" s="174"/>
      <c r="V429" s="174"/>
      <c r="W429" s="174"/>
      <c r="X429" s="174"/>
      <c r="Y429" s="174"/>
      <c r="Z429" s="174"/>
      <c r="AA429" s="174"/>
    </row>
    <row r="430">
      <c r="A430" s="174"/>
      <c r="B430" s="174"/>
      <c r="C430" s="174"/>
      <c r="D430" s="174"/>
      <c r="E430" s="174"/>
      <c r="F430" s="175"/>
      <c r="G430" s="175"/>
      <c r="H430" s="174"/>
      <c r="I430" s="174"/>
      <c r="J430" s="174"/>
      <c r="K430" s="174"/>
      <c r="L430" s="174"/>
      <c r="M430" s="174"/>
      <c r="N430" s="174"/>
      <c r="O430" s="174"/>
      <c r="P430" s="174"/>
      <c r="Q430" s="174"/>
      <c r="R430" s="174"/>
      <c r="S430" s="174"/>
      <c r="T430" s="174"/>
      <c r="U430" s="174"/>
      <c r="V430" s="174"/>
      <c r="W430" s="174"/>
      <c r="X430" s="174"/>
      <c r="Y430" s="174"/>
      <c r="Z430" s="174"/>
      <c r="AA430" s="174"/>
    </row>
    <row r="431">
      <c r="A431" s="174"/>
      <c r="B431" s="174"/>
      <c r="C431" s="174"/>
      <c r="D431" s="174"/>
      <c r="E431" s="174"/>
      <c r="F431" s="175"/>
      <c r="G431" s="175"/>
      <c r="H431" s="174"/>
      <c r="I431" s="174"/>
      <c r="J431" s="174"/>
      <c r="K431" s="174"/>
      <c r="L431" s="174"/>
      <c r="M431" s="174"/>
      <c r="N431" s="174"/>
      <c r="O431" s="174"/>
      <c r="P431" s="174"/>
      <c r="Q431" s="174"/>
      <c r="R431" s="174"/>
      <c r="S431" s="174"/>
      <c r="T431" s="174"/>
      <c r="U431" s="174"/>
      <c r="V431" s="174"/>
      <c r="W431" s="174"/>
      <c r="X431" s="174"/>
      <c r="Y431" s="174"/>
      <c r="Z431" s="174"/>
      <c r="AA431" s="174"/>
    </row>
    <row r="432">
      <c r="A432" s="174"/>
      <c r="B432" s="174"/>
      <c r="C432" s="174"/>
      <c r="D432" s="174"/>
      <c r="E432" s="174"/>
      <c r="F432" s="175"/>
      <c r="G432" s="175"/>
      <c r="H432" s="174"/>
      <c r="I432" s="174"/>
      <c r="J432" s="174"/>
      <c r="K432" s="174"/>
      <c r="L432" s="174"/>
      <c r="M432" s="174"/>
      <c r="N432" s="174"/>
      <c r="O432" s="174"/>
      <c r="P432" s="174"/>
      <c r="Q432" s="174"/>
      <c r="R432" s="174"/>
      <c r="S432" s="174"/>
      <c r="T432" s="174"/>
      <c r="U432" s="174"/>
      <c r="V432" s="174"/>
      <c r="W432" s="174"/>
      <c r="X432" s="174"/>
      <c r="Y432" s="174"/>
      <c r="Z432" s="174"/>
      <c r="AA432" s="174"/>
    </row>
    <row r="433">
      <c r="A433" s="174"/>
      <c r="B433" s="174"/>
      <c r="C433" s="174"/>
      <c r="D433" s="174"/>
      <c r="E433" s="174"/>
      <c r="F433" s="175"/>
      <c r="G433" s="175"/>
      <c r="H433" s="174"/>
      <c r="I433" s="174"/>
      <c r="J433" s="174"/>
      <c r="K433" s="174"/>
      <c r="L433" s="174"/>
      <c r="M433" s="174"/>
      <c r="N433" s="174"/>
      <c r="O433" s="174"/>
      <c r="P433" s="174"/>
      <c r="Q433" s="174"/>
      <c r="R433" s="174"/>
      <c r="S433" s="174"/>
      <c r="T433" s="174"/>
      <c r="U433" s="174"/>
      <c r="V433" s="174"/>
      <c r="W433" s="174"/>
      <c r="X433" s="174"/>
      <c r="Y433" s="174"/>
      <c r="Z433" s="174"/>
      <c r="AA433" s="174"/>
    </row>
    <row r="434">
      <c r="A434" s="174"/>
      <c r="B434" s="174"/>
      <c r="C434" s="174"/>
      <c r="D434" s="174"/>
      <c r="E434" s="174"/>
      <c r="F434" s="175"/>
      <c r="G434" s="175"/>
      <c r="H434" s="174"/>
      <c r="I434" s="174"/>
      <c r="J434" s="174"/>
      <c r="K434" s="174"/>
      <c r="L434" s="174"/>
      <c r="M434" s="174"/>
      <c r="N434" s="174"/>
      <c r="O434" s="174"/>
      <c r="P434" s="174"/>
      <c r="Q434" s="174"/>
      <c r="R434" s="174"/>
      <c r="S434" s="174"/>
      <c r="T434" s="174"/>
      <c r="U434" s="174"/>
      <c r="V434" s="174"/>
      <c r="W434" s="174"/>
      <c r="X434" s="174"/>
      <c r="Y434" s="174"/>
      <c r="Z434" s="174"/>
      <c r="AA434" s="174"/>
    </row>
    <row r="435">
      <c r="A435" s="174"/>
      <c r="B435" s="174"/>
      <c r="C435" s="174"/>
      <c r="D435" s="174"/>
      <c r="E435" s="174"/>
      <c r="F435" s="175"/>
      <c r="G435" s="175"/>
      <c r="H435" s="174"/>
      <c r="I435" s="174"/>
      <c r="J435" s="174"/>
      <c r="K435" s="174"/>
      <c r="L435" s="174"/>
      <c r="M435" s="174"/>
      <c r="N435" s="174"/>
      <c r="O435" s="174"/>
      <c r="P435" s="174"/>
      <c r="Q435" s="174"/>
      <c r="R435" s="174"/>
      <c r="S435" s="174"/>
      <c r="T435" s="174"/>
      <c r="U435" s="174"/>
      <c r="V435" s="174"/>
      <c r="W435" s="174"/>
      <c r="X435" s="174"/>
      <c r="Y435" s="174"/>
      <c r="Z435" s="174"/>
      <c r="AA435" s="174"/>
    </row>
    <row r="436">
      <c r="A436" s="174"/>
      <c r="B436" s="174"/>
      <c r="C436" s="174"/>
      <c r="D436" s="174"/>
      <c r="E436" s="174"/>
      <c r="F436" s="175"/>
      <c r="G436" s="175"/>
      <c r="H436" s="174"/>
      <c r="I436" s="174"/>
      <c r="J436" s="174"/>
      <c r="K436" s="174"/>
      <c r="L436" s="174"/>
      <c r="M436" s="174"/>
      <c r="N436" s="174"/>
      <c r="O436" s="174"/>
      <c r="P436" s="174"/>
      <c r="Q436" s="174"/>
      <c r="R436" s="174"/>
      <c r="S436" s="174"/>
      <c r="T436" s="174"/>
      <c r="U436" s="174"/>
      <c r="V436" s="174"/>
      <c r="W436" s="174"/>
      <c r="X436" s="174"/>
      <c r="Y436" s="174"/>
      <c r="Z436" s="174"/>
      <c r="AA436" s="174"/>
    </row>
    <row r="437">
      <c r="A437" s="174"/>
      <c r="B437" s="174"/>
      <c r="C437" s="174"/>
      <c r="D437" s="174"/>
      <c r="E437" s="174"/>
      <c r="F437" s="175"/>
      <c r="G437" s="175"/>
      <c r="H437" s="174"/>
      <c r="I437" s="174"/>
      <c r="J437" s="174"/>
      <c r="K437" s="174"/>
      <c r="L437" s="174"/>
      <c r="M437" s="174"/>
      <c r="N437" s="174"/>
      <c r="O437" s="174"/>
      <c r="P437" s="174"/>
      <c r="Q437" s="174"/>
      <c r="R437" s="174"/>
      <c r="S437" s="174"/>
      <c r="T437" s="174"/>
      <c r="U437" s="174"/>
      <c r="V437" s="174"/>
      <c r="W437" s="174"/>
      <c r="X437" s="174"/>
      <c r="Y437" s="174"/>
      <c r="Z437" s="174"/>
      <c r="AA437" s="174"/>
    </row>
    <row r="438">
      <c r="A438" s="174"/>
      <c r="B438" s="174"/>
      <c r="C438" s="174"/>
      <c r="D438" s="174"/>
      <c r="E438" s="174"/>
      <c r="F438" s="175"/>
      <c r="G438" s="175"/>
      <c r="H438" s="174"/>
      <c r="I438" s="174"/>
      <c r="J438" s="174"/>
      <c r="K438" s="174"/>
      <c r="L438" s="174"/>
      <c r="M438" s="174"/>
      <c r="N438" s="174"/>
      <c r="O438" s="174"/>
      <c r="P438" s="174"/>
      <c r="Q438" s="174"/>
      <c r="R438" s="174"/>
      <c r="S438" s="174"/>
      <c r="T438" s="174"/>
      <c r="U438" s="174"/>
      <c r="V438" s="174"/>
      <c r="W438" s="174"/>
      <c r="X438" s="174"/>
      <c r="Y438" s="174"/>
      <c r="Z438" s="174"/>
      <c r="AA438" s="174"/>
    </row>
    <row r="439">
      <c r="A439" s="174"/>
      <c r="B439" s="174"/>
      <c r="C439" s="174"/>
      <c r="D439" s="174"/>
      <c r="E439" s="174"/>
      <c r="F439" s="175"/>
      <c r="G439" s="175"/>
      <c r="H439" s="174"/>
      <c r="I439" s="174"/>
      <c r="J439" s="174"/>
      <c r="K439" s="174"/>
      <c r="L439" s="174"/>
      <c r="M439" s="174"/>
      <c r="N439" s="174"/>
      <c r="O439" s="174"/>
      <c r="P439" s="174"/>
      <c r="Q439" s="174"/>
      <c r="R439" s="174"/>
      <c r="S439" s="174"/>
      <c r="T439" s="174"/>
      <c r="U439" s="174"/>
      <c r="V439" s="174"/>
      <c r="W439" s="174"/>
      <c r="X439" s="174"/>
      <c r="Y439" s="174"/>
      <c r="Z439" s="174"/>
      <c r="AA439" s="174"/>
    </row>
    <row r="440">
      <c r="A440" s="174"/>
      <c r="B440" s="174"/>
      <c r="C440" s="174"/>
      <c r="D440" s="174"/>
      <c r="E440" s="174"/>
      <c r="F440" s="175"/>
      <c r="G440" s="175"/>
      <c r="H440" s="174"/>
      <c r="I440" s="174"/>
      <c r="J440" s="174"/>
      <c r="K440" s="174"/>
      <c r="L440" s="174"/>
      <c r="M440" s="174"/>
      <c r="N440" s="174"/>
      <c r="O440" s="174"/>
      <c r="P440" s="174"/>
      <c r="Q440" s="174"/>
      <c r="R440" s="174"/>
      <c r="S440" s="174"/>
      <c r="T440" s="174"/>
      <c r="U440" s="174"/>
      <c r="V440" s="174"/>
      <c r="W440" s="174"/>
      <c r="X440" s="174"/>
      <c r="Y440" s="174"/>
      <c r="Z440" s="174"/>
      <c r="AA440" s="174"/>
    </row>
    <row r="441">
      <c r="A441" s="174"/>
      <c r="B441" s="174"/>
      <c r="C441" s="174"/>
      <c r="D441" s="174"/>
      <c r="E441" s="174"/>
      <c r="F441" s="175"/>
      <c r="G441" s="175"/>
      <c r="H441" s="174"/>
      <c r="I441" s="174"/>
      <c r="J441" s="174"/>
      <c r="K441" s="174"/>
      <c r="L441" s="174"/>
      <c r="M441" s="174"/>
      <c r="N441" s="174"/>
      <c r="O441" s="174"/>
      <c r="P441" s="174"/>
      <c r="Q441" s="174"/>
      <c r="R441" s="174"/>
      <c r="S441" s="174"/>
      <c r="T441" s="174"/>
      <c r="U441" s="174"/>
      <c r="V441" s="174"/>
      <c r="W441" s="174"/>
      <c r="X441" s="174"/>
      <c r="Y441" s="174"/>
      <c r="Z441" s="174"/>
      <c r="AA441" s="174"/>
    </row>
    <row r="442">
      <c r="A442" s="174"/>
      <c r="B442" s="174"/>
      <c r="C442" s="174"/>
      <c r="D442" s="174"/>
      <c r="E442" s="174"/>
      <c r="F442" s="175"/>
      <c r="G442" s="175"/>
      <c r="H442" s="174"/>
      <c r="I442" s="174"/>
      <c r="J442" s="174"/>
      <c r="K442" s="174"/>
      <c r="L442" s="174"/>
      <c r="M442" s="174"/>
      <c r="N442" s="174"/>
      <c r="O442" s="174"/>
      <c r="P442" s="174"/>
      <c r="Q442" s="174"/>
      <c r="R442" s="174"/>
      <c r="S442" s="174"/>
      <c r="T442" s="174"/>
      <c r="U442" s="174"/>
      <c r="V442" s="174"/>
      <c r="W442" s="174"/>
      <c r="X442" s="174"/>
      <c r="Y442" s="174"/>
      <c r="Z442" s="174"/>
      <c r="AA442" s="174"/>
    </row>
    <row r="443">
      <c r="A443" s="174"/>
      <c r="B443" s="174"/>
      <c r="C443" s="174"/>
      <c r="D443" s="174"/>
      <c r="E443" s="174"/>
      <c r="F443" s="175"/>
      <c r="G443" s="175"/>
      <c r="H443" s="174"/>
      <c r="I443" s="174"/>
      <c r="J443" s="174"/>
      <c r="K443" s="174"/>
      <c r="L443" s="174"/>
      <c r="M443" s="174"/>
      <c r="N443" s="174"/>
      <c r="O443" s="174"/>
      <c r="P443" s="174"/>
      <c r="Q443" s="174"/>
      <c r="R443" s="174"/>
      <c r="S443" s="174"/>
      <c r="T443" s="174"/>
      <c r="U443" s="174"/>
      <c r="V443" s="174"/>
      <c r="W443" s="174"/>
      <c r="X443" s="174"/>
      <c r="Y443" s="174"/>
      <c r="Z443" s="174"/>
      <c r="AA443" s="174"/>
    </row>
    <row r="444">
      <c r="A444" s="174"/>
      <c r="B444" s="174"/>
      <c r="C444" s="174"/>
      <c r="D444" s="174"/>
      <c r="E444" s="174"/>
      <c r="F444" s="175"/>
      <c r="G444" s="175"/>
      <c r="H444" s="174"/>
      <c r="I444" s="174"/>
      <c r="J444" s="174"/>
      <c r="K444" s="174"/>
      <c r="L444" s="174"/>
      <c r="M444" s="174"/>
      <c r="N444" s="174"/>
      <c r="O444" s="174"/>
      <c r="P444" s="174"/>
      <c r="Q444" s="174"/>
      <c r="R444" s="174"/>
      <c r="S444" s="174"/>
      <c r="T444" s="174"/>
      <c r="U444" s="174"/>
      <c r="V444" s="174"/>
      <c r="W444" s="174"/>
      <c r="X444" s="174"/>
      <c r="Y444" s="174"/>
      <c r="Z444" s="174"/>
      <c r="AA444" s="174"/>
    </row>
    <row r="445">
      <c r="A445" s="174"/>
      <c r="B445" s="174"/>
      <c r="C445" s="174"/>
      <c r="D445" s="174"/>
      <c r="E445" s="174"/>
      <c r="F445" s="175"/>
      <c r="G445" s="175"/>
      <c r="H445" s="174"/>
      <c r="I445" s="174"/>
      <c r="J445" s="174"/>
      <c r="K445" s="174"/>
      <c r="L445" s="174"/>
      <c r="M445" s="174"/>
      <c r="N445" s="174"/>
      <c r="O445" s="174"/>
      <c r="P445" s="174"/>
      <c r="Q445" s="174"/>
      <c r="R445" s="174"/>
      <c r="S445" s="174"/>
      <c r="T445" s="174"/>
      <c r="U445" s="174"/>
      <c r="V445" s="174"/>
      <c r="W445" s="174"/>
      <c r="X445" s="174"/>
      <c r="Y445" s="174"/>
      <c r="Z445" s="174"/>
      <c r="AA445" s="174"/>
    </row>
    <row r="446">
      <c r="A446" s="174"/>
      <c r="B446" s="174"/>
      <c r="C446" s="174"/>
      <c r="D446" s="174"/>
      <c r="E446" s="174"/>
      <c r="F446" s="175"/>
      <c r="G446" s="175"/>
      <c r="H446" s="174"/>
      <c r="I446" s="174"/>
      <c r="J446" s="174"/>
      <c r="K446" s="174"/>
      <c r="L446" s="174"/>
      <c r="M446" s="174"/>
      <c r="N446" s="174"/>
      <c r="O446" s="174"/>
      <c r="P446" s="174"/>
      <c r="Q446" s="174"/>
      <c r="R446" s="174"/>
      <c r="S446" s="174"/>
      <c r="T446" s="174"/>
      <c r="U446" s="174"/>
      <c r="V446" s="174"/>
      <c r="W446" s="174"/>
      <c r="X446" s="174"/>
      <c r="Y446" s="174"/>
      <c r="Z446" s="174"/>
      <c r="AA446" s="174"/>
    </row>
    <row r="447">
      <c r="A447" s="174"/>
      <c r="B447" s="174"/>
      <c r="C447" s="174"/>
      <c r="D447" s="174"/>
      <c r="E447" s="174"/>
      <c r="F447" s="175"/>
      <c r="G447" s="175"/>
      <c r="H447" s="174"/>
      <c r="I447" s="174"/>
      <c r="J447" s="174"/>
      <c r="K447" s="174"/>
      <c r="L447" s="174"/>
      <c r="M447" s="174"/>
      <c r="N447" s="174"/>
      <c r="O447" s="174"/>
      <c r="P447" s="174"/>
      <c r="Q447" s="174"/>
      <c r="R447" s="174"/>
      <c r="S447" s="174"/>
      <c r="T447" s="174"/>
      <c r="U447" s="174"/>
      <c r="V447" s="174"/>
      <c r="W447" s="174"/>
      <c r="X447" s="174"/>
      <c r="Y447" s="174"/>
      <c r="Z447" s="174"/>
      <c r="AA447" s="174"/>
    </row>
    <row r="448">
      <c r="A448" s="174"/>
      <c r="B448" s="174"/>
      <c r="C448" s="174"/>
      <c r="D448" s="174"/>
      <c r="E448" s="174"/>
      <c r="F448" s="175"/>
      <c r="G448" s="175"/>
      <c r="H448" s="174"/>
      <c r="I448" s="174"/>
      <c r="J448" s="174"/>
      <c r="K448" s="174"/>
      <c r="L448" s="174"/>
      <c r="M448" s="174"/>
      <c r="N448" s="174"/>
      <c r="O448" s="174"/>
      <c r="P448" s="174"/>
      <c r="Q448" s="174"/>
      <c r="R448" s="174"/>
      <c r="S448" s="174"/>
      <c r="T448" s="174"/>
      <c r="U448" s="174"/>
      <c r="V448" s="174"/>
      <c r="W448" s="174"/>
      <c r="X448" s="174"/>
      <c r="Y448" s="174"/>
      <c r="Z448" s="174"/>
      <c r="AA448" s="174"/>
    </row>
    <row r="449">
      <c r="A449" s="174"/>
      <c r="B449" s="174"/>
      <c r="C449" s="174"/>
      <c r="D449" s="174"/>
      <c r="E449" s="174"/>
      <c r="F449" s="175"/>
      <c r="G449" s="175"/>
      <c r="H449" s="174"/>
      <c r="I449" s="174"/>
      <c r="J449" s="174"/>
      <c r="K449" s="174"/>
      <c r="L449" s="174"/>
      <c r="M449" s="174"/>
      <c r="N449" s="174"/>
      <c r="O449" s="174"/>
      <c r="P449" s="174"/>
      <c r="Q449" s="174"/>
      <c r="R449" s="174"/>
      <c r="S449" s="174"/>
      <c r="T449" s="174"/>
      <c r="U449" s="174"/>
      <c r="V449" s="174"/>
      <c r="W449" s="174"/>
      <c r="X449" s="174"/>
      <c r="Y449" s="174"/>
      <c r="Z449" s="174"/>
      <c r="AA449" s="174"/>
    </row>
    <row r="450">
      <c r="A450" s="174"/>
      <c r="B450" s="174"/>
      <c r="C450" s="174"/>
      <c r="D450" s="174"/>
      <c r="E450" s="174"/>
      <c r="F450" s="175"/>
      <c r="G450" s="175"/>
      <c r="H450" s="174"/>
      <c r="I450" s="174"/>
      <c r="J450" s="174"/>
      <c r="K450" s="174"/>
      <c r="L450" s="174"/>
      <c r="M450" s="174"/>
      <c r="N450" s="174"/>
      <c r="O450" s="174"/>
      <c r="P450" s="174"/>
      <c r="Q450" s="174"/>
      <c r="R450" s="174"/>
      <c r="S450" s="174"/>
      <c r="T450" s="174"/>
      <c r="U450" s="174"/>
      <c r="V450" s="174"/>
      <c r="W450" s="174"/>
      <c r="X450" s="174"/>
      <c r="Y450" s="174"/>
      <c r="Z450" s="174"/>
      <c r="AA450" s="174"/>
    </row>
    <row r="451">
      <c r="A451" s="174"/>
      <c r="B451" s="174"/>
      <c r="C451" s="174"/>
      <c r="D451" s="174"/>
      <c r="E451" s="174"/>
      <c r="F451" s="175"/>
      <c r="G451" s="175"/>
      <c r="H451" s="174"/>
      <c r="I451" s="174"/>
      <c r="J451" s="174"/>
      <c r="K451" s="174"/>
      <c r="L451" s="174"/>
      <c r="M451" s="174"/>
      <c r="N451" s="174"/>
      <c r="O451" s="174"/>
      <c r="P451" s="174"/>
      <c r="Q451" s="174"/>
      <c r="R451" s="174"/>
      <c r="S451" s="174"/>
      <c r="T451" s="174"/>
      <c r="U451" s="174"/>
      <c r="V451" s="174"/>
      <c r="W451" s="174"/>
      <c r="X451" s="174"/>
      <c r="Y451" s="174"/>
      <c r="Z451" s="174"/>
      <c r="AA451" s="174"/>
    </row>
    <row r="452">
      <c r="A452" s="174"/>
      <c r="B452" s="174"/>
      <c r="C452" s="174"/>
      <c r="D452" s="174"/>
      <c r="E452" s="174"/>
      <c r="F452" s="175"/>
      <c r="G452" s="175"/>
      <c r="H452" s="174"/>
      <c r="I452" s="174"/>
      <c r="J452" s="174"/>
      <c r="K452" s="174"/>
      <c r="L452" s="174"/>
      <c r="M452" s="174"/>
      <c r="N452" s="174"/>
      <c r="O452" s="174"/>
      <c r="P452" s="174"/>
      <c r="Q452" s="174"/>
      <c r="R452" s="174"/>
      <c r="S452" s="174"/>
      <c r="T452" s="174"/>
      <c r="U452" s="174"/>
      <c r="V452" s="174"/>
      <c r="W452" s="174"/>
      <c r="X452" s="174"/>
      <c r="Y452" s="174"/>
      <c r="Z452" s="174"/>
      <c r="AA452" s="174"/>
    </row>
    <row r="453">
      <c r="A453" s="174"/>
      <c r="B453" s="174"/>
      <c r="C453" s="174"/>
      <c r="D453" s="174"/>
      <c r="E453" s="174"/>
      <c r="F453" s="175"/>
      <c r="G453" s="175"/>
      <c r="H453" s="174"/>
      <c r="I453" s="174"/>
      <c r="J453" s="174"/>
      <c r="K453" s="174"/>
      <c r="L453" s="174"/>
      <c r="M453" s="174"/>
      <c r="N453" s="174"/>
      <c r="O453" s="174"/>
      <c r="P453" s="174"/>
      <c r="Q453" s="174"/>
      <c r="R453" s="174"/>
      <c r="S453" s="174"/>
      <c r="T453" s="174"/>
      <c r="U453" s="174"/>
      <c r="V453" s="174"/>
      <c r="W453" s="174"/>
      <c r="X453" s="174"/>
      <c r="Y453" s="174"/>
      <c r="Z453" s="174"/>
      <c r="AA453" s="174"/>
    </row>
    <row r="454">
      <c r="A454" s="174"/>
      <c r="B454" s="174"/>
      <c r="C454" s="174"/>
      <c r="D454" s="174"/>
      <c r="E454" s="174"/>
      <c r="F454" s="175"/>
      <c r="G454" s="175"/>
      <c r="H454" s="174"/>
      <c r="I454" s="174"/>
      <c r="J454" s="174"/>
      <c r="K454" s="174"/>
      <c r="L454" s="174"/>
      <c r="M454" s="174"/>
      <c r="N454" s="174"/>
      <c r="O454" s="174"/>
      <c r="P454" s="174"/>
      <c r="Q454" s="174"/>
      <c r="R454" s="174"/>
      <c r="S454" s="174"/>
      <c r="T454" s="174"/>
      <c r="U454" s="174"/>
      <c r="V454" s="174"/>
      <c r="W454" s="174"/>
      <c r="X454" s="174"/>
      <c r="Y454" s="174"/>
      <c r="Z454" s="174"/>
      <c r="AA454" s="174"/>
    </row>
    <row r="455">
      <c r="A455" s="174"/>
      <c r="B455" s="174"/>
      <c r="C455" s="174"/>
      <c r="D455" s="174"/>
      <c r="E455" s="174"/>
      <c r="F455" s="175"/>
      <c r="G455" s="175"/>
      <c r="H455" s="174"/>
      <c r="I455" s="174"/>
      <c r="J455" s="174"/>
      <c r="K455" s="174"/>
      <c r="L455" s="174"/>
      <c r="M455" s="174"/>
      <c r="N455" s="174"/>
      <c r="O455" s="174"/>
      <c r="P455" s="174"/>
      <c r="Q455" s="174"/>
      <c r="R455" s="174"/>
      <c r="S455" s="174"/>
      <c r="T455" s="174"/>
      <c r="U455" s="174"/>
      <c r="V455" s="174"/>
      <c r="W455" s="174"/>
      <c r="X455" s="174"/>
      <c r="Y455" s="174"/>
      <c r="Z455" s="174"/>
      <c r="AA455" s="174"/>
    </row>
    <row r="456">
      <c r="A456" s="174"/>
      <c r="B456" s="174"/>
      <c r="C456" s="174"/>
      <c r="D456" s="174"/>
      <c r="E456" s="174"/>
      <c r="F456" s="175"/>
      <c r="G456" s="175"/>
      <c r="H456" s="174"/>
      <c r="I456" s="174"/>
      <c r="J456" s="174"/>
      <c r="K456" s="174"/>
      <c r="L456" s="174"/>
      <c r="M456" s="174"/>
      <c r="N456" s="174"/>
      <c r="O456" s="174"/>
      <c r="P456" s="174"/>
      <c r="Q456" s="174"/>
      <c r="R456" s="174"/>
      <c r="S456" s="174"/>
      <c r="T456" s="174"/>
      <c r="U456" s="174"/>
      <c r="V456" s="174"/>
      <c r="W456" s="174"/>
      <c r="X456" s="174"/>
      <c r="Y456" s="174"/>
      <c r="Z456" s="174"/>
      <c r="AA456" s="174"/>
    </row>
    <row r="457">
      <c r="A457" s="174"/>
      <c r="B457" s="174"/>
      <c r="C457" s="174"/>
      <c r="D457" s="174"/>
      <c r="E457" s="174"/>
      <c r="F457" s="175"/>
      <c r="G457" s="175"/>
      <c r="H457" s="174"/>
      <c r="I457" s="174"/>
      <c r="J457" s="174"/>
      <c r="K457" s="174"/>
      <c r="L457" s="174"/>
      <c r="M457" s="174"/>
      <c r="N457" s="174"/>
      <c r="O457" s="174"/>
      <c r="P457" s="174"/>
      <c r="Q457" s="174"/>
      <c r="R457" s="174"/>
      <c r="S457" s="174"/>
      <c r="T457" s="174"/>
      <c r="U457" s="174"/>
      <c r="V457" s="174"/>
      <c r="W457" s="174"/>
      <c r="X457" s="174"/>
      <c r="Y457" s="174"/>
      <c r="Z457" s="174"/>
      <c r="AA457" s="174"/>
    </row>
    <row r="458">
      <c r="A458" s="174"/>
      <c r="B458" s="174"/>
      <c r="C458" s="174"/>
      <c r="D458" s="174"/>
      <c r="E458" s="174"/>
      <c r="F458" s="175"/>
      <c r="G458" s="175"/>
      <c r="H458" s="174"/>
      <c r="I458" s="174"/>
      <c r="J458" s="174"/>
      <c r="K458" s="174"/>
      <c r="L458" s="174"/>
      <c r="M458" s="174"/>
      <c r="N458" s="174"/>
      <c r="O458" s="174"/>
      <c r="P458" s="174"/>
      <c r="Q458" s="174"/>
      <c r="R458" s="174"/>
      <c r="S458" s="174"/>
      <c r="T458" s="174"/>
      <c r="U458" s="174"/>
      <c r="V458" s="174"/>
      <c r="W458" s="174"/>
      <c r="X458" s="174"/>
      <c r="Y458" s="174"/>
      <c r="Z458" s="174"/>
      <c r="AA458" s="174"/>
    </row>
    <row r="459">
      <c r="A459" s="174"/>
      <c r="B459" s="174"/>
      <c r="C459" s="174"/>
      <c r="D459" s="174"/>
      <c r="E459" s="174"/>
      <c r="F459" s="175"/>
      <c r="G459" s="175"/>
      <c r="H459" s="174"/>
      <c r="I459" s="174"/>
      <c r="J459" s="174"/>
      <c r="K459" s="174"/>
      <c r="L459" s="174"/>
      <c r="M459" s="174"/>
      <c r="N459" s="174"/>
      <c r="O459" s="174"/>
      <c r="P459" s="174"/>
      <c r="Q459" s="174"/>
      <c r="R459" s="174"/>
      <c r="S459" s="174"/>
      <c r="T459" s="174"/>
      <c r="U459" s="174"/>
      <c r="V459" s="174"/>
      <c r="W459" s="174"/>
      <c r="X459" s="174"/>
      <c r="Y459" s="174"/>
      <c r="Z459" s="174"/>
      <c r="AA459" s="174"/>
    </row>
    <row r="460">
      <c r="A460" s="174"/>
      <c r="B460" s="174"/>
      <c r="C460" s="174"/>
      <c r="D460" s="174"/>
      <c r="E460" s="174"/>
      <c r="F460" s="175"/>
      <c r="G460" s="175"/>
      <c r="H460" s="174"/>
      <c r="I460" s="174"/>
      <c r="J460" s="174"/>
      <c r="K460" s="174"/>
      <c r="L460" s="174"/>
      <c r="M460" s="174"/>
      <c r="N460" s="174"/>
      <c r="O460" s="174"/>
      <c r="P460" s="174"/>
      <c r="Q460" s="174"/>
      <c r="R460" s="174"/>
      <c r="S460" s="174"/>
      <c r="T460" s="174"/>
      <c r="U460" s="174"/>
      <c r="V460" s="174"/>
      <c r="W460" s="174"/>
      <c r="X460" s="174"/>
      <c r="Y460" s="174"/>
      <c r="Z460" s="174"/>
      <c r="AA460" s="174"/>
    </row>
    <row r="461">
      <c r="A461" s="174"/>
      <c r="B461" s="174"/>
      <c r="C461" s="174"/>
      <c r="D461" s="174"/>
      <c r="E461" s="174"/>
      <c r="F461" s="175"/>
      <c r="G461" s="175"/>
      <c r="H461" s="174"/>
      <c r="I461" s="174"/>
      <c r="J461" s="174"/>
      <c r="K461" s="174"/>
      <c r="L461" s="174"/>
      <c r="M461" s="174"/>
      <c r="N461" s="174"/>
      <c r="O461" s="174"/>
      <c r="P461" s="174"/>
      <c r="Q461" s="174"/>
      <c r="R461" s="174"/>
      <c r="S461" s="174"/>
      <c r="T461" s="174"/>
      <c r="U461" s="174"/>
      <c r="V461" s="174"/>
      <c r="W461" s="174"/>
      <c r="X461" s="174"/>
      <c r="Y461" s="174"/>
      <c r="Z461" s="174"/>
      <c r="AA461" s="174"/>
    </row>
    <row r="462">
      <c r="A462" s="174"/>
      <c r="B462" s="174"/>
      <c r="C462" s="174"/>
      <c r="D462" s="174"/>
      <c r="E462" s="174"/>
      <c r="F462" s="175"/>
      <c r="G462" s="175"/>
      <c r="H462" s="174"/>
      <c r="I462" s="174"/>
      <c r="J462" s="174"/>
      <c r="K462" s="174"/>
      <c r="L462" s="174"/>
      <c r="M462" s="174"/>
      <c r="N462" s="174"/>
      <c r="O462" s="174"/>
      <c r="P462" s="174"/>
      <c r="Q462" s="174"/>
      <c r="R462" s="174"/>
      <c r="S462" s="174"/>
      <c r="T462" s="174"/>
      <c r="U462" s="174"/>
      <c r="V462" s="174"/>
      <c r="W462" s="174"/>
      <c r="X462" s="174"/>
      <c r="Y462" s="174"/>
      <c r="Z462" s="174"/>
      <c r="AA462" s="174"/>
    </row>
    <row r="463">
      <c r="A463" s="174"/>
      <c r="B463" s="174"/>
      <c r="C463" s="174"/>
      <c r="D463" s="174"/>
      <c r="E463" s="174"/>
      <c r="F463" s="175"/>
      <c r="G463" s="175"/>
      <c r="H463" s="174"/>
      <c r="I463" s="174"/>
      <c r="J463" s="174"/>
      <c r="K463" s="174"/>
      <c r="L463" s="174"/>
      <c r="M463" s="174"/>
      <c r="N463" s="174"/>
      <c r="O463" s="174"/>
      <c r="P463" s="174"/>
      <c r="Q463" s="174"/>
      <c r="R463" s="174"/>
      <c r="S463" s="174"/>
      <c r="T463" s="174"/>
      <c r="U463" s="174"/>
      <c r="V463" s="174"/>
      <c r="W463" s="174"/>
      <c r="X463" s="174"/>
      <c r="Y463" s="174"/>
      <c r="Z463" s="174"/>
      <c r="AA463" s="174"/>
    </row>
    <row r="464">
      <c r="A464" s="174"/>
      <c r="B464" s="174"/>
      <c r="C464" s="174"/>
      <c r="D464" s="174"/>
      <c r="E464" s="174"/>
      <c r="F464" s="175"/>
      <c r="G464" s="175"/>
      <c r="H464" s="174"/>
      <c r="I464" s="174"/>
      <c r="J464" s="174"/>
      <c r="K464" s="174"/>
      <c r="L464" s="174"/>
      <c r="M464" s="174"/>
      <c r="N464" s="174"/>
      <c r="O464" s="174"/>
      <c r="P464" s="174"/>
      <c r="Q464" s="174"/>
      <c r="R464" s="174"/>
      <c r="S464" s="174"/>
      <c r="T464" s="174"/>
      <c r="U464" s="174"/>
      <c r="V464" s="174"/>
      <c r="W464" s="174"/>
      <c r="X464" s="174"/>
      <c r="Y464" s="174"/>
      <c r="Z464" s="174"/>
      <c r="AA464" s="174"/>
    </row>
    <row r="465">
      <c r="A465" s="174"/>
      <c r="B465" s="174"/>
      <c r="C465" s="174"/>
      <c r="D465" s="174"/>
      <c r="E465" s="174"/>
      <c r="F465" s="175"/>
      <c r="G465" s="175"/>
      <c r="H465" s="174"/>
      <c r="I465" s="174"/>
      <c r="J465" s="174"/>
      <c r="K465" s="174"/>
      <c r="L465" s="174"/>
      <c r="M465" s="174"/>
      <c r="N465" s="174"/>
      <c r="O465" s="174"/>
      <c r="P465" s="174"/>
      <c r="Q465" s="174"/>
      <c r="R465" s="174"/>
      <c r="S465" s="174"/>
      <c r="T465" s="174"/>
      <c r="U465" s="174"/>
      <c r="V465" s="174"/>
      <c r="W465" s="174"/>
      <c r="X465" s="174"/>
      <c r="Y465" s="174"/>
      <c r="Z465" s="174"/>
      <c r="AA465" s="174"/>
    </row>
    <row r="466">
      <c r="A466" s="174"/>
      <c r="B466" s="174"/>
      <c r="C466" s="174"/>
      <c r="D466" s="174"/>
      <c r="E466" s="174"/>
      <c r="F466" s="175"/>
      <c r="G466" s="175"/>
      <c r="H466" s="174"/>
      <c r="I466" s="174"/>
      <c r="J466" s="174"/>
      <c r="K466" s="174"/>
      <c r="L466" s="174"/>
      <c r="M466" s="174"/>
      <c r="N466" s="174"/>
      <c r="O466" s="174"/>
      <c r="P466" s="174"/>
      <c r="Q466" s="174"/>
      <c r="R466" s="174"/>
      <c r="S466" s="174"/>
      <c r="T466" s="174"/>
      <c r="U466" s="174"/>
      <c r="V466" s="174"/>
      <c r="W466" s="174"/>
      <c r="X466" s="174"/>
      <c r="Y466" s="174"/>
      <c r="Z466" s="174"/>
      <c r="AA466" s="174"/>
    </row>
    <row r="467">
      <c r="A467" s="174"/>
      <c r="B467" s="174"/>
      <c r="C467" s="174"/>
      <c r="D467" s="174"/>
      <c r="E467" s="174"/>
      <c r="F467" s="175"/>
      <c r="G467" s="175"/>
      <c r="H467" s="174"/>
      <c r="I467" s="174"/>
      <c r="J467" s="174"/>
      <c r="K467" s="174"/>
      <c r="L467" s="174"/>
      <c r="M467" s="174"/>
      <c r="N467" s="174"/>
      <c r="O467" s="174"/>
      <c r="P467" s="174"/>
      <c r="Q467" s="174"/>
      <c r="R467" s="174"/>
      <c r="S467" s="174"/>
      <c r="T467" s="174"/>
      <c r="U467" s="174"/>
      <c r="V467" s="174"/>
      <c r="W467" s="174"/>
      <c r="X467" s="174"/>
      <c r="Y467" s="174"/>
      <c r="Z467" s="174"/>
      <c r="AA467" s="174"/>
    </row>
    <row r="468">
      <c r="A468" s="174"/>
      <c r="B468" s="174"/>
      <c r="C468" s="174"/>
      <c r="D468" s="174"/>
      <c r="E468" s="174"/>
      <c r="F468" s="175"/>
      <c r="G468" s="175"/>
      <c r="H468" s="174"/>
      <c r="I468" s="174"/>
      <c r="J468" s="174"/>
      <c r="K468" s="174"/>
      <c r="L468" s="174"/>
      <c r="M468" s="174"/>
      <c r="N468" s="174"/>
      <c r="O468" s="174"/>
      <c r="P468" s="174"/>
      <c r="Q468" s="174"/>
      <c r="R468" s="174"/>
      <c r="S468" s="174"/>
      <c r="T468" s="174"/>
      <c r="U468" s="174"/>
      <c r="V468" s="174"/>
      <c r="W468" s="174"/>
      <c r="X468" s="174"/>
      <c r="Y468" s="174"/>
      <c r="Z468" s="174"/>
      <c r="AA468" s="174"/>
    </row>
    <row r="469">
      <c r="A469" s="174"/>
      <c r="B469" s="174"/>
      <c r="C469" s="174"/>
      <c r="D469" s="174"/>
      <c r="E469" s="174"/>
      <c r="F469" s="175"/>
      <c r="G469" s="175"/>
      <c r="H469" s="174"/>
      <c r="I469" s="174"/>
      <c r="J469" s="174"/>
      <c r="K469" s="174"/>
      <c r="L469" s="174"/>
      <c r="M469" s="174"/>
      <c r="N469" s="174"/>
      <c r="O469" s="174"/>
      <c r="P469" s="174"/>
      <c r="Q469" s="174"/>
      <c r="R469" s="174"/>
      <c r="S469" s="174"/>
      <c r="T469" s="174"/>
      <c r="U469" s="174"/>
      <c r="V469" s="174"/>
      <c r="W469" s="174"/>
      <c r="X469" s="174"/>
      <c r="Y469" s="174"/>
      <c r="Z469" s="174"/>
      <c r="AA469" s="174"/>
    </row>
    <row r="470">
      <c r="A470" s="174"/>
      <c r="B470" s="174"/>
      <c r="C470" s="174"/>
      <c r="D470" s="174"/>
      <c r="E470" s="174"/>
      <c r="F470" s="175"/>
      <c r="G470" s="175"/>
      <c r="H470" s="174"/>
      <c r="I470" s="174"/>
      <c r="J470" s="174"/>
      <c r="K470" s="174"/>
      <c r="L470" s="174"/>
      <c r="M470" s="174"/>
      <c r="N470" s="174"/>
      <c r="O470" s="174"/>
      <c r="P470" s="174"/>
      <c r="Q470" s="174"/>
      <c r="R470" s="174"/>
      <c r="S470" s="174"/>
      <c r="T470" s="174"/>
      <c r="U470" s="174"/>
      <c r="V470" s="174"/>
      <c r="W470" s="174"/>
      <c r="X470" s="174"/>
      <c r="Y470" s="174"/>
      <c r="Z470" s="174"/>
      <c r="AA470" s="174"/>
    </row>
    <row r="471">
      <c r="A471" s="174"/>
      <c r="B471" s="174"/>
      <c r="C471" s="174"/>
      <c r="D471" s="174"/>
      <c r="E471" s="174"/>
      <c r="F471" s="175"/>
      <c r="G471" s="175"/>
      <c r="H471" s="174"/>
      <c r="I471" s="174"/>
      <c r="J471" s="174"/>
      <c r="K471" s="174"/>
      <c r="L471" s="174"/>
      <c r="M471" s="174"/>
      <c r="N471" s="174"/>
      <c r="O471" s="174"/>
      <c r="P471" s="174"/>
      <c r="Q471" s="174"/>
      <c r="R471" s="174"/>
      <c r="S471" s="174"/>
      <c r="T471" s="174"/>
      <c r="U471" s="174"/>
      <c r="V471" s="174"/>
      <c r="W471" s="174"/>
      <c r="X471" s="174"/>
      <c r="Y471" s="174"/>
      <c r="Z471" s="174"/>
      <c r="AA471" s="174"/>
    </row>
    <row r="472">
      <c r="A472" s="174"/>
      <c r="B472" s="174"/>
      <c r="C472" s="174"/>
      <c r="D472" s="174"/>
      <c r="E472" s="174"/>
      <c r="F472" s="175"/>
      <c r="G472" s="175"/>
      <c r="H472" s="174"/>
      <c r="I472" s="174"/>
      <c r="J472" s="174"/>
      <c r="K472" s="174"/>
      <c r="L472" s="174"/>
      <c r="M472" s="174"/>
      <c r="N472" s="174"/>
      <c r="O472" s="174"/>
      <c r="P472" s="174"/>
      <c r="Q472" s="174"/>
      <c r="R472" s="174"/>
      <c r="S472" s="174"/>
      <c r="T472" s="174"/>
      <c r="U472" s="174"/>
      <c r="V472" s="174"/>
      <c r="W472" s="174"/>
      <c r="X472" s="174"/>
      <c r="Y472" s="174"/>
      <c r="Z472" s="174"/>
      <c r="AA472" s="174"/>
    </row>
    <row r="473">
      <c r="A473" s="174"/>
      <c r="B473" s="174"/>
      <c r="C473" s="174"/>
      <c r="D473" s="174"/>
      <c r="E473" s="174"/>
      <c r="F473" s="175"/>
      <c r="G473" s="175"/>
      <c r="H473" s="174"/>
      <c r="I473" s="174"/>
      <c r="J473" s="174"/>
      <c r="K473" s="174"/>
      <c r="L473" s="174"/>
      <c r="M473" s="174"/>
      <c r="N473" s="174"/>
      <c r="O473" s="174"/>
      <c r="P473" s="174"/>
      <c r="Q473" s="174"/>
      <c r="R473" s="174"/>
      <c r="S473" s="174"/>
      <c r="T473" s="174"/>
      <c r="U473" s="174"/>
      <c r="V473" s="174"/>
      <c r="W473" s="174"/>
      <c r="X473" s="174"/>
      <c r="Y473" s="174"/>
      <c r="Z473" s="174"/>
      <c r="AA473" s="174"/>
    </row>
    <row r="474">
      <c r="A474" s="174"/>
      <c r="B474" s="174"/>
      <c r="C474" s="174"/>
      <c r="D474" s="174"/>
      <c r="E474" s="174"/>
      <c r="F474" s="175"/>
      <c r="G474" s="175"/>
      <c r="H474" s="174"/>
      <c r="I474" s="174"/>
      <c r="J474" s="174"/>
      <c r="K474" s="174"/>
      <c r="L474" s="174"/>
      <c r="M474" s="174"/>
      <c r="N474" s="174"/>
      <c r="O474" s="174"/>
      <c r="P474" s="174"/>
      <c r="Q474" s="174"/>
      <c r="R474" s="174"/>
      <c r="S474" s="174"/>
      <c r="T474" s="174"/>
      <c r="U474" s="174"/>
      <c r="V474" s="174"/>
      <c r="W474" s="174"/>
      <c r="X474" s="174"/>
      <c r="Y474" s="174"/>
      <c r="Z474" s="174"/>
      <c r="AA474" s="174"/>
    </row>
    <row r="475">
      <c r="A475" s="174"/>
      <c r="B475" s="174"/>
      <c r="C475" s="174"/>
      <c r="D475" s="174"/>
      <c r="E475" s="174"/>
      <c r="F475" s="175"/>
      <c r="G475" s="175"/>
      <c r="H475" s="174"/>
      <c r="I475" s="174"/>
      <c r="J475" s="174"/>
      <c r="K475" s="174"/>
      <c r="L475" s="174"/>
      <c r="M475" s="174"/>
      <c r="N475" s="174"/>
      <c r="O475" s="174"/>
      <c r="P475" s="174"/>
      <c r="Q475" s="174"/>
      <c r="R475" s="174"/>
      <c r="S475" s="174"/>
      <c r="T475" s="174"/>
      <c r="U475" s="174"/>
      <c r="V475" s="174"/>
      <c r="W475" s="174"/>
      <c r="X475" s="174"/>
      <c r="Y475" s="174"/>
      <c r="Z475" s="174"/>
      <c r="AA475" s="174"/>
    </row>
    <row r="476">
      <c r="A476" s="174"/>
      <c r="B476" s="174"/>
      <c r="C476" s="174"/>
      <c r="D476" s="174"/>
      <c r="E476" s="174"/>
      <c r="F476" s="175"/>
      <c r="G476" s="175"/>
      <c r="H476" s="174"/>
      <c r="I476" s="174"/>
      <c r="J476" s="174"/>
      <c r="K476" s="174"/>
      <c r="L476" s="174"/>
      <c r="M476" s="174"/>
      <c r="N476" s="174"/>
      <c r="O476" s="174"/>
      <c r="P476" s="174"/>
      <c r="Q476" s="174"/>
      <c r="R476" s="174"/>
      <c r="S476" s="174"/>
      <c r="T476" s="174"/>
      <c r="U476" s="174"/>
      <c r="V476" s="174"/>
      <c r="W476" s="174"/>
      <c r="X476" s="174"/>
      <c r="Y476" s="174"/>
      <c r="Z476" s="174"/>
      <c r="AA476" s="174"/>
    </row>
    <row r="477">
      <c r="A477" s="174"/>
      <c r="B477" s="174"/>
      <c r="C477" s="174"/>
      <c r="D477" s="174"/>
      <c r="E477" s="174"/>
      <c r="F477" s="175"/>
      <c r="G477" s="175"/>
      <c r="H477" s="174"/>
      <c r="I477" s="174"/>
      <c r="J477" s="174"/>
      <c r="K477" s="174"/>
      <c r="L477" s="174"/>
      <c r="M477" s="174"/>
      <c r="N477" s="174"/>
      <c r="O477" s="174"/>
      <c r="P477" s="174"/>
      <c r="Q477" s="174"/>
      <c r="R477" s="174"/>
      <c r="S477" s="174"/>
      <c r="T477" s="174"/>
      <c r="U477" s="174"/>
      <c r="V477" s="174"/>
      <c r="W477" s="174"/>
      <c r="X477" s="174"/>
      <c r="Y477" s="174"/>
      <c r="Z477" s="174"/>
      <c r="AA477" s="174"/>
    </row>
    <row r="478">
      <c r="A478" s="174"/>
      <c r="B478" s="174"/>
      <c r="C478" s="174"/>
      <c r="D478" s="174"/>
      <c r="E478" s="174"/>
      <c r="F478" s="175"/>
      <c r="G478" s="175"/>
      <c r="H478" s="174"/>
      <c r="I478" s="174"/>
      <c r="J478" s="174"/>
      <c r="K478" s="174"/>
      <c r="L478" s="174"/>
      <c r="M478" s="174"/>
      <c r="N478" s="174"/>
      <c r="O478" s="174"/>
      <c r="P478" s="174"/>
      <c r="Q478" s="174"/>
      <c r="R478" s="174"/>
      <c r="S478" s="174"/>
      <c r="T478" s="174"/>
      <c r="U478" s="174"/>
      <c r="V478" s="174"/>
      <c r="W478" s="174"/>
      <c r="X478" s="174"/>
      <c r="Y478" s="174"/>
      <c r="Z478" s="174"/>
      <c r="AA478" s="174"/>
    </row>
    <row r="479">
      <c r="A479" s="174"/>
      <c r="B479" s="174"/>
      <c r="C479" s="174"/>
      <c r="D479" s="174"/>
      <c r="E479" s="174"/>
      <c r="F479" s="175"/>
      <c r="G479" s="175"/>
      <c r="H479" s="174"/>
      <c r="I479" s="174"/>
      <c r="J479" s="174"/>
      <c r="K479" s="174"/>
      <c r="L479" s="174"/>
      <c r="M479" s="174"/>
      <c r="N479" s="174"/>
      <c r="O479" s="174"/>
      <c r="P479" s="174"/>
      <c r="Q479" s="174"/>
      <c r="R479" s="174"/>
      <c r="S479" s="174"/>
      <c r="T479" s="174"/>
      <c r="U479" s="174"/>
      <c r="V479" s="174"/>
      <c r="W479" s="174"/>
      <c r="X479" s="174"/>
      <c r="Y479" s="174"/>
      <c r="Z479" s="174"/>
      <c r="AA479" s="174"/>
    </row>
    <row r="480">
      <c r="A480" s="174"/>
      <c r="B480" s="174"/>
      <c r="C480" s="174"/>
      <c r="D480" s="174"/>
      <c r="E480" s="174"/>
      <c r="F480" s="175"/>
      <c r="G480" s="175"/>
      <c r="H480" s="174"/>
      <c r="I480" s="174"/>
      <c r="J480" s="174"/>
      <c r="K480" s="174"/>
      <c r="L480" s="174"/>
      <c r="M480" s="174"/>
      <c r="N480" s="174"/>
      <c r="O480" s="174"/>
      <c r="P480" s="174"/>
      <c r="Q480" s="174"/>
      <c r="R480" s="174"/>
      <c r="S480" s="174"/>
      <c r="T480" s="174"/>
      <c r="U480" s="174"/>
      <c r="V480" s="174"/>
      <c r="W480" s="174"/>
      <c r="X480" s="174"/>
      <c r="Y480" s="174"/>
      <c r="Z480" s="174"/>
      <c r="AA480" s="174"/>
    </row>
    <row r="481">
      <c r="A481" s="174"/>
      <c r="B481" s="174"/>
      <c r="C481" s="174"/>
      <c r="D481" s="174"/>
      <c r="E481" s="174"/>
      <c r="F481" s="175"/>
      <c r="G481" s="175"/>
      <c r="H481" s="174"/>
      <c r="I481" s="174"/>
      <c r="J481" s="174"/>
      <c r="K481" s="174"/>
      <c r="L481" s="174"/>
      <c r="M481" s="174"/>
      <c r="N481" s="174"/>
      <c r="O481" s="174"/>
      <c r="P481" s="174"/>
      <c r="Q481" s="174"/>
      <c r="R481" s="174"/>
      <c r="S481" s="174"/>
      <c r="T481" s="174"/>
      <c r="U481" s="174"/>
      <c r="V481" s="174"/>
      <c r="W481" s="174"/>
      <c r="X481" s="174"/>
      <c r="Y481" s="174"/>
      <c r="Z481" s="174"/>
      <c r="AA481" s="174"/>
    </row>
    <row r="482">
      <c r="A482" s="174"/>
      <c r="B482" s="174"/>
      <c r="C482" s="174"/>
      <c r="D482" s="174"/>
      <c r="E482" s="174"/>
      <c r="F482" s="175"/>
      <c r="G482" s="175"/>
      <c r="H482" s="174"/>
      <c r="I482" s="174"/>
      <c r="J482" s="174"/>
      <c r="K482" s="174"/>
      <c r="L482" s="174"/>
      <c r="M482" s="174"/>
      <c r="N482" s="174"/>
      <c r="O482" s="174"/>
      <c r="P482" s="174"/>
      <c r="Q482" s="174"/>
      <c r="R482" s="174"/>
      <c r="S482" s="174"/>
      <c r="T482" s="174"/>
      <c r="U482" s="174"/>
      <c r="V482" s="174"/>
      <c r="W482" s="174"/>
      <c r="X482" s="174"/>
      <c r="Y482" s="174"/>
      <c r="Z482" s="174"/>
      <c r="AA482" s="174"/>
    </row>
    <row r="483">
      <c r="A483" s="174"/>
      <c r="B483" s="174"/>
      <c r="C483" s="174"/>
      <c r="D483" s="174"/>
      <c r="E483" s="174"/>
      <c r="F483" s="175"/>
      <c r="G483" s="175"/>
      <c r="H483" s="174"/>
      <c r="I483" s="174"/>
      <c r="J483" s="174"/>
      <c r="K483" s="174"/>
      <c r="L483" s="174"/>
      <c r="M483" s="174"/>
      <c r="N483" s="174"/>
      <c r="O483" s="174"/>
      <c r="P483" s="174"/>
      <c r="Q483" s="174"/>
      <c r="R483" s="174"/>
      <c r="S483" s="174"/>
      <c r="T483" s="174"/>
      <c r="U483" s="174"/>
      <c r="V483" s="174"/>
      <c r="W483" s="174"/>
      <c r="X483" s="174"/>
      <c r="Y483" s="174"/>
      <c r="Z483" s="174"/>
      <c r="AA483" s="174"/>
    </row>
    <row r="484">
      <c r="A484" s="174"/>
      <c r="B484" s="174"/>
      <c r="C484" s="174"/>
      <c r="D484" s="174"/>
      <c r="E484" s="174"/>
      <c r="F484" s="175"/>
      <c r="G484" s="175"/>
      <c r="H484" s="174"/>
      <c r="I484" s="174"/>
      <c r="J484" s="174"/>
      <c r="K484" s="174"/>
      <c r="L484" s="174"/>
      <c r="M484" s="174"/>
      <c r="N484" s="174"/>
      <c r="O484" s="174"/>
      <c r="P484" s="174"/>
      <c r="Q484" s="174"/>
      <c r="R484" s="174"/>
      <c r="S484" s="174"/>
      <c r="T484" s="174"/>
      <c r="U484" s="174"/>
      <c r="V484" s="174"/>
      <c r="W484" s="174"/>
      <c r="X484" s="174"/>
      <c r="Y484" s="174"/>
      <c r="Z484" s="174"/>
      <c r="AA484" s="174"/>
    </row>
    <row r="485">
      <c r="A485" s="174"/>
      <c r="B485" s="174"/>
      <c r="C485" s="174"/>
      <c r="D485" s="174"/>
      <c r="E485" s="174"/>
      <c r="F485" s="175"/>
      <c r="G485" s="175"/>
      <c r="H485" s="174"/>
      <c r="I485" s="174"/>
      <c r="J485" s="174"/>
      <c r="K485" s="174"/>
      <c r="L485" s="174"/>
      <c r="M485" s="174"/>
      <c r="N485" s="174"/>
      <c r="O485" s="174"/>
      <c r="P485" s="174"/>
      <c r="Q485" s="174"/>
      <c r="R485" s="174"/>
      <c r="S485" s="174"/>
      <c r="T485" s="174"/>
      <c r="U485" s="174"/>
      <c r="V485" s="174"/>
      <c r="W485" s="174"/>
      <c r="X485" s="174"/>
      <c r="Y485" s="174"/>
      <c r="Z485" s="174"/>
      <c r="AA485" s="174"/>
    </row>
    <row r="486">
      <c r="A486" s="174"/>
      <c r="B486" s="174"/>
      <c r="C486" s="174"/>
      <c r="D486" s="174"/>
      <c r="E486" s="174"/>
      <c r="F486" s="175"/>
      <c r="G486" s="175"/>
      <c r="H486" s="174"/>
      <c r="I486" s="174"/>
      <c r="J486" s="174"/>
      <c r="K486" s="174"/>
      <c r="L486" s="174"/>
      <c r="M486" s="174"/>
      <c r="N486" s="174"/>
      <c r="O486" s="174"/>
      <c r="P486" s="174"/>
      <c r="Q486" s="174"/>
      <c r="R486" s="174"/>
      <c r="S486" s="174"/>
      <c r="T486" s="174"/>
      <c r="U486" s="174"/>
      <c r="V486" s="174"/>
      <c r="W486" s="174"/>
      <c r="X486" s="174"/>
      <c r="Y486" s="174"/>
      <c r="Z486" s="174"/>
      <c r="AA486" s="174"/>
    </row>
    <row r="487">
      <c r="A487" s="174"/>
      <c r="B487" s="174"/>
      <c r="C487" s="174"/>
      <c r="D487" s="174"/>
      <c r="E487" s="174"/>
      <c r="F487" s="175"/>
      <c r="G487" s="175"/>
      <c r="H487" s="174"/>
      <c r="I487" s="174"/>
      <c r="J487" s="174"/>
      <c r="K487" s="174"/>
      <c r="L487" s="174"/>
      <c r="M487" s="174"/>
      <c r="N487" s="174"/>
      <c r="O487" s="174"/>
      <c r="P487" s="174"/>
      <c r="Q487" s="174"/>
      <c r="R487" s="174"/>
      <c r="S487" s="174"/>
      <c r="T487" s="174"/>
      <c r="U487" s="174"/>
      <c r="V487" s="174"/>
      <c r="W487" s="174"/>
      <c r="X487" s="174"/>
      <c r="Y487" s="174"/>
      <c r="Z487" s="174"/>
      <c r="AA487" s="174"/>
    </row>
    <row r="488">
      <c r="A488" s="174"/>
      <c r="B488" s="174"/>
      <c r="C488" s="174"/>
      <c r="D488" s="174"/>
      <c r="E488" s="174"/>
      <c r="F488" s="175"/>
      <c r="G488" s="175"/>
      <c r="H488" s="174"/>
      <c r="I488" s="174"/>
      <c r="J488" s="174"/>
      <c r="K488" s="174"/>
      <c r="L488" s="174"/>
      <c r="M488" s="174"/>
      <c r="N488" s="174"/>
      <c r="O488" s="174"/>
      <c r="P488" s="174"/>
      <c r="Q488" s="174"/>
      <c r="R488" s="174"/>
      <c r="S488" s="174"/>
      <c r="T488" s="174"/>
      <c r="U488" s="174"/>
      <c r="V488" s="174"/>
      <c r="W488" s="174"/>
      <c r="X488" s="174"/>
      <c r="Y488" s="174"/>
      <c r="Z488" s="174"/>
      <c r="AA488" s="174"/>
    </row>
    <row r="489">
      <c r="A489" s="174"/>
      <c r="B489" s="174"/>
      <c r="C489" s="174"/>
      <c r="D489" s="174"/>
      <c r="E489" s="174"/>
      <c r="F489" s="175"/>
      <c r="G489" s="175"/>
      <c r="H489" s="174"/>
      <c r="I489" s="174"/>
      <c r="J489" s="174"/>
      <c r="K489" s="174"/>
      <c r="L489" s="174"/>
      <c r="M489" s="174"/>
      <c r="N489" s="174"/>
      <c r="O489" s="174"/>
      <c r="P489" s="174"/>
      <c r="Q489" s="174"/>
      <c r="R489" s="174"/>
      <c r="S489" s="174"/>
      <c r="T489" s="174"/>
      <c r="U489" s="174"/>
      <c r="V489" s="174"/>
      <c r="W489" s="174"/>
      <c r="X489" s="174"/>
      <c r="Y489" s="174"/>
      <c r="Z489" s="174"/>
      <c r="AA489" s="174"/>
    </row>
    <row r="490">
      <c r="A490" s="174"/>
      <c r="B490" s="174"/>
      <c r="C490" s="174"/>
      <c r="D490" s="174"/>
      <c r="E490" s="174"/>
      <c r="F490" s="175"/>
      <c r="G490" s="175"/>
      <c r="H490" s="174"/>
      <c r="I490" s="174"/>
      <c r="J490" s="174"/>
      <c r="K490" s="174"/>
      <c r="L490" s="174"/>
      <c r="M490" s="174"/>
      <c r="N490" s="174"/>
      <c r="O490" s="174"/>
      <c r="P490" s="174"/>
      <c r="Q490" s="174"/>
      <c r="R490" s="174"/>
      <c r="S490" s="174"/>
      <c r="T490" s="174"/>
      <c r="U490" s="174"/>
      <c r="V490" s="174"/>
      <c r="W490" s="174"/>
      <c r="X490" s="174"/>
      <c r="Y490" s="174"/>
      <c r="Z490" s="174"/>
      <c r="AA490" s="174"/>
    </row>
    <row r="491">
      <c r="A491" s="174"/>
      <c r="B491" s="174"/>
      <c r="C491" s="174"/>
      <c r="D491" s="174"/>
      <c r="E491" s="174"/>
      <c r="F491" s="175"/>
      <c r="G491" s="175"/>
      <c r="H491" s="174"/>
      <c r="I491" s="174"/>
      <c r="J491" s="174"/>
      <c r="K491" s="174"/>
      <c r="L491" s="174"/>
      <c r="M491" s="174"/>
      <c r="N491" s="174"/>
      <c r="O491" s="174"/>
      <c r="P491" s="174"/>
      <c r="Q491" s="174"/>
      <c r="R491" s="174"/>
      <c r="S491" s="174"/>
      <c r="T491" s="174"/>
      <c r="U491" s="174"/>
      <c r="V491" s="174"/>
      <c r="W491" s="174"/>
      <c r="X491" s="174"/>
      <c r="Y491" s="174"/>
      <c r="Z491" s="174"/>
      <c r="AA491" s="174"/>
    </row>
    <row r="492">
      <c r="A492" s="174"/>
      <c r="B492" s="174"/>
      <c r="C492" s="174"/>
      <c r="D492" s="174"/>
      <c r="E492" s="174"/>
      <c r="F492" s="175"/>
      <c r="G492" s="175"/>
      <c r="H492" s="174"/>
      <c r="I492" s="174"/>
      <c r="J492" s="174"/>
      <c r="K492" s="174"/>
      <c r="L492" s="174"/>
      <c r="M492" s="174"/>
      <c r="N492" s="174"/>
      <c r="O492" s="174"/>
      <c r="P492" s="174"/>
      <c r="Q492" s="174"/>
      <c r="R492" s="174"/>
      <c r="S492" s="174"/>
      <c r="T492" s="174"/>
      <c r="U492" s="174"/>
      <c r="V492" s="174"/>
      <c r="W492" s="174"/>
      <c r="X492" s="174"/>
      <c r="Y492" s="174"/>
      <c r="Z492" s="174"/>
      <c r="AA492" s="174"/>
    </row>
    <row r="493">
      <c r="A493" s="174"/>
      <c r="B493" s="174"/>
      <c r="C493" s="174"/>
      <c r="D493" s="174"/>
      <c r="E493" s="174"/>
      <c r="F493" s="175"/>
      <c r="G493" s="175"/>
      <c r="H493" s="174"/>
      <c r="I493" s="174"/>
      <c r="J493" s="174"/>
      <c r="K493" s="174"/>
      <c r="L493" s="174"/>
      <c r="M493" s="174"/>
      <c r="N493" s="174"/>
      <c r="O493" s="174"/>
      <c r="P493" s="174"/>
      <c r="Q493" s="174"/>
      <c r="R493" s="174"/>
      <c r="S493" s="174"/>
      <c r="T493" s="174"/>
      <c r="U493" s="174"/>
      <c r="V493" s="174"/>
      <c r="W493" s="174"/>
      <c r="X493" s="174"/>
      <c r="Y493" s="174"/>
      <c r="Z493" s="174"/>
      <c r="AA493" s="174"/>
    </row>
    <row r="494">
      <c r="A494" s="174"/>
      <c r="B494" s="174"/>
      <c r="C494" s="174"/>
      <c r="D494" s="174"/>
      <c r="E494" s="174"/>
      <c r="F494" s="175"/>
      <c r="G494" s="175"/>
      <c r="H494" s="174"/>
      <c r="I494" s="174"/>
      <c r="J494" s="174"/>
      <c r="K494" s="174"/>
      <c r="L494" s="174"/>
      <c r="M494" s="174"/>
      <c r="N494" s="174"/>
      <c r="O494" s="174"/>
      <c r="P494" s="174"/>
      <c r="Q494" s="174"/>
      <c r="R494" s="174"/>
      <c r="S494" s="174"/>
      <c r="T494" s="174"/>
      <c r="U494" s="174"/>
      <c r="V494" s="174"/>
      <c r="W494" s="174"/>
      <c r="X494" s="174"/>
      <c r="Y494" s="174"/>
      <c r="Z494" s="174"/>
      <c r="AA494" s="174"/>
    </row>
    <row r="495">
      <c r="A495" s="174"/>
      <c r="B495" s="174"/>
      <c r="C495" s="174"/>
      <c r="D495" s="174"/>
      <c r="E495" s="174"/>
      <c r="F495" s="175"/>
      <c r="G495" s="175"/>
      <c r="H495" s="174"/>
      <c r="I495" s="174"/>
      <c r="J495" s="174"/>
      <c r="K495" s="174"/>
      <c r="L495" s="174"/>
      <c r="M495" s="174"/>
      <c r="N495" s="174"/>
      <c r="O495" s="174"/>
      <c r="P495" s="174"/>
      <c r="Q495" s="174"/>
      <c r="R495" s="174"/>
      <c r="S495" s="174"/>
      <c r="T495" s="174"/>
      <c r="U495" s="174"/>
      <c r="V495" s="174"/>
      <c r="W495" s="174"/>
      <c r="X495" s="174"/>
      <c r="Y495" s="174"/>
      <c r="Z495" s="174"/>
      <c r="AA495" s="174"/>
    </row>
    <row r="496">
      <c r="A496" s="174"/>
      <c r="B496" s="174"/>
      <c r="C496" s="174"/>
      <c r="D496" s="174"/>
      <c r="E496" s="174"/>
      <c r="F496" s="175"/>
      <c r="G496" s="175"/>
      <c r="H496" s="174"/>
      <c r="I496" s="174"/>
      <c r="J496" s="174"/>
      <c r="K496" s="174"/>
      <c r="L496" s="174"/>
      <c r="M496" s="174"/>
      <c r="N496" s="174"/>
      <c r="O496" s="174"/>
      <c r="P496" s="174"/>
      <c r="Q496" s="174"/>
      <c r="R496" s="174"/>
      <c r="S496" s="174"/>
      <c r="T496" s="174"/>
      <c r="U496" s="174"/>
      <c r="V496" s="174"/>
      <c r="W496" s="174"/>
      <c r="X496" s="174"/>
      <c r="Y496" s="174"/>
      <c r="Z496" s="174"/>
      <c r="AA496" s="174"/>
    </row>
    <row r="497">
      <c r="A497" s="174"/>
      <c r="B497" s="174"/>
      <c r="C497" s="174"/>
      <c r="D497" s="174"/>
      <c r="E497" s="174"/>
      <c r="F497" s="175"/>
      <c r="G497" s="175"/>
      <c r="H497" s="174"/>
      <c r="I497" s="174"/>
      <c r="J497" s="174"/>
      <c r="K497" s="174"/>
      <c r="L497" s="174"/>
      <c r="M497" s="174"/>
      <c r="N497" s="174"/>
      <c r="O497" s="174"/>
      <c r="P497" s="174"/>
      <c r="Q497" s="174"/>
      <c r="R497" s="174"/>
      <c r="S497" s="174"/>
      <c r="T497" s="174"/>
      <c r="U497" s="174"/>
      <c r="V497" s="174"/>
      <c r="W497" s="174"/>
      <c r="X497" s="174"/>
      <c r="Y497" s="174"/>
      <c r="Z497" s="174"/>
      <c r="AA497" s="174"/>
    </row>
    <row r="498">
      <c r="A498" s="174"/>
      <c r="B498" s="174"/>
      <c r="C498" s="174"/>
      <c r="D498" s="174"/>
      <c r="E498" s="174"/>
      <c r="F498" s="175"/>
      <c r="G498" s="175"/>
      <c r="H498" s="174"/>
      <c r="I498" s="174"/>
      <c r="J498" s="174"/>
      <c r="K498" s="174"/>
      <c r="L498" s="174"/>
      <c r="M498" s="174"/>
      <c r="N498" s="174"/>
      <c r="O498" s="174"/>
      <c r="P498" s="174"/>
      <c r="Q498" s="174"/>
      <c r="R498" s="174"/>
      <c r="S498" s="174"/>
      <c r="T498" s="174"/>
      <c r="U498" s="174"/>
      <c r="V498" s="174"/>
      <c r="W498" s="174"/>
      <c r="X498" s="174"/>
      <c r="Y498" s="174"/>
      <c r="Z498" s="174"/>
      <c r="AA498" s="174"/>
    </row>
    <row r="499">
      <c r="A499" s="174"/>
      <c r="B499" s="174"/>
      <c r="C499" s="174"/>
      <c r="D499" s="174"/>
      <c r="E499" s="174"/>
      <c r="F499" s="175"/>
      <c r="G499" s="175"/>
      <c r="H499" s="174"/>
      <c r="I499" s="174"/>
      <c r="J499" s="174"/>
      <c r="K499" s="174"/>
      <c r="L499" s="174"/>
      <c r="M499" s="174"/>
      <c r="N499" s="174"/>
      <c r="O499" s="174"/>
      <c r="P499" s="174"/>
      <c r="Q499" s="174"/>
      <c r="R499" s="174"/>
      <c r="S499" s="174"/>
      <c r="T499" s="174"/>
      <c r="U499" s="174"/>
      <c r="V499" s="174"/>
      <c r="W499" s="174"/>
      <c r="X499" s="174"/>
      <c r="Y499" s="174"/>
      <c r="Z499" s="174"/>
      <c r="AA499" s="174"/>
    </row>
    <row r="500">
      <c r="A500" s="174"/>
      <c r="B500" s="174"/>
      <c r="C500" s="174"/>
      <c r="D500" s="174"/>
      <c r="E500" s="174"/>
      <c r="F500" s="175"/>
      <c r="G500" s="175"/>
      <c r="H500" s="174"/>
      <c r="I500" s="174"/>
      <c r="J500" s="174"/>
      <c r="K500" s="174"/>
      <c r="L500" s="174"/>
      <c r="M500" s="174"/>
      <c r="N500" s="174"/>
      <c r="O500" s="174"/>
      <c r="P500" s="174"/>
      <c r="Q500" s="174"/>
      <c r="R500" s="174"/>
      <c r="S500" s="174"/>
      <c r="T500" s="174"/>
      <c r="U500" s="174"/>
      <c r="V500" s="174"/>
      <c r="W500" s="174"/>
      <c r="X500" s="174"/>
      <c r="Y500" s="174"/>
      <c r="Z500" s="174"/>
      <c r="AA500" s="174"/>
    </row>
    <row r="501">
      <c r="A501" s="174"/>
      <c r="B501" s="174"/>
      <c r="C501" s="174"/>
      <c r="D501" s="174"/>
      <c r="E501" s="174"/>
      <c r="F501" s="175"/>
      <c r="G501" s="175"/>
      <c r="H501" s="174"/>
      <c r="I501" s="174"/>
      <c r="J501" s="174"/>
      <c r="K501" s="174"/>
      <c r="L501" s="174"/>
      <c r="M501" s="174"/>
      <c r="N501" s="174"/>
      <c r="O501" s="174"/>
      <c r="P501" s="174"/>
      <c r="Q501" s="174"/>
      <c r="R501" s="174"/>
      <c r="S501" s="174"/>
      <c r="T501" s="174"/>
      <c r="U501" s="174"/>
      <c r="V501" s="174"/>
      <c r="W501" s="174"/>
      <c r="X501" s="174"/>
      <c r="Y501" s="174"/>
      <c r="Z501" s="174"/>
      <c r="AA501" s="174"/>
    </row>
    <row r="502">
      <c r="A502" s="174"/>
      <c r="B502" s="174"/>
      <c r="C502" s="174"/>
      <c r="D502" s="174"/>
      <c r="E502" s="174"/>
      <c r="F502" s="175"/>
      <c r="G502" s="175"/>
      <c r="H502" s="174"/>
      <c r="I502" s="174"/>
      <c r="J502" s="174"/>
      <c r="K502" s="174"/>
      <c r="L502" s="174"/>
      <c r="M502" s="174"/>
      <c r="N502" s="174"/>
      <c r="O502" s="174"/>
      <c r="P502" s="174"/>
      <c r="Q502" s="174"/>
      <c r="R502" s="174"/>
      <c r="S502" s="174"/>
      <c r="T502" s="174"/>
      <c r="U502" s="174"/>
      <c r="V502" s="174"/>
      <c r="W502" s="174"/>
      <c r="X502" s="174"/>
      <c r="Y502" s="174"/>
      <c r="Z502" s="174"/>
      <c r="AA502" s="174"/>
    </row>
    <row r="503">
      <c r="A503" s="174"/>
      <c r="B503" s="174"/>
      <c r="C503" s="174"/>
      <c r="D503" s="174"/>
      <c r="E503" s="174"/>
      <c r="F503" s="175"/>
      <c r="G503" s="175"/>
      <c r="H503" s="174"/>
      <c r="I503" s="174"/>
      <c r="J503" s="174"/>
      <c r="K503" s="174"/>
      <c r="L503" s="174"/>
      <c r="M503" s="174"/>
      <c r="N503" s="174"/>
      <c r="O503" s="174"/>
      <c r="P503" s="174"/>
      <c r="Q503" s="174"/>
      <c r="R503" s="174"/>
      <c r="S503" s="174"/>
      <c r="T503" s="174"/>
      <c r="U503" s="174"/>
      <c r="V503" s="174"/>
      <c r="W503" s="174"/>
      <c r="X503" s="174"/>
      <c r="Y503" s="174"/>
      <c r="Z503" s="174"/>
      <c r="AA503" s="174"/>
    </row>
    <row r="504">
      <c r="A504" s="174"/>
      <c r="B504" s="174"/>
      <c r="C504" s="174"/>
      <c r="D504" s="174"/>
      <c r="E504" s="174"/>
      <c r="F504" s="175"/>
      <c r="G504" s="175"/>
      <c r="H504" s="174"/>
      <c r="I504" s="174"/>
      <c r="J504" s="174"/>
      <c r="K504" s="174"/>
      <c r="L504" s="174"/>
      <c r="M504" s="174"/>
      <c r="N504" s="174"/>
      <c r="O504" s="174"/>
      <c r="P504" s="174"/>
      <c r="Q504" s="174"/>
      <c r="R504" s="174"/>
      <c r="S504" s="174"/>
      <c r="T504" s="174"/>
      <c r="U504" s="174"/>
      <c r="V504" s="174"/>
      <c r="W504" s="174"/>
      <c r="X504" s="174"/>
      <c r="Y504" s="174"/>
      <c r="Z504" s="174"/>
      <c r="AA504" s="174"/>
    </row>
    <row r="505">
      <c r="A505" s="174"/>
      <c r="B505" s="174"/>
      <c r="C505" s="174"/>
      <c r="D505" s="174"/>
      <c r="E505" s="174"/>
      <c r="F505" s="175"/>
      <c r="G505" s="175"/>
      <c r="H505" s="174"/>
      <c r="I505" s="174"/>
      <c r="J505" s="174"/>
      <c r="K505" s="174"/>
      <c r="L505" s="174"/>
      <c r="M505" s="174"/>
      <c r="N505" s="174"/>
      <c r="O505" s="174"/>
      <c r="P505" s="174"/>
      <c r="Q505" s="174"/>
      <c r="R505" s="174"/>
      <c r="S505" s="174"/>
      <c r="T505" s="174"/>
      <c r="U505" s="174"/>
      <c r="V505" s="174"/>
      <c r="W505" s="174"/>
      <c r="X505" s="174"/>
      <c r="Y505" s="174"/>
      <c r="Z505" s="174"/>
      <c r="AA505" s="174"/>
    </row>
    <row r="506">
      <c r="A506" s="174"/>
      <c r="B506" s="174"/>
      <c r="C506" s="174"/>
      <c r="D506" s="174"/>
      <c r="E506" s="174"/>
      <c r="F506" s="175"/>
      <c r="G506" s="175"/>
      <c r="H506" s="174"/>
      <c r="I506" s="174"/>
      <c r="J506" s="174"/>
      <c r="K506" s="174"/>
      <c r="L506" s="174"/>
      <c r="M506" s="174"/>
      <c r="N506" s="174"/>
      <c r="O506" s="174"/>
      <c r="P506" s="174"/>
      <c r="Q506" s="174"/>
      <c r="R506" s="174"/>
      <c r="S506" s="174"/>
      <c r="T506" s="174"/>
      <c r="U506" s="174"/>
      <c r="V506" s="174"/>
      <c r="W506" s="174"/>
      <c r="X506" s="174"/>
      <c r="Y506" s="174"/>
      <c r="Z506" s="174"/>
      <c r="AA506" s="174"/>
    </row>
    <row r="507">
      <c r="A507" s="174"/>
      <c r="B507" s="174"/>
      <c r="C507" s="174"/>
      <c r="D507" s="174"/>
      <c r="E507" s="174"/>
      <c r="F507" s="175"/>
      <c r="G507" s="175"/>
      <c r="H507" s="174"/>
      <c r="I507" s="174"/>
      <c r="J507" s="174"/>
      <c r="K507" s="174"/>
      <c r="L507" s="174"/>
      <c r="M507" s="174"/>
      <c r="N507" s="174"/>
      <c r="O507" s="174"/>
      <c r="P507" s="174"/>
      <c r="Q507" s="174"/>
      <c r="R507" s="174"/>
      <c r="S507" s="174"/>
      <c r="T507" s="174"/>
      <c r="U507" s="174"/>
      <c r="V507" s="174"/>
      <c r="W507" s="174"/>
      <c r="X507" s="174"/>
      <c r="Y507" s="174"/>
      <c r="Z507" s="174"/>
      <c r="AA507" s="174"/>
    </row>
    <row r="508">
      <c r="A508" s="174"/>
      <c r="B508" s="174"/>
      <c r="C508" s="174"/>
      <c r="D508" s="174"/>
      <c r="E508" s="174"/>
      <c r="F508" s="175"/>
      <c r="G508" s="175"/>
      <c r="H508" s="174"/>
      <c r="I508" s="174"/>
      <c r="J508" s="174"/>
      <c r="K508" s="174"/>
      <c r="L508" s="174"/>
      <c r="M508" s="174"/>
      <c r="N508" s="174"/>
      <c r="O508" s="174"/>
      <c r="P508" s="174"/>
      <c r="Q508" s="174"/>
      <c r="R508" s="174"/>
      <c r="S508" s="174"/>
      <c r="T508" s="174"/>
      <c r="U508" s="174"/>
      <c r="V508" s="174"/>
      <c r="W508" s="174"/>
      <c r="X508" s="174"/>
      <c r="Y508" s="174"/>
      <c r="Z508" s="174"/>
      <c r="AA508" s="174"/>
    </row>
    <row r="509">
      <c r="A509" s="174"/>
      <c r="B509" s="174"/>
      <c r="C509" s="174"/>
      <c r="D509" s="174"/>
      <c r="E509" s="174"/>
      <c r="F509" s="175"/>
      <c r="G509" s="175"/>
      <c r="H509" s="174"/>
      <c r="I509" s="174"/>
      <c r="J509" s="174"/>
      <c r="K509" s="174"/>
      <c r="L509" s="174"/>
      <c r="M509" s="174"/>
      <c r="N509" s="174"/>
      <c r="O509" s="174"/>
      <c r="P509" s="174"/>
      <c r="Q509" s="174"/>
      <c r="R509" s="174"/>
      <c r="S509" s="174"/>
      <c r="T509" s="174"/>
      <c r="U509" s="174"/>
      <c r="V509" s="174"/>
      <c r="W509" s="174"/>
      <c r="X509" s="174"/>
      <c r="Y509" s="174"/>
      <c r="Z509" s="174"/>
      <c r="AA509" s="174"/>
    </row>
    <row r="510">
      <c r="A510" s="174"/>
      <c r="B510" s="174"/>
      <c r="C510" s="174"/>
      <c r="D510" s="174"/>
      <c r="E510" s="174"/>
      <c r="F510" s="175"/>
      <c r="G510" s="175"/>
      <c r="H510" s="174"/>
      <c r="I510" s="174"/>
      <c r="J510" s="174"/>
      <c r="K510" s="174"/>
      <c r="L510" s="174"/>
      <c r="M510" s="174"/>
      <c r="N510" s="174"/>
      <c r="O510" s="174"/>
      <c r="P510" s="174"/>
      <c r="Q510" s="174"/>
      <c r="R510" s="174"/>
      <c r="S510" s="174"/>
      <c r="T510" s="174"/>
      <c r="U510" s="174"/>
      <c r="V510" s="174"/>
      <c r="W510" s="174"/>
      <c r="X510" s="174"/>
      <c r="Y510" s="174"/>
      <c r="Z510" s="174"/>
      <c r="AA510" s="174"/>
    </row>
    <row r="511">
      <c r="A511" s="174"/>
      <c r="B511" s="174"/>
      <c r="C511" s="174"/>
      <c r="D511" s="174"/>
      <c r="E511" s="174"/>
      <c r="F511" s="175"/>
      <c r="G511" s="175"/>
      <c r="H511" s="174"/>
      <c r="I511" s="174"/>
      <c r="J511" s="174"/>
      <c r="K511" s="174"/>
      <c r="L511" s="174"/>
      <c r="M511" s="174"/>
      <c r="N511" s="174"/>
      <c r="O511" s="174"/>
      <c r="P511" s="174"/>
      <c r="Q511" s="174"/>
      <c r="R511" s="174"/>
      <c r="S511" s="174"/>
      <c r="T511" s="174"/>
      <c r="U511" s="174"/>
      <c r="V511" s="174"/>
      <c r="W511" s="174"/>
      <c r="X511" s="174"/>
      <c r="Y511" s="174"/>
      <c r="Z511" s="174"/>
      <c r="AA511" s="174"/>
    </row>
    <row r="512">
      <c r="A512" s="174"/>
      <c r="B512" s="174"/>
      <c r="C512" s="174"/>
      <c r="D512" s="174"/>
      <c r="E512" s="174"/>
      <c r="F512" s="175"/>
      <c r="G512" s="175"/>
      <c r="H512" s="174"/>
      <c r="I512" s="174"/>
      <c r="J512" s="174"/>
      <c r="K512" s="174"/>
      <c r="L512" s="174"/>
      <c r="M512" s="174"/>
      <c r="N512" s="174"/>
      <c r="O512" s="174"/>
      <c r="P512" s="174"/>
      <c r="Q512" s="174"/>
      <c r="R512" s="174"/>
      <c r="S512" s="174"/>
      <c r="T512" s="174"/>
      <c r="U512" s="174"/>
      <c r="V512" s="174"/>
      <c r="W512" s="174"/>
      <c r="X512" s="174"/>
      <c r="Y512" s="174"/>
      <c r="Z512" s="174"/>
      <c r="AA512" s="174"/>
    </row>
    <row r="513">
      <c r="A513" s="174"/>
      <c r="B513" s="174"/>
      <c r="C513" s="174"/>
      <c r="D513" s="174"/>
      <c r="E513" s="174"/>
      <c r="F513" s="175"/>
      <c r="G513" s="175"/>
      <c r="H513" s="174"/>
      <c r="I513" s="174"/>
      <c r="J513" s="174"/>
      <c r="K513" s="174"/>
      <c r="L513" s="174"/>
      <c r="M513" s="174"/>
      <c r="N513" s="174"/>
      <c r="O513" s="174"/>
      <c r="P513" s="174"/>
      <c r="Q513" s="174"/>
      <c r="R513" s="174"/>
      <c r="S513" s="174"/>
      <c r="T513" s="174"/>
      <c r="U513" s="174"/>
      <c r="V513" s="174"/>
      <c r="W513" s="174"/>
      <c r="X513" s="174"/>
      <c r="Y513" s="174"/>
      <c r="Z513" s="174"/>
      <c r="AA513" s="174"/>
    </row>
    <row r="514">
      <c r="A514" s="174"/>
      <c r="B514" s="174"/>
      <c r="C514" s="174"/>
      <c r="D514" s="174"/>
      <c r="E514" s="174"/>
      <c r="F514" s="175"/>
      <c r="G514" s="175"/>
      <c r="H514" s="174"/>
      <c r="I514" s="174"/>
      <c r="J514" s="174"/>
      <c r="K514" s="174"/>
      <c r="L514" s="174"/>
      <c r="M514" s="174"/>
      <c r="N514" s="174"/>
      <c r="O514" s="174"/>
      <c r="P514" s="174"/>
      <c r="Q514" s="174"/>
      <c r="R514" s="174"/>
      <c r="S514" s="174"/>
      <c r="T514" s="174"/>
      <c r="U514" s="174"/>
      <c r="V514" s="174"/>
      <c r="W514" s="174"/>
      <c r="X514" s="174"/>
      <c r="Y514" s="174"/>
      <c r="Z514" s="174"/>
      <c r="AA514" s="174"/>
    </row>
    <row r="515">
      <c r="A515" s="174"/>
      <c r="B515" s="174"/>
      <c r="C515" s="174"/>
      <c r="D515" s="174"/>
      <c r="E515" s="174"/>
      <c r="F515" s="175"/>
      <c r="G515" s="175"/>
      <c r="H515" s="174"/>
      <c r="I515" s="174"/>
      <c r="J515" s="174"/>
      <c r="K515" s="174"/>
      <c r="L515" s="174"/>
      <c r="M515" s="174"/>
      <c r="N515" s="174"/>
      <c r="O515" s="174"/>
      <c r="P515" s="174"/>
      <c r="Q515" s="174"/>
      <c r="R515" s="174"/>
      <c r="S515" s="174"/>
      <c r="T515" s="174"/>
      <c r="U515" s="174"/>
      <c r="V515" s="174"/>
      <c r="W515" s="174"/>
      <c r="X515" s="174"/>
      <c r="Y515" s="174"/>
      <c r="Z515" s="174"/>
      <c r="AA515" s="174"/>
    </row>
    <row r="516">
      <c r="A516" s="174"/>
      <c r="B516" s="174"/>
      <c r="C516" s="174"/>
      <c r="D516" s="174"/>
      <c r="E516" s="174"/>
      <c r="F516" s="175"/>
      <c r="G516" s="175"/>
      <c r="H516" s="174"/>
      <c r="I516" s="174"/>
      <c r="J516" s="174"/>
      <c r="K516" s="174"/>
      <c r="L516" s="174"/>
      <c r="M516" s="174"/>
      <c r="N516" s="174"/>
      <c r="O516" s="174"/>
      <c r="P516" s="174"/>
      <c r="Q516" s="174"/>
      <c r="R516" s="174"/>
      <c r="S516" s="174"/>
      <c r="T516" s="174"/>
      <c r="U516" s="174"/>
      <c r="V516" s="174"/>
      <c r="W516" s="174"/>
      <c r="X516" s="174"/>
      <c r="Y516" s="174"/>
      <c r="Z516" s="174"/>
      <c r="AA516" s="174"/>
    </row>
    <row r="517">
      <c r="A517" s="174"/>
      <c r="B517" s="174"/>
      <c r="C517" s="174"/>
      <c r="D517" s="174"/>
      <c r="E517" s="174"/>
      <c r="F517" s="175"/>
      <c r="G517" s="175"/>
      <c r="H517" s="174"/>
      <c r="I517" s="174"/>
      <c r="J517" s="174"/>
      <c r="K517" s="174"/>
      <c r="L517" s="174"/>
      <c r="M517" s="174"/>
      <c r="N517" s="174"/>
      <c r="O517" s="174"/>
      <c r="P517" s="174"/>
      <c r="Q517" s="174"/>
      <c r="R517" s="174"/>
      <c r="S517" s="174"/>
      <c r="T517" s="174"/>
      <c r="U517" s="174"/>
      <c r="V517" s="174"/>
      <c r="W517" s="174"/>
      <c r="X517" s="174"/>
      <c r="Y517" s="174"/>
      <c r="Z517" s="174"/>
      <c r="AA517" s="174"/>
    </row>
    <row r="518">
      <c r="A518" s="174"/>
      <c r="B518" s="174"/>
      <c r="C518" s="174"/>
      <c r="D518" s="174"/>
      <c r="E518" s="174"/>
      <c r="F518" s="175"/>
      <c r="G518" s="175"/>
      <c r="H518" s="174"/>
      <c r="I518" s="174"/>
      <c r="J518" s="174"/>
      <c r="K518" s="174"/>
      <c r="L518" s="174"/>
      <c r="M518" s="174"/>
      <c r="N518" s="174"/>
      <c r="O518" s="174"/>
      <c r="P518" s="174"/>
      <c r="Q518" s="174"/>
      <c r="R518" s="174"/>
      <c r="S518" s="174"/>
      <c r="T518" s="174"/>
      <c r="U518" s="174"/>
      <c r="V518" s="174"/>
      <c r="W518" s="174"/>
      <c r="X518" s="174"/>
      <c r="Y518" s="174"/>
      <c r="Z518" s="174"/>
      <c r="AA518" s="174"/>
    </row>
    <row r="519">
      <c r="A519" s="174"/>
      <c r="B519" s="174"/>
      <c r="C519" s="174"/>
      <c r="D519" s="174"/>
      <c r="E519" s="174"/>
      <c r="F519" s="175"/>
      <c r="G519" s="175"/>
      <c r="H519" s="174"/>
      <c r="I519" s="174"/>
      <c r="J519" s="174"/>
      <c r="K519" s="174"/>
      <c r="L519" s="174"/>
      <c r="M519" s="174"/>
      <c r="N519" s="174"/>
      <c r="O519" s="174"/>
      <c r="P519" s="174"/>
      <c r="Q519" s="174"/>
      <c r="R519" s="174"/>
      <c r="S519" s="174"/>
      <c r="T519" s="174"/>
      <c r="U519" s="174"/>
      <c r="V519" s="174"/>
      <c r="W519" s="174"/>
      <c r="X519" s="174"/>
      <c r="Y519" s="174"/>
      <c r="Z519" s="174"/>
      <c r="AA519" s="174"/>
    </row>
    <row r="520">
      <c r="A520" s="174"/>
      <c r="B520" s="174"/>
      <c r="C520" s="174"/>
      <c r="D520" s="174"/>
      <c r="E520" s="174"/>
      <c r="F520" s="175"/>
      <c r="G520" s="175"/>
      <c r="H520" s="174"/>
      <c r="I520" s="174"/>
      <c r="J520" s="174"/>
      <c r="K520" s="174"/>
      <c r="L520" s="174"/>
      <c r="M520" s="174"/>
      <c r="N520" s="174"/>
      <c r="O520" s="174"/>
      <c r="P520" s="174"/>
      <c r="Q520" s="174"/>
      <c r="R520" s="174"/>
      <c r="S520" s="174"/>
      <c r="T520" s="174"/>
      <c r="U520" s="174"/>
      <c r="V520" s="174"/>
      <c r="W520" s="174"/>
      <c r="X520" s="174"/>
      <c r="Y520" s="174"/>
      <c r="Z520" s="174"/>
      <c r="AA520" s="174"/>
    </row>
    <row r="521">
      <c r="A521" s="174"/>
      <c r="B521" s="174"/>
      <c r="C521" s="174"/>
      <c r="D521" s="174"/>
      <c r="E521" s="174"/>
      <c r="F521" s="175"/>
      <c r="G521" s="175"/>
      <c r="H521" s="174"/>
      <c r="I521" s="174"/>
      <c r="J521" s="174"/>
      <c r="K521" s="174"/>
      <c r="L521" s="174"/>
      <c r="M521" s="174"/>
      <c r="N521" s="174"/>
      <c r="O521" s="174"/>
      <c r="P521" s="174"/>
      <c r="Q521" s="174"/>
      <c r="R521" s="174"/>
      <c r="S521" s="174"/>
      <c r="T521" s="174"/>
      <c r="U521" s="174"/>
      <c r="V521" s="174"/>
      <c r="W521" s="174"/>
      <c r="X521" s="174"/>
      <c r="Y521" s="174"/>
      <c r="Z521" s="174"/>
      <c r="AA521" s="174"/>
    </row>
    <row r="522">
      <c r="A522" s="174"/>
      <c r="B522" s="174"/>
      <c r="C522" s="174"/>
      <c r="D522" s="174"/>
      <c r="E522" s="174"/>
      <c r="F522" s="175"/>
      <c r="G522" s="175"/>
      <c r="H522" s="174"/>
      <c r="I522" s="174"/>
      <c r="J522" s="174"/>
      <c r="K522" s="174"/>
      <c r="L522" s="174"/>
      <c r="M522" s="174"/>
      <c r="N522" s="174"/>
      <c r="O522" s="174"/>
      <c r="P522" s="174"/>
      <c r="Q522" s="174"/>
      <c r="R522" s="174"/>
      <c r="S522" s="174"/>
      <c r="T522" s="174"/>
      <c r="U522" s="174"/>
      <c r="V522" s="174"/>
      <c r="W522" s="174"/>
      <c r="X522" s="174"/>
      <c r="Y522" s="174"/>
      <c r="Z522" s="174"/>
      <c r="AA522" s="174"/>
    </row>
    <row r="523">
      <c r="A523" s="174"/>
      <c r="B523" s="174"/>
      <c r="C523" s="174"/>
      <c r="D523" s="174"/>
      <c r="E523" s="174"/>
      <c r="F523" s="175"/>
      <c r="G523" s="175"/>
      <c r="H523" s="174"/>
      <c r="I523" s="174"/>
      <c r="J523" s="174"/>
      <c r="K523" s="174"/>
      <c r="L523" s="174"/>
      <c r="M523" s="174"/>
      <c r="N523" s="174"/>
      <c r="O523" s="174"/>
      <c r="P523" s="174"/>
      <c r="Q523" s="174"/>
      <c r="R523" s="174"/>
      <c r="S523" s="174"/>
      <c r="T523" s="174"/>
      <c r="U523" s="174"/>
      <c r="V523" s="174"/>
      <c r="W523" s="174"/>
      <c r="X523" s="174"/>
      <c r="Y523" s="174"/>
      <c r="Z523" s="174"/>
      <c r="AA523" s="174"/>
    </row>
    <row r="524">
      <c r="A524" s="174"/>
      <c r="B524" s="174"/>
      <c r="C524" s="174"/>
      <c r="D524" s="174"/>
      <c r="E524" s="174"/>
      <c r="F524" s="175"/>
      <c r="G524" s="175"/>
      <c r="H524" s="174"/>
      <c r="I524" s="174"/>
      <c r="J524" s="174"/>
      <c r="K524" s="174"/>
      <c r="L524" s="174"/>
      <c r="M524" s="174"/>
      <c r="N524" s="174"/>
      <c r="O524" s="174"/>
      <c r="P524" s="174"/>
      <c r="Q524" s="174"/>
      <c r="R524" s="174"/>
      <c r="S524" s="174"/>
      <c r="T524" s="174"/>
      <c r="U524" s="174"/>
      <c r="V524" s="174"/>
      <c r="W524" s="174"/>
      <c r="X524" s="174"/>
      <c r="Y524" s="174"/>
      <c r="Z524" s="174"/>
      <c r="AA524" s="174"/>
    </row>
    <row r="525">
      <c r="A525" s="174"/>
      <c r="B525" s="174"/>
      <c r="C525" s="174"/>
      <c r="D525" s="174"/>
      <c r="E525" s="174"/>
      <c r="F525" s="175"/>
      <c r="G525" s="175"/>
      <c r="H525" s="174"/>
      <c r="I525" s="174"/>
      <c r="J525" s="174"/>
      <c r="K525" s="174"/>
      <c r="L525" s="174"/>
      <c r="M525" s="174"/>
      <c r="N525" s="174"/>
      <c r="O525" s="174"/>
      <c r="P525" s="174"/>
      <c r="Q525" s="174"/>
      <c r="R525" s="174"/>
      <c r="S525" s="174"/>
      <c r="T525" s="174"/>
      <c r="U525" s="174"/>
      <c r="V525" s="174"/>
      <c r="W525" s="174"/>
      <c r="X525" s="174"/>
      <c r="Y525" s="174"/>
      <c r="Z525" s="174"/>
      <c r="AA525" s="174"/>
    </row>
    <row r="526">
      <c r="A526" s="174"/>
      <c r="B526" s="174"/>
      <c r="C526" s="174"/>
      <c r="D526" s="174"/>
      <c r="E526" s="174"/>
      <c r="F526" s="175"/>
      <c r="G526" s="175"/>
      <c r="H526" s="174"/>
      <c r="I526" s="174"/>
      <c r="J526" s="174"/>
      <c r="K526" s="174"/>
      <c r="L526" s="174"/>
      <c r="M526" s="174"/>
      <c r="N526" s="174"/>
      <c r="O526" s="174"/>
      <c r="P526" s="174"/>
      <c r="Q526" s="174"/>
      <c r="R526" s="174"/>
      <c r="S526" s="174"/>
      <c r="T526" s="174"/>
      <c r="U526" s="174"/>
      <c r="V526" s="174"/>
      <c r="W526" s="174"/>
      <c r="X526" s="174"/>
      <c r="Y526" s="174"/>
      <c r="Z526" s="174"/>
      <c r="AA526" s="174"/>
    </row>
    <row r="527">
      <c r="A527" s="174"/>
      <c r="B527" s="174"/>
      <c r="C527" s="174"/>
      <c r="D527" s="174"/>
      <c r="E527" s="174"/>
      <c r="F527" s="175"/>
      <c r="G527" s="175"/>
      <c r="H527" s="174"/>
      <c r="I527" s="174"/>
      <c r="J527" s="174"/>
      <c r="K527" s="174"/>
      <c r="L527" s="174"/>
      <c r="M527" s="174"/>
      <c r="N527" s="174"/>
      <c r="O527" s="174"/>
      <c r="P527" s="174"/>
      <c r="Q527" s="174"/>
      <c r="R527" s="174"/>
      <c r="S527" s="174"/>
      <c r="T527" s="174"/>
      <c r="U527" s="174"/>
      <c r="V527" s="174"/>
      <c r="W527" s="174"/>
      <c r="X527" s="174"/>
      <c r="Y527" s="174"/>
      <c r="Z527" s="174"/>
      <c r="AA527" s="174"/>
    </row>
    <row r="528">
      <c r="A528" s="174"/>
      <c r="B528" s="174"/>
      <c r="C528" s="174"/>
      <c r="D528" s="174"/>
      <c r="E528" s="174"/>
      <c r="F528" s="175"/>
      <c r="G528" s="175"/>
      <c r="H528" s="174"/>
      <c r="I528" s="174"/>
      <c r="J528" s="174"/>
      <c r="K528" s="174"/>
      <c r="L528" s="174"/>
      <c r="M528" s="174"/>
      <c r="N528" s="174"/>
      <c r="O528" s="174"/>
      <c r="P528" s="174"/>
      <c r="Q528" s="174"/>
      <c r="R528" s="174"/>
      <c r="S528" s="174"/>
      <c r="T528" s="174"/>
      <c r="U528" s="174"/>
      <c r="V528" s="174"/>
      <c r="W528" s="174"/>
      <c r="X528" s="174"/>
      <c r="Y528" s="174"/>
      <c r="Z528" s="174"/>
      <c r="AA528" s="174"/>
    </row>
    <row r="529">
      <c r="A529" s="174"/>
      <c r="B529" s="174"/>
      <c r="C529" s="174"/>
      <c r="D529" s="174"/>
      <c r="E529" s="174"/>
      <c r="F529" s="175"/>
      <c r="G529" s="175"/>
      <c r="H529" s="174"/>
      <c r="I529" s="174"/>
      <c r="J529" s="174"/>
      <c r="K529" s="174"/>
      <c r="L529" s="174"/>
      <c r="M529" s="174"/>
      <c r="N529" s="174"/>
      <c r="O529" s="174"/>
      <c r="P529" s="174"/>
      <c r="Q529" s="174"/>
      <c r="R529" s="174"/>
      <c r="S529" s="174"/>
      <c r="T529" s="174"/>
      <c r="U529" s="174"/>
      <c r="V529" s="174"/>
      <c r="W529" s="174"/>
      <c r="X529" s="174"/>
      <c r="Y529" s="174"/>
      <c r="Z529" s="174"/>
      <c r="AA529" s="174"/>
    </row>
    <row r="530">
      <c r="A530" s="174"/>
      <c r="B530" s="174"/>
      <c r="C530" s="174"/>
      <c r="D530" s="174"/>
      <c r="E530" s="174"/>
      <c r="F530" s="175"/>
      <c r="G530" s="175"/>
      <c r="H530" s="174"/>
      <c r="I530" s="174"/>
      <c r="J530" s="174"/>
      <c r="K530" s="174"/>
      <c r="L530" s="174"/>
      <c r="M530" s="174"/>
      <c r="N530" s="174"/>
      <c r="O530" s="174"/>
      <c r="P530" s="174"/>
      <c r="Q530" s="174"/>
      <c r="R530" s="174"/>
      <c r="S530" s="174"/>
      <c r="T530" s="174"/>
      <c r="U530" s="174"/>
      <c r="V530" s="174"/>
      <c r="W530" s="174"/>
      <c r="X530" s="174"/>
      <c r="Y530" s="174"/>
      <c r="Z530" s="174"/>
      <c r="AA530" s="174"/>
    </row>
    <row r="531">
      <c r="A531" s="174"/>
      <c r="B531" s="174"/>
      <c r="C531" s="174"/>
      <c r="D531" s="174"/>
      <c r="E531" s="174"/>
      <c r="F531" s="175"/>
      <c r="G531" s="175"/>
      <c r="H531" s="174"/>
      <c r="I531" s="174"/>
      <c r="J531" s="174"/>
      <c r="K531" s="174"/>
      <c r="L531" s="174"/>
      <c r="M531" s="174"/>
      <c r="N531" s="174"/>
      <c r="O531" s="174"/>
      <c r="P531" s="174"/>
      <c r="Q531" s="174"/>
      <c r="R531" s="174"/>
      <c r="S531" s="174"/>
      <c r="T531" s="174"/>
      <c r="U531" s="174"/>
      <c r="V531" s="174"/>
      <c r="W531" s="174"/>
      <c r="X531" s="174"/>
      <c r="Y531" s="174"/>
      <c r="Z531" s="174"/>
      <c r="AA531" s="174"/>
    </row>
    <row r="532">
      <c r="A532" s="174"/>
      <c r="B532" s="174"/>
      <c r="C532" s="174"/>
      <c r="D532" s="174"/>
      <c r="E532" s="174"/>
      <c r="F532" s="175"/>
      <c r="G532" s="175"/>
      <c r="H532" s="174"/>
      <c r="I532" s="174"/>
      <c r="J532" s="174"/>
      <c r="K532" s="174"/>
      <c r="L532" s="174"/>
      <c r="M532" s="174"/>
      <c r="N532" s="174"/>
      <c r="O532" s="174"/>
      <c r="P532" s="174"/>
      <c r="Q532" s="174"/>
      <c r="R532" s="174"/>
      <c r="S532" s="174"/>
      <c r="T532" s="174"/>
      <c r="U532" s="174"/>
      <c r="V532" s="174"/>
      <c r="W532" s="174"/>
      <c r="X532" s="174"/>
      <c r="Y532" s="174"/>
      <c r="Z532" s="174"/>
      <c r="AA532" s="174"/>
    </row>
    <row r="533">
      <c r="A533" s="174"/>
      <c r="B533" s="174"/>
      <c r="C533" s="174"/>
      <c r="D533" s="174"/>
      <c r="E533" s="174"/>
      <c r="F533" s="175"/>
      <c r="G533" s="175"/>
      <c r="H533" s="174"/>
      <c r="I533" s="174"/>
      <c r="J533" s="174"/>
      <c r="K533" s="174"/>
      <c r="L533" s="174"/>
      <c r="M533" s="174"/>
      <c r="N533" s="174"/>
      <c r="O533" s="174"/>
      <c r="P533" s="174"/>
      <c r="Q533" s="174"/>
      <c r="R533" s="174"/>
      <c r="S533" s="174"/>
      <c r="T533" s="174"/>
      <c r="U533" s="174"/>
      <c r="V533" s="174"/>
      <c r="W533" s="174"/>
      <c r="X533" s="174"/>
      <c r="Y533" s="174"/>
      <c r="Z533" s="174"/>
      <c r="AA533" s="174"/>
    </row>
    <row r="534">
      <c r="A534" s="174"/>
      <c r="B534" s="174"/>
      <c r="C534" s="174"/>
      <c r="D534" s="174"/>
      <c r="E534" s="174"/>
      <c r="F534" s="175"/>
      <c r="G534" s="175"/>
      <c r="H534" s="174"/>
      <c r="I534" s="174"/>
      <c r="J534" s="174"/>
      <c r="K534" s="174"/>
      <c r="L534" s="174"/>
      <c r="M534" s="174"/>
      <c r="N534" s="174"/>
      <c r="O534" s="174"/>
      <c r="P534" s="174"/>
      <c r="Q534" s="174"/>
      <c r="R534" s="174"/>
      <c r="S534" s="174"/>
      <c r="T534" s="174"/>
      <c r="U534" s="174"/>
      <c r="V534" s="174"/>
      <c r="W534" s="174"/>
      <c r="X534" s="174"/>
      <c r="Y534" s="174"/>
      <c r="Z534" s="174"/>
      <c r="AA534" s="174"/>
    </row>
    <row r="535">
      <c r="A535" s="174"/>
      <c r="B535" s="174"/>
      <c r="C535" s="174"/>
      <c r="D535" s="174"/>
      <c r="E535" s="174"/>
      <c r="F535" s="175"/>
      <c r="G535" s="175"/>
      <c r="H535" s="174"/>
      <c r="I535" s="174"/>
      <c r="J535" s="174"/>
      <c r="K535" s="174"/>
      <c r="L535" s="174"/>
      <c r="M535" s="174"/>
      <c r="N535" s="174"/>
      <c r="O535" s="174"/>
      <c r="P535" s="174"/>
      <c r="Q535" s="174"/>
      <c r="R535" s="174"/>
      <c r="S535" s="174"/>
      <c r="T535" s="174"/>
      <c r="U535" s="174"/>
      <c r="V535" s="174"/>
      <c r="W535" s="174"/>
      <c r="X535" s="174"/>
      <c r="Y535" s="174"/>
      <c r="Z535" s="174"/>
      <c r="AA535" s="174"/>
    </row>
    <row r="536">
      <c r="A536" s="174"/>
      <c r="B536" s="174"/>
      <c r="C536" s="174"/>
      <c r="D536" s="174"/>
      <c r="E536" s="174"/>
      <c r="F536" s="175"/>
      <c r="G536" s="175"/>
      <c r="H536" s="174"/>
      <c r="I536" s="174"/>
      <c r="J536" s="174"/>
      <c r="K536" s="174"/>
      <c r="L536" s="174"/>
      <c r="M536" s="174"/>
      <c r="N536" s="174"/>
      <c r="O536" s="174"/>
      <c r="P536" s="174"/>
      <c r="Q536" s="174"/>
      <c r="R536" s="174"/>
      <c r="S536" s="174"/>
      <c r="T536" s="174"/>
      <c r="U536" s="174"/>
      <c r="V536" s="174"/>
      <c r="W536" s="174"/>
      <c r="X536" s="174"/>
      <c r="Y536" s="174"/>
      <c r="Z536" s="174"/>
      <c r="AA536" s="174"/>
    </row>
    <row r="537">
      <c r="A537" s="174"/>
      <c r="B537" s="174"/>
      <c r="C537" s="174"/>
      <c r="D537" s="174"/>
      <c r="E537" s="174"/>
      <c r="F537" s="175"/>
      <c r="G537" s="175"/>
      <c r="H537" s="174"/>
      <c r="I537" s="174"/>
      <c r="J537" s="174"/>
      <c r="K537" s="174"/>
      <c r="L537" s="174"/>
      <c r="M537" s="174"/>
      <c r="N537" s="174"/>
      <c r="O537" s="174"/>
      <c r="P537" s="174"/>
      <c r="Q537" s="174"/>
      <c r="R537" s="174"/>
      <c r="S537" s="174"/>
      <c r="T537" s="174"/>
      <c r="U537" s="174"/>
      <c r="V537" s="174"/>
      <c r="W537" s="174"/>
      <c r="X537" s="174"/>
      <c r="Y537" s="174"/>
      <c r="Z537" s="174"/>
      <c r="AA537" s="174"/>
    </row>
    <row r="538">
      <c r="A538" s="174"/>
      <c r="B538" s="174"/>
      <c r="C538" s="174"/>
      <c r="D538" s="174"/>
      <c r="E538" s="174"/>
      <c r="F538" s="175"/>
      <c r="G538" s="175"/>
      <c r="H538" s="174"/>
      <c r="I538" s="174"/>
      <c r="J538" s="174"/>
      <c r="K538" s="174"/>
      <c r="L538" s="174"/>
      <c r="M538" s="174"/>
      <c r="N538" s="174"/>
      <c r="O538" s="174"/>
      <c r="P538" s="174"/>
      <c r="Q538" s="174"/>
      <c r="R538" s="174"/>
      <c r="S538" s="174"/>
      <c r="T538" s="174"/>
      <c r="U538" s="174"/>
      <c r="V538" s="174"/>
      <c r="W538" s="174"/>
      <c r="X538" s="174"/>
      <c r="Y538" s="174"/>
      <c r="Z538" s="174"/>
      <c r="AA538" s="174"/>
    </row>
    <row r="539">
      <c r="A539" s="174"/>
      <c r="B539" s="174"/>
      <c r="C539" s="174"/>
      <c r="D539" s="174"/>
      <c r="E539" s="174"/>
      <c r="F539" s="175"/>
      <c r="G539" s="175"/>
      <c r="H539" s="174"/>
      <c r="I539" s="174"/>
      <c r="J539" s="174"/>
      <c r="K539" s="174"/>
      <c r="L539" s="174"/>
      <c r="M539" s="174"/>
      <c r="N539" s="174"/>
      <c r="O539" s="174"/>
      <c r="P539" s="174"/>
      <c r="Q539" s="174"/>
      <c r="R539" s="174"/>
      <c r="S539" s="174"/>
      <c r="T539" s="174"/>
      <c r="U539" s="174"/>
      <c r="V539" s="174"/>
      <c r="W539" s="174"/>
      <c r="X539" s="174"/>
      <c r="Y539" s="174"/>
      <c r="Z539" s="174"/>
      <c r="AA539" s="174"/>
    </row>
    <row r="540">
      <c r="A540" s="174"/>
      <c r="B540" s="174"/>
      <c r="C540" s="174"/>
      <c r="D540" s="174"/>
      <c r="E540" s="174"/>
      <c r="F540" s="175"/>
      <c r="G540" s="175"/>
      <c r="H540" s="174"/>
      <c r="I540" s="174"/>
      <c r="J540" s="174"/>
      <c r="K540" s="174"/>
      <c r="L540" s="174"/>
      <c r="M540" s="174"/>
      <c r="N540" s="174"/>
      <c r="O540" s="174"/>
      <c r="P540" s="174"/>
      <c r="Q540" s="174"/>
      <c r="R540" s="174"/>
      <c r="S540" s="174"/>
      <c r="T540" s="174"/>
      <c r="U540" s="174"/>
      <c r="V540" s="174"/>
      <c r="W540" s="174"/>
      <c r="X540" s="174"/>
      <c r="Y540" s="174"/>
      <c r="Z540" s="174"/>
      <c r="AA540" s="174"/>
    </row>
    <row r="541">
      <c r="A541" s="174"/>
      <c r="B541" s="174"/>
      <c r="C541" s="174"/>
      <c r="D541" s="174"/>
      <c r="E541" s="174"/>
      <c r="F541" s="175"/>
      <c r="G541" s="175"/>
      <c r="H541" s="174"/>
      <c r="I541" s="174"/>
      <c r="J541" s="174"/>
      <c r="K541" s="174"/>
      <c r="L541" s="174"/>
      <c r="M541" s="174"/>
      <c r="N541" s="174"/>
      <c r="O541" s="174"/>
      <c r="P541" s="174"/>
      <c r="Q541" s="174"/>
      <c r="R541" s="174"/>
      <c r="S541" s="174"/>
      <c r="T541" s="174"/>
      <c r="U541" s="174"/>
      <c r="V541" s="174"/>
      <c r="W541" s="174"/>
      <c r="X541" s="174"/>
      <c r="Y541" s="174"/>
      <c r="Z541" s="174"/>
      <c r="AA541" s="174"/>
    </row>
    <row r="542">
      <c r="A542" s="174"/>
      <c r="B542" s="174"/>
      <c r="C542" s="174"/>
      <c r="D542" s="174"/>
      <c r="E542" s="174"/>
      <c r="F542" s="175"/>
      <c r="G542" s="175"/>
      <c r="H542" s="174"/>
      <c r="I542" s="174"/>
      <c r="J542" s="174"/>
      <c r="K542" s="174"/>
      <c r="L542" s="174"/>
      <c r="M542" s="174"/>
      <c r="N542" s="174"/>
      <c r="O542" s="174"/>
      <c r="P542" s="174"/>
      <c r="Q542" s="174"/>
      <c r="R542" s="174"/>
      <c r="S542" s="174"/>
      <c r="T542" s="174"/>
      <c r="U542" s="174"/>
      <c r="V542" s="174"/>
      <c r="W542" s="174"/>
      <c r="X542" s="174"/>
      <c r="Y542" s="174"/>
      <c r="Z542" s="174"/>
      <c r="AA542" s="174"/>
    </row>
    <row r="543">
      <c r="A543" s="174"/>
      <c r="B543" s="174"/>
      <c r="C543" s="174"/>
      <c r="D543" s="174"/>
      <c r="E543" s="174"/>
      <c r="F543" s="175"/>
      <c r="G543" s="175"/>
      <c r="H543" s="174"/>
      <c r="I543" s="174"/>
      <c r="J543" s="174"/>
      <c r="K543" s="174"/>
      <c r="L543" s="174"/>
      <c r="M543" s="174"/>
      <c r="N543" s="174"/>
      <c r="O543" s="174"/>
      <c r="P543" s="174"/>
      <c r="Q543" s="174"/>
      <c r="R543" s="174"/>
      <c r="S543" s="174"/>
      <c r="T543" s="174"/>
      <c r="U543" s="174"/>
      <c r="V543" s="174"/>
      <c r="W543" s="174"/>
      <c r="X543" s="174"/>
      <c r="Y543" s="174"/>
      <c r="Z543" s="174"/>
      <c r="AA543" s="174"/>
    </row>
    <row r="544">
      <c r="A544" s="174"/>
      <c r="B544" s="174"/>
      <c r="C544" s="174"/>
      <c r="D544" s="174"/>
      <c r="E544" s="174"/>
      <c r="F544" s="175"/>
      <c r="G544" s="175"/>
      <c r="H544" s="174"/>
      <c r="I544" s="174"/>
      <c r="J544" s="174"/>
      <c r="K544" s="174"/>
      <c r="L544" s="174"/>
      <c r="M544" s="174"/>
      <c r="N544" s="174"/>
      <c r="O544" s="174"/>
      <c r="P544" s="174"/>
      <c r="Q544" s="174"/>
      <c r="R544" s="174"/>
      <c r="S544" s="174"/>
      <c r="T544" s="174"/>
      <c r="U544" s="174"/>
      <c r="V544" s="174"/>
      <c r="W544" s="174"/>
      <c r="X544" s="174"/>
      <c r="Y544" s="174"/>
      <c r="Z544" s="174"/>
      <c r="AA544" s="174"/>
    </row>
    <row r="545">
      <c r="A545" s="174"/>
      <c r="B545" s="174"/>
      <c r="C545" s="174"/>
      <c r="D545" s="174"/>
      <c r="E545" s="174"/>
      <c r="F545" s="175"/>
      <c r="G545" s="175"/>
      <c r="H545" s="174"/>
      <c r="I545" s="174"/>
      <c r="J545" s="174"/>
      <c r="K545" s="174"/>
      <c r="L545" s="174"/>
      <c r="M545" s="174"/>
      <c r="N545" s="174"/>
      <c r="O545" s="174"/>
      <c r="P545" s="174"/>
      <c r="Q545" s="174"/>
      <c r="R545" s="174"/>
      <c r="S545" s="174"/>
      <c r="T545" s="174"/>
      <c r="U545" s="174"/>
      <c r="V545" s="174"/>
      <c r="W545" s="174"/>
      <c r="X545" s="174"/>
      <c r="Y545" s="174"/>
      <c r="Z545" s="174"/>
      <c r="AA545" s="174"/>
    </row>
    <row r="546">
      <c r="A546" s="174"/>
      <c r="B546" s="174"/>
      <c r="C546" s="174"/>
      <c r="D546" s="174"/>
      <c r="E546" s="174"/>
      <c r="F546" s="175"/>
      <c r="G546" s="175"/>
      <c r="H546" s="174"/>
      <c r="I546" s="174"/>
      <c r="J546" s="174"/>
      <c r="K546" s="174"/>
      <c r="L546" s="174"/>
      <c r="M546" s="174"/>
      <c r="N546" s="174"/>
      <c r="O546" s="174"/>
      <c r="P546" s="174"/>
      <c r="Q546" s="174"/>
      <c r="R546" s="174"/>
      <c r="S546" s="174"/>
      <c r="T546" s="174"/>
      <c r="U546" s="174"/>
      <c r="V546" s="174"/>
      <c r="W546" s="174"/>
      <c r="X546" s="174"/>
      <c r="Y546" s="174"/>
      <c r="Z546" s="174"/>
      <c r="AA546" s="174"/>
    </row>
    <row r="547">
      <c r="A547" s="174"/>
      <c r="B547" s="174"/>
      <c r="C547" s="174"/>
      <c r="D547" s="174"/>
      <c r="E547" s="174"/>
      <c r="F547" s="175"/>
      <c r="G547" s="175"/>
      <c r="H547" s="174"/>
      <c r="I547" s="174"/>
      <c r="J547" s="174"/>
      <c r="K547" s="174"/>
      <c r="L547" s="174"/>
      <c r="M547" s="174"/>
      <c r="N547" s="174"/>
      <c r="O547" s="174"/>
      <c r="P547" s="174"/>
      <c r="Q547" s="174"/>
      <c r="R547" s="174"/>
      <c r="S547" s="174"/>
      <c r="T547" s="174"/>
      <c r="U547" s="174"/>
      <c r="V547" s="174"/>
      <c r="W547" s="174"/>
      <c r="X547" s="174"/>
      <c r="Y547" s="174"/>
      <c r="Z547" s="174"/>
      <c r="AA547" s="174"/>
    </row>
    <row r="548">
      <c r="A548" s="174"/>
      <c r="B548" s="174"/>
      <c r="C548" s="174"/>
      <c r="D548" s="174"/>
      <c r="E548" s="174"/>
      <c r="F548" s="175"/>
      <c r="G548" s="175"/>
      <c r="H548" s="174"/>
      <c r="I548" s="174"/>
      <c r="J548" s="174"/>
      <c r="K548" s="174"/>
      <c r="L548" s="174"/>
      <c r="M548" s="174"/>
      <c r="N548" s="174"/>
      <c r="O548" s="174"/>
      <c r="P548" s="174"/>
      <c r="Q548" s="174"/>
      <c r="R548" s="174"/>
      <c r="S548" s="174"/>
      <c r="T548" s="174"/>
      <c r="U548" s="174"/>
      <c r="V548" s="174"/>
      <c r="W548" s="174"/>
      <c r="X548" s="174"/>
      <c r="Y548" s="174"/>
      <c r="Z548" s="174"/>
      <c r="AA548" s="174"/>
    </row>
    <row r="549">
      <c r="A549" s="174"/>
      <c r="B549" s="174"/>
      <c r="C549" s="174"/>
      <c r="D549" s="174"/>
      <c r="E549" s="174"/>
      <c r="F549" s="175"/>
      <c r="G549" s="175"/>
      <c r="H549" s="174"/>
      <c r="I549" s="174"/>
      <c r="J549" s="174"/>
      <c r="K549" s="174"/>
      <c r="L549" s="174"/>
      <c r="M549" s="174"/>
      <c r="N549" s="174"/>
      <c r="O549" s="174"/>
      <c r="P549" s="174"/>
      <c r="Q549" s="174"/>
      <c r="R549" s="174"/>
      <c r="S549" s="174"/>
      <c r="T549" s="174"/>
      <c r="U549" s="174"/>
      <c r="V549" s="174"/>
      <c r="W549" s="174"/>
      <c r="X549" s="174"/>
      <c r="Y549" s="174"/>
      <c r="Z549" s="174"/>
      <c r="AA549" s="174"/>
    </row>
    <row r="550">
      <c r="A550" s="174"/>
      <c r="B550" s="174"/>
      <c r="C550" s="174"/>
      <c r="D550" s="174"/>
      <c r="E550" s="174"/>
      <c r="F550" s="175"/>
      <c r="G550" s="175"/>
      <c r="H550" s="174"/>
      <c r="I550" s="174"/>
      <c r="J550" s="174"/>
      <c r="K550" s="174"/>
      <c r="L550" s="174"/>
      <c r="M550" s="174"/>
      <c r="N550" s="174"/>
      <c r="O550" s="174"/>
      <c r="P550" s="174"/>
      <c r="Q550" s="174"/>
      <c r="R550" s="174"/>
      <c r="S550" s="174"/>
      <c r="T550" s="174"/>
      <c r="U550" s="174"/>
      <c r="V550" s="174"/>
      <c r="W550" s="174"/>
      <c r="X550" s="174"/>
      <c r="Y550" s="174"/>
      <c r="Z550" s="174"/>
      <c r="AA550" s="174"/>
    </row>
    <row r="551">
      <c r="A551" s="174"/>
      <c r="B551" s="174"/>
      <c r="C551" s="174"/>
      <c r="D551" s="174"/>
      <c r="E551" s="174"/>
      <c r="F551" s="175"/>
      <c r="G551" s="175"/>
      <c r="H551" s="174"/>
      <c r="I551" s="174"/>
      <c r="J551" s="174"/>
      <c r="K551" s="174"/>
      <c r="L551" s="174"/>
      <c r="M551" s="174"/>
      <c r="N551" s="174"/>
      <c r="O551" s="174"/>
      <c r="P551" s="174"/>
      <c r="Q551" s="174"/>
      <c r="R551" s="174"/>
      <c r="S551" s="174"/>
      <c r="T551" s="174"/>
      <c r="U551" s="174"/>
      <c r="V551" s="174"/>
      <c r="W551" s="174"/>
      <c r="X551" s="174"/>
      <c r="Y551" s="174"/>
      <c r="Z551" s="174"/>
      <c r="AA551" s="174"/>
    </row>
    <row r="552">
      <c r="A552" s="174"/>
      <c r="B552" s="174"/>
      <c r="C552" s="174"/>
      <c r="D552" s="174"/>
      <c r="E552" s="174"/>
      <c r="F552" s="175"/>
      <c r="G552" s="175"/>
      <c r="H552" s="174"/>
      <c r="I552" s="174"/>
      <c r="J552" s="174"/>
      <c r="K552" s="174"/>
      <c r="L552" s="174"/>
      <c r="M552" s="174"/>
      <c r="N552" s="174"/>
      <c r="O552" s="174"/>
      <c r="P552" s="174"/>
      <c r="Q552" s="174"/>
      <c r="R552" s="174"/>
      <c r="S552" s="174"/>
      <c r="T552" s="174"/>
      <c r="U552" s="174"/>
      <c r="V552" s="174"/>
      <c r="W552" s="174"/>
      <c r="X552" s="174"/>
      <c r="Y552" s="174"/>
      <c r="Z552" s="174"/>
      <c r="AA552" s="174"/>
    </row>
    <row r="553">
      <c r="A553" s="174"/>
      <c r="B553" s="174"/>
      <c r="C553" s="174"/>
      <c r="D553" s="174"/>
      <c r="E553" s="174"/>
      <c r="F553" s="175"/>
      <c r="G553" s="175"/>
      <c r="H553" s="174"/>
      <c r="I553" s="174"/>
      <c r="J553" s="174"/>
      <c r="K553" s="174"/>
      <c r="L553" s="174"/>
      <c r="M553" s="174"/>
      <c r="N553" s="174"/>
      <c r="O553" s="174"/>
      <c r="P553" s="174"/>
      <c r="Q553" s="174"/>
      <c r="R553" s="174"/>
      <c r="S553" s="174"/>
      <c r="T553" s="174"/>
      <c r="U553" s="174"/>
      <c r="V553" s="174"/>
      <c r="W553" s="174"/>
      <c r="X553" s="174"/>
      <c r="Y553" s="174"/>
      <c r="Z553" s="174"/>
      <c r="AA553" s="174"/>
    </row>
    <row r="554">
      <c r="A554" s="174"/>
      <c r="B554" s="174"/>
      <c r="C554" s="174"/>
      <c r="D554" s="174"/>
      <c r="E554" s="174"/>
      <c r="F554" s="175"/>
      <c r="G554" s="175"/>
      <c r="H554" s="174"/>
      <c r="I554" s="174"/>
      <c r="J554" s="174"/>
      <c r="K554" s="174"/>
      <c r="L554" s="174"/>
      <c r="M554" s="174"/>
      <c r="N554" s="174"/>
      <c r="O554" s="174"/>
      <c r="P554" s="174"/>
      <c r="Q554" s="174"/>
      <c r="R554" s="174"/>
      <c r="S554" s="174"/>
      <c r="T554" s="174"/>
      <c r="U554" s="174"/>
      <c r="V554" s="174"/>
      <c r="W554" s="174"/>
      <c r="X554" s="174"/>
      <c r="Y554" s="174"/>
      <c r="Z554" s="174"/>
      <c r="AA554" s="174"/>
    </row>
    <row r="555">
      <c r="A555" s="174"/>
      <c r="B555" s="174"/>
      <c r="C555" s="174"/>
      <c r="D555" s="174"/>
      <c r="E555" s="174"/>
      <c r="F555" s="175"/>
      <c r="G555" s="175"/>
      <c r="H555" s="174"/>
      <c r="I555" s="174"/>
      <c r="J555" s="174"/>
      <c r="K555" s="174"/>
      <c r="L555" s="174"/>
      <c r="M555" s="174"/>
      <c r="N555" s="174"/>
      <c r="O555" s="174"/>
      <c r="P555" s="174"/>
      <c r="Q555" s="174"/>
      <c r="R555" s="174"/>
      <c r="S555" s="174"/>
      <c r="T555" s="174"/>
      <c r="U555" s="174"/>
      <c r="V555" s="174"/>
      <c r="W555" s="174"/>
      <c r="X555" s="174"/>
      <c r="Y555" s="174"/>
      <c r="Z555" s="174"/>
      <c r="AA555" s="174"/>
    </row>
    <row r="556">
      <c r="A556" s="174"/>
      <c r="B556" s="174"/>
      <c r="C556" s="174"/>
      <c r="D556" s="174"/>
      <c r="E556" s="174"/>
      <c r="F556" s="175"/>
      <c r="G556" s="175"/>
      <c r="H556" s="174"/>
      <c r="I556" s="174"/>
      <c r="J556" s="174"/>
      <c r="K556" s="174"/>
      <c r="L556" s="174"/>
      <c r="M556" s="174"/>
      <c r="N556" s="174"/>
      <c r="O556" s="174"/>
      <c r="P556" s="174"/>
      <c r="Q556" s="174"/>
      <c r="R556" s="174"/>
      <c r="S556" s="174"/>
      <c r="T556" s="174"/>
      <c r="U556" s="174"/>
      <c r="V556" s="174"/>
      <c r="W556" s="174"/>
      <c r="X556" s="174"/>
      <c r="Y556" s="174"/>
      <c r="Z556" s="174"/>
      <c r="AA556" s="174"/>
    </row>
    <row r="557">
      <c r="A557" s="174"/>
      <c r="B557" s="174"/>
      <c r="C557" s="174"/>
      <c r="D557" s="174"/>
      <c r="E557" s="174"/>
      <c r="F557" s="175"/>
      <c r="G557" s="175"/>
      <c r="H557" s="174"/>
      <c r="I557" s="174"/>
      <c r="J557" s="174"/>
      <c r="K557" s="174"/>
      <c r="L557" s="174"/>
      <c r="M557" s="174"/>
      <c r="N557" s="174"/>
      <c r="O557" s="174"/>
      <c r="P557" s="174"/>
      <c r="Q557" s="174"/>
      <c r="R557" s="174"/>
      <c r="S557" s="174"/>
      <c r="T557" s="174"/>
      <c r="U557" s="174"/>
      <c r="V557" s="174"/>
      <c r="W557" s="174"/>
      <c r="X557" s="174"/>
      <c r="Y557" s="174"/>
      <c r="Z557" s="174"/>
      <c r="AA557" s="174"/>
    </row>
    <row r="558">
      <c r="A558" s="174"/>
      <c r="B558" s="174"/>
      <c r="C558" s="174"/>
      <c r="D558" s="174"/>
      <c r="E558" s="174"/>
      <c r="F558" s="175"/>
      <c r="G558" s="175"/>
      <c r="H558" s="174"/>
      <c r="I558" s="174"/>
      <c r="J558" s="174"/>
      <c r="K558" s="174"/>
      <c r="L558" s="174"/>
      <c r="M558" s="174"/>
      <c r="N558" s="174"/>
      <c r="O558" s="174"/>
      <c r="P558" s="174"/>
      <c r="Q558" s="174"/>
      <c r="R558" s="174"/>
      <c r="S558" s="174"/>
      <c r="T558" s="174"/>
      <c r="U558" s="174"/>
      <c r="V558" s="174"/>
      <c r="W558" s="174"/>
      <c r="X558" s="174"/>
      <c r="Y558" s="174"/>
      <c r="Z558" s="174"/>
      <c r="AA558" s="174"/>
    </row>
    <row r="559">
      <c r="A559" s="174"/>
      <c r="B559" s="174"/>
      <c r="C559" s="174"/>
      <c r="D559" s="174"/>
      <c r="E559" s="174"/>
      <c r="F559" s="175"/>
      <c r="G559" s="175"/>
      <c r="H559" s="174"/>
      <c r="I559" s="174"/>
      <c r="J559" s="174"/>
      <c r="K559" s="174"/>
      <c r="L559" s="174"/>
      <c r="M559" s="174"/>
      <c r="N559" s="174"/>
      <c r="O559" s="174"/>
      <c r="P559" s="174"/>
      <c r="Q559" s="174"/>
      <c r="R559" s="174"/>
      <c r="S559" s="174"/>
      <c r="T559" s="174"/>
      <c r="U559" s="174"/>
      <c r="V559" s="174"/>
      <c r="W559" s="174"/>
      <c r="X559" s="174"/>
      <c r="Y559" s="174"/>
      <c r="Z559" s="174"/>
      <c r="AA559" s="174"/>
    </row>
    <row r="560">
      <c r="A560" s="174"/>
      <c r="B560" s="174"/>
      <c r="C560" s="174"/>
      <c r="D560" s="174"/>
      <c r="E560" s="174"/>
      <c r="F560" s="175"/>
      <c r="G560" s="175"/>
      <c r="H560" s="174"/>
      <c r="I560" s="174"/>
      <c r="J560" s="174"/>
      <c r="K560" s="174"/>
      <c r="L560" s="174"/>
      <c r="M560" s="174"/>
      <c r="N560" s="174"/>
      <c r="O560" s="174"/>
      <c r="P560" s="174"/>
      <c r="Q560" s="174"/>
      <c r="R560" s="174"/>
      <c r="S560" s="174"/>
      <c r="T560" s="174"/>
      <c r="U560" s="174"/>
      <c r="V560" s="174"/>
      <c r="W560" s="174"/>
      <c r="X560" s="174"/>
      <c r="Y560" s="174"/>
      <c r="Z560" s="174"/>
      <c r="AA560" s="174"/>
    </row>
    <row r="561">
      <c r="A561" s="174"/>
      <c r="B561" s="174"/>
      <c r="C561" s="174"/>
      <c r="D561" s="174"/>
      <c r="E561" s="174"/>
      <c r="F561" s="175"/>
      <c r="G561" s="175"/>
      <c r="H561" s="174"/>
      <c r="I561" s="174"/>
      <c r="J561" s="174"/>
      <c r="K561" s="174"/>
      <c r="L561" s="174"/>
      <c r="M561" s="174"/>
      <c r="N561" s="174"/>
      <c r="O561" s="174"/>
      <c r="P561" s="174"/>
      <c r="Q561" s="174"/>
      <c r="R561" s="174"/>
      <c r="S561" s="174"/>
      <c r="T561" s="174"/>
      <c r="U561" s="174"/>
      <c r="V561" s="174"/>
      <c r="W561" s="174"/>
      <c r="X561" s="174"/>
      <c r="Y561" s="174"/>
      <c r="Z561" s="174"/>
      <c r="AA561" s="174"/>
    </row>
    <row r="562">
      <c r="A562" s="174"/>
      <c r="B562" s="174"/>
      <c r="C562" s="174"/>
      <c r="D562" s="174"/>
      <c r="E562" s="174"/>
      <c r="F562" s="175"/>
      <c r="G562" s="175"/>
      <c r="H562" s="174"/>
      <c r="I562" s="174"/>
      <c r="J562" s="174"/>
      <c r="K562" s="174"/>
      <c r="L562" s="174"/>
      <c r="M562" s="174"/>
      <c r="N562" s="174"/>
      <c r="O562" s="174"/>
      <c r="P562" s="174"/>
      <c r="Q562" s="174"/>
      <c r="R562" s="174"/>
      <c r="S562" s="174"/>
      <c r="T562" s="174"/>
      <c r="U562" s="174"/>
      <c r="V562" s="174"/>
      <c r="W562" s="174"/>
      <c r="X562" s="174"/>
      <c r="Y562" s="174"/>
      <c r="Z562" s="174"/>
      <c r="AA562" s="174"/>
    </row>
    <row r="563">
      <c r="A563" s="174"/>
      <c r="B563" s="174"/>
      <c r="C563" s="174"/>
      <c r="D563" s="174"/>
      <c r="E563" s="174"/>
      <c r="F563" s="175"/>
      <c r="G563" s="175"/>
      <c r="H563" s="174"/>
      <c r="I563" s="174"/>
      <c r="J563" s="174"/>
      <c r="K563" s="174"/>
      <c r="L563" s="174"/>
      <c r="M563" s="174"/>
      <c r="N563" s="174"/>
      <c r="O563" s="174"/>
      <c r="P563" s="174"/>
      <c r="Q563" s="174"/>
      <c r="R563" s="174"/>
      <c r="S563" s="174"/>
      <c r="T563" s="174"/>
      <c r="U563" s="174"/>
      <c r="V563" s="174"/>
      <c r="W563" s="174"/>
      <c r="X563" s="174"/>
      <c r="Y563" s="174"/>
      <c r="Z563" s="174"/>
      <c r="AA563" s="174"/>
    </row>
    <row r="564">
      <c r="A564" s="174"/>
      <c r="B564" s="174"/>
      <c r="C564" s="174"/>
      <c r="D564" s="174"/>
      <c r="E564" s="174"/>
      <c r="F564" s="175"/>
      <c r="G564" s="175"/>
      <c r="H564" s="174"/>
      <c r="I564" s="174"/>
      <c r="J564" s="174"/>
      <c r="K564" s="174"/>
      <c r="L564" s="174"/>
      <c r="M564" s="174"/>
      <c r="N564" s="174"/>
      <c r="O564" s="174"/>
      <c r="P564" s="174"/>
      <c r="Q564" s="174"/>
      <c r="R564" s="174"/>
      <c r="S564" s="174"/>
      <c r="T564" s="174"/>
      <c r="U564" s="174"/>
      <c r="V564" s="174"/>
      <c r="W564" s="174"/>
      <c r="X564" s="174"/>
      <c r="Y564" s="174"/>
      <c r="Z564" s="174"/>
      <c r="AA564" s="174"/>
    </row>
    <row r="565">
      <c r="A565" s="174"/>
      <c r="B565" s="174"/>
      <c r="C565" s="174"/>
      <c r="D565" s="174"/>
      <c r="E565" s="174"/>
      <c r="F565" s="175"/>
      <c r="G565" s="175"/>
      <c r="H565" s="174"/>
      <c r="I565" s="174"/>
      <c r="J565" s="174"/>
      <c r="K565" s="174"/>
      <c r="L565" s="174"/>
      <c r="M565" s="174"/>
      <c r="N565" s="174"/>
      <c r="O565" s="174"/>
      <c r="P565" s="174"/>
      <c r="Q565" s="174"/>
      <c r="R565" s="174"/>
      <c r="S565" s="174"/>
      <c r="T565" s="174"/>
      <c r="U565" s="174"/>
      <c r="V565" s="174"/>
      <c r="W565" s="174"/>
      <c r="X565" s="174"/>
      <c r="Y565" s="174"/>
      <c r="Z565" s="174"/>
      <c r="AA565" s="174"/>
    </row>
    <row r="566">
      <c r="A566" s="174"/>
      <c r="B566" s="174"/>
      <c r="C566" s="174"/>
      <c r="D566" s="174"/>
      <c r="E566" s="174"/>
      <c r="F566" s="175"/>
      <c r="G566" s="175"/>
      <c r="H566" s="174"/>
      <c r="I566" s="174"/>
      <c r="J566" s="174"/>
      <c r="K566" s="174"/>
      <c r="L566" s="174"/>
      <c r="M566" s="174"/>
      <c r="N566" s="174"/>
      <c r="O566" s="174"/>
      <c r="P566" s="174"/>
      <c r="Q566" s="174"/>
      <c r="R566" s="174"/>
      <c r="S566" s="174"/>
      <c r="T566" s="174"/>
      <c r="U566" s="174"/>
      <c r="V566" s="174"/>
      <c r="W566" s="174"/>
      <c r="X566" s="174"/>
      <c r="Y566" s="174"/>
      <c r="Z566" s="174"/>
      <c r="AA566" s="174"/>
    </row>
    <row r="567">
      <c r="A567" s="174"/>
      <c r="B567" s="174"/>
      <c r="C567" s="174"/>
      <c r="D567" s="174"/>
      <c r="E567" s="174"/>
      <c r="F567" s="175"/>
      <c r="G567" s="175"/>
      <c r="H567" s="174"/>
      <c r="I567" s="174"/>
      <c r="J567" s="174"/>
      <c r="K567" s="174"/>
      <c r="L567" s="174"/>
      <c r="M567" s="174"/>
      <c r="N567" s="174"/>
      <c r="O567" s="174"/>
      <c r="P567" s="174"/>
      <c r="Q567" s="174"/>
      <c r="R567" s="174"/>
      <c r="S567" s="174"/>
      <c r="T567" s="174"/>
      <c r="U567" s="174"/>
      <c r="V567" s="174"/>
      <c r="W567" s="174"/>
      <c r="X567" s="174"/>
      <c r="Y567" s="174"/>
      <c r="Z567" s="174"/>
      <c r="AA567" s="174"/>
    </row>
    <row r="568">
      <c r="A568" s="174"/>
      <c r="B568" s="174"/>
      <c r="C568" s="174"/>
      <c r="D568" s="174"/>
      <c r="E568" s="174"/>
      <c r="F568" s="175"/>
      <c r="G568" s="175"/>
      <c r="H568" s="174"/>
      <c r="I568" s="174"/>
      <c r="J568" s="174"/>
      <c r="K568" s="174"/>
      <c r="L568" s="174"/>
      <c r="M568" s="174"/>
      <c r="N568" s="174"/>
      <c r="O568" s="174"/>
      <c r="P568" s="174"/>
      <c r="Q568" s="174"/>
      <c r="R568" s="174"/>
      <c r="S568" s="174"/>
      <c r="T568" s="174"/>
      <c r="U568" s="174"/>
      <c r="V568" s="174"/>
      <c r="W568" s="174"/>
      <c r="X568" s="174"/>
      <c r="Y568" s="174"/>
      <c r="Z568" s="174"/>
      <c r="AA568" s="174"/>
    </row>
    <row r="569">
      <c r="A569" s="174"/>
      <c r="B569" s="174"/>
      <c r="C569" s="174"/>
      <c r="D569" s="174"/>
      <c r="E569" s="174"/>
      <c r="F569" s="175"/>
      <c r="G569" s="175"/>
      <c r="H569" s="174"/>
      <c r="I569" s="174"/>
      <c r="J569" s="174"/>
      <c r="K569" s="174"/>
      <c r="L569" s="174"/>
      <c r="M569" s="174"/>
      <c r="N569" s="174"/>
      <c r="O569" s="174"/>
      <c r="P569" s="174"/>
      <c r="Q569" s="174"/>
      <c r="R569" s="174"/>
      <c r="S569" s="174"/>
      <c r="T569" s="174"/>
      <c r="U569" s="174"/>
      <c r="V569" s="174"/>
      <c r="W569" s="174"/>
      <c r="X569" s="174"/>
      <c r="Y569" s="174"/>
      <c r="Z569" s="174"/>
      <c r="AA569" s="174"/>
    </row>
    <row r="570">
      <c r="A570" s="174"/>
      <c r="B570" s="174"/>
      <c r="C570" s="174"/>
      <c r="D570" s="174"/>
      <c r="E570" s="174"/>
      <c r="F570" s="175"/>
      <c r="G570" s="175"/>
      <c r="H570" s="174"/>
      <c r="I570" s="174"/>
      <c r="J570" s="174"/>
      <c r="K570" s="174"/>
      <c r="L570" s="174"/>
      <c r="M570" s="174"/>
      <c r="N570" s="174"/>
      <c r="O570" s="174"/>
      <c r="P570" s="174"/>
      <c r="Q570" s="174"/>
      <c r="R570" s="174"/>
      <c r="S570" s="174"/>
      <c r="T570" s="174"/>
      <c r="U570" s="174"/>
      <c r="V570" s="174"/>
      <c r="W570" s="174"/>
      <c r="X570" s="174"/>
      <c r="Y570" s="174"/>
      <c r="Z570" s="174"/>
      <c r="AA570" s="174"/>
    </row>
    <row r="571">
      <c r="A571" s="174"/>
      <c r="B571" s="174"/>
      <c r="C571" s="174"/>
      <c r="D571" s="174"/>
      <c r="E571" s="174"/>
      <c r="F571" s="175"/>
      <c r="G571" s="175"/>
      <c r="H571" s="174"/>
      <c r="I571" s="174"/>
      <c r="J571" s="174"/>
      <c r="K571" s="174"/>
      <c r="L571" s="174"/>
      <c r="M571" s="174"/>
      <c r="N571" s="174"/>
      <c r="O571" s="174"/>
      <c r="P571" s="174"/>
      <c r="Q571" s="174"/>
      <c r="R571" s="174"/>
      <c r="S571" s="174"/>
      <c r="T571" s="174"/>
      <c r="U571" s="174"/>
      <c r="V571" s="174"/>
      <c r="W571" s="174"/>
      <c r="X571" s="174"/>
      <c r="Y571" s="174"/>
      <c r="Z571" s="174"/>
      <c r="AA571" s="174"/>
    </row>
    <row r="572">
      <c r="A572" s="174"/>
      <c r="B572" s="174"/>
      <c r="C572" s="174"/>
      <c r="D572" s="174"/>
      <c r="E572" s="174"/>
      <c r="F572" s="175"/>
      <c r="G572" s="175"/>
      <c r="H572" s="174"/>
      <c r="I572" s="174"/>
      <c r="J572" s="174"/>
      <c r="K572" s="174"/>
      <c r="L572" s="174"/>
      <c r="M572" s="174"/>
      <c r="N572" s="174"/>
      <c r="O572" s="174"/>
      <c r="P572" s="174"/>
      <c r="Q572" s="174"/>
      <c r="R572" s="174"/>
      <c r="S572" s="174"/>
      <c r="T572" s="174"/>
      <c r="U572" s="174"/>
      <c r="V572" s="174"/>
      <c r="W572" s="174"/>
      <c r="X572" s="174"/>
      <c r="Y572" s="174"/>
      <c r="Z572" s="174"/>
      <c r="AA572" s="174"/>
    </row>
    <row r="573">
      <c r="A573" s="174"/>
      <c r="B573" s="174"/>
      <c r="C573" s="174"/>
      <c r="D573" s="174"/>
      <c r="E573" s="174"/>
      <c r="F573" s="175"/>
      <c r="G573" s="175"/>
      <c r="H573" s="174"/>
      <c r="I573" s="174"/>
      <c r="J573" s="174"/>
      <c r="K573" s="174"/>
      <c r="L573" s="174"/>
      <c r="M573" s="174"/>
      <c r="N573" s="174"/>
      <c r="O573" s="174"/>
      <c r="P573" s="174"/>
      <c r="Q573" s="174"/>
      <c r="R573" s="174"/>
      <c r="S573" s="174"/>
      <c r="T573" s="174"/>
      <c r="U573" s="174"/>
      <c r="V573" s="174"/>
      <c r="W573" s="174"/>
      <c r="X573" s="174"/>
      <c r="Y573" s="174"/>
      <c r="Z573" s="174"/>
      <c r="AA573" s="174"/>
    </row>
    <row r="574">
      <c r="A574" s="174"/>
      <c r="B574" s="174"/>
      <c r="C574" s="174"/>
      <c r="D574" s="174"/>
      <c r="E574" s="174"/>
      <c r="F574" s="175"/>
      <c r="G574" s="175"/>
      <c r="H574" s="174"/>
      <c r="I574" s="174"/>
      <c r="J574" s="174"/>
      <c r="K574" s="174"/>
      <c r="L574" s="174"/>
      <c r="M574" s="174"/>
      <c r="N574" s="174"/>
      <c r="O574" s="174"/>
      <c r="P574" s="174"/>
      <c r="Q574" s="174"/>
      <c r="R574" s="174"/>
      <c r="S574" s="174"/>
      <c r="T574" s="174"/>
      <c r="U574" s="174"/>
      <c r="V574" s="174"/>
      <c r="W574" s="174"/>
      <c r="X574" s="174"/>
      <c r="Y574" s="174"/>
      <c r="Z574" s="174"/>
      <c r="AA574" s="174"/>
    </row>
    <row r="575">
      <c r="A575" s="174"/>
      <c r="B575" s="174"/>
      <c r="C575" s="174"/>
      <c r="D575" s="174"/>
      <c r="E575" s="174"/>
      <c r="F575" s="175"/>
      <c r="G575" s="175"/>
      <c r="H575" s="174"/>
      <c r="I575" s="174"/>
      <c r="J575" s="174"/>
      <c r="K575" s="174"/>
      <c r="L575" s="174"/>
      <c r="M575" s="174"/>
      <c r="N575" s="174"/>
      <c r="O575" s="174"/>
      <c r="P575" s="174"/>
      <c r="Q575" s="174"/>
      <c r="R575" s="174"/>
      <c r="S575" s="174"/>
      <c r="T575" s="174"/>
      <c r="U575" s="174"/>
      <c r="V575" s="174"/>
      <c r="W575" s="174"/>
      <c r="X575" s="174"/>
      <c r="Y575" s="174"/>
      <c r="Z575" s="174"/>
      <c r="AA575" s="174"/>
    </row>
    <row r="576">
      <c r="A576" s="174"/>
      <c r="B576" s="174"/>
      <c r="C576" s="174"/>
      <c r="D576" s="174"/>
      <c r="E576" s="174"/>
      <c r="F576" s="175"/>
      <c r="G576" s="175"/>
      <c r="H576" s="174"/>
      <c r="I576" s="174"/>
      <c r="J576" s="174"/>
      <c r="K576" s="174"/>
      <c r="L576" s="174"/>
      <c r="M576" s="174"/>
      <c r="N576" s="174"/>
      <c r="O576" s="174"/>
      <c r="P576" s="174"/>
      <c r="Q576" s="174"/>
      <c r="R576" s="174"/>
      <c r="S576" s="174"/>
      <c r="T576" s="174"/>
      <c r="U576" s="174"/>
      <c r="V576" s="174"/>
      <c r="W576" s="174"/>
      <c r="X576" s="174"/>
      <c r="Y576" s="174"/>
      <c r="Z576" s="174"/>
      <c r="AA576" s="174"/>
    </row>
    <row r="577">
      <c r="A577" s="174"/>
      <c r="B577" s="174"/>
      <c r="C577" s="174"/>
      <c r="D577" s="174"/>
      <c r="E577" s="174"/>
      <c r="F577" s="175"/>
      <c r="G577" s="175"/>
      <c r="H577" s="174"/>
      <c r="I577" s="174"/>
      <c r="J577" s="174"/>
      <c r="K577" s="174"/>
      <c r="L577" s="174"/>
      <c r="M577" s="174"/>
      <c r="N577" s="174"/>
      <c r="O577" s="174"/>
      <c r="P577" s="174"/>
      <c r="Q577" s="174"/>
      <c r="R577" s="174"/>
      <c r="S577" s="174"/>
      <c r="T577" s="174"/>
      <c r="U577" s="174"/>
      <c r="V577" s="174"/>
      <c r="W577" s="174"/>
      <c r="X577" s="174"/>
      <c r="Y577" s="174"/>
      <c r="Z577" s="174"/>
      <c r="AA577" s="174"/>
    </row>
    <row r="578">
      <c r="A578" s="174"/>
      <c r="B578" s="174"/>
      <c r="C578" s="174"/>
      <c r="D578" s="174"/>
      <c r="E578" s="174"/>
      <c r="F578" s="175"/>
      <c r="G578" s="175"/>
      <c r="H578" s="174"/>
      <c r="I578" s="174"/>
      <c r="J578" s="174"/>
      <c r="K578" s="174"/>
      <c r="L578" s="174"/>
      <c r="M578" s="174"/>
      <c r="N578" s="174"/>
      <c r="O578" s="174"/>
      <c r="P578" s="174"/>
      <c r="Q578" s="174"/>
      <c r="R578" s="174"/>
      <c r="S578" s="174"/>
      <c r="T578" s="174"/>
      <c r="U578" s="174"/>
      <c r="V578" s="174"/>
      <c r="W578" s="174"/>
      <c r="X578" s="174"/>
      <c r="Y578" s="174"/>
      <c r="Z578" s="174"/>
      <c r="AA578" s="174"/>
    </row>
    <row r="579">
      <c r="A579" s="174"/>
      <c r="B579" s="174"/>
      <c r="C579" s="174"/>
      <c r="D579" s="174"/>
      <c r="E579" s="174"/>
      <c r="F579" s="175"/>
      <c r="G579" s="175"/>
      <c r="H579" s="174"/>
      <c r="I579" s="174"/>
      <c r="J579" s="174"/>
      <c r="K579" s="174"/>
      <c r="L579" s="174"/>
      <c r="M579" s="174"/>
      <c r="N579" s="174"/>
      <c r="O579" s="174"/>
      <c r="P579" s="174"/>
      <c r="Q579" s="174"/>
      <c r="R579" s="174"/>
      <c r="S579" s="174"/>
      <c r="T579" s="174"/>
      <c r="U579" s="174"/>
      <c r="V579" s="174"/>
      <c r="W579" s="174"/>
      <c r="X579" s="174"/>
      <c r="Y579" s="174"/>
      <c r="Z579" s="174"/>
      <c r="AA579" s="174"/>
    </row>
    <row r="580">
      <c r="A580" s="174"/>
      <c r="B580" s="174"/>
      <c r="C580" s="174"/>
      <c r="D580" s="174"/>
      <c r="E580" s="174"/>
      <c r="F580" s="175"/>
      <c r="G580" s="175"/>
      <c r="H580" s="174"/>
      <c r="I580" s="174"/>
      <c r="J580" s="174"/>
      <c r="K580" s="174"/>
      <c r="L580" s="174"/>
      <c r="M580" s="174"/>
      <c r="N580" s="174"/>
      <c r="O580" s="174"/>
      <c r="P580" s="174"/>
      <c r="Q580" s="174"/>
      <c r="R580" s="174"/>
      <c r="S580" s="174"/>
      <c r="T580" s="174"/>
      <c r="U580" s="174"/>
      <c r="V580" s="174"/>
      <c r="W580" s="174"/>
      <c r="X580" s="174"/>
      <c r="Y580" s="174"/>
      <c r="Z580" s="174"/>
      <c r="AA580" s="174"/>
    </row>
    <row r="581">
      <c r="A581" s="174"/>
      <c r="B581" s="174"/>
      <c r="C581" s="174"/>
      <c r="D581" s="174"/>
      <c r="E581" s="174"/>
      <c r="F581" s="175"/>
      <c r="G581" s="175"/>
      <c r="H581" s="174"/>
      <c r="I581" s="174"/>
      <c r="J581" s="174"/>
      <c r="K581" s="174"/>
      <c r="L581" s="174"/>
      <c r="M581" s="174"/>
      <c r="N581" s="174"/>
      <c r="O581" s="174"/>
      <c r="P581" s="174"/>
      <c r="Q581" s="174"/>
      <c r="R581" s="174"/>
      <c r="S581" s="174"/>
      <c r="T581" s="174"/>
      <c r="U581" s="174"/>
      <c r="V581" s="174"/>
      <c r="W581" s="174"/>
      <c r="X581" s="174"/>
      <c r="Y581" s="174"/>
      <c r="Z581" s="174"/>
      <c r="AA581" s="174"/>
    </row>
    <row r="582">
      <c r="A582" s="174"/>
      <c r="B582" s="174"/>
      <c r="C582" s="174"/>
      <c r="D582" s="174"/>
      <c r="E582" s="174"/>
      <c r="F582" s="175"/>
      <c r="G582" s="175"/>
      <c r="H582" s="174"/>
      <c r="I582" s="174"/>
      <c r="J582" s="174"/>
      <c r="K582" s="174"/>
      <c r="L582" s="174"/>
      <c r="M582" s="174"/>
      <c r="N582" s="174"/>
      <c r="O582" s="174"/>
      <c r="P582" s="174"/>
      <c r="Q582" s="174"/>
      <c r="R582" s="174"/>
      <c r="S582" s="174"/>
      <c r="T582" s="174"/>
      <c r="U582" s="174"/>
      <c r="V582" s="174"/>
      <c r="W582" s="174"/>
      <c r="X582" s="174"/>
      <c r="Y582" s="174"/>
      <c r="Z582" s="174"/>
      <c r="AA582" s="174"/>
    </row>
    <row r="583">
      <c r="A583" s="174"/>
      <c r="B583" s="174"/>
      <c r="C583" s="174"/>
      <c r="D583" s="174"/>
      <c r="E583" s="174"/>
      <c r="F583" s="175"/>
      <c r="G583" s="175"/>
      <c r="H583" s="174"/>
      <c r="I583" s="174"/>
      <c r="J583" s="174"/>
      <c r="K583" s="174"/>
      <c r="L583" s="174"/>
      <c r="M583" s="174"/>
      <c r="N583" s="174"/>
      <c r="O583" s="174"/>
      <c r="P583" s="174"/>
      <c r="Q583" s="174"/>
      <c r="R583" s="174"/>
      <c r="S583" s="174"/>
      <c r="T583" s="174"/>
      <c r="U583" s="174"/>
      <c r="V583" s="174"/>
      <c r="W583" s="174"/>
      <c r="X583" s="174"/>
      <c r="Y583" s="174"/>
      <c r="Z583" s="174"/>
      <c r="AA583" s="174"/>
    </row>
    <row r="584">
      <c r="A584" s="174"/>
      <c r="B584" s="174"/>
      <c r="C584" s="174"/>
      <c r="D584" s="174"/>
      <c r="E584" s="174"/>
      <c r="F584" s="175"/>
      <c r="G584" s="175"/>
      <c r="H584" s="174"/>
      <c r="I584" s="174"/>
      <c r="J584" s="174"/>
      <c r="K584" s="174"/>
      <c r="L584" s="174"/>
      <c r="M584" s="174"/>
      <c r="N584" s="174"/>
      <c r="O584" s="174"/>
      <c r="P584" s="174"/>
      <c r="Q584" s="174"/>
      <c r="R584" s="174"/>
      <c r="S584" s="174"/>
      <c r="T584" s="174"/>
      <c r="U584" s="174"/>
      <c r="V584" s="174"/>
      <c r="W584" s="174"/>
      <c r="X584" s="174"/>
      <c r="Y584" s="174"/>
      <c r="Z584" s="174"/>
      <c r="AA584" s="174"/>
    </row>
    <row r="585">
      <c r="A585" s="174"/>
      <c r="B585" s="174"/>
      <c r="C585" s="174"/>
      <c r="D585" s="174"/>
      <c r="E585" s="174"/>
      <c r="F585" s="175"/>
      <c r="G585" s="175"/>
      <c r="H585" s="174"/>
      <c r="I585" s="174"/>
      <c r="J585" s="174"/>
      <c r="K585" s="174"/>
      <c r="L585" s="174"/>
      <c r="M585" s="174"/>
      <c r="N585" s="174"/>
      <c r="O585" s="174"/>
      <c r="P585" s="174"/>
      <c r="Q585" s="174"/>
      <c r="R585" s="174"/>
      <c r="S585" s="174"/>
      <c r="T585" s="174"/>
      <c r="U585" s="174"/>
      <c r="V585" s="174"/>
      <c r="W585" s="174"/>
      <c r="X585" s="174"/>
      <c r="Y585" s="174"/>
      <c r="Z585" s="174"/>
      <c r="AA585" s="174"/>
    </row>
    <row r="586">
      <c r="A586" s="174"/>
      <c r="B586" s="174"/>
      <c r="C586" s="174"/>
      <c r="D586" s="174"/>
      <c r="E586" s="174"/>
      <c r="F586" s="175"/>
      <c r="G586" s="175"/>
      <c r="H586" s="174"/>
      <c r="I586" s="174"/>
      <c r="J586" s="174"/>
      <c r="K586" s="174"/>
      <c r="L586" s="174"/>
      <c r="M586" s="174"/>
      <c r="N586" s="174"/>
      <c r="O586" s="174"/>
      <c r="P586" s="174"/>
      <c r="Q586" s="174"/>
      <c r="R586" s="174"/>
      <c r="S586" s="174"/>
      <c r="T586" s="174"/>
      <c r="U586" s="174"/>
      <c r="V586" s="174"/>
      <c r="W586" s="174"/>
      <c r="X586" s="174"/>
      <c r="Y586" s="174"/>
      <c r="Z586" s="174"/>
      <c r="AA586" s="174"/>
    </row>
    <row r="587">
      <c r="A587" s="174"/>
      <c r="B587" s="174"/>
      <c r="C587" s="174"/>
      <c r="D587" s="174"/>
      <c r="E587" s="174"/>
      <c r="F587" s="175"/>
      <c r="G587" s="175"/>
      <c r="H587" s="174"/>
      <c r="I587" s="174"/>
      <c r="J587" s="174"/>
      <c r="K587" s="174"/>
      <c r="L587" s="174"/>
      <c r="M587" s="174"/>
      <c r="N587" s="174"/>
      <c r="O587" s="174"/>
      <c r="P587" s="174"/>
      <c r="Q587" s="174"/>
      <c r="R587" s="174"/>
      <c r="S587" s="174"/>
      <c r="T587" s="174"/>
      <c r="U587" s="174"/>
      <c r="V587" s="174"/>
      <c r="W587" s="174"/>
      <c r="X587" s="174"/>
      <c r="Y587" s="174"/>
      <c r="Z587" s="174"/>
      <c r="AA587" s="174"/>
    </row>
    <row r="588">
      <c r="A588" s="174"/>
      <c r="B588" s="174"/>
      <c r="C588" s="174"/>
      <c r="D588" s="174"/>
      <c r="E588" s="174"/>
      <c r="F588" s="175"/>
      <c r="G588" s="175"/>
      <c r="H588" s="174"/>
      <c r="I588" s="174"/>
      <c r="J588" s="174"/>
      <c r="K588" s="174"/>
      <c r="L588" s="174"/>
      <c r="M588" s="174"/>
      <c r="N588" s="174"/>
      <c r="O588" s="174"/>
      <c r="P588" s="174"/>
      <c r="Q588" s="174"/>
      <c r="R588" s="174"/>
      <c r="S588" s="174"/>
      <c r="T588" s="174"/>
      <c r="U588" s="174"/>
      <c r="V588" s="174"/>
      <c r="W588" s="174"/>
      <c r="X588" s="174"/>
      <c r="Y588" s="174"/>
      <c r="Z588" s="174"/>
      <c r="AA588" s="174"/>
    </row>
    <row r="589">
      <c r="A589" s="174"/>
      <c r="B589" s="174"/>
      <c r="C589" s="174"/>
      <c r="D589" s="174"/>
      <c r="E589" s="174"/>
      <c r="F589" s="175"/>
      <c r="G589" s="175"/>
      <c r="H589" s="174"/>
      <c r="I589" s="174"/>
      <c r="J589" s="174"/>
      <c r="K589" s="174"/>
      <c r="L589" s="174"/>
      <c r="M589" s="174"/>
      <c r="N589" s="174"/>
      <c r="O589" s="174"/>
      <c r="P589" s="174"/>
      <c r="Q589" s="174"/>
      <c r="R589" s="174"/>
      <c r="S589" s="174"/>
      <c r="T589" s="174"/>
      <c r="U589" s="174"/>
      <c r="V589" s="174"/>
      <c r="W589" s="174"/>
      <c r="X589" s="174"/>
      <c r="Y589" s="174"/>
      <c r="Z589" s="174"/>
      <c r="AA589" s="174"/>
    </row>
    <row r="590">
      <c r="A590" s="174"/>
      <c r="B590" s="174"/>
      <c r="C590" s="174"/>
      <c r="D590" s="174"/>
      <c r="E590" s="174"/>
      <c r="F590" s="175"/>
      <c r="G590" s="175"/>
      <c r="H590" s="174"/>
      <c r="I590" s="174"/>
      <c r="J590" s="174"/>
      <c r="K590" s="174"/>
      <c r="L590" s="174"/>
      <c r="M590" s="174"/>
      <c r="N590" s="174"/>
      <c r="O590" s="174"/>
      <c r="P590" s="174"/>
      <c r="Q590" s="174"/>
      <c r="R590" s="174"/>
      <c r="S590" s="174"/>
      <c r="T590" s="174"/>
      <c r="U590" s="174"/>
      <c r="V590" s="174"/>
      <c r="W590" s="174"/>
      <c r="X590" s="174"/>
      <c r="Y590" s="174"/>
      <c r="Z590" s="174"/>
      <c r="AA590" s="174"/>
    </row>
    <row r="591">
      <c r="A591" s="174"/>
      <c r="B591" s="174"/>
      <c r="C591" s="174"/>
      <c r="D591" s="174"/>
      <c r="E591" s="174"/>
      <c r="F591" s="175"/>
      <c r="G591" s="175"/>
      <c r="H591" s="174"/>
      <c r="I591" s="174"/>
      <c r="J591" s="174"/>
      <c r="K591" s="174"/>
      <c r="L591" s="174"/>
      <c r="M591" s="174"/>
      <c r="N591" s="174"/>
      <c r="O591" s="174"/>
      <c r="P591" s="174"/>
      <c r="Q591" s="174"/>
      <c r="R591" s="174"/>
      <c r="S591" s="174"/>
      <c r="T591" s="174"/>
      <c r="U591" s="174"/>
      <c r="V591" s="174"/>
      <c r="W591" s="174"/>
      <c r="X591" s="174"/>
      <c r="Y591" s="174"/>
      <c r="Z591" s="174"/>
      <c r="AA591" s="174"/>
    </row>
    <row r="592">
      <c r="A592" s="174"/>
      <c r="B592" s="174"/>
      <c r="C592" s="174"/>
      <c r="D592" s="174"/>
      <c r="E592" s="174"/>
      <c r="F592" s="175"/>
      <c r="G592" s="175"/>
      <c r="H592" s="174"/>
      <c r="I592" s="174"/>
      <c r="J592" s="174"/>
      <c r="K592" s="174"/>
      <c r="L592" s="174"/>
      <c r="M592" s="174"/>
      <c r="N592" s="174"/>
      <c r="O592" s="174"/>
      <c r="P592" s="174"/>
      <c r="Q592" s="174"/>
      <c r="R592" s="174"/>
      <c r="S592" s="174"/>
      <c r="T592" s="174"/>
      <c r="U592" s="174"/>
      <c r="V592" s="174"/>
      <c r="W592" s="174"/>
      <c r="X592" s="174"/>
      <c r="Y592" s="174"/>
      <c r="Z592" s="174"/>
      <c r="AA592" s="174"/>
    </row>
    <row r="593">
      <c r="A593" s="174"/>
      <c r="B593" s="174"/>
      <c r="C593" s="174"/>
      <c r="D593" s="174"/>
      <c r="E593" s="174"/>
      <c r="F593" s="175"/>
      <c r="G593" s="175"/>
      <c r="H593" s="174"/>
      <c r="I593" s="174"/>
      <c r="J593" s="174"/>
      <c r="K593" s="174"/>
      <c r="L593" s="174"/>
      <c r="M593" s="174"/>
      <c r="N593" s="174"/>
      <c r="O593" s="174"/>
      <c r="P593" s="174"/>
      <c r="Q593" s="174"/>
      <c r="R593" s="174"/>
      <c r="S593" s="174"/>
      <c r="T593" s="174"/>
      <c r="U593" s="174"/>
      <c r="V593" s="174"/>
      <c r="W593" s="174"/>
      <c r="X593" s="174"/>
      <c r="Y593" s="174"/>
      <c r="Z593" s="174"/>
      <c r="AA593" s="174"/>
    </row>
    <row r="594">
      <c r="A594" s="174"/>
      <c r="B594" s="174"/>
      <c r="C594" s="174"/>
      <c r="D594" s="174"/>
      <c r="E594" s="174"/>
      <c r="F594" s="175"/>
      <c r="G594" s="175"/>
      <c r="H594" s="174"/>
      <c r="I594" s="174"/>
      <c r="J594" s="174"/>
      <c r="K594" s="174"/>
      <c r="L594" s="174"/>
      <c r="M594" s="174"/>
      <c r="N594" s="174"/>
      <c r="O594" s="174"/>
      <c r="P594" s="174"/>
      <c r="Q594" s="174"/>
      <c r="R594" s="174"/>
      <c r="S594" s="174"/>
      <c r="T594" s="174"/>
      <c r="U594" s="174"/>
      <c r="V594" s="174"/>
      <c r="W594" s="174"/>
      <c r="X594" s="174"/>
      <c r="Y594" s="174"/>
      <c r="Z594" s="174"/>
      <c r="AA594" s="174"/>
    </row>
    <row r="595">
      <c r="A595" s="174"/>
      <c r="B595" s="174"/>
      <c r="C595" s="174"/>
      <c r="D595" s="174"/>
      <c r="E595" s="174"/>
      <c r="F595" s="175"/>
      <c r="G595" s="175"/>
      <c r="H595" s="174"/>
      <c r="I595" s="174"/>
      <c r="J595" s="174"/>
      <c r="K595" s="174"/>
      <c r="L595" s="174"/>
      <c r="M595" s="174"/>
      <c r="N595" s="174"/>
      <c r="O595" s="174"/>
      <c r="P595" s="174"/>
      <c r="Q595" s="174"/>
      <c r="R595" s="174"/>
      <c r="S595" s="174"/>
      <c r="T595" s="174"/>
      <c r="U595" s="174"/>
      <c r="V595" s="174"/>
      <c r="W595" s="174"/>
      <c r="X595" s="174"/>
      <c r="Y595" s="174"/>
      <c r="Z595" s="174"/>
      <c r="AA595" s="174"/>
    </row>
    <row r="596">
      <c r="A596" s="174"/>
      <c r="B596" s="174"/>
      <c r="C596" s="174"/>
      <c r="D596" s="174"/>
      <c r="E596" s="174"/>
      <c r="F596" s="175"/>
      <c r="G596" s="175"/>
      <c r="H596" s="174"/>
      <c r="I596" s="174"/>
      <c r="J596" s="174"/>
      <c r="K596" s="174"/>
      <c r="L596" s="174"/>
      <c r="M596" s="174"/>
      <c r="N596" s="174"/>
      <c r="O596" s="174"/>
      <c r="P596" s="174"/>
      <c r="Q596" s="174"/>
      <c r="R596" s="174"/>
      <c r="S596" s="174"/>
      <c r="T596" s="174"/>
      <c r="U596" s="174"/>
      <c r="V596" s="174"/>
      <c r="W596" s="174"/>
      <c r="X596" s="174"/>
      <c r="Y596" s="174"/>
      <c r="Z596" s="174"/>
      <c r="AA596" s="174"/>
    </row>
    <row r="597">
      <c r="A597" s="174"/>
      <c r="B597" s="174"/>
      <c r="C597" s="174"/>
      <c r="D597" s="174"/>
      <c r="E597" s="174"/>
      <c r="F597" s="175"/>
      <c r="G597" s="175"/>
      <c r="H597" s="174"/>
      <c r="I597" s="174"/>
      <c r="J597" s="174"/>
      <c r="K597" s="174"/>
      <c r="L597" s="174"/>
      <c r="M597" s="174"/>
      <c r="N597" s="174"/>
      <c r="O597" s="174"/>
      <c r="P597" s="174"/>
      <c r="Q597" s="174"/>
      <c r="R597" s="174"/>
      <c r="S597" s="174"/>
      <c r="T597" s="174"/>
      <c r="U597" s="174"/>
      <c r="V597" s="174"/>
      <c r="W597" s="174"/>
      <c r="X597" s="174"/>
      <c r="Y597" s="174"/>
      <c r="Z597" s="174"/>
      <c r="AA597" s="174"/>
    </row>
    <row r="598">
      <c r="A598" s="174"/>
      <c r="B598" s="174"/>
      <c r="C598" s="174"/>
      <c r="D598" s="174"/>
      <c r="E598" s="174"/>
      <c r="F598" s="175"/>
      <c r="G598" s="175"/>
      <c r="H598" s="174"/>
      <c r="I598" s="174"/>
      <c r="J598" s="174"/>
      <c r="K598" s="174"/>
      <c r="L598" s="174"/>
      <c r="M598" s="174"/>
      <c r="N598" s="174"/>
      <c r="O598" s="174"/>
      <c r="P598" s="174"/>
      <c r="Q598" s="174"/>
      <c r="R598" s="174"/>
      <c r="S598" s="174"/>
      <c r="T598" s="174"/>
      <c r="U598" s="174"/>
      <c r="V598" s="174"/>
      <c r="W598" s="174"/>
      <c r="X598" s="174"/>
      <c r="Y598" s="174"/>
      <c r="Z598" s="174"/>
      <c r="AA598" s="174"/>
    </row>
    <row r="599">
      <c r="A599" s="174"/>
      <c r="B599" s="174"/>
      <c r="C599" s="174"/>
      <c r="D599" s="174"/>
      <c r="E599" s="174"/>
      <c r="F599" s="175"/>
      <c r="G599" s="175"/>
      <c r="H599" s="174"/>
      <c r="I599" s="174"/>
      <c r="J599" s="174"/>
      <c r="K599" s="174"/>
      <c r="L599" s="174"/>
      <c r="M599" s="174"/>
      <c r="N599" s="174"/>
      <c r="O599" s="174"/>
      <c r="P599" s="174"/>
      <c r="Q599" s="174"/>
      <c r="R599" s="174"/>
      <c r="S599" s="174"/>
      <c r="T599" s="174"/>
      <c r="U599" s="174"/>
      <c r="V599" s="174"/>
      <c r="W599" s="174"/>
      <c r="X599" s="174"/>
      <c r="Y599" s="174"/>
      <c r="Z599" s="174"/>
      <c r="AA599" s="174"/>
    </row>
    <row r="600">
      <c r="A600" s="174"/>
      <c r="B600" s="174"/>
      <c r="C600" s="174"/>
      <c r="D600" s="174"/>
      <c r="E600" s="174"/>
      <c r="F600" s="175"/>
      <c r="G600" s="175"/>
      <c r="H600" s="174"/>
      <c r="I600" s="174"/>
      <c r="J600" s="174"/>
      <c r="K600" s="174"/>
      <c r="L600" s="174"/>
      <c r="M600" s="174"/>
      <c r="N600" s="174"/>
      <c r="O600" s="174"/>
      <c r="P600" s="174"/>
      <c r="Q600" s="174"/>
      <c r="R600" s="174"/>
      <c r="S600" s="174"/>
      <c r="T600" s="174"/>
      <c r="U600" s="174"/>
      <c r="V600" s="174"/>
      <c r="W600" s="174"/>
      <c r="X600" s="174"/>
      <c r="Y600" s="174"/>
      <c r="Z600" s="174"/>
      <c r="AA600" s="174"/>
    </row>
    <row r="601">
      <c r="A601" s="174"/>
      <c r="B601" s="174"/>
      <c r="C601" s="174"/>
      <c r="D601" s="174"/>
      <c r="E601" s="174"/>
      <c r="F601" s="175"/>
      <c r="G601" s="175"/>
      <c r="H601" s="174"/>
      <c r="I601" s="174"/>
      <c r="J601" s="174"/>
      <c r="K601" s="174"/>
      <c r="L601" s="174"/>
      <c r="M601" s="174"/>
      <c r="N601" s="174"/>
      <c r="O601" s="174"/>
      <c r="P601" s="174"/>
      <c r="Q601" s="174"/>
      <c r="R601" s="174"/>
      <c r="S601" s="174"/>
      <c r="T601" s="174"/>
      <c r="U601" s="174"/>
      <c r="V601" s="174"/>
      <c r="W601" s="174"/>
      <c r="X601" s="174"/>
      <c r="Y601" s="174"/>
      <c r="Z601" s="174"/>
      <c r="AA601" s="174"/>
    </row>
    <row r="602">
      <c r="A602" s="174"/>
      <c r="B602" s="174"/>
      <c r="C602" s="174"/>
      <c r="D602" s="174"/>
      <c r="E602" s="174"/>
      <c r="F602" s="175"/>
      <c r="G602" s="175"/>
      <c r="H602" s="174"/>
      <c r="I602" s="174"/>
      <c r="J602" s="174"/>
      <c r="K602" s="174"/>
      <c r="L602" s="174"/>
      <c r="M602" s="174"/>
      <c r="N602" s="174"/>
      <c r="O602" s="174"/>
      <c r="P602" s="174"/>
      <c r="Q602" s="174"/>
      <c r="R602" s="174"/>
      <c r="S602" s="174"/>
      <c r="T602" s="174"/>
      <c r="U602" s="174"/>
      <c r="V602" s="174"/>
      <c r="W602" s="174"/>
      <c r="X602" s="174"/>
      <c r="Y602" s="174"/>
      <c r="Z602" s="174"/>
      <c r="AA602" s="174"/>
    </row>
    <row r="603">
      <c r="A603" s="174"/>
      <c r="B603" s="174"/>
      <c r="C603" s="174"/>
      <c r="D603" s="174"/>
      <c r="E603" s="174"/>
      <c r="F603" s="175"/>
      <c r="G603" s="175"/>
      <c r="H603" s="174"/>
      <c r="I603" s="174"/>
      <c r="J603" s="174"/>
      <c r="K603" s="174"/>
      <c r="L603" s="174"/>
      <c r="M603" s="174"/>
      <c r="N603" s="174"/>
      <c r="O603" s="174"/>
      <c r="P603" s="174"/>
      <c r="Q603" s="174"/>
      <c r="R603" s="174"/>
      <c r="S603" s="174"/>
      <c r="T603" s="174"/>
      <c r="U603" s="174"/>
      <c r="V603" s="174"/>
      <c r="W603" s="174"/>
      <c r="X603" s="174"/>
      <c r="Y603" s="174"/>
      <c r="Z603" s="174"/>
      <c r="AA603" s="174"/>
    </row>
    <row r="604">
      <c r="A604" s="174"/>
      <c r="B604" s="174"/>
      <c r="C604" s="174"/>
      <c r="D604" s="174"/>
      <c r="E604" s="174"/>
      <c r="F604" s="175"/>
      <c r="G604" s="175"/>
      <c r="H604" s="174"/>
      <c r="I604" s="174"/>
      <c r="J604" s="174"/>
      <c r="K604" s="174"/>
      <c r="L604" s="174"/>
      <c r="M604" s="174"/>
      <c r="N604" s="174"/>
      <c r="O604" s="174"/>
      <c r="P604" s="174"/>
      <c r="Q604" s="174"/>
      <c r="R604" s="174"/>
      <c r="S604" s="174"/>
      <c r="T604" s="174"/>
      <c r="U604" s="174"/>
      <c r="V604" s="174"/>
      <c r="W604" s="174"/>
      <c r="X604" s="174"/>
      <c r="Y604" s="174"/>
      <c r="Z604" s="174"/>
      <c r="AA604" s="174"/>
    </row>
    <row r="605">
      <c r="A605" s="174"/>
      <c r="B605" s="174"/>
      <c r="C605" s="174"/>
      <c r="D605" s="174"/>
      <c r="E605" s="174"/>
      <c r="F605" s="175"/>
      <c r="G605" s="175"/>
      <c r="H605" s="174"/>
      <c r="I605" s="174"/>
      <c r="J605" s="174"/>
      <c r="K605" s="174"/>
      <c r="L605" s="174"/>
      <c r="M605" s="174"/>
      <c r="N605" s="174"/>
      <c r="O605" s="174"/>
      <c r="P605" s="174"/>
      <c r="Q605" s="174"/>
      <c r="R605" s="174"/>
      <c r="S605" s="174"/>
      <c r="T605" s="174"/>
      <c r="U605" s="174"/>
      <c r="V605" s="174"/>
      <c r="W605" s="174"/>
      <c r="X605" s="174"/>
      <c r="Y605" s="174"/>
      <c r="Z605" s="174"/>
      <c r="AA605" s="174"/>
    </row>
    <row r="606">
      <c r="A606" s="174"/>
      <c r="B606" s="174"/>
      <c r="C606" s="174"/>
      <c r="D606" s="174"/>
      <c r="E606" s="174"/>
      <c r="F606" s="175"/>
      <c r="G606" s="175"/>
      <c r="H606" s="174"/>
      <c r="I606" s="174"/>
      <c r="J606" s="174"/>
      <c r="K606" s="174"/>
      <c r="L606" s="174"/>
      <c r="M606" s="174"/>
      <c r="N606" s="174"/>
      <c r="O606" s="174"/>
      <c r="P606" s="174"/>
      <c r="Q606" s="174"/>
      <c r="R606" s="174"/>
      <c r="S606" s="174"/>
      <c r="T606" s="174"/>
      <c r="U606" s="174"/>
      <c r="V606" s="174"/>
      <c r="W606" s="174"/>
      <c r="X606" s="174"/>
      <c r="Y606" s="174"/>
      <c r="Z606" s="174"/>
      <c r="AA606" s="174"/>
    </row>
    <row r="607">
      <c r="A607" s="174"/>
      <c r="B607" s="174"/>
      <c r="C607" s="174"/>
      <c r="D607" s="174"/>
      <c r="E607" s="174"/>
      <c r="F607" s="175"/>
      <c r="G607" s="175"/>
      <c r="H607" s="174"/>
      <c r="I607" s="174"/>
      <c r="J607" s="174"/>
      <c r="K607" s="174"/>
      <c r="L607" s="174"/>
      <c r="M607" s="174"/>
      <c r="N607" s="174"/>
      <c r="O607" s="174"/>
      <c r="P607" s="174"/>
      <c r="Q607" s="174"/>
      <c r="R607" s="174"/>
      <c r="S607" s="174"/>
      <c r="T607" s="174"/>
      <c r="U607" s="174"/>
      <c r="V607" s="174"/>
      <c r="W607" s="174"/>
      <c r="X607" s="174"/>
      <c r="Y607" s="174"/>
      <c r="Z607" s="174"/>
      <c r="AA607" s="174"/>
    </row>
    <row r="608">
      <c r="A608" s="174"/>
      <c r="B608" s="174"/>
      <c r="C608" s="174"/>
      <c r="D608" s="174"/>
      <c r="E608" s="174"/>
      <c r="F608" s="175"/>
      <c r="G608" s="175"/>
      <c r="H608" s="174"/>
      <c r="I608" s="174"/>
      <c r="J608" s="174"/>
      <c r="K608" s="174"/>
      <c r="L608" s="174"/>
      <c r="M608" s="174"/>
      <c r="N608" s="174"/>
      <c r="O608" s="174"/>
      <c r="P608" s="174"/>
      <c r="Q608" s="174"/>
      <c r="R608" s="174"/>
      <c r="S608" s="174"/>
      <c r="T608" s="174"/>
      <c r="U608" s="174"/>
      <c r="V608" s="174"/>
      <c r="W608" s="174"/>
      <c r="X608" s="174"/>
      <c r="Y608" s="174"/>
      <c r="Z608" s="174"/>
      <c r="AA608" s="174"/>
    </row>
    <row r="609">
      <c r="A609" s="174"/>
      <c r="B609" s="174"/>
      <c r="C609" s="174"/>
      <c r="D609" s="174"/>
      <c r="E609" s="174"/>
      <c r="F609" s="175"/>
      <c r="G609" s="175"/>
      <c r="H609" s="174"/>
      <c r="I609" s="174"/>
      <c r="J609" s="174"/>
      <c r="K609" s="174"/>
      <c r="L609" s="174"/>
      <c r="M609" s="174"/>
      <c r="N609" s="174"/>
      <c r="O609" s="174"/>
      <c r="P609" s="174"/>
      <c r="Q609" s="174"/>
      <c r="R609" s="174"/>
      <c r="S609" s="174"/>
      <c r="T609" s="174"/>
      <c r="U609" s="174"/>
      <c r="V609" s="174"/>
      <c r="W609" s="174"/>
      <c r="X609" s="174"/>
      <c r="Y609" s="174"/>
      <c r="Z609" s="174"/>
      <c r="AA609" s="174"/>
    </row>
    <row r="610">
      <c r="A610" s="174"/>
      <c r="B610" s="174"/>
      <c r="C610" s="174"/>
      <c r="D610" s="174"/>
      <c r="E610" s="174"/>
      <c r="F610" s="175"/>
      <c r="G610" s="175"/>
      <c r="H610" s="174"/>
      <c r="I610" s="174"/>
      <c r="J610" s="174"/>
      <c r="K610" s="174"/>
      <c r="L610" s="174"/>
      <c r="M610" s="174"/>
      <c r="N610" s="174"/>
      <c r="O610" s="174"/>
      <c r="P610" s="174"/>
      <c r="Q610" s="174"/>
      <c r="R610" s="174"/>
      <c r="S610" s="174"/>
      <c r="T610" s="174"/>
      <c r="U610" s="174"/>
      <c r="V610" s="174"/>
      <c r="W610" s="174"/>
      <c r="X610" s="174"/>
      <c r="Y610" s="174"/>
      <c r="Z610" s="174"/>
      <c r="AA610" s="174"/>
    </row>
    <row r="611">
      <c r="A611" s="174"/>
      <c r="B611" s="174"/>
      <c r="C611" s="174"/>
      <c r="D611" s="174"/>
      <c r="E611" s="174"/>
      <c r="F611" s="175"/>
      <c r="G611" s="175"/>
      <c r="H611" s="174"/>
      <c r="I611" s="174"/>
      <c r="J611" s="174"/>
      <c r="K611" s="174"/>
      <c r="L611" s="174"/>
      <c r="M611" s="174"/>
      <c r="N611" s="174"/>
      <c r="O611" s="174"/>
      <c r="P611" s="174"/>
      <c r="Q611" s="174"/>
      <c r="R611" s="174"/>
      <c r="S611" s="174"/>
      <c r="T611" s="174"/>
      <c r="U611" s="174"/>
      <c r="V611" s="174"/>
      <c r="W611" s="174"/>
      <c r="X611" s="174"/>
      <c r="Y611" s="174"/>
      <c r="Z611" s="174"/>
      <c r="AA611" s="174"/>
    </row>
    <row r="612">
      <c r="A612" s="174"/>
      <c r="B612" s="174"/>
      <c r="C612" s="174"/>
      <c r="D612" s="174"/>
      <c r="E612" s="174"/>
      <c r="F612" s="175"/>
      <c r="G612" s="175"/>
      <c r="H612" s="174"/>
      <c r="I612" s="174"/>
      <c r="J612" s="174"/>
      <c r="K612" s="174"/>
      <c r="L612" s="174"/>
      <c r="M612" s="174"/>
      <c r="N612" s="174"/>
      <c r="O612" s="174"/>
      <c r="P612" s="174"/>
      <c r="Q612" s="174"/>
      <c r="R612" s="174"/>
      <c r="S612" s="174"/>
      <c r="T612" s="174"/>
      <c r="U612" s="174"/>
      <c r="V612" s="174"/>
      <c r="W612" s="174"/>
      <c r="X612" s="174"/>
      <c r="Y612" s="174"/>
      <c r="Z612" s="174"/>
      <c r="AA612" s="174"/>
    </row>
    <row r="613">
      <c r="A613" s="174"/>
      <c r="B613" s="174"/>
      <c r="C613" s="174"/>
      <c r="D613" s="174"/>
      <c r="E613" s="174"/>
      <c r="F613" s="175"/>
      <c r="G613" s="175"/>
      <c r="H613" s="174"/>
      <c r="I613" s="174"/>
      <c r="J613" s="174"/>
      <c r="K613" s="174"/>
      <c r="L613" s="174"/>
      <c r="M613" s="174"/>
      <c r="N613" s="174"/>
      <c r="O613" s="174"/>
      <c r="P613" s="174"/>
      <c r="Q613" s="174"/>
      <c r="R613" s="174"/>
      <c r="S613" s="174"/>
      <c r="T613" s="174"/>
      <c r="U613" s="174"/>
      <c r="V613" s="174"/>
      <c r="W613" s="174"/>
      <c r="X613" s="174"/>
      <c r="Y613" s="174"/>
      <c r="Z613" s="174"/>
      <c r="AA613" s="174"/>
    </row>
    <row r="614">
      <c r="A614" s="174"/>
      <c r="B614" s="174"/>
      <c r="C614" s="174"/>
      <c r="D614" s="174"/>
      <c r="E614" s="174"/>
      <c r="F614" s="175"/>
      <c r="G614" s="175"/>
      <c r="H614" s="174"/>
      <c r="I614" s="174"/>
      <c r="J614" s="174"/>
      <c r="K614" s="174"/>
      <c r="L614" s="174"/>
      <c r="M614" s="174"/>
      <c r="N614" s="174"/>
      <c r="O614" s="174"/>
      <c r="P614" s="174"/>
      <c r="Q614" s="174"/>
      <c r="R614" s="174"/>
      <c r="S614" s="174"/>
      <c r="T614" s="174"/>
      <c r="U614" s="174"/>
      <c r="V614" s="174"/>
      <c r="W614" s="174"/>
      <c r="X614" s="174"/>
      <c r="Y614" s="174"/>
      <c r="Z614" s="174"/>
      <c r="AA614" s="174"/>
    </row>
    <row r="615">
      <c r="A615" s="174"/>
      <c r="B615" s="174"/>
      <c r="C615" s="174"/>
      <c r="D615" s="174"/>
      <c r="E615" s="174"/>
      <c r="F615" s="175"/>
      <c r="G615" s="175"/>
      <c r="H615" s="174"/>
      <c r="I615" s="174"/>
      <c r="J615" s="174"/>
      <c r="K615" s="174"/>
      <c r="L615" s="174"/>
      <c r="M615" s="174"/>
      <c r="N615" s="174"/>
      <c r="O615" s="174"/>
      <c r="P615" s="174"/>
      <c r="Q615" s="174"/>
      <c r="R615" s="174"/>
      <c r="S615" s="174"/>
      <c r="T615" s="174"/>
      <c r="U615" s="174"/>
      <c r="V615" s="174"/>
      <c r="W615" s="174"/>
      <c r="X615" s="174"/>
      <c r="Y615" s="174"/>
      <c r="Z615" s="174"/>
      <c r="AA615" s="174"/>
    </row>
    <row r="616">
      <c r="A616" s="174"/>
      <c r="B616" s="174"/>
      <c r="C616" s="174"/>
      <c r="D616" s="174"/>
      <c r="E616" s="174"/>
      <c r="F616" s="175"/>
      <c r="G616" s="175"/>
      <c r="H616" s="174"/>
      <c r="I616" s="174"/>
      <c r="J616" s="174"/>
      <c r="K616" s="174"/>
      <c r="L616" s="174"/>
      <c r="M616" s="174"/>
      <c r="N616" s="174"/>
      <c r="O616" s="174"/>
      <c r="P616" s="174"/>
      <c r="Q616" s="174"/>
      <c r="R616" s="174"/>
      <c r="S616" s="174"/>
      <c r="T616" s="174"/>
      <c r="U616" s="174"/>
      <c r="V616" s="174"/>
      <c r="W616" s="174"/>
      <c r="X616" s="174"/>
      <c r="Y616" s="174"/>
      <c r="Z616" s="174"/>
      <c r="AA616" s="174"/>
    </row>
    <row r="617">
      <c r="A617" s="174"/>
      <c r="B617" s="174"/>
      <c r="C617" s="174"/>
      <c r="D617" s="174"/>
      <c r="E617" s="174"/>
      <c r="F617" s="175"/>
      <c r="G617" s="175"/>
      <c r="H617" s="174"/>
      <c r="I617" s="174"/>
      <c r="J617" s="174"/>
      <c r="K617" s="174"/>
      <c r="L617" s="174"/>
      <c r="M617" s="174"/>
      <c r="N617" s="174"/>
      <c r="O617" s="174"/>
      <c r="P617" s="174"/>
      <c r="Q617" s="174"/>
      <c r="R617" s="174"/>
      <c r="S617" s="174"/>
      <c r="T617" s="174"/>
      <c r="U617" s="174"/>
      <c r="V617" s="174"/>
      <c r="W617" s="174"/>
      <c r="X617" s="174"/>
      <c r="Y617" s="174"/>
      <c r="Z617" s="174"/>
      <c r="AA617" s="174"/>
    </row>
    <row r="618">
      <c r="A618" s="174"/>
      <c r="B618" s="174"/>
      <c r="C618" s="174"/>
      <c r="D618" s="174"/>
      <c r="E618" s="174"/>
      <c r="F618" s="175"/>
      <c r="G618" s="175"/>
      <c r="H618" s="174"/>
      <c r="I618" s="174"/>
      <c r="J618" s="174"/>
      <c r="K618" s="174"/>
      <c r="L618" s="174"/>
      <c r="M618" s="174"/>
      <c r="N618" s="174"/>
      <c r="O618" s="174"/>
      <c r="P618" s="174"/>
      <c r="Q618" s="174"/>
      <c r="R618" s="174"/>
      <c r="S618" s="174"/>
      <c r="T618" s="174"/>
      <c r="U618" s="174"/>
      <c r="V618" s="174"/>
      <c r="W618" s="174"/>
      <c r="X618" s="174"/>
      <c r="Y618" s="174"/>
      <c r="Z618" s="174"/>
      <c r="AA618" s="174"/>
    </row>
    <row r="619">
      <c r="A619" s="174"/>
      <c r="B619" s="174"/>
      <c r="C619" s="174"/>
      <c r="D619" s="174"/>
      <c r="E619" s="174"/>
      <c r="F619" s="175"/>
      <c r="G619" s="175"/>
      <c r="H619" s="174"/>
      <c r="I619" s="174"/>
      <c r="J619" s="174"/>
      <c r="K619" s="174"/>
      <c r="L619" s="174"/>
      <c r="M619" s="174"/>
      <c r="N619" s="174"/>
      <c r="O619" s="174"/>
      <c r="P619" s="174"/>
      <c r="Q619" s="174"/>
      <c r="R619" s="174"/>
      <c r="S619" s="174"/>
      <c r="T619" s="174"/>
      <c r="U619" s="174"/>
      <c r="V619" s="174"/>
      <c r="W619" s="174"/>
      <c r="X619" s="174"/>
      <c r="Y619" s="174"/>
      <c r="Z619" s="174"/>
      <c r="AA619" s="174"/>
    </row>
    <row r="620">
      <c r="A620" s="174"/>
      <c r="B620" s="174"/>
      <c r="C620" s="174"/>
      <c r="D620" s="174"/>
      <c r="E620" s="174"/>
      <c r="F620" s="175"/>
      <c r="G620" s="175"/>
      <c r="H620" s="174"/>
      <c r="I620" s="174"/>
      <c r="J620" s="174"/>
      <c r="K620" s="174"/>
      <c r="L620" s="174"/>
      <c r="M620" s="174"/>
      <c r="N620" s="174"/>
      <c r="O620" s="174"/>
      <c r="P620" s="174"/>
      <c r="Q620" s="174"/>
      <c r="R620" s="174"/>
      <c r="S620" s="174"/>
      <c r="T620" s="174"/>
      <c r="U620" s="174"/>
      <c r="V620" s="174"/>
      <c r="W620" s="174"/>
      <c r="X620" s="174"/>
      <c r="Y620" s="174"/>
      <c r="Z620" s="174"/>
      <c r="AA620" s="174"/>
    </row>
    <row r="621">
      <c r="A621" s="174"/>
      <c r="B621" s="174"/>
      <c r="C621" s="174"/>
      <c r="D621" s="174"/>
      <c r="E621" s="174"/>
      <c r="F621" s="175"/>
      <c r="G621" s="175"/>
      <c r="H621" s="174"/>
      <c r="I621" s="174"/>
      <c r="J621" s="174"/>
      <c r="K621" s="174"/>
      <c r="L621" s="174"/>
      <c r="M621" s="174"/>
      <c r="N621" s="174"/>
      <c r="O621" s="174"/>
      <c r="P621" s="174"/>
      <c r="Q621" s="174"/>
      <c r="R621" s="174"/>
      <c r="S621" s="174"/>
      <c r="T621" s="174"/>
      <c r="U621" s="174"/>
      <c r="V621" s="174"/>
      <c r="W621" s="174"/>
      <c r="X621" s="174"/>
      <c r="Y621" s="174"/>
      <c r="Z621" s="174"/>
      <c r="AA621" s="174"/>
    </row>
    <row r="622">
      <c r="A622" s="174"/>
      <c r="B622" s="174"/>
      <c r="C622" s="174"/>
      <c r="D622" s="174"/>
      <c r="E622" s="174"/>
      <c r="F622" s="175"/>
      <c r="G622" s="175"/>
      <c r="H622" s="174"/>
      <c r="I622" s="174"/>
      <c r="J622" s="174"/>
      <c r="K622" s="174"/>
      <c r="L622" s="174"/>
      <c r="M622" s="174"/>
      <c r="N622" s="174"/>
      <c r="O622" s="174"/>
      <c r="P622" s="174"/>
      <c r="Q622" s="174"/>
      <c r="R622" s="174"/>
      <c r="S622" s="174"/>
      <c r="T622" s="174"/>
      <c r="U622" s="174"/>
      <c r="V622" s="174"/>
      <c r="W622" s="174"/>
      <c r="X622" s="174"/>
      <c r="Y622" s="174"/>
      <c r="Z622" s="174"/>
      <c r="AA622" s="174"/>
    </row>
    <row r="623">
      <c r="A623" s="174"/>
      <c r="B623" s="174"/>
      <c r="C623" s="174"/>
      <c r="D623" s="174"/>
      <c r="E623" s="174"/>
      <c r="F623" s="175"/>
      <c r="G623" s="175"/>
      <c r="H623" s="174"/>
      <c r="I623" s="174"/>
      <c r="J623" s="174"/>
      <c r="K623" s="174"/>
      <c r="L623" s="174"/>
      <c r="M623" s="174"/>
      <c r="N623" s="174"/>
      <c r="O623" s="174"/>
      <c r="P623" s="174"/>
      <c r="Q623" s="174"/>
      <c r="R623" s="174"/>
      <c r="S623" s="174"/>
      <c r="T623" s="174"/>
      <c r="U623" s="174"/>
      <c r="V623" s="174"/>
      <c r="W623" s="174"/>
      <c r="X623" s="174"/>
      <c r="Y623" s="174"/>
      <c r="Z623" s="174"/>
      <c r="AA623" s="174"/>
    </row>
    <row r="624">
      <c r="A624" s="174"/>
      <c r="B624" s="174"/>
      <c r="C624" s="174"/>
      <c r="D624" s="174"/>
      <c r="E624" s="174"/>
      <c r="F624" s="175"/>
      <c r="G624" s="175"/>
      <c r="H624" s="174"/>
      <c r="I624" s="174"/>
      <c r="J624" s="174"/>
      <c r="K624" s="174"/>
      <c r="L624" s="174"/>
      <c r="M624" s="174"/>
      <c r="N624" s="174"/>
      <c r="O624" s="174"/>
      <c r="P624" s="174"/>
      <c r="Q624" s="174"/>
      <c r="R624" s="174"/>
      <c r="S624" s="174"/>
      <c r="T624" s="174"/>
      <c r="U624" s="174"/>
      <c r="V624" s="174"/>
      <c r="W624" s="174"/>
      <c r="X624" s="174"/>
      <c r="Y624" s="174"/>
      <c r="Z624" s="174"/>
      <c r="AA624" s="174"/>
    </row>
    <row r="625">
      <c r="A625" s="174"/>
      <c r="B625" s="174"/>
      <c r="C625" s="174"/>
      <c r="D625" s="174"/>
      <c r="E625" s="174"/>
      <c r="F625" s="175"/>
      <c r="G625" s="175"/>
      <c r="H625" s="174"/>
      <c r="I625" s="174"/>
      <c r="J625" s="174"/>
      <c r="K625" s="174"/>
      <c r="L625" s="174"/>
      <c r="M625" s="174"/>
      <c r="N625" s="174"/>
      <c r="O625" s="174"/>
      <c r="P625" s="174"/>
      <c r="Q625" s="174"/>
      <c r="R625" s="174"/>
      <c r="S625" s="174"/>
      <c r="T625" s="174"/>
      <c r="U625" s="174"/>
      <c r="V625" s="174"/>
      <c r="W625" s="174"/>
      <c r="X625" s="174"/>
      <c r="Y625" s="174"/>
      <c r="Z625" s="174"/>
      <c r="AA625" s="174"/>
    </row>
    <row r="626">
      <c r="A626" s="174"/>
      <c r="B626" s="174"/>
      <c r="C626" s="174"/>
      <c r="D626" s="174"/>
      <c r="E626" s="174"/>
      <c r="F626" s="175"/>
      <c r="G626" s="175"/>
      <c r="H626" s="174"/>
      <c r="I626" s="174"/>
      <c r="J626" s="174"/>
      <c r="K626" s="174"/>
      <c r="L626" s="174"/>
      <c r="M626" s="174"/>
      <c r="N626" s="174"/>
      <c r="O626" s="174"/>
      <c r="P626" s="174"/>
      <c r="Q626" s="174"/>
      <c r="R626" s="174"/>
      <c r="S626" s="174"/>
      <c r="T626" s="174"/>
      <c r="U626" s="174"/>
      <c r="V626" s="174"/>
      <c r="W626" s="174"/>
      <c r="X626" s="174"/>
      <c r="Y626" s="174"/>
      <c r="Z626" s="174"/>
      <c r="AA626" s="174"/>
    </row>
    <row r="627">
      <c r="A627" s="174"/>
      <c r="B627" s="174"/>
      <c r="C627" s="174"/>
      <c r="D627" s="174"/>
      <c r="E627" s="174"/>
      <c r="F627" s="175"/>
      <c r="G627" s="175"/>
      <c r="H627" s="174"/>
      <c r="I627" s="174"/>
      <c r="J627" s="174"/>
      <c r="K627" s="174"/>
      <c r="L627" s="174"/>
      <c r="M627" s="174"/>
      <c r="N627" s="174"/>
      <c r="O627" s="174"/>
      <c r="P627" s="174"/>
      <c r="Q627" s="174"/>
      <c r="R627" s="174"/>
      <c r="S627" s="174"/>
      <c r="T627" s="174"/>
      <c r="U627" s="174"/>
      <c r="V627" s="174"/>
      <c r="W627" s="174"/>
      <c r="X627" s="174"/>
      <c r="Y627" s="174"/>
      <c r="Z627" s="174"/>
      <c r="AA627" s="174"/>
    </row>
    <row r="628">
      <c r="A628" s="174"/>
      <c r="B628" s="174"/>
      <c r="C628" s="174"/>
      <c r="D628" s="174"/>
      <c r="E628" s="174"/>
      <c r="F628" s="175"/>
      <c r="G628" s="175"/>
      <c r="H628" s="174"/>
      <c r="I628" s="174"/>
      <c r="J628" s="174"/>
      <c r="K628" s="174"/>
      <c r="L628" s="174"/>
      <c r="M628" s="174"/>
      <c r="N628" s="174"/>
      <c r="O628" s="174"/>
      <c r="P628" s="174"/>
      <c r="Q628" s="174"/>
      <c r="R628" s="174"/>
      <c r="S628" s="174"/>
      <c r="T628" s="174"/>
      <c r="U628" s="174"/>
      <c r="V628" s="174"/>
      <c r="W628" s="174"/>
      <c r="X628" s="174"/>
      <c r="Y628" s="174"/>
      <c r="Z628" s="174"/>
      <c r="AA628" s="174"/>
    </row>
    <row r="629">
      <c r="A629" s="174"/>
      <c r="B629" s="174"/>
      <c r="C629" s="174"/>
      <c r="D629" s="174"/>
      <c r="E629" s="174"/>
      <c r="F629" s="175"/>
      <c r="G629" s="175"/>
      <c r="H629" s="174"/>
      <c r="I629" s="174"/>
      <c r="J629" s="174"/>
      <c r="K629" s="174"/>
      <c r="L629" s="174"/>
      <c r="M629" s="174"/>
      <c r="N629" s="174"/>
      <c r="O629" s="174"/>
      <c r="P629" s="174"/>
      <c r="Q629" s="174"/>
      <c r="R629" s="174"/>
      <c r="S629" s="174"/>
      <c r="T629" s="174"/>
      <c r="U629" s="174"/>
      <c r="V629" s="174"/>
      <c r="W629" s="174"/>
      <c r="X629" s="174"/>
      <c r="Y629" s="174"/>
      <c r="Z629" s="174"/>
      <c r="AA629" s="174"/>
    </row>
    <row r="630">
      <c r="A630" s="174"/>
      <c r="B630" s="174"/>
      <c r="C630" s="174"/>
      <c r="D630" s="174"/>
      <c r="E630" s="174"/>
      <c r="F630" s="175"/>
      <c r="G630" s="175"/>
      <c r="H630" s="174"/>
      <c r="I630" s="174"/>
      <c r="J630" s="174"/>
      <c r="K630" s="174"/>
      <c r="L630" s="174"/>
      <c r="M630" s="174"/>
      <c r="N630" s="174"/>
      <c r="O630" s="174"/>
      <c r="P630" s="174"/>
      <c r="Q630" s="174"/>
      <c r="R630" s="174"/>
      <c r="S630" s="174"/>
      <c r="T630" s="174"/>
      <c r="U630" s="174"/>
      <c r="V630" s="174"/>
      <c r="W630" s="174"/>
      <c r="X630" s="174"/>
      <c r="Y630" s="174"/>
      <c r="Z630" s="174"/>
      <c r="AA630" s="174"/>
    </row>
    <row r="631">
      <c r="A631" s="174"/>
      <c r="B631" s="174"/>
      <c r="C631" s="174"/>
      <c r="D631" s="174"/>
      <c r="E631" s="174"/>
      <c r="F631" s="175"/>
      <c r="G631" s="175"/>
      <c r="H631" s="174"/>
      <c r="I631" s="174"/>
      <c r="J631" s="174"/>
      <c r="K631" s="174"/>
      <c r="L631" s="174"/>
      <c r="M631" s="174"/>
      <c r="N631" s="174"/>
      <c r="O631" s="174"/>
      <c r="P631" s="174"/>
      <c r="Q631" s="174"/>
      <c r="R631" s="174"/>
      <c r="S631" s="174"/>
      <c r="T631" s="174"/>
      <c r="U631" s="174"/>
      <c r="V631" s="174"/>
      <c r="W631" s="174"/>
      <c r="X631" s="174"/>
      <c r="Y631" s="174"/>
      <c r="Z631" s="174"/>
      <c r="AA631" s="174"/>
    </row>
    <row r="632">
      <c r="A632" s="174"/>
      <c r="B632" s="174"/>
      <c r="C632" s="174"/>
      <c r="D632" s="174"/>
      <c r="E632" s="174"/>
      <c r="F632" s="175"/>
      <c r="G632" s="175"/>
      <c r="H632" s="174"/>
      <c r="I632" s="174"/>
      <c r="J632" s="174"/>
      <c r="K632" s="174"/>
      <c r="L632" s="174"/>
      <c r="M632" s="174"/>
      <c r="N632" s="174"/>
      <c r="O632" s="174"/>
      <c r="P632" s="174"/>
      <c r="Q632" s="174"/>
      <c r="R632" s="174"/>
      <c r="S632" s="174"/>
      <c r="T632" s="174"/>
      <c r="U632" s="174"/>
      <c r="V632" s="174"/>
      <c r="W632" s="174"/>
      <c r="X632" s="174"/>
      <c r="Y632" s="174"/>
      <c r="Z632" s="174"/>
      <c r="AA632" s="174"/>
    </row>
    <row r="633">
      <c r="A633" s="174"/>
      <c r="B633" s="174"/>
      <c r="C633" s="174"/>
      <c r="D633" s="174"/>
      <c r="E633" s="174"/>
      <c r="F633" s="175"/>
      <c r="G633" s="175"/>
      <c r="H633" s="174"/>
      <c r="I633" s="174"/>
      <c r="J633" s="174"/>
      <c r="K633" s="174"/>
      <c r="L633" s="174"/>
      <c r="M633" s="174"/>
      <c r="N633" s="174"/>
      <c r="O633" s="174"/>
      <c r="P633" s="174"/>
      <c r="Q633" s="174"/>
      <c r="R633" s="174"/>
      <c r="S633" s="174"/>
      <c r="T633" s="174"/>
      <c r="U633" s="174"/>
      <c r="V633" s="174"/>
      <c r="W633" s="174"/>
      <c r="X633" s="174"/>
      <c r="Y633" s="174"/>
      <c r="Z633" s="174"/>
      <c r="AA633" s="174"/>
    </row>
    <row r="634">
      <c r="A634" s="174"/>
      <c r="B634" s="174"/>
      <c r="C634" s="174"/>
      <c r="D634" s="174"/>
      <c r="E634" s="174"/>
      <c r="F634" s="175"/>
      <c r="G634" s="175"/>
      <c r="H634" s="174"/>
      <c r="I634" s="174"/>
      <c r="J634" s="174"/>
      <c r="K634" s="174"/>
      <c r="L634" s="174"/>
      <c r="M634" s="174"/>
      <c r="N634" s="174"/>
      <c r="O634" s="174"/>
      <c r="P634" s="174"/>
      <c r="Q634" s="174"/>
      <c r="R634" s="174"/>
      <c r="S634" s="174"/>
      <c r="T634" s="174"/>
      <c r="U634" s="174"/>
      <c r="V634" s="174"/>
      <c r="W634" s="174"/>
      <c r="X634" s="174"/>
      <c r="Y634" s="174"/>
      <c r="Z634" s="174"/>
      <c r="AA634" s="174"/>
    </row>
    <row r="635">
      <c r="A635" s="174"/>
      <c r="B635" s="174"/>
      <c r="C635" s="174"/>
      <c r="D635" s="174"/>
      <c r="E635" s="174"/>
      <c r="F635" s="175"/>
      <c r="G635" s="175"/>
      <c r="H635" s="174"/>
      <c r="I635" s="174"/>
      <c r="J635" s="174"/>
      <c r="K635" s="174"/>
      <c r="L635" s="174"/>
      <c r="M635" s="174"/>
      <c r="N635" s="174"/>
      <c r="O635" s="174"/>
      <c r="P635" s="174"/>
      <c r="Q635" s="174"/>
      <c r="R635" s="174"/>
      <c r="S635" s="174"/>
      <c r="T635" s="174"/>
      <c r="U635" s="174"/>
      <c r="V635" s="174"/>
      <c r="W635" s="174"/>
      <c r="X635" s="174"/>
      <c r="Y635" s="174"/>
      <c r="Z635" s="174"/>
      <c r="AA635" s="174"/>
    </row>
    <row r="636">
      <c r="A636" s="174"/>
      <c r="B636" s="174"/>
      <c r="C636" s="174"/>
      <c r="D636" s="174"/>
      <c r="E636" s="174"/>
      <c r="F636" s="175"/>
      <c r="G636" s="175"/>
      <c r="H636" s="174"/>
      <c r="I636" s="174"/>
      <c r="J636" s="174"/>
      <c r="K636" s="174"/>
      <c r="L636" s="174"/>
      <c r="M636" s="174"/>
      <c r="N636" s="174"/>
      <c r="O636" s="174"/>
      <c r="P636" s="174"/>
      <c r="Q636" s="174"/>
      <c r="R636" s="174"/>
      <c r="S636" s="174"/>
      <c r="T636" s="174"/>
      <c r="U636" s="174"/>
      <c r="V636" s="174"/>
      <c r="W636" s="174"/>
      <c r="X636" s="174"/>
      <c r="Y636" s="174"/>
      <c r="Z636" s="174"/>
      <c r="AA636" s="174"/>
    </row>
    <row r="637">
      <c r="A637" s="174"/>
      <c r="B637" s="174"/>
      <c r="C637" s="174"/>
      <c r="D637" s="174"/>
      <c r="E637" s="174"/>
      <c r="F637" s="175"/>
      <c r="G637" s="175"/>
      <c r="H637" s="174"/>
      <c r="I637" s="174"/>
      <c r="J637" s="174"/>
      <c r="K637" s="174"/>
      <c r="L637" s="174"/>
      <c r="M637" s="174"/>
      <c r="N637" s="174"/>
      <c r="O637" s="174"/>
      <c r="P637" s="174"/>
      <c r="Q637" s="174"/>
      <c r="R637" s="174"/>
      <c r="S637" s="174"/>
      <c r="T637" s="174"/>
      <c r="U637" s="174"/>
      <c r="V637" s="174"/>
      <c r="W637" s="174"/>
      <c r="X637" s="174"/>
      <c r="Y637" s="174"/>
      <c r="Z637" s="174"/>
      <c r="AA637" s="174"/>
    </row>
    <row r="638">
      <c r="A638" s="174"/>
      <c r="B638" s="174"/>
      <c r="C638" s="174"/>
      <c r="D638" s="174"/>
      <c r="E638" s="174"/>
      <c r="F638" s="175"/>
      <c r="G638" s="175"/>
      <c r="H638" s="174"/>
      <c r="I638" s="174"/>
      <c r="J638" s="174"/>
      <c r="K638" s="174"/>
      <c r="L638" s="174"/>
      <c r="M638" s="174"/>
      <c r="N638" s="174"/>
      <c r="O638" s="174"/>
      <c r="P638" s="174"/>
      <c r="Q638" s="174"/>
      <c r="R638" s="174"/>
      <c r="S638" s="174"/>
      <c r="T638" s="174"/>
      <c r="U638" s="174"/>
      <c r="V638" s="174"/>
      <c r="W638" s="174"/>
      <c r="X638" s="174"/>
      <c r="Y638" s="174"/>
      <c r="Z638" s="174"/>
      <c r="AA638" s="174"/>
    </row>
    <row r="639">
      <c r="A639" s="174"/>
      <c r="B639" s="174"/>
      <c r="C639" s="174"/>
      <c r="D639" s="174"/>
      <c r="E639" s="174"/>
      <c r="F639" s="175"/>
      <c r="G639" s="175"/>
      <c r="H639" s="174"/>
      <c r="I639" s="174"/>
      <c r="J639" s="174"/>
      <c r="K639" s="174"/>
      <c r="L639" s="174"/>
      <c r="M639" s="174"/>
      <c r="N639" s="174"/>
      <c r="O639" s="174"/>
      <c r="P639" s="174"/>
      <c r="Q639" s="174"/>
      <c r="R639" s="174"/>
      <c r="S639" s="174"/>
      <c r="T639" s="174"/>
      <c r="U639" s="174"/>
      <c r="V639" s="174"/>
      <c r="W639" s="174"/>
      <c r="X639" s="174"/>
      <c r="Y639" s="174"/>
      <c r="Z639" s="174"/>
      <c r="AA639" s="174"/>
    </row>
    <row r="640">
      <c r="A640" s="174"/>
      <c r="B640" s="174"/>
      <c r="C640" s="174"/>
      <c r="D640" s="174"/>
      <c r="E640" s="174"/>
      <c r="F640" s="175"/>
      <c r="G640" s="175"/>
      <c r="H640" s="174"/>
      <c r="I640" s="174"/>
      <c r="J640" s="174"/>
      <c r="K640" s="174"/>
      <c r="L640" s="174"/>
      <c r="M640" s="174"/>
      <c r="N640" s="174"/>
      <c r="O640" s="174"/>
      <c r="P640" s="174"/>
      <c r="Q640" s="174"/>
      <c r="R640" s="174"/>
      <c r="S640" s="174"/>
      <c r="T640" s="174"/>
      <c r="U640" s="174"/>
      <c r="V640" s="174"/>
      <c r="W640" s="174"/>
      <c r="X640" s="174"/>
      <c r="Y640" s="174"/>
      <c r="Z640" s="174"/>
      <c r="AA640" s="174"/>
    </row>
    <row r="641">
      <c r="A641" s="174"/>
      <c r="B641" s="174"/>
      <c r="C641" s="174"/>
      <c r="D641" s="174"/>
      <c r="E641" s="174"/>
      <c r="F641" s="175"/>
      <c r="G641" s="175"/>
      <c r="H641" s="174"/>
      <c r="I641" s="174"/>
      <c r="J641" s="174"/>
      <c r="K641" s="174"/>
      <c r="L641" s="174"/>
      <c r="M641" s="174"/>
      <c r="N641" s="174"/>
      <c r="O641" s="174"/>
      <c r="P641" s="174"/>
      <c r="Q641" s="174"/>
      <c r="R641" s="174"/>
      <c r="S641" s="174"/>
      <c r="T641" s="174"/>
      <c r="U641" s="174"/>
      <c r="V641" s="174"/>
      <c r="W641" s="174"/>
      <c r="X641" s="174"/>
      <c r="Y641" s="174"/>
      <c r="Z641" s="174"/>
      <c r="AA641" s="174"/>
    </row>
    <row r="642">
      <c r="A642" s="174"/>
      <c r="B642" s="174"/>
      <c r="C642" s="174"/>
      <c r="D642" s="174"/>
      <c r="E642" s="174"/>
      <c r="F642" s="175"/>
      <c r="G642" s="175"/>
      <c r="H642" s="174"/>
      <c r="I642" s="174"/>
      <c r="J642" s="174"/>
      <c r="K642" s="174"/>
      <c r="L642" s="174"/>
      <c r="M642" s="174"/>
      <c r="N642" s="174"/>
      <c r="O642" s="174"/>
      <c r="P642" s="174"/>
      <c r="Q642" s="174"/>
      <c r="R642" s="174"/>
      <c r="S642" s="174"/>
      <c r="T642" s="174"/>
      <c r="U642" s="174"/>
      <c r="V642" s="174"/>
      <c r="W642" s="174"/>
      <c r="X642" s="174"/>
      <c r="Y642" s="174"/>
      <c r="Z642" s="174"/>
      <c r="AA642" s="174"/>
    </row>
    <row r="643">
      <c r="A643" s="174"/>
      <c r="B643" s="174"/>
      <c r="C643" s="174"/>
      <c r="D643" s="174"/>
      <c r="E643" s="174"/>
      <c r="F643" s="175"/>
      <c r="G643" s="175"/>
      <c r="H643" s="174"/>
      <c r="I643" s="174"/>
      <c r="J643" s="174"/>
      <c r="K643" s="174"/>
      <c r="L643" s="174"/>
      <c r="M643" s="174"/>
      <c r="N643" s="174"/>
      <c r="O643" s="174"/>
      <c r="P643" s="174"/>
      <c r="Q643" s="174"/>
      <c r="R643" s="174"/>
      <c r="S643" s="174"/>
      <c r="T643" s="174"/>
      <c r="U643" s="174"/>
      <c r="V643" s="174"/>
      <c r="W643" s="174"/>
      <c r="X643" s="174"/>
      <c r="Y643" s="174"/>
      <c r="Z643" s="174"/>
      <c r="AA643" s="174"/>
    </row>
    <row r="644">
      <c r="A644" s="174"/>
      <c r="B644" s="174"/>
      <c r="C644" s="174"/>
      <c r="D644" s="174"/>
      <c r="E644" s="174"/>
      <c r="F644" s="175"/>
      <c r="G644" s="175"/>
      <c r="H644" s="174"/>
      <c r="I644" s="174"/>
      <c r="J644" s="174"/>
      <c r="K644" s="174"/>
      <c r="L644" s="174"/>
      <c r="M644" s="174"/>
      <c r="N644" s="174"/>
      <c r="O644" s="174"/>
      <c r="P644" s="174"/>
      <c r="Q644" s="174"/>
      <c r="R644" s="174"/>
      <c r="S644" s="174"/>
      <c r="T644" s="174"/>
      <c r="U644" s="174"/>
      <c r="V644" s="174"/>
      <c r="W644" s="174"/>
      <c r="X644" s="174"/>
      <c r="Y644" s="174"/>
      <c r="Z644" s="174"/>
      <c r="AA644" s="174"/>
    </row>
    <row r="645">
      <c r="A645" s="174"/>
      <c r="B645" s="174"/>
      <c r="C645" s="174"/>
      <c r="D645" s="174"/>
      <c r="E645" s="174"/>
      <c r="F645" s="175"/>
      <c r="G645" s="175"/>
      <c r="H645" s="174"/>
      <c r="I645" s="174"/>
      <c r="J645" s="174"/>
      <c r="K645" s="174"/>
      <c r="L645" s="174"/>
      <c r="M645" s="174"/>
      <c r="N645" s="174"/>
      <c r="O645" s="174"/>
      <c r="P645" s="174"/>
      <c r="Q645" s="174"/>
      <c r="R645" s="174"/>
      <c r="S645" s="174"/>
      <c r="T645" s="174"/>
      <c r="U645" s="174"/>
      <c r="V645" s="174"/>
      <c r="W645" s="174"/>
      <c r="X645" s="174"/>
      <c r="Y645" s="174"/>
      <c r="Z645" s="174"/>
      <c r="AA645" s="174"/>
    </row>
    <row r="646">
      <c r="A646" s="174"/>
      <c r="B646" s="174"/>
      <c r="C646" s="174"/>
      <c r="D646" s="174"/>
      <c r="E646" s="174"/>
      <c r="F646" s="175"/>
      <c r="G646" s="175"/>
      <c r="H646" s="174"/>
      <c r="I646" s="174"/>
      <c r="J646" s="174"/>
      <c r="K646" s="174"/>
      <c r="L646" s="174"/>
      <c r="M646" s="174"/>
      <c r="N646" s="174"/>
      <c r="O646" s="174"/>
      <c r="P646" s="174"/>
      <c r="Q646" s="174"/>
      <c r="R646" s="174"/>
      <c r="S646" s="174"/>
      <c r="T646" s="174"/>
      <c r="U646" s="174"/>
      <c r="V646" s="174"/>
      <c r="W646" s="174"/>
      <c r="X646" s="174"/>
      <c r="Y646" s="174"/>
      <c r="Z646" s="174"/>
      <c r="AA646" s="174"/>
    </row>
    <row r="647">
      <c r="A647" s="174"/>
      <c r="B647" s="174"/>
      <c r="C647" s="174"/>
      <c r="D647" s="174"/>
      <c r="E647" s="174"/>
      <c r="F647" s="175"/>
      <c r="G647" s="175"/>
      <c r="H647" s="174"/>
      <c r="I647" s="174"/>
      <c r="J647" s="174"/>
      <c r="K647" s="174"/>
      <c r="L647" s="174"/>
      <c r="M647" s="174"/>
      <c r="N647" s="174"/>
      <c r="O647" s="174"/>
      <c r="P647" s="174"/>
      <c r="Q647" s="174"/>
      <c r="R647" s="174"/>
      <c r="S647" s="174"/>
      <c r="T647" s="174"/>
      <c r="U647" s="174"/>
      <c r="V647" s="174"/>
      <c r="W647" s="174"/>
      <c r="X647" s="174"/>
      <c r="Y647" s="174"/>
      <c r="Z647" s="174"/>
      <c r="AA647" s="174"/>
    </row>
    <row r="648">
      <c r="A648" s="174"/>
      <c r="B648" s="174"/>
      <c r="C648" s="174"/>
      <c r="D648" s="174"/>
      <c r="E648" s="174"/>
      <c r="F648" s="175"/>
      <c r="G648" s="175"/>
      <c r="H648" s="174"/>
      <c r="I648" s="174"/>
      <c r="J648" s="174"/>
      <c r="K648" s="174"/>
      <c r="L648" s="174"/>
      <c r="M648" s="174"/>
      <c r="N648" s="174"/>
      <c r="O648" s="174"/>
      <c r="P648" s="174"/>
      <c r="Q648" s="174"/>
      <c r="R648" s="174"/>
      <c r="S648" s="174"/>
      <c r="T648" s="174"/>
      <c r="U648" s="174"/>
      <c r="V648" s="174"/>
      <c r="W648" s="174"/>
      <c r="X648" s="174"/>
      <c r="Y648" s="174"/>
      <c r="Z648" s="174"/>
      <c r="AA648" s="174"/>
    </row>
    <row r="649">
      <c r="A649" s="174"/>
      <c r="B649" s="174"/>
      <c r="C649" s="174"/>
      <c r="D649" s="174"/>
      <c r="E649" s="174"/>
      <c r="F649" s="175"/>
      <c r="G649" s="175"/>
      <c r="H649" s="174"/>
      <c r="I649" s="174"/>
      <c r="J649" s="174"/>
      <c r="K649" s="174"/>
      <c r="L649" s="174"/>
      <c r="M649" s="174"/>
      <c r="N649" s="174"/>
      <c r="O649" s="174"/>
      <c r="P649" s="174"/>
      <c r="Q649" s="174"/>
      <c r="R649" s="174"/>
      <c r="S649" s="174"/>
      <c r="T649" s="174"/>
      <c r="U649" s="174"/>
      <c r="V649" s="174"/>
      <c r="W649" s="174"/>
      <c r="X649" s="174"/>
      <c r="Y649" s="174"/>
      <c r="Z649" s="174"/>
      <c r="AA649" s="174"/>
    </row>
    <row r="650">
      <c r="A650" s="174"/>
      <c r="B650" s="174"/>
      <c r="C650" s="174"/>
      <c r="D650" s="174"/>
      <c r="E650" s="174"/>
      <c r="F650" s="175"/>
      <c r="G650" s="175"/>
      <c r="H650" s="174"/>
      <c r="I650" s="174"/>
      <c r="J650" s="174"/>
      <c r="K650" s="174"/>
      <c r="L650" s="174"/>
      <c r="M650" s="174"/>
      <c r="N650" s="174"/>
      <c r="O650" s="174"/>
      <c r="P650" s="174"/>
      <c r="Q650" s="174"/>
      <c r="R650" s="174"/>
      <c r="S650" s="174"/>
      <c r="T650" s="174"/>
      <c r="U650" s="174"/>
      <c r="V650" s="174"/>
      <c r="W650" s="174"/>
      <c r="X650" s="174"/>
      <c r="Y650" s="174"/>
      <c r="Z650" s="174"/>
      <c r="AA650" s="174"/>
    </row>
    <row r="651">
      <c r="A651" s="174"/>
      <c r="B651" s="174"/>
      <c r="C651" s="174"/>
      <c r="D651" s="174"/>
      <c r="E651" s="174"/>
      <c r="F651" s="175"/>
      <c r="G651" s="175"/>
      <c r="H651" s="174"/>
      <c r="I651" s="174"/>
      <c r="J651" s="174"/>
      <c r="K651" s="174"/>
      <c r="L651" s="174"/>
      <c r="M651" s="174"/>
      <c r="N651" s="174"/>
      <c r="O651" s="174"/>
      <c r="P651" s="174"/>
      <c r="Q651" s="174"/>
      <c r="R651" s="174"/>
      <c r="S651" s="174"/>
      <c r="T651" s="174"/>
      <c r="U651" s="174"/>
      <c r="V651" s="174"/>
      <c r="W651" s="174"/>
      <c r="X651" s="174"/>
      <c r="Y651" s="174"/>
      <c r="Z651" s="174"/>
      <c r="AA651" s="174"/>
    </row>
    <row r="652">
      <c r="A652" s="174"/>
      <c r="B652" s="174"/>
      <c r="C652" s="174"/>
      <c r="D652" s="174"/>
      <c r="E652" s="174"/>
      <c r="F652" s="175"/>
      <c r="G652" s="175"/>
      <c r="H652" s="174"/>
      <c r="I652" s="174"/>
      <c r="J652" s="174"/>
      <c r="K652" s="174"/>
      <c r="L652" s="174"/>
      <c r="M652" s="174"/>
      <c r="N652" s="174"/>
      <c r="O652" s="174"/>
      <c r="P652" s="174"/>
      <c r="Q652" s="174"/>
      <c r="R652" s="174"/>
      <c r="S652" s="174"/>
      <c r="T652" s="174"/>
      <c r="U652" s="174"/>
      <c r="V652" s="174"/>
      <c r="W652" s="174"/>
      <c r="X652" s="174"/>
      <c r="Y652" s="174"/>
      <c r="Z652" s="174"/>
      <c r="AA652" s="174"/>
    </row>
    <row r="653">
      <c r="A653" s="174"/>
      <c r="B653" s="174"/>
      <c r="C653" s="174"/>
      <c r="D653" s="174"/>
      <c r="E653" s="174"/>
      <c r="F653" s="175"/>
      <c r="G653" s="175"/>
      <c r="H653" s="174"/>
      <c r="I653" s="174"/>
      <c r="J653" s="174"/>
      <c r="K653" s="174"/>
      <c r="L653" s="174"/>
      <c r="M653" s="174"/>
      <c r="N653" s="174"/>
      <c r="O653" s="174"/>
      <c r="P653" s="174"/>
      <c r="Q653" s="174"/>
      <c r="R653" s="174"/>
      <c r="S653" s="174"/>
      <c r="T653" s="174"/>
      <c r="U653" s="174"/>
      <c r="V653" s="174"/>
      <c r="W653" s="174"/>
      <c r="X653" s="174"/>
      <c r="Y653" s="174"/>
      <c r="Z653" s="174"/>
      <c r="AA653" s="174"/>
    </row>
    <row r="654">
      <c r="A654" s="174"/>
      <c r="B654" s="174"/>
      <c r="C654" s="174"/>
      <c r="D654" s="174"/>
      <c r="E654" s="174"/>
      <c r="F654" s="175"/>
      <c r="G654" s="175"/>
      <c r="H654" s="174"/>
      <c r="I654" s="174"/>
      <c r="J654" s="174"/>
      <c r="K654" s="174"/>
      <c r="L654" s="174"/>
      <c r="M654" s="174"/>
      <c r="N654" s="174"/>
      <c r="O654" s="174"/>
      <c r="P654" s="174"/>
      <c r="Q654" s="174"/>
      <c r="R654" s="174"/>
      <c r="S654" s="174"/>
      <c r="T654" s="174"/>
      <c r="U654" s="174"/>
      <c r="V654" s="174"/>
      <c r="W654" s="174"/>
      <c r="X654" s="174"/>
      <c r="Y654" s="174"/>
      <c r="Z654" s="174"/>
      <c r="AA654" s="174"/>
    </row>
    <row r="655">
      <c r="A655" s="174"/>
      <c r="B655" s="174"/>
      <c r="C655" s="174"/>
      <c r="D655" s="174"/>
      <c r="E655" s="174"/>
      <c r="F655" s="175"/>
      <c r="G655" s="175"/>
      <c r="H655" s="174"/>
      <c r="I655" s="174"/>
      <c r="J655" s="174"/>
      <c r="K655" s="174"/>
      <c r="L655" s="174"/>
      <c r="M655" s="174"/>
      <c r="N655" s="174"/>
      <c r="O655" s="174"/>
      <c r="P655" s="174"/>
      <c r="Q655" s="174"/>
      <c r="R655" s="174"/>
      <c r="S655" s="174"/>
      <c r="T655" s="174"/>
      <c r="U655" s="174"/>
      <c r="V655" s="174"/>
      <c r="W655" s="174"/>
      <c r="X655" s="174"/>
      <c r="Y655" s="174"/>
      <c r="Z655" s="174"/>
      <c r="AA655" s="174"/>
    </row>
    <row r="656">
      <c r="A656" s="174"/>
      <c r="B656" s="174"/>
      <c r="C656" s="174"/>
      <c r="D656" s="174"/>
      <c r="E656" s="174"/>
      <c r="F656" s="175"/>
      <c r="G656" s="175"/>
      <c r="H656" s="174"/>
      <c r="I656" s="174"/>
      <c r="J656" s="174"/>
      <c r="K656" s="174"/>
      <c r="L656" s="174"/>
      <c r="M656" s="174"/>
      <c r="N656" s="174"/>
      <c r="O656" s="174"/>
      <c r="P656" s="174"/>
      <c r="Q656" s="174"/>
      <c r="R656" s="174"/>
      <c r="S656" s="174"/>
      <c r="T656" s="174"/>
      <c r="U656" s="174"/>
      <c r="V656" s="174"/>
      <c r="W656" s="174"/>
      <c r="X656" s="174"/>
      <c r="Y656" s="174"/>
      <c r="Z656" s="174"/>
      <c r="AA656" s="174"/>
    </row>
    <row r="657">
      <c r="A657" s="174"/>
      <c r="B657" s="174"/>
      <c r="C657" s="174"/>
      <c r="D657" s="174"/>
      <c r="E657" s="174"/>
      <c r="F657" s="175"/>
      <c r="G657" s="175"/>
      <c r="H657" s="174"/>
      <c r="I657" s="174"/>
      <c r="J657" s="174"/>
      <c r="K657" s="174"/>
      <c r="L657" s="174"/>
      <c r="M657" s="174"/>
      <c r="N657" s="174"/>
      <c r="O657" s="174"/>
      <c r="P657" s="174"/>
      <c r="Q657" s="174"/>
      <c r="R657" s="174"/>
      <c r="S657" s="174"/>
      <c r="T657" s="174"/>
      <c r="U657" s="174"/>
      <c r="V657" s="174"/>
      <c r="W657" s="174"/>
      <c r="X657" s="174"/>
      <c r="Y657" s="174"/>
      <c r="Z657" s="174"/>
      <c r="AA657" s="174"/>
    </row>
    <row r="658">
      <c r="A658" s="174"/>
      <c r="B658" s="174"/>
      <c r="C658" s="174"/>
      <c r="D658" s="174"/>
      <c r="E658" s="174"/>
      <c r="F658" s="175"/>
      <c r="G658" s="175"/>
      <c r="H658" s="174"/>
      <c r="I658" s="174"/>
      <c r="J658" s="174"/>
      <c r="K658" s="174"/>
      <c r="L658" s="174"/>
      <c r="M658" s="174"/>
      <c r="N658" s="174"/>
      <c r="O658" s="174"/>
      <c r="P658" s="174"/>
      <c r="Q658" s="174"/>
      <c r="R658" s="174"/>
      <c r="S658" s="174"/>
      <c r="T658" s="174"/>
      <c r="U658" s="174"/>
      <c r="V658" s="174"/>
      <c r="W658" s="174"/>
      <c r="X658" s="174"/>
      <c r="Y658" s="174"/>
      <c r="Z658" s="174"/>
      <c r="AA658" s="174"/>
    </row>
    <row r="659">
      <c r="A659" s="174"/>
      <c r="B659" s="174"/>
      <c r="C659" s="174"/>
      <c r="D659" s="174"/>
      <c r="E659" s="174"/>
      <c r="F659" s="175"/>
      <c r="G659" s="175"/>
      <c r="H659" s="174"/>
      <c r="I659" s="174"/>
      <c r="J659" s="174"/>
      <c r="K659" s="174"/>
      <c r="L659" s="174"/>
      <c r="M659" s="174"/>
      <c r="N659" s="174"/>
      <c r="O659" s="174"/>
      <c r="P659" s="174"/>
      <c r="Q659" s="174"/>
      <c r="R659" s="174"/>
      <c r="S659" s="174"/>
      <c r="T659" s="174"/>
      <c r="U659" s="174"/>
      <c r="V659" s="174"/>
      <c r="W659" s="174"/>
      <c r="X659" s="174"/>
      <c r="Y659" s="174"/>
      <c r="Z659" s="174"/>
      <c r="AA659" s="174"/>
    </row>
    <row r="660">
      <c r="A660" s="174"/>
      <c r="B660" s="174"/>
      <c r="C660" s="174"/>
      <c r="D660" s="174"/>
      <c r="E660" s="174"/>
      <c r="F660" s="175"/>
      <c r="G660" s="175"/>
      <c r="H660" s="174"/>
      <c r="I660" s="174"/>
      <c r="J660" s="174"/>
      <c r="K660" s="174"/>
      <c r="L660" s="174"/>
      <c r="M660" s="174"/>
      <c r="N660" s="174"/>
      <c r="O660" s="174"/>
      <c r="P660" s="174"/>
      <c r="Q660" s="174"/>
      <c r="R660" s="174"/>
      <c r="S660" s="174"/>
      <c r="T660" s="174"/>
      <c r="U660" s="174"/>
      <c r="V660" s="174"/>
      <c r="W660" s="174"/>
      <c r="X660" s="174"/>
      <c r="Y660" s="174"/>
      <c r="Z660" s="174"/>
      <c r="AA660" s="174"/>
    </row>
    <row r="661">
      <c r="A661" s="174"/>
      <c r="B661" s="174"/>
      <c r="C661" s="174"/>
      <c r="D661" s="174"/>
      <c r="E661" s="174"/>
      <c r="F661" s="175"/>
      <c r="G661" s="175"/>
      <c r="H661" s="174"/>
      <c r="I661" s="174"/>
      <c r="J661" s="174"/>
      <c r="K661" s="174"/>
      <c r="L661" s="174"/>
      <c r="M661" s="174"/>
      <c r="N661" s="174"/>
      <c r="O661" s="174"/>
      <c r="P661" s="174"/>
      <c r="Q661" s="174"/>
      <c r="R661" s="174"/>
      <c r="S661" s="174"/>
      <c r="T661" s="174"/>
      <c r="U661" s="174"/>
      <c r="V661" s="174"/>
      <c r="W661" s="174"/>
      <c r="X661" s="174"/>
      <c r="Y661" s="174"/>
      <c r="Z661" s="174"/>
      <c r="AA661" s="174"/>
    </row>
    <row r="662">
      <c r="A662" s="174"/>
      <c r="B662" s="174"/>
      <c r="C662" s="174"/>
      <c r="D662" s="174"/>
      <c r="E662" s="174"/>
      <c r="F662" s="175"/>
      <c r="G662" s="175"/>
      <c r="H662" s="174"/>
      <c r="I662" s="174"/>
      <c r="J662" s="174"/>
      <c r="K662" s="174"/>
      <c r="L662" s="174"/>
      <c r="M662" s="174"/>
      <c r="N662" s="174"/>
      <c r="O662" s="174"/>
      <c r="P662" s="174"/>
      <c r="Q662" s="174"/>
      <c r="R662" s="174"/>
      <c r="S662" s="174"/>
      <c r="T662" s="174"/>
      <c r="U662" s="174"/>
      <c r="V662" s="174"/>
      <c r="W662" s="174"/>
      <c r="X662" s="174"/>
      <c r="Y662" s="174"/>
      <c r="Z662" s="174"/>
      <c r="AA662" s="174"/>
    </row>
    <row r="663">
      <c r="A663" s="174"/>
      <c r="B663" s="174"/>
      <c r="C663" s="174"/>
      <c r="D663" s="174"/>
      <c r="E663" s="174"/>
      <c r="F663" s="175"/>
      <c r="G663" s="175"/>
      <c r="H663" s="174"/>
      <c r="I663" s="174"/>
      <c r="J663" s="174"/>
      <c r="K663" s="174"/>
      <c r="L663" s="174"/>
      <c r="M663" s="174"/>
      <c r="N663" s="174"/>
      <c r="O663" s="174"/>
      <c r="P663" s="174"/>
      <c r="Q663" s="174"/>
      <c r="R663" s="174"/>
      <c r="S663" s="174"/>
      <c r="T663" s="174"/>
      <c r="U663" s="174"/>
      <c r="V663" s="174"/>
      <c r="W663" s="174"/>
      <c r="X663" s="174"/>
      <c r="Y663" s="174"/>
      <c r="Z663" s="174"/>
      <c r="AA663" s="174"/>
    </row>
    <row r="664">
      <c r="A664" s="174"/>
      <c r="B664" s="174"/>
      <c r="C664" s="174"/>
      <c r="D664" s="174"/>
      <c r="E664" s="174"/>
      <c r="F664" s="175"/>
      <c r="G664" s="175"/>
      <c r="H664" s="174"/>
      <c r="I664" s="174"/>
      <c r="J664" s="174"/>
      <c r="K664" s="174"/>
      <c r="L664" s="174"/>
      <c r="M664" s="174"/>
      <c r="N664" s="174"/>
      <c r="O664" s="174"/>
      <c r="P664" s="174"/>
      <c r="Q664" s="174"/>
      <c r="R664" s="174"/>
      <c r="S664" s="174"/>
      <c r="T664" s="174"/>
      <c r="U664" s="174"/>
      <c r="V664" s="174"/>
      <c r="W664" s="174"/>
      <c r="X664" s="174"/>
      <c r="Y664" s="174"/>
      <c r="Z664" s="174"/>
      <c r="AA664" s="174"/>
    </row>
    <row r="665">
      <c r="A665" s="174"/>
      <c r="B665" s="174"/>
      <c r="C665" s="174"/>
      <c r="D665" s="174"/>
      <c r="E665" s="174"/>
      <c r="F665" s="175"/>
      <c r="G665" s="175"/>
      <c r="H665" s="174"/>
      <c r="I665" s="174"/>
      <c r="J665" s="174"/>
      <c r="K665" s="174"/>
      <c r="L665" s="174"/>
      <c r="M665" s="174"/>
      <c r="N665" s="174"/>
      <c r="O665" s="174"/>
      <c r="P665" s="174"/>
      <c r="Q665" s="174"/>
      <c r="R665" s="174"/>
      <c r="S665" s="174"/>
      <c r="T665" s="174"/>
      <c r="U665" s="174"/>
      <c r="V665" s="174"/>
      <c r="W665" s="174"/>
      <c r="X665" s="174"/>
      <c r="Y665" s="174"/>
      <c r="Z665" s="174"/>
      <c r="AA665" s="174"/>
    </row>
    <row r="666">
      <c r="A666" s="174"/>
      <c r="B666" s="174"/>
      <c r="C666" s="174"/>
      <c r="D666" s="174"/>
      <c r="E666" s="174"/>
      <c r="F666" s="175"/>
      <c r="G666" s="175"/>
      <c r="H666" s="174"/>
      <c r="I666" s="174"/>
      <c r="J666" s="174"/>
      <c r="K666" s="174"/>
      <c r="L666" s="174"/>
      <c r="M666" s="174"/>
      <c r="N666" s="174"/>
      <c r="O666" s="174"/>
      <c r="P666" s="174"/>
      <c r="Q666" s="174"/>
      <c r="R666" s="174"/>
      <c r="S666" s="174"/>
      <c r="T666" s="174"/>
      <c r="U666" s="174"/>
      <c r="V666" s="174"/>
      <c r="W666" s="174"/>
      <c r="X666" s="174"/>
      <c r="Y666" s="174"/>
      <c r="Z666" s="174"/>
      <c r="AA666" s="174"/>
    </row>
    <row r="667">
      <c r="A667" s="174"/>
      <c r="B667" s="174"/>
      <c r="C667" s="174"/>
      <c r="D667" s="174"/>
      <c r="E667" s="174"/>
      <c r="F667" s="175"/>
      <c r="G667" s="175"/>
      <c r="H667" s="174"/>
      <c r="I667" s="174"/>
      <c r="J667" s="174"/>
      <c r="K667" s="174"/>
      <c r="L667" s="174"/>
      <c r="M667" s="174"/>
      <c r="N667" s="174"/>
      <c r="O667" s="174"/>
      <c r="P667" s="174"/>
      <c r="Q667" s="174"/>
      <c r="R667" s="174"/>
      <c r="S667" s="174"/>
      <c r="T667" s="174"/>
      <c r="U667" s="174"/>
      <c r="V667" s="174"/>
      <c r="W667" s="174"/>
      <c r="X667" s="174"/>
      <c r="Y667" s="174"/>
      <c r="Z667" s="174"/>
      <c r="AA667" s="174"/>
    </row>
    <row r="668">
      <c r="A668" s="174"/>
      <c r="B668" s="174"/>
      <c r="C668" s="174"/>
      <c r="D668" s="174"/>
      <c r="E668" s="174"/>
      <c r="F668" s="175"/>
      <c r="G668" s="175"/>
      <c r="H668" s="174"/>
      <c r="I668" s="174"/>
      <c r="J668" s="174"/>
      <c r="K668" s="174"/>
      <c r="L668" s="174"/>
      <c r="M668" s="174"/>
      <c r="N668" s="174"/>
      <c r="O668" s="174"/>
      <c r="P668" s="174"/>
      <c r="Q668" s="174"/>
      <c r="R668" s="174"/>
      <c r="S668" s="174"/>
      <c r="T668" s="174"/>
      <c r="U668" s="174"/>
      <c r="V668" s="174"/>
      <c r="W668" s="174"/>
      <c r="X668" s="174"/>
      <c r="Y668" s="174"/>
      <c r="Z668" s="174"/>
      <c r="AA668" s="174"/>
    </row>
    <row r="669">
      <c r="A669" s="174"/>
      <c r="B669" s="174"/>
      <c r="C669" s="174"/>
      <c r="D669" s="174"/>
      <c r="E669" s="174"/>
      <c r="F669" s="175"/>
      <c r="G669" s="175"/>
      <c r="H669" s="174"/>
      <c r="I669" s="174"/>
      <c r="J669" s="174"/>
      <c r="K669" s="174"/>
      <c r="L669" s="174"/>
      <c r="M669" s="174"/>
      <c r="N669" s="174"/>
      <c r="O669" s="174"/>
      <c r="P669" s="174"/>
      <c r="Q669" s="174"/>
      <c r="R669" s="174"/>
      <c r="S669" s="174"/>
      <c r="T669" s="174"/>
      <c r="U669" s="174"/>
      <c r="V669" s="174"/>
      <c r="W669" s="174"/>
      <c r="X669" s="174"/>
      <c r="Y669" s="174"/>
      <c r="Z669" s="174"/>
      <c r="AA669" s="174"/>
    </row>
    <row r="670">
      <c r="A670" s="174"/>
      <c r="B670" s="174"/>
      <c r="C670" s="174"/>
      <c r="D670" s="174"/>
      <c r="E670" s="174"/>
      <c r="F670" s="175"/>
      <c r="G670" s="175"/>
      <c r="H670" s="174"/>
      <c r="I670" s="174"/>
      <c r="J670" s="174"/>
      <c r="K670" s="174"/>
      <c r="L670" s="174"/>
      <c r="M670" s="174"/>
      <c r="N670" s="174"/>
      <c r="O670" s="174"/>
      <c r="P670" s="174"/>
      <c r="Q670" s="174"/>
      <c r="R670" s="174"/>
      <c r="S670" s="174"/>
      <c r="T670" s="174"/>
      <c r="U670" s="174"/>
      <c r="V670" s="174"/>
      <c r="W670" s="174"/>
      <c r="X670" s="174"/>
      <c r="Y670" s="174"/>
      <c r="Z670" s="174"/>
      <c r="AA670" s="174"/>
    </row>
    <row r="671">
      <c r="A671" s="174"/>
      <c r="B671" s="174"/>
      <c r="C671" s="174"/>
      <c r="D671" s="174"/>
      <c r="E671" s="174"/>
      <c r="F671" s="175"/>
      <c r="G671" s="175"/>
      <c r="H671" s="174"/>
      <c r="I671" s="174"/>
      <c r="J671" s="174"/>
      <c r="K671" s="174"/>
      <c r="L671" s="174"/>
      <c r="M671" s="174"/>
      <c r="N671" s="174"/>
      <c r="O671" s="174"/>
      <c r="P671" s="174"/>
      <c r="Q671" s="174"/>
      <c r="R671" s="174"/>
      <c r="S671" s="174"/>
      <c r="T671" s="174"/>
      <c r="U671" s="174"/>
      <c r="V671" s="174"/>
      <c r="W671" s="174"/>
      <c r="X671" s="174"/>
      <c r="Y671" s="174"/>
      <c r="Z671" s="174"/>
      <c r="AA671" s="174"/>
    </row>
    <row r="672">
      <c r="A672" s="174"/>
      <c r="B672" s="174"/>
      <c r="C672" s="174"/>
      <c r="D672" s="174"/>
      <c r="E672" s="174"/>
      <c r="F672" s="175"/>
      <c r="G672" s="175"/>
      <c r="H672" s="174"/>
      <c r="I672" s="174"/>
      <c r="J672" s="174"/>
      <c r="K672" s="174"/>
      <c r="L672" s="174"/>
      <c r="M672" s="174"/>
      <c r="N672" s="174"/>
      <c r="O672" s="174"/>
      <c r="P672" s="174"/>
      <c r="Q672" s="174"/>
      <c r="R672" s="174"/>
      <c r="S672" s="174"/>
      <c r="T672" s="174"/>
      <c r="U672" s="174"/>
      <c r="V672" s="174"/>
      <c r="W672" s="174"/>
      <c r="X672" s="174"/>
      <c r="Y672" s="174"/>
      <c r="Z672" s="174"/>
      <c r="AA672" s="174"/>
    </row>
    <row r="673">
      <c r="A673" s="174"/>
      <c r="B673" s="174"/>
      <c r="C673" s="174"/>
      <c r="D673" s="174"/>
      <c r="E673" s="174"/>
      <c r="F673" s="175"/>
      <c r="G673" s="175"/>
      <c r="H673" s="174"/>
      <c r="I673" s="174"/>
      <c r="J673" s="174"/>
      <c r="K673" s="174"/>
      <c r="L673" s="174"/>
      <c r="M673" s="174"/>
      <c r="N673" s="174"/>
      <c r="O673" s="174"/>
      <c r="P673" s="174"/>
      <c r="Q673" s="174"/>
      <c r="R673" s="174"/>
      <c r="S673" s="174"/>
      <c r="T673" s="174"/>
      <c r="U673" s="174"/>
      <c r="V673" s="174"/>
      <c r="W673" s="174"/>
      <c r="X673" s="174"/>
      <c r="Y673" s="174"/>
      <c r="Z673" s="174"/>
      <c r="AA673" s="174"/>
    </row>
    <row r="674">
      <c r="A674" s="174"/>
      <c r="B674" s="174"/>
      <c r="C674" s="174"/>
      <c r="D674" s="174"/>
      <c r="E674" s="174"/>
      <c r="F674" s="175"/>
      <c r="G674" s="175"/>
      <c r="H674" s="174"/>
      <c r="I674" s="174"/>
      <c r="J674" s="174"/>
      <c r="K674" s="174"/>
      <c r="L674" s="174"/>
      <c r="M674" s="174"/>
      <c r="N674" s="174"/>
      <c r="O674" s="174"/>
      <c r="P674" s="174"/>
      <c r="Q674" s="174"/>
      <c r="R674" s="174"/>
      <c r="S674" s="174"/>
      <c r="T674" s="174"/>
      <c r="U674" s="174"/>
      <c r="V674" s="174"/>
      <c r="W674" s="174"/>
      <c r="X674" s="174"/>
      <c r="Y674" s="174"/>
      <c r="Z674" s="174"/>
      <c r="AA674" s="174"/>
    </row>
    <row r="675">
      <c r="A675" s="174"/>
      <c r="B675" s="174"/>
      <c r="C675" s="174"/>
      <c r="D675" s="174"/>
      <c r="E675" s="174"/>
      <c r="F675" s="175"/>
      <c r="G675" s="175"/>
      <c r="H675" s="174"/>
      <c r="I675" s="174"/>
      <c r="J675" s="174"/>
      <c r="K675" s="174"/>
      <c r="L675" s="174"/>
      <c r="M675" s="174"/>
      <c r="N675" s="174"/>
      <c r="O675" s="174"/>
      <c r="P675" s="174"/>
      <c r="Q675" s="174"/>
      <c r="R675" s="174"/>
      <c r="S675" s="174"/>
      <c r="T675" s="174"/>
      <c r="U675" s="174"/>
      <c r="V675" s="174"/>
      <c r="W675" s="174"/>
      <c r="X675" s="174"/>
      <c r="Y675" s="174"/>
      <c r="Z675" s="174"/>
      <c r="AA675" s="174"/>
    </row>
    <row r="676">
      <c r="A676" s="174"/>
      <c r="B676" s="174"/>
      <c r="C676" s="174"/>
      <c r="D676" s="174"/>
      <c r="E676" s="174"/>
      <c r="F676" s="175"/>
      <c r="G676" s="175"/>
      <c r="H676" s="174"/>
      <c r="I676" s="174"/>
      <c r="J676" s="174"/>
      <c r="K676" s="174"/>
      <c r="L676" s="174"/>
      <c r="M676" s="174"/>
      <c r="N676" s="174"/>
      <c r="O676" s="174"/>
      <c r="P676" s="174"/>
      <c r="Q676" s="174"/>
      <c r="R676" s="174"/>
      <c r="S676" s="174"/>
      <c r="T676" s="174"/>
      <c r="U676" s="174"/>
      <c r="V676" s="174"/>
      <c r="W676" s="174"/>
      <c r="X676" s="174"/>
      <c r="Y676" s="174"/>
      <c r="Z676" s="174"/>
      <c r="AA676" s="174"/>
    </row>
    <row r="677">
      <c r="A677" s="174"/>
      <c r="B677" s="174"/>
      <c r="C677" s="174"/>
      <c r="D677" s="174"/>
      <c r="E677" s="174"/>
      <c r="F677" s="175"/>
      <c r="G677" s="175"/>
      <c r="H677" s="174"/>
      <c r="I677" s="174"/>
      <c r="J677" s="174"/>
      <c r="K677" s="174"/>
      <c r="L677" s="174"/>
      <c r="M677" s="174"/>
      <c r="N677" s="174"/>
      <c r="O677" s="174"/>
      <c r="P677" s="174"/>
      <c r="Q677" s="174"/>
      <c r="R677" s="174"/>
      <c r="S677" s="174"/>
      <c r="T677" s="174"/>
      <c r="U677" s="174"/>
      <c r="V677" s="174"/>
      <c r="W677" s="174"/>
      <c r="X677" s="174"/>
      <c r="Y677" s="174"/>
      <c r="Z677" s="174"/>
      <c r="AA677" s="174"/>
    </row>
    <row r="678">
      <c r="A678" s="174"/>
      <c r="B678" s="174"/>
      <c r="C678" s="174"/>
      <c r="D678" s="174"/>
      <c r="E678" s="174"/>
      <c r="F678" s="175"/>
      <c r="G678" s="175"/>
      <c r="H678" s="174"/>
      <c r="I678" s="174"/>
      <c r="J678" s="174"/>
      <c r="K678" s="174"/>
      <c r="L678" s="174"/>
      <c r="M678" s="174"/>
      <c r="N678" s="174"/>
      <c r="O678" s="174"/>
      <c r="P678" s="174"/>
      <c r="Q678" s="174"/>
      <c r="R678" s="174"/>
      <c r="S678" s="174"/>
      <c r="T678" s="174"/>
      <c r="U678" s="174"/>
      <c r="V678" s="174"/>
      <c r="W678" s="174"/>
      <c r="X678" s="174"/>
      <c r="Y678" s="174"/>
      <c r="Z678" s="174"/>
      <c r="AA678" s="174"/>
    </row>
    <row r="679">
      <c r="A679" s="174"/>
      <c r="B679" s="174"/>
      <c r="C679" s="174"/>
      <c r="D679" s="174"/>
      <c r="E679" s="174"/>
      <c r="F679" s="175"/>
      <c r="G679" s="175"/>
      <c r="H679" s="174"/>
      <c r="I679" s="174"/>
      <c r="J679" s="174"/>
      <c r="K679" s="174"/>
      <c r="L679" s="174"/>
      <c r="M679" s="174"/>
      <c r="N679" s="174"/>
      <c r="O679" s="174"/>
      <c r="P679" s="174"/>
      <c r="Q679" s="174"/>
      <c r="R679" s="174"/>
      <c r="S679" s="174"/>
      <c r="T679" s="174"/>
      <c r="U679" s="174"/>
      <c r="V679" s="174"/>
      <c r="W679" s="174"/>
      <c r="X679" s="174"/>
      <c r="Y679" s="174"/>
      <c r="Z679" s="174"/>
      <c r="AA679" s="174"/>
    </row>
    <row r="680">
      <c r="A680" s="174"/>
      <c r="B680" s="174"/>
      <c r="C680" s="174"/>
      <c r="D680" s="174"/>
      <c r="E680" s="174"/>
      <c r="F680" s="175"/>
      <c r="G680" s="175"/>
      <c r="H680" s="174"/>
      <c r="I680" s="174"/>
      <c r="J680" s="174"/>
      <c r="K680" s="174"/>
      <c r="L680" s="174"/>
      <c r="M680" s="174"/>
      <c r="N680" s="174"/>
      <c r="O680" s="174"/>
      <c r="P680" s="174"/>
      <c r="Q680" s="174"/>
      <c r="R680" s="174"/>
      <c r="S680" s="174"/>
      <c r="T680" s="174"/>
      <c r="U680" s="174"/>
      <c r="V680" s="174"/>
      <c r="W680" s="174"/>
      <c r="X680" s="174"/>
      <c r="Y680" s="174"/>
      <c r="Z680" s="174"/>
      <c r="AA680" s="174"/>
    </row>
    <row r="681">
      <c r="A681" s="174"/>
      <c r="B681" s="174"/>
      <c r="C681" s="174"/>
      <c r="D681" s="174"/>
      <c r="E681" s="174"/>
      <c r="F681" s="175"/>
      <c r="G681" s="175"/>
      <c r="H681" s="174"/>
      <c r="I681" s="174"/>
      <c r="J681" s="174"/>
      <c r="K681" s="174"/>
      <c r="L681" s="174"/>
      <c r="M681" s="174"/>
      <c r="N681" s="174"/>
      <c r="O681" s="174"/>
      <c r="P681" s="174"/>
      <c r="Q681" s="174"/>
      <c r="R681" s="174"/>
      <c r="S681" s="174"/>
      <c r="T681" s="174"/>
      <c r="U681" s="174"/>
      <c r="V681" s="174"/>
      <c r="W681" s="174"/>
      <c r="X681" s="174"/>
      <c r="Y681" s="174"/>
      <c r="Z681" s="174"/>
      <c r="AA681" s="174"/>
    </row>
    <row r="682">
      <c r="A682" s="174"/>
      <c r="B682" s="174"/>
      <c r="C682" s="174"/>
      <c r="D682" s="174"/>
      <c r="E682" s="174"/>
      <c r="F682" s="175"/>
      <c r="G682" s="175"/>
      <c r="H682" s="174"/>
      <c r="I682" s="174"/>
      <c r="J682" s="174"/>
      <c r="K682" s="174"/>
      <c r="L682" s="174"/>
      <c r="M682" s="174"/>
      <c r="N682" s="174"/>
      <c r="O682" s="174"/>
      <c r="P682" s="174"/>
      <c r="Q682" s="174"/>
      <c r="R682" s="174"/>
      <c r="S682" s="174"/>
      <c r="T682" s="174"/>
      <c r="U682" s="174"/>
      <c r="V682" s="174"/>
      <c r="W682" s="174"/>
      <c r="X682" s="174"/>
      <c r="Y682" s="174"/>
      <c r="Z682" s="174"/>
      <c r="AA682" s="174"/>
    </row>
    <row r="683">
      <c r="A683" s="174"/>
      <c r="B683" s="174"/>
      <c r="C683" s="174"/>
      <c r="D683" s="174"/>
      <c r="E683" s="174"/>
      <c r="F683" s="175"/>
      <c r="G683" s="175"/>
      <c r="H683" s="174"/>
      <c r="I683" s="174"/>
      <c r="J683" s="174"/>
      <c r="K683" s="174"/>
      <c r="L683" s="174"/>
      <c r="M683" s="174"/>
      <c r="N683" s="174"/>
      <c r="O683" s="174"/>
      <c r="P683" s="174"/>
      <c r="Q683" s="174"/>
      <c r="R683" s="174"/>
      <c r="S683" s="174"/>
      <c r="T683" s="174"/>
      <c r="U683" s="174"/>
      <c r="V683" s="174"/>
      <c r="W683" s="174"/>
      <c r="X683" s="174"/>
      <c r="Y683" s="174"/>
      <c r="Z683" s="174"/>
      <c r="AA683" s="174"/>
    </row>
    <row r="684">
      <c r="A684" s="174"/>
      <c r="B684" s="174"/>
      <c r="C684" s="174"/>
      <c r="D684" s="174"/>
      <c r="E684" s="174"/>
      <c r="F684" s="175"/>
      <c r="G684" s="175"/>
      <c r="H684" s="174"/>
      <c r="I684" s="174"/>
      <c r="J684" s="174"/>
      <c r="K684" s="174"/>
      <c r="L684" s="174"/>
      <c r="M684" s="174"/>
      <c r="N684" s="174"/>
      <c r="O684" s="174"/>
      <c r="P684" s="174"/>
      <c r="Q684" s="174"/>
      <c r="R684" s="174"/>
      <c r="S684" s="174"/>
      <c r="T684" s="174"/>
      <c r="U684" s="174"/>
      <c r="V684" s="174"/>
      <c r="W684" s="174"/>
      <c r="X684" s="174"/>
      <c r="Y684" s="174"/>
      <c r="Z684" s="174"/>
      <c r="AA684" s="174"/>
    </row>
    <row r="685">
      <c r="A685" s="174"/>
      <c r="B685" s="174"/>
      <c r="C685" s="174"/>
      <c r="D685" s="174"/>
      <c r="E685" s="174"/>
      <c r="F685" s="175"/>
      <c r="G685" s="175"/>
      <c r="H685" s="174"/>
      <c r="I685" s="174"/>
      <c r="J685" s="174"/>
      <c r="K685" s="174"/>
      <c r="L685" s="174"/>
      <c r="M685" s="174"/>
      <c r="N685" s="174"/>
      <c r="O685" s="174"/>
      <c r="P685" s="174"/>
      <c r="Q685" s="174"/>
      <c r="R685" s="174"/>
      <c r="S685" s="174"/>
      <c r="T685" s="174"/>
      <c r="U685" s="174"/>
      <c r="V685" s="174"/>
      <c r="W685" s="174"/>
      <c r="X685" s="174"/>
      <c r="Y685" s="174"/>
      <c r="Z685" s="174"/>
      <c r="AA685" s="174"/>
    </row>
    <row r="686">
      <c r="A686" s="174"/>
      <c r="B686" s="174"/>
      <c r="C686" s="174"/>
      <c r="D686" s="174"/>
      <c r="E686" s="174"/>
      <c r="F686" s="175"/>
      <c r="G686" s="175"/>
      <c r="H686" s="174"/>
      <c r="I686" s="174"/>
      <c r="J686" s="174"/>
      <c r="K686" s="174"/>
      <c r="L686" s="174"/>
      <c r="M686" s="174"/>
      <c r="N686" s="174"/>
      <c r="O686" s="174"/>
      <c r="P686" s="174"/>
      <c r="Q686" s="174"/>
      <c r="R686" s="174"/>
      <c r="S686" s="174"/>
      <c r="T686" s="174"/>
      <c r="U686" s="174"/>
      <c r="V686" s="174"/>
      <c r="W686" s="174"/>
      <c r="X686" s="174"/>
      <c r="Y686" s="174"/>
      <c r="Z686" s="174"/>
      <c r="AA686" s="174"/>
    </row>
    <row r="687">
      <c r="A687" s="174"/>
      <c r="B687" s="174"/>
      <c r="C687" s="174"/>
      <c r="D687" s="174"/>
      <c r="E687" s="174"/>
      <c r="F687" s="175"/>
      <c r="G687" s="175"/>
      <c r="H687" s="174"/>
      <c r="I687" s="174"/>
      <c r="J687" s="174"/>
      <c r="K687" s="174"/>
      <c r="L687" s="174"/>
      <c r="M687" s="174"/>
      <c r="N687" s="174"/>
      <c r="O687" s="174"/>
      <c r="P687" s="174"/>
      <c r="Q687" s="174"/>
      <c r="R687" s="174"/>
      <c r="S687" s="174"/>
      <c r="T687" s="174"/>
      <c r="U687" s="174"/>
      <c r="V687" s="174"/>
      <c r="W687" s="174"/>
      <c r="X687" s="174"/>
      <c r="Y687" s="174"/>
      <c r="Z687" s="174"/>
      <c r="AA687" s="174"/>
    </row>
    <row r="688">
      <c r="A688" s="174"/>
      <c r="B688" s="174"/>
      <c r="C688" s="174"/>
      <c r="D688" s="174"/>
      <c r="E688" s="174"/>
      <c r="F688" s="175"/>
      <c r="G688" s="175"/>
      <c r="H688" s="174"/>
      <c r="I688" s="174"/>
      <c r="J688" s="174"/>
      <c r="K688" s="174"/>
      <c r="L688" s="174"/>
      <c r="M688" s="174"/>
      <c r="N688" s="174"/>
      <c r="O688" s="174"/>
      <c r="P688" s="174"/>
      <c r="Q688" s="174"/>
      <c r="R688" s="174"/>
      <c r="S688" s="174"/>
      <c r="T688" s="174"/>
      <c r="U688" s="174"/>
      <c r="V688" s="174"/>
      <c r="W688" s="174"/>
      <c r="X688" s="174"/>
      <c r="Y688" s="174"/>
      <c r="Z688" s="174"/>
      <c r="AA688" s="174"/>
    </row>
    <row r="689">
      <c r="A689" s="174"/>
      <c r="B689" s="174"/>
      <c r="C689" s="174"/>
      <c r="D689" s="174"/>
      <c r="E689" s="174"/>
      <c r="F689" s="175"/>
      <c r="G689" s="175"/>
      <c r="H689" s="174"/>
      <c r="I689" s="174"/>
      <c r="J689" s="174"/>
      <c r="K689" s="174"/>
      <c r="L689" s="174"/>
      <c r="M689" s="174"/>
      <c r="N689" s="174"/>
      <c r="O689" s="174"/>
      <c r="P689" s="174"/>
      <c r="Q689" s="174"/>
      <c r="R689" s="174"/>
      <c r="S689" s="174"/>
      <c r="T689" s="174"/>
      <c r="U689" s="174"/>
      <c r="V689" s="174"/>
      <c r="W689" s="174"/>
      <c r="X689" s="174"/>
      <c r="Y689" s="174"/>
      <c r="Z689" s="174"/>
      <c r="AA689" s="174"/>
    </row>
    <row r="690">
      <c r="A690" s="174"/>
      <c r="B690" s="174"/>
      <c r="C690" s="174"/>
      <c r="D690" s="174"/>
      <c r="E690" s="174"/>
      <c r="F690" s="175"/>
      <c r="G690" s="175"/>
      <c r="H690" s="174"/>
      <c r="I690" s="174"/>
      <c r="J690" s="174"/>
      <c r="K690" s="174"/>
      <c r="L690" s="174"/>
      <c r="M690" s="174"/>
      <c r="N690" s="174"/>
      <c r="O690" s="174"/>
      <c r="P690" s="174"/>
      <c r="Q690" s="174"/>
      <c r="R690" s="174"/>
      <c r="S690" s="174"/>
      <c r="T690" s="174"/>
      <c r="U690" s="174"/>
      <c r="V690" s="174"/>
      <c r="W690" s="174"/>
      <c r="X690" s="174"/>
      <c r="Y690" s="174"/>
      <c r="Z690" s="174"/>
      <c r="AA690" s="174"/>
    </row>
    <row r="691">
      <c r="A691" s="174"/>
      <c r="B691" s="174"/>
      <c r="C691" s="174"/>
      <c r="D691" s="174"/>
      <c r="E691" s="174"/>
      <c r="F691" s="175"/>
      <c r="G691" s="175"/>
      <c r="H691" s="174"/>
      <c r="I691" s="174"/>
      <c r="J691" s="174"/>
      <c r="K691" s="174"/>
      <c r="L691" s="174"/>
      <c r="M691" s="174"/>
      <c r="N691" s="174"/>
      <c r="O691" s="174"/>
      <c r="P691" s="174"/>
      <c r="Q691" s="174"/>
      <c r="R691" s="174"/>
      <c r="S691" s="174"/>
      <c r="T691" s="174"/>
      <c r="U691" s="174"/>
      <c r="V691" s="174"/>
      <c r="W691" s="174"/>
      <c r="X691" s="174"/>
      <c r="Y691" s="174"/>
      <c r="Z691" s="174"/>
      <c r="AA691" s="174"/>
    </row>
    <row r="692">
      <c r="A692" s="174"/>
      <c r="B692" s="174"/>
      <c r="C692" s="174"/>
      <c r="D692" s="174"/>
      <c r="E692" s="174"/>
      <c r="F692" s="175"/>
      <c r="G692" s="175"/>
      <c r="H692" s="174"/>
      <c r="I692" s="174"/>
      <c r="J692" s="174"/>
      <c r="K692" s="174"/>
      <c r="L692" s="174"/>
      <c r="M692" s="174"/>
      <c r="N692" s="174"/>
      <c r="O692" s="174"/>
      <c r="P692" s="174"/>
      <c r="Q692" s="174"/>
      <c r="R692" s="174"/>
      <c r="S692" s="174"/>
      <c r="T692" s="174"/>
      <c r="U692" s="174"/>
      <c r="V692" s="174"/>
      <c r="W692" s="174"/>
      <c r="X692" s="174"/>
      <c r="Y692" s="174"/>
      <c r="Z692" s="174"/>
      <c r="AA692" s="174"/>
    </row>
    <row r="693">
      <c r="A693" s="174"/>
      <c r="B693" s="174"/>
      <c r="C693" s="174"/>
      <c r="D693" s="174"/>
      <c r="E693" s="174"/>
      <c r="F693" s="175"/>
      <c r="G693" s="175"/>
      <c r="H693" s="174"/>
      <c r="I693" s="174"/>
      <c r="J693" s="174"/>
      <c r="K693" s="174"/>
      <c r="L693" s="174"/>
      <c r="M693" s="174"/>
      <c r="N693" s="174"/>
      <c r="O693" s="174"/>
      <c r="P693" s="174"/>
      <c r="Q693" s="174"/>
      <c r="R693" s="174"/>
      <c r="S693" s="174"/>
      <c r="T693" s="174"/>
      <c r="U693" s="174"/>
      <c r="V693" s="174"/>
      <c r="W693" s="174"/>
      <c r="X693" s="174"/>
      <c r="Y693" s="174"/>
      <c r="Z693" s="174"/>
      <c r="AA693" s="174"/>
    </row>
    <row r="694">
      <c r="A694" s="174"/>
      <c r="B694" s="174"/>
      <c r="C694" s="174"/>
      <c r="D694" s="174"/>
      <c r="E694" s="174"/>
      <c r="F694" s="175"/>
      <c r="G694" s="175"/>
      <c r="H694" s="174"/>
      <c r="I694" s="174"/>
      <c r="J694" s="174"/>
      <c r="K694" s="174"/>
      <c r="L694" s="174"/>
      <c r="M694" s="174"/>
      <c r="N694" s="174"/>
      <c r="O694" s="174"/>
      <c r="P694" s="174"/>
      <c r="Q694" s="174"/>
      <c r="R694" s="174"/>
      <c r="S694" s="174"/>
      <c r="T694" s="174"/>
      <c r="U694" s="174"/>
      <c r="V694" s="174"/>
      <c r="W694" s="174"/>
      <c r="X694" s="174"/>
      <c r="Y694" s="174"/>
      <c r="Z694" s="174"/>
      <c r="AA694" s="174"/>
    </row>
    <row r="695">
      <c r="A695" s="174"/>
      <c r="B695" s="174"/>
      <c r="C695" s="174"/>
      <c r="D695" s="174"/>
      <c r="E695" s="174"/>
      <c r="F695" s="175"/>
      <c r="G695" s="175"/>
      <c r="H695" s="174"/>
      <c r="I695" s="174"/>
      <c r="J695" s="174"/>
      <c r="K695" s="174"/>
      <c r="L695" s="174"/>
      <c r="M695" s="174"/>
      <c r="N695" s="174"/>
      <c r="O695" s="174"/>
      <c r="P695" s="174"/>
      <c r="Q695" s="174"/>
      <c r="R695" s="174"/>
      <c r="S695" s="174"/>
      <c r="T695" s="174"/>
      <c r="U695" s="174"/>
      <c r="V695" s="174"/>
      <c r="W695" s="174"/>
      <c r="X695" s="174"/>
      <c r="Y695" s="174"/>
      <c r="Z695" s="174"/>
      <c r="AA695" s="174"/>
    </row>
    <row r="696">
      <c r="A696" s="174"/>
      <c r="B696" s="174"/>
      <c r="C696" s="174"/>
      <c r="D696" s="174"/>
      <c r="E696" s="174"/>
      <c r="F696" s="175"/>
      <c r="G696" s="175"/>
      <c r="H696" s="174"/>
      <c r="I696" s="174"/>
      <c r="J696" s="174"/>
      <c r="K696" s="174"/>
      <c r="L696" s="174"/>
      <c r="M696" s="174"/>
      <c r="N696" s="174"/>
      <c r="O696" s="174"/>
      <c r="P696" s="174"/>
      <c r="Q696" s="174"/>
      <c r="R696" s="174"/>
      <c r="S696" s="174"/>
      <c r="T696" s="174"/>
      <c r="U696" s="174"/>
      <c r="V696" s="174"/>
      <c r="W696" s="174"/>
      <c r="X696" s="174"/>
      <c r="Y696" s="174"/>
      <c r="Z696" s="174"/>
      <c r="AA696" s="174"/>
    </row>
    <row r="697">
      <c r="A697" s="174"/>
      <c r="B697" s="174"/>
      <c r="C697" s="174"/>
      <c r="D697" s="174"/>
      <c r="E697" s="174"/>
      <c r="F697" s="175"/>
      <c r="G697" s="175"/>
      <c r="H697" s="174"/>
      <c r="I697" s="174"/>
      <c r="J697" s="174"/>
      <c r="K697" s="174"/>
      <c r="L697" s="174"/>
      <c r="M697" s="174"/>
      <c r="N697" s="174"/>
      <c r="O697" s="174"/>
      <c r="P697" s="174"/>
      <c r="Q697" s="174"/>
      <c r="R697" s="174"/>
      <c r="S697" s="174"/>
      <c r="T697" s="174"/>
      <c r="U697" s="174"/>
      <c r="V697" s="174"/>
      <c r="W697" s="174"/>
      <c r="X697" s="174"/>
      <c r="Y697" s="174"/>
      <c r="Z697" s="174"/>
      <c r="AA697" s="174"/>
    </row>
    <row r="698">
      <c r="A698" s="174"/>
      <c r="B698" s="174"/>
      <c r="C698" s="174"/>
      <c r="D698" s="174"/>
      <c r="E698" s="174"/>
      <c r="F698" s="175"/>
      <c r="G698" s="175"/>
      <c r="H698" s="174"/>
      <c r="I698" s="174"/>
      <c r="J698" s="174"/>
      <c r="K698" s="174"/>
      <c r="L698" s="174"/>
      <c r="M698" s="174"/>
      <c r="N698" s="174"/>
      <c r="O698" s="174"/>
      <c r="P698" s="174"/>
      <c r="Q698" s="174"/>
      <c r="R698" s="174"/>
      <c r="S698" s="174"/>
      <c r="T698" s="174"/>
      <c r="U698" s="174"/>
      <c r="V698" s="174"/>
      <c r="W698" s="174"/>
      <c r="X698" s="174"/>
      <c r="Y698" s="174"/>
      <c r="Z698" s="174"/>
      <c r="AA698" s="174"/>
    </row>
    <row r="699">
      <c r="A699" s="174"/>
      <c r="B699" s="174"/>
      <c r="C699" s="174"/>
      <c r="D699" s="174"/>
      <c r="E699" s="174"/>
      <c r="F699" s="175"/>
      <c r="G699" s="175"/>
      <c r="H699" s="174"/>
      <c r="I699" s="174"/>
      <c r="J699" s="174"/>
      <c r="K699" s="174"/>
      <c r="L699" s="174"/>
      <c r="M699" s="174"/>
      <c r="N699" s="174"/>
      <c r="O699" s="174"/>
      <c r="P699" s="174"/>
      <c r="Q699" s="174"/>
      <c r="R699" s="174"/>
      <c r="S699" s="174"/>
      <c r="T699" s="174"/>
      <c r="U699" s="174"/>
      <c r="V699" s="174"/>
      <c r="W699" s="174"/>
      <c r="X699" s="174"/>
      <c r="Y699" s="174"/>
      <c r="Z699" s="174"/>
      <c r="AA699" s="174"/>
    </row>
    <row r="700">
      <c r="A700" s="174"/>
      <c r="B700" s="174"/>
      <c r="C700" s="174"/>
      <c r="D700" s="174"/>
      <c r="E700" s="174"/>
      <c r="F700" s="175"/>
      <c r="G700" s="175"/>
      <c r="H700" s="174"/>
      <c r="I700" s="174"/>
      <c r="J700" s="174"/>
      <c r="K700" s="174"/>
      <c r="L700" s="174"/>
      <c r="M700" s="174"/>
      <c r="N700" s="174"/>
      <c r="O700" s="174"/>
      <c r="P700" s="174"/>
      <c r="Q700" s="174"/>
      <c r="R700" s="174"/>
      <c r="S700" s="174"/>
      <c r="T700" s="174"/>
      <c r="U700" s="174"/>
      <c r="V700" s="174"/>
      <c r="W700" s="174"/>
      <c r="X700" s="174"/>
      <c r="Y700" s="174"/>
      <c r="Z700" s="174"/>
      <c r="AA700" s="174"/>
    </row>
    <row r="701">
      <c r="A701" s="174"/>
      <c r="B701" s="174"/>
      <c r="C701" s="174"/>
      <c r="D701" s="174"/>
      <c r="E701" s="174"/>
      <c r="F701" s="175"/>
      <c r="G701" s="175"/>
      <c r="H701" s="174"/>
      <c r="I701" s="174"/>
      <c r="J701" s="174"/>
      <c r="K701" s="174"/>
      <c r="L701" s="174"/>
      <c r="M701" s="174"/>
      <c r="N701" s="174"/>
      <c r="O701" s="174"/>
      <c r="P701" s="174"/>
      <c r="Q701" s="174"/>
      <c r="R701" s="174"/>
      <c r="S701" s="174"/>
      <c r="T701" s="174"/>
      <c r="U701" s="174"/>
      <c r="V701" s="174"/>
      <c r="W701" s="174"/>
      <c r="X701" s="174"/>
      <c r="Y701" s="174"/>
      <c r="Z701" s="174"/>
      <c r="AA701" s="174"/>
    </row>
    <row r="702">
      <c r="A702" s="174"/>
      <c r="B702" s="174"/>
      <c r="C702" s="174"/>
      <c r="D702" s="174"/>
      <c r="E702" s="174"/>
      <c r="F702" s="175"/>
      <c r="G702" s="175"/>
      <c r="H702" s="174"/>
      <c r="I702" s="174"/>
      <c r="J702" s="174"/>
      <c r="K702" s="174"/>
      <c r="L702" s="174"/>
      <c r="M702" s="174"/>
      <c r="N702" s="174"/>
      <c r="O702" s="174"/>
      <c r="P702" s="174"/>
      <c r="Q702" s="174"/>
      <c r="R702" s="174"/>
      <c r="S702" s="174"/>
      <c r="T702" s="174"/>
      <c r="U702" s="174"/>
      <c r="V702" s="174"/>
      <c r="W702" s="174"/>
      <c r="X702" s="174"/>
      <c r="Y702" s="174"/>
      <c r="Z702" s="174"/>
      <c r="AA702" s="174"/>
    </row>
    <row r="703">
      <c r="A703" s="174"/>
      <c r="B703" s="174"/>
      <c r="C703" s="174"/>
      <c r="D703" s="174"/>
      <c r="E703" s="174"/>
      <c r="F703" s="175"/>
      <c r="G703" s="175"/>
      <c r="H703" s="174"/>
      <c r="I703" s="174"/>
      <c r="J703" s="174"/>
      <c r="K703" s="174"/>
      <c r="L703" s="174"/>
      <c r="M703" s="174"/>
      <c r="N703" s="174"/>
      <c r="O703" s="174"/>
      <c r="P703" s="174"/>
      <c r="Q703" s="174"/>
      <c r="R703" s="174"/>
      <c r="S703" s="174"/>
      <c r="T703" s="174"/>
      <c r="U703" s="174"/>
      <c r="V703" s="174"/>
      <c r="W703" s="174"/>
      <c r="X703" s="174"/>
      <c r="Y703" s="174"/>
      <c r="Z703" s="174"/>
      <c r="AA703" s="174"/>
    </row>
    <row r="704">
      <c r="A704" s="174"/>
      <c r="B704" s="174"/>
      <c r="C704" s="174"/>
      <c r="D704" s="174"/>
      <c r="E704" s="174"/>
      <c r="F704" s="175"/>
      <c r="G704" s="175"/>
      <c r="H704" s="174"/>
      <c r="I704" s="174"/>
      <c r="J704" s="174"/>
      <c r="K704" s="174"/>
      <c r="L704" s="174"/>
      <c r="M704" s="174"/>
      <c r="N704" s="174"/>
      <c r="O704" s="174"/>
      <c r="P704" s="174"/>
      <c r="Q704" s="174"/>
      <c r="R704" s="174"/>
      <c r="S704" s="174"/>
      <c r="T704" s="174"/>
      <c r="U704" s="174"/>
      <c r="V704" s="174"/>
      <c r="W704" s="174"/>
      <c r="X704" s="174"/>
      <c r="Y704" s="174"/>
      <c r="Z704" s="174"/>
      <c r="AA704" s="174"/>
    </row>
    <row r="705">
      <c r="A705" s="174"/>
      <c r="B705" s="174"/>
      <c r="C705" s="174"/>
      <c r="D705" s="174"/>
      <c r="E705" s="174"/>
      <c r="F705" s="175"/>
      <c r="G705" s="175"/>
      <c r="H705" s="174"/>
      <c r="I705" s="174"/>
      <c r="J705" s="174"/>
      <c r="K705" s="174"/>
      <c r="L705" s="174"/>
      <c r="M705" s="174"/>
      <c r="N705" s="174"/>
      <c r="O705" s="174"/>
      <c r="P705" s="174"/>
      <c r="Q705" s="174"/>
      <c r="R705" s="174"/>
      <c r="S705" s="174"/>
      <c r="T705" s="174"/>
      <c r="U705" s="174"/>
      <c r="V705" s="174"/>
      <c r="W705" s="174"/>
      <c r="X705" s="174"/>
      <c r="Y705" s="174"/>
      <c r="Z705" s="174"/>
      <c r="AA705" s="174"/>
    </row>
    <row r="706">
      <c r="A706" s="174"/>
      <c r="B706" s="174"/>
      <c r="C706" s="174"/>
      <c r="D706" s="174"/>
      <c r="E706" s="174"/>
      <c r="F706" s="175"/>
      <c r="G706" s="175"/>
      <c r="H706" s="174"/>
      <c r="I706" s="174"/>
      <c r="J706" s="174"/>
      <c r="K706" s="174"/>
      <c r="L706" s="174"/>
      <c r="M706" s="174"/>
      <c r="N706" s="174"/>
      <c r="O706" s="174"/>
      <c r="P706" s="174"/>
      <c r="Q706" s="174"/>
      <c r="R706" s="174"/>
      <c r="S706" s="174"/>
      <c r="T706" s="174"/>
      <c r="U706" s="174"/>
      <c r="V706" s="174"/>
      <c r="W706" s="174"/>
      <c r="X706" s="174"/>
      <c r="Y706" s="174"/>
      <c r="Z706" s="174"/>
      <c r="AA706" s="174"/>
    </row>
    <row r="707">
      <c r="A707" s="174"/>
      <c r="B707" s="174"/>
      <c r="C707" s="174"/>
      <c r="D707" s="174"/>
      <c r="E707" s="174"/>
      <c r="F707" s="175"/>
      <c r="G707" s="175"/>
      <c r="H707" s="174"/>
      <c r="I707" s="174"/>
      <c r="J707" s="174"/>
      <c r="K707" s="174"/>
      <c r="L707" s="174"/>
      <c r="M707" s="174"/>
      <c r="N707" s="174"/>
      <c r="O707" s="174"/>
      <c r="P707" s="174"/>
      <c r="Q707" s="174"/>
      <c r="R707" s="174"/>
      <c r="S707" s="174"/>
      <c r="T707" s="174"/>
      <c r="U707" s="174"/>
      <c r="V707" s="174"/>
      <c r="W707" s="174"/>
      <c r="X707" s="174"/>
      <c r="Y707" s="174"/>
      <c r="Z707" s="174"/>
      <c r="AA707" s="174"/>
    </row>
    <row r="708">
      <c r="A708" s="174"/>
      <c r="B708" s="174"/>
      <c r="C708" s="174"/>
      <c r="D708" s="174"/>
      <c r="E708" s="174"/>
      <c r="F708" s="175"/>
      <c r="G708" s="175"/>
      <c r="H708" s="174"/>
      <c r="I708" s="174"/>
      <c r="J708" s="174"/>
      <c r="K708" s="174"/>
      <c r="L708" s="174"/>
      <c r="M708" s="174"/>
      <c r="N708" s="174"/>
      <c r="O708" s="174"/>
      <c r="P708" s="174"/>
      <c r="Q708" s="174"/>
      <c r="R708" s="174"/>
      <c r="S708" s="174"/>
      <c r="T708" s="174"/>
      <c r="U708" s="174"/>
      <c r="V708" s="174"/>
      <c r="W708" s="174"/>
      <c r="X708" s="174"/>
      <c r="Y708" s="174"/>
      <c r="Z708" s="174"/>
      <c r="AA708" s="174"/>
    </row>
    <row r="709">
      <c r="A709" s="174"/>
      <c r="B709" s="174"/>
      <c r="C709" s="174"/>
      <c r="D709" s="174"/>
      <c r="E709" s="174"/>
      <c r="F709" s="175"/>
      <c r="G709" s="175"/>
      <c r="H709" s="174"/>
      <c r="I709" s="174"/>
      <c r="J709" s="174"/>
      <c r="K709" s="174"/>
      <c r="L709" s="174"/>
      <c r="M709" s="174"/>
      <c r="N709" s="174"/>
      <c r="O709" s="174"/>
      <c r="P709" s="174"/>
      <c r="Q709" s="174"/>
      <c r="R709" s="174"/>
      <c r="S709" s="174"/>
      <c r="T709" s="174"/>
      <c r="U709" s="174"/>
      <c r="V709" s="174"/>
      <c r="W709" s="174"/>
      <c r="X709" s="174"/>
      <c r="Y709" s="174"/>
      <c r="Z709" s="174"/>
      <c r="AA709" s="174"/>
    </row>
    <row r="710">
      <c r="A710" s="174"/>
      <c r="B710" s="174"/>
      <c r="C710" s="174"/>
      <c r="D710" s="174"/>
      <c r="E710" s="174"/>
      <c r="F710" s="175"/>
      <c r="G710" s="175"/>
      <c r="H710" s="174"/>
      <c r="I710" s="174"/>
      <c r="J710" s="174"/>
      <c r="K710" s="174"/>
      <c r="L710" s="174"/>
      <c r="M710" s="174"/>
      <c r="N710" s="174"/>
      <c r="O710" s="174"/>
      <c r="P710" s="174"/>
      <c r="Q710" s="174"/>
      <c r="R710" s="174"/>
      <c r="S710" s="174"/>
      <c r="T710" s="174"/>
      <c r="U710" s="174"/>
      <c r="V710" s="174"/>
      <c r="W710" s="174"/>
      <c r="X710" s="174"/>
      <c r="Y710" s="174"/>
      <c r="Z710" s="174"/>
      <c r="AA710" s="174"/>
    </row>
    <row r="711">
      <c r="A711" s="174"/>
      <c r="B711" s="174"/>
      <c r="C711" s="174"/>
      <c r="D711" s="174"/>
      <c r="E711" s="174"/>
      <c r="F711" s="175"/>
      <c r="G711" s="175"/>
      <c r="H711" s="174"/>
      <c r="I711" s="174"/>
      <c r="J711" s="174"/>
      <c r="K711" s="174"/>
      <c r="L711" s="174"/>
      <c r="M711" s="174"/>
      <c r="N711" s="174"/>
      <c r="O711" s="174"/>
      <c r="P711" s="174"/>
      <c r="Q711" s="174"/>
      <c r="R711" s="174"/>
      <c r="S711" s="174"/>
      <c r="T711" s="174"/>
      <c r="U711" s="174"/>
      <c r="V711" s="174"/>
      <c r="W711" s="174"/>
      <c r="X711" s="174"/>
      <c r="Y711" s="174"/>
      <c r="Z711" s="174"/>
      <c r="AA711" s="174"/>
    </row>
    <row r="712">
      <c r="A712" s="174"/>
      <c r="B712" s="174"/>
      <c r="C712" s="174"/>
      <c r="D712" s="174"/>
      <c r="E712" s="174"/>
      <c r="F712" s="175"/>
      <c r="G712" s="175"/>
      <c r="H712" s="174"/>
      <c r="I712" s="174"/>
      <c r="J712" s="174"/>
      <c r="K712" s="174"/>
      <c r="L712" s="174"/>
      <c r="M712" s="174"/>
      <c r="N712" s="174"/>
      <c r="O712" s="174"/>
      <c r="P712" s="174"/>
      <c r="Q712" s="174"/>
      <c r="R712" s="174"/>
      <c r="S712" s="174"/>
      <c r="T712" s="174"/>
      <c r="U712" s="174"/>
      <c r="V712" s="174"/>
      <c r="W712" s="174"/>
      <c r="X712" s="174"/>
      <c r="Y712" s="174"/>
      <c r="Z712" s="174"/>
      <c r="AA712" s="174"/>
    </row>
    <row r="713">
      <c r="A713" s="174"/>
      <c r="B713" s="174"/>
      <c r="C713" s="174"/>
      <c r="D713" s="174"/>
      <c r="E713" s="174"/>
      <c r="F713" s="175"/>
      <c r="G713" s="175"/>
      <c r="H713" s="174"/>
      <c r="I713" s="174"/>
      <c r="J713" s="174"/>
      <c r="K713" s="174"/>
      <c r="L713" s="174"/>
      <c r="M713" s="174"/>
      <c r="N713" s="174"/>
      <c r="O713" s="174"/>
      <c r="P713" s="174"/>
      <c r="Q713" s="174"/>
      <c r="R713" s="174"/>
      <c r="S713" s="174"/>
      <c r="T713" s="174"/>
      <c r="U713" s="174"/>
      <c r="V713" s="174"/>
      <c r="W713" s="174"/>
      <c r="X713" s="174"/>
      <c r="Y713" s="174"/>
      <c r="Z713" s="174"/>
      <c r="AA713" s="174"/>
    </row>
    <row r="714">
      <c r="A714" s="174"/>
      <c r="B714" s="174"/>
      <c r="C714" s="174"/>
      <c r="D714" s="174"/>
      <c r="E714" s="174"/>
      <c r="F714" s="175"/>
      <c r="G714" s="175"/>
      <c r="H714" s="174"/>
      <c r="I714" s="174"/>
      <c r="J714" s="174"/>
      <c r="K714" s="174"/>
      <c r="L714" s="174"/>
      <c r="M714" s="174"/>
      <c r="N714" s="174"/>
      <c r="O714" s="174"/>
      <c r="P714" s="174"/>
      <c r="Q714" s="174"/>
      <c r="R714" s="174"/>
      <c r="S714" s="174"/>
      <c r="T714" s="174"/>
      <c r="U714" s="174"/>
      <c r="V714" s="174"/>
      <c r="W714" s="174"/>
      <c r="X714" s="174"/>
      <c r="Y714" s="174"/>
      <c r="Z714" s="174"/>
      <c r="AA714" s="174"/>
    </row>
    <row r="715">
      <c r="A715" s="174"/>
      <c r="B715" s="174"/>
      <c r="C715" s="174"/>
      <c r="D715" s="174"/>
      <c r="E715" s="174"/>
      <c r="F715" s="175"/>
      <c r="G715" s="175"/>
      <c r="H715" s="174"/>
      <c r="I715" s="174"/>
      <c r="J715" s="174"/>
      <c r="K715" s="174"/>
      <c r="L715" s="174"/>
      <c r="M715" s="174"/>
      <c r="N715" s="174"/>
      <c r="O715" s="174"/>
      <c r="P715" s="174"/>
      <c r="Q715" s="174"/>
      <c r="R715" s="174"/>
      <c r="S715" s="174"/>
      <c r="T715" s="174"/>
      <c r="U715" s="174"/>
      <c r="V715" s="174"/>
      <c r="W715" s="174"/>
      <c r="X715" s="174"/>
      <c r="Y715" s="174"/>
      <c r="Z715" s="174"/>
      <c r="AA715" s="174"/>
    </row>
    <row r="716">
      <c r="A716" s="174"/>
      <c r="B716" s="174"/>
      <c r="C716" s="174"/>
      <c r="D716" s="174"/>
      <c r="E716" s="174"/>
      <c r="F716" s="175"/>
      <c r="G716" s="175"/>
      <c r="H716" s="174"/>
      <c r="I716" s="174"/>
      <c r="J716" s="174"/>
      <c r="K716" s="174"/>
      <c r="L716" s="174"/>
      <c r="M716" s="174"/>
      <c r="N716" s="174"/>
      <c r="O716" s="174"/>
      <c r="P716" s="174"/>
      <c r="Q716" s="174"/>
      <c r="R716" s="174"/>
      <c r="S716" s="174"/>
      <c r="T716" s="174"/>
      <c r="U716" s="174"/>
      <c r="V716" s="174"/>
      <c r="W716" s="174"/>
      <c r="X716" s="174"/>
      <c r="Y716" s="174"/>
      <c r="Z716" s="174"/>
      <c r="AA716" s="174"/>
    </row>
    <row r="717">
      <c r="A717" s="174"/>
      <c r="B717" s="174"/>
      <c r="C717" s="174"/>
      <c r="D717" s="174"/>
      <c r="E717" s="174"/>
      <c r="F717" s="175"/>
      <c r="G717" s="175"/>
      <c r="H717" s="174"/>
      <c r="I717" s="174"/>
      <c r="J717" s="174"/>
      <c r="K717" s="174"/>
      <c r="L717" s="174"/>
      <c r="M717" s="174"/>
      <c r="N717" s="174"/>
      <c r="O717" s="174"/>
      <c r="P717" s="174"/>
      <c r="Q717" s="174"/>
      <c r="R717" s="174"/>
      <c r="S717" s="174"/>
      <c r="T717" s="174"/>
      <c r="U717" s="174"/>
      <c r="V717" s="174"/>
      <c r="W717" s="174"/>
      <c r="X717" s="174"/>
      <c r="Y717" s="174"/>
      <c r="Z717" s="174"/>
      <c r="AA717" s="174"/>
    </row>
    <row r="718">
      <c r="A718" s="174"/>
      <c r="B718" s="174"/>
      <c r="C718" s="174"/>
      <c r="D718" s="174"/>
      <c r="E718" s="174"/>
      <c r="F718" s="175"/>
      <c r="G718" s="175"/>
      <c r="H718" s="174"/>
      <c r="I718" s="174"/>
      <c r="J718" s="174"/>
      <c r="K718" s="174"/>
      <c r="L718" s="174"/>
      <c r="M718" s="174"/>
      <c r="N718" s="174"/>
      <c r="O718" s="174"/>
      <c r="P718" s="174"/>
      <c r="Q718" s="174"/>
      <c r="R718" s="174"/>
      <c r="S718" s="174"/>
      <c r="T718" s="174"/>
      <c r="U718" s="174"/>
      <c r="V718" s="174"/>
      <c r="W718" s="174"/>
      <c r="X718" s="174"/>
      <c r="Y718" s="174"/>
      <c r="Z718" s="174"/>
      <c r="AA718" s="174"/>
    </row>
    <row r="719">
      <c r="A719" s="174"/>
      <c r="B719" s="174"/>
      <c r="C719" s="174"/>
      <c r="D719" s="174"/>
      <c r="E719" s="174"/>
      <c r="F719" s="175"/>
      <c r="G719" s="175"/>
      <c r="H719" s="174"/>
      <c r="I719" s="174"/>
      <c r="J719" s="174"/>
      <c r="K719" s="174"/>
      <c r="L719" s="174"/>
      <c r="M719" s="174"/>
      <c r="N719" s="174"/>
      <c r="O719" s="174"/>
      <c r="P719" s="174"/>
      <c r="Q719" s="174"/>
      <c r="R719" s="174"/>
      <c r="S719" s="174"/>
      <c r="T719" s="174"/>
      <c r="U719" s="174"/>
      <c r="V719" s="174"/>
      <c r="W719" s="174"/>
      <c r="X719" s="174"/>
      <c r="Y719" s="174"/>
      <c r="Z719" s="174"/>
      <c r="AA719" s="174"/>
    </row>
    <row r="720">
      <c r="A720" s="174"/>
      <c r="B720" s="174"/>
      <c r="C720" s="174"/>
      <c r="D720" s="174"/>
      <c r="E720" s="174"/>
      <c r="F720" s="175"/>
      <c r="G720" s="175"/>
      <c r="H720" s="174"/>
      <c r="I720" s="174"/>
      <c r="J720" s="174"/>
      <c r="K720" s="174"/>
      <c r="L720" s="174"/>
      <c r="M720" s="174"/>
      <c r="N720" s="174"/>
      <c r="O720" s="174"/>
      <c r="P720" s="174"/>
      <c r="Q720" s="174"/>
      <c r="R720" s="174"/>
      <c r="S720" s="174"/>
      <c r="T720" s="174"/>
      <c r="U720" s="174"/>
      <c r="V720" s="174"/>
      <c r="W720" s="174"/>
      <c r="X720" s="174"/>
      <c r="Y720" s="174"/>
      <c r="Z720" s="174"/>
      <c r="AA720" s="174"/>
    </row>
    <row r="721">
      <c r="A721" s="174"/>
      <c r="B721" s="174"/>
      <c r="C721" s="174"/>
      <c r="D721" s="174"/>
      <c r="E721" s="174"/>
      <c r="F721" s="175"/>
      <c r="G721" s="175"/>
      <c r="H721" s="174"/>
      <c r="I721" s="174"/>
      <c r="J721" s="174"/>
      <c r="K721" s="174"/>
      <c r="L721" s="174"/>
      <c r="M721" s="174"/>
      <c r="N721" s="174"/>
      <c r="O721" s="174"/>
      <c r="P721" s="174"/>
      <c r="Q721" s="174"/>
      <c r="R721" s="174"/>
      <c r="S721" s="174"/>
      <c r="T721" s="174"/>
      <c r="U721" s="174"/>
      <c r="V721" s="174"/>
      <c r="W721" s="174"/>
      <c r="X721" s="174"/>
      <c r="Y721" s="174"/>
      <c r="Z721" s="174"/>
      <c r="AA721" s="174"/>
    </row>
    <row r="722">
      <c r="A722" s="174"/>
      <c r="B722" s="174"/>
      <c r="C722" s="174"/>
      <c r="D722" s="174"/>
      <c r="E722" s="174"/>
      <c r="F722" s="175"/>
      <c r="G722" s="175"/>
      <c r="H722" s="174"/>
      <c r="I722" s="174"/>
      <c r="J722" s="174"/>
      <c r="K722" s="174"/>
      <c r="L722" s="174"/>
      <c r="M722" s="174"/>
      <c r="N722" s="174"/>
      <c r="O722" s="174"/>
      <c r="P722" s="174"/>
      <c r="Q722" s="174"/>
      <c r="R722" s="174"/>
      <c r="S722" s="174"/>
      <c r="T722" s="174"/>
      <c r="U722" s="174"/>
      <c r="V722" s="174"/>
      <c r="W722" s="174"/>
      <c r="X722" s="174"/>
      <c r="Y722" s="174"/>
      <c r="Z722" s="174"/>
      <c r="AA722" s="174"/>
    </row>
    <row r="723">
      <c r="A723" s="174"/>
      <c r="B723" s="174"/>
      <c r="C723" s="174"/>
      <c r="D723" s="174"/>
      <c r="E723" s="174"/>
      <c r="F723" s="175"/>
      <c r="G723" s="175"/>
      <c r="H723" s="174"/>
      <c r="I723" s="174"/>
      <c r="J723" s="174"/>
      <c r="K723" s="174"/>
      <c r="L723" s="174"/>
      <c r="M723" s="174"/>
      <c r="N723" s="174"/>
      <c r="O723" s="174"/>
      <c r="P723" s="174"/>
      <c r="Q723" s="174"/>
      <c r="R723" s="174"/>
      <c r="S723" s="174"/>
      <c r="T723" s="174"/>
      <c r="U723" s="174"/>
      <c r="V723" s="174"/>
      <c r="W723" s="174"/>
      <c r="X723" s="174"/>
      <c r="Y723" s="174"/>
      <c r="Z723" s="174"/>
      <c r="AA723" s="174"/>
    </row>
    <row r="724">
      <c r="A724" s="174"/>
      <c r="B724" s="174"/>
      <c r="C724" s="174"/>
      <c r="D724" s="174"/>
      <c r="E724" s="174"/>
      <c r="F724" s="175"/>
      <c r="G724" s="175"/>
      <c r="H724" s="174"/>
      <c r="I724" s="174"/>
      <c r="J724" s="174"/>
      <c r="K724" s="174"/>
      <c r="L724" s="174"/>
      <c r="M724" s="174"/>
      <c r="N724" s="174"/>
      <c r="O724" s="174"/>
      <c r="P724" s="174"/>
      <c r="Q724" s="174"/>
      <c r="R724" s="174"/>
      <c r="S724" s="174"/>
      <c r="T724" s="174"/>
      <c r="U724" s="174"/>
      <c r="V724" s="174"/>
      <c r="W724" s="174"/>
      <c r="X724" s="174"/>
      <c r="Y724" s="174"/>
      <c r="Z724" s="174"/>
      <c r="AA724" s="174"/>
    </row>
    <row r="725">
      <c r="A725" s="174"/>
      <c r="B725" s="174"/>
      <c r="C725" s="174"/>
      <c r="D725" s="174"/>
      <c r="E725" s="174"/>
      <c r="F725" s="175"/>
      <c r="G725" s="175"/>
      <c r="H725" s="174"/>
      <c r="I725" s="174"/>
      <c r="J725" s="174"/>
      <c r="K725" s="174"/>
      <c r="L725" s="174"/>
      <c r="M725" s="174"/>
      <c r="N725" s="174"/>
      <c r="O725" s="174"/>
      <c r="P725" s="174"/>
      <c r="Q725" s="174"/>
      <c r="R725" s="174"/>
      <c r="S725" s="174"/>
      <c r="T725" s="174"/>
      <c r="U725" s="174"/>
      <c r="V725" s="174"/>
      <c r="W725" s="174"/>
      <c r="X725" s="174"/>
      <c r="Y725" s="174"/>
      <c r="Z725" s="174"/>
      <c r="AA725" s="174"/>
    </row>
    <row r="726">
      <c r="A726" s="174"/>
      <c r="B726" s="174"/>
      <c r="C726" s="174"/>
      <c r="D726" s="174"/>
      <c r="E726" s="174"/>
      <c r="F726" s="175"/>
      <c r="G726" s="175"/>
      <c r="H726" s="174"/>
      <c r="I726" s="174"/>
      <c r="J726" s="174"/>
      <c r="K726" s="174"/>
      <c r="L726" s="174"/>
      <c r="M726" s="174"/>
      <c r="N726" s="174"/>
      <c r="O726" s="174"/>
      <c r="P726" s="174"/>
      <c r="Q726" s="174"/>
      <c r="R726" s="174"/>
      <c r="S726" s="174"/>
      <c r="T726" s="174"/>
      <c r="U726" s="174"/>
      <c r="V726" s="174"/>
      <c r="W726" s="174"/>
      <c r="X726" s="174"/>
      <c r="Y726" s="174"/>
      <c r="Z726" s="174"/>
      <c r="AA726" s="174"/>
    </row>
    <row r="727">
      <c r="A727" s="174"/>
      <c r="B727" s="174"/>
      <c r="C727" s="174"/>
      <c r="D727" s="174"/>
      <c r="E727" s="174"/>
      <c r="F727" s="175"/>
      <c r="G727" s="175"/>
      <c r="H727" s="174"/>
      <c r="I727" s="174"/>
      <c r="J727" s="174"/>
      <c r="K727" s="174"/>
      <c r="L727" s="174"/>
      <c r="M727" s="174"/>
      <c r="N727" s="174"/>
      <c r="O727" s="174"/>
      <c r="P727" s="174"/>
      <c r="Q727" s="174"/>
      <c r="R727" s="174"/>
      <c r="S727" s="174"/>
      <c r="T727" s="174"/>
      <c r="U727" s="174"/>
      <c r="V727" s="174"/>
      <c r="W727" s="174"/>
      <c r="X727" s="174"/>
      <c r="Y727" s="174"/>
      <c r="Z727" s="174"/>
      <c r="AA727" s="174"/>
    </row>
    <row r="728">
      <c r="A728" s="174"/>
      <c r="B728" s="174"/>
      <c r="C728" s="174"/>
      <c r="D728" s="174"/>
      <c r="E728" s="174"/>
      <c r="F728" s="175"/>
      <c r="G728" s="175"/>
      <c r="H728" s="174"/>
      <c r="I728" s="174"/>
      <c r="J728" s="174"/>
      <c r="K728" s="174"/>
      <c r="L728" s="174"/>
      <c r="M728" s="174"/>
      <c r="N728" s="174"/>
      <c r="O728" s="174"/>
      <c r="P728" s="174"/>
      <c r="Q728" s="174"/>
      <c r="R728" s="174"/>
      <c r="S728" s="174"/>
      <c r="T728" s="174"/>
      <c r="U728" s="174"/>
      <c r="V728" s="174"/>
      <c r="W728" s="174"/>
      <c r="X728" s="174"/>
      <c r="Y728" s="174"/>
      <c r="Z728" s="174"/>
      <c r="AA728" s="174"/>
    </row>
    <row r="729">
      <c r="A729" s="174"/>
      <c r="B729" s="174"/>
      <c r="C729" s="174"/>
      <c r="D729" s="174"/>
      <c r="E729" s="174"/>
      <c r="F729" s="175"/>
      <c r="G729" s="175"/>
      <c r="H729" s="174"/>
      <c r="I729" s="174"/>
      <c r="J729" s="174"/>
      <c r="K729" s="174"/>
      <c r="L729" s="174"/>
      <c r="M729" s="174"/>
      <c r="N729" s="174"/>
      <c r="O729" s="174"/>
      <c r="P729" s="174"/>
      <c r="Q729" s="174"/>
      <c r="R729" s="174"/>
      <c r="S729" s="174"/>
      <c r="T729" s="174"/>
      <c r="U729" s="174"/>
      <c r="V729" s="174"/>
      <c r="W729" s="174"/>
      <c r="X729" s="174"/>
      <c r="Y729" s="174"/>
      <c r="Z729" s="174"/>
      <c r="AA729" s="174"/>
    </row>
    <row r="730">
      <c r="A730" s="174"/>
      <c r="B730" s="174"/>
      <c r="C730" s="174"/>
      <c r="D730" s="174"/>
      <c r="E730" s="174"/>
      <c r="F730" s="175"/>
      <c r="G730" s="175"/>
      <c r="H730" s="174"/>
      <c r="I730" s="174"/>
      <c r="J730" s="174"/>
      <c r="K730" s="174"/>
      <c r="L730" s="174"/>
      <c r="M730" s="174"/>
      <c r="N730" s="174"/>
      <c r="O730" s="174"/>
      <c r="P730" s="174"/>
      <c r="Q730" s="174"/>
      <c r="R730" s="174"/>
      <c r="S730" s="174"/>
      <c r="T730" s="174"/>
      <c r="U730" s="174"/>
      <c r="V730" s="174"/>
      <c r="W730" s="174"/>
      <c r="X730" s="174"/>
      <c r="Y730" s="174"/>
      <c r="Z730" s="174"/>
      <c r="AA730" s="174"/>
    </row>
    <row r="731">
      <c r="A731" s="174"/>
      <c r="B731" s="174"/>
      <c r="C731" s="174"/>
      <c r="D731" s="174"/>
      <c r="E731" s="174"/>
      <c r="F731" s="175"/>
      <c r="G731" s="175"/>
      <c r="H731" s="174"/>
      <c r="I731" s="174"/>
      <c r="J731" s="174"/>
      <c r="K731" s="174"/>
      <c r="L731" s="174"/>
      <c r="M731" s="174"/>
      <c r="N731" s="174"/>
      <c r="O731" s="174"/>
      <c r="P731" s="174"/>
      <c r="Q731" s="174"/>
      <c r="R731" s="174"/>
      <c r="S731" s="174"/>
      <c r="T731" s="174"/>
      <c r="U731" s="174"/>
      <c r="V731" s="174"/>
      <c r="W731" s="174"/>
      <c r="X731" s="174"/>
      <c r="Y731" s="174"/>
      <c r="Z731" s="174"/>
      <c r="AA731" s="174"/>
    </row>
    <row r="732">
      <c r="A732" s="174"/>
      <c r="B732" s="174"/>
      <c r="C732" s="174"/>
      <c r="D732" s="174"/>
      <c r="E732" s="174"/>
      <c r="F732" s="175"/>
      <c r="G732" s="175"/>
      <c r="H732" s="174"/>
      <c r="I732" s="174"/>
      <c r="J732" s="174"/>
      <c r="K732" s="174"/>
      <c r="L732" s="174"/>
      <c r="M732" s="174"/>
      <c r="N732" s="174"/>
      <c r="O732" s="174"/>
      <c r="P732" s="174"/>
      <c r="Q732" s="174"/>
      <c r="R732" s="174"/>
      <c r="S732" s="174"/>
      <c r="T732" s="174"/>
      <c r="U732" s="174"/>
      <c r="V732" s="174"/>
      <c r="W732" s="174"/>
      <c r="X732" s="174"/>
      <c r="Y732" s="174"/>
      <c r="Z732" s="174"/>
      <c r="AA732" s="174"/>
    </row>
    <row r="733">
      <c r="A733" s="174"/>
      <c r="B733" s="174"/>
      <c r="C733" s="174"/>
      <c r="D733" s="174"/>
      <c r="E733" s="174"/>
      <c r="F733" s="175"/>
      <c r="G733" s="175"/>
      <c r="H733" s="174"/>
      <c r="I733" s="174"/>
      <c r="J733" s="174"/>
      <c r="K733" s="174"/>
      <c r="L733" s="174"/>
      <c r="M733" s="174"/>
      <c r="N733" s="174"/>
      <c r="O733" s="174"/>
      <c r="P733" s="174"/>
      <c r="Q733" s="174"/>
      <c r="R733" s="174"/>
      <c r="S733" s="174"/>
      <c r="T733" s="174"/>
      <c r="U733" s="174"/>
      <c r="V733" s="174"/>
      <c r="W733" s="174"/>
      <c r="X733" s="174"/>
      <c r="Y733" s="174"/>
      <c r="Z733" s="174"/>
      <c r="AA733" s="174"/>
    </row>
    <row r="734">
      <c r="A734" s="174"/>
      <c r="B734" s="174"/>
      <c r="C734" s="174"/>
      <c r="D734" s="174"/>
      <c r="E734" s="174"/>
      <c r="F734" s="175"/>
      <c r="G734" s="175"/>
      <c r="H734" s="174"/>
      <c r="I734" s="174"/>
      <c r="J734" s="174"/>
      <c r="K734" s="174"/>
      <c r="L734" s="174"/>
      <c r="M734" s="174"/>
      <c r="N734" s="174"/>
      <c r="O734" s="174"/>
      <c r="P734" s="174"/>
      <c r="Q734" s="174"/>
      <c r="R734" s="174"/>
      <c r="S734" s="174"/>
      <c r="T734" s="174"/>
      <c r="U734" s="174"/>
      <c r="V734" s="174"/>
      <c r="W734" s="174"/>
      <c r="X734" s="174"/>
      <c r="Y734" s="174"/>
      <c r="Z734" s="174"/>
      <c r="AA734" s="174"/>
    </row>
    <row r="735">
      <c r="A735" s="174"/>
      <c r="B735" s="174"/>
      <c r="C735" s="174"/>
      <c r="D735" s="174"/>
      <c r="E735" s="174"/>
      <c r="F735" s="175"/>
      <c r="G735" s="175"/>
      <c r="H735" s="174"/>
      <c r="I735" s="174"/>
      <c r="J735" s="174"/>
      <c r="K735" s="174"/>
      <c r="L735" s="174"/>
      <c r="M735" s="174"/>
      <c r="N735" s="174"/>
      <c r="O735" s="174"/>
      <c r="P735" s="174"/>
      <c r="Q735" s="174"/>
      <c r="R735" s="174"/>
      <c r="S735" s="174"/>
      <c r="T735" s="174"/>
      <c r="U735" s="174"/>
      <c r="V735" s="174"/>
      <c r="W735" s="174"/>
      <c r="X735" s="174"/>
      <c r="Y735" s="174"/>
      <c r="Z735" s="174"/>
      <c r="AA735" s="174"/>
    </row>
    <row r="736">
      <c r="A736" s="174"/>
      <c r="B736" s="174"/>
      <c r="C736" s="174"/>
      <c r="D736" s="174"/>
      <c r="E736" s="174"/>
      <c r="F736" s="175"/>
      <c r="G736" s="175"/>
      <c r="H736" s="174"/>
      <c r="I736" s="174"/>
      <c r="J736" s="174"/>
      <c r="K736" s="174"/>
      <c r="L736" s="174"/>
      <c r="M736" s="174"/>
      <c r="N736" s="174"/>
      <c r="O736" s="174"/>
      <c r="P736" s="174"/>
      <c r="Q736" s="174"/>
      <c r="R736" s="174"/>
      <c r="S736" s="174"/>
      <c r="T736" s="174"/>
      <c r="U736" s="174"/>
      <c r="V736" s="174"/>
      <c r="W736" s="174"/>
      <c r="X736" s="174"/>
      <c r="Y736" s="174"/>
      <c r="Z736" s="174"/>
      <c r="AA736" s="174"/>
    </row>
    <row r="737">
      <c r="A737" s="174"/>
      <c r="B737" s="174"/>
      <c r="C737" s="174"/>
      <c r="D737" s="174"/>
      <c r="E737" s="174"/>
      <c r="F737" s="175"/>
      <c r="G737" s="175"/>
      <c r="H737" s="174"/>
      <c r="I737" s="174"/>
      <c r="J737" s="174"/>
      <c r="K737" s="174"/>
      <c r="L737" s="174"/>
      <c r="M737" s="174"/>
      <c r="N737" s="174"/>
      <c r="O737" s="174"/>
      <c r="P737" s="174"/>
      <c r="Q737" s="174"/>
      <c r="R737" s="174"/>
      <c r="S737" s="174"/>
      <c r="T737" s="174"/>
      <c r="U737" s="174"/>
      <c r="V737" s="174"/>
      <c r="W737" s="174"/>
      <c r="X737" s="174"/>
      <c r="Y737" s="174"/>
      <c r="Z737" s="174"/>
      <c r="AA737" s="174"/>
    </row>
    <row r="738">
      <c r="A738" s="174"/>
      <c r="B738" s="174"/>
      <c r="C738" s="174"/>
      <c r="D738" s="174"/>
      <c r="E738" s="174"/>
      <c r="F738" s="175"/>
      <c r="G738" s="175"/>
      <c r="H738" s="174"/>
      <c r="I738" s="174"/>
      <c r="J738" s="174"/>
      <c r="K738" s="174"/>
      <c r="L738" s="174"/>
      <c r="M738" s="174"/>
      <c r="N738" s="174"/>
      <c r="O738" s="174"/>
      <c r="P738" s="174"/>
      <c r="Q738" s="174"/>
      <c r="R738" s="174"/>
      <c r="S738" s="174"/>
      <c r="T738" s="174"/>
      <c r="U738" s="174"/>
      <c r="V738" s="174"/>
      <c r="W738" s="174"/>
      <c r="X738" s="174"/>
      <c r="Y738" s="174"/>
      <c r="Z738" s="174"/>
      <c r="AA738" s="174"/>
    </row>
    <row r="739">
      <c r="A739" s="174"/>
      <c r="B739" s="174"/>
      <c r="C739" s="174"/>
      <c r="D739" s="174"/>
      <c r="E739" s="174"/>
      <c r="F739" s="175"/>
      <c r="G739" s="175"/>
      <c r="H739" s="174"/>
      <c r="I739" s="174"/>
      <c r="J739" s="174"/>
      <c r="K739" s="174"/>
      <c r="L739" s="174"/>
      <c r="M739" s="174"/>
      <c r="N739" s="174"/>
      <c r="O739" s="174"/>
      <c r="P739" s="174"/>
      <c r="Q739" s="174"/>
      <c r="R739" s="174"/>
      <c r="S739" s="174"/>
      <c r="T739" s="174"/>
      <c r="U739" s="174"/>
      <c r="V739" s="174"/>
      <c r="W739" s="174"/>
      <c r="X739" s="174"/>
      <c r="Y739" s="174"/>
      <c r="Z739" s="174"/>
      <c r="AA739" s="174"/>
    </row>
    <row r="740">
      <c r="A740" s="174"/>
      <c r="B740" s="174"/>
      <c r="C740" s="174"/>
      <c r="D740" s="174"/>
      <c r="E740" s="174"/>
      <c r="F740" s="175"/>
      <c r="G740" s="175"/>
      <c r="H740" s="174"/>
      <c r="I740" s="174"/>
      <c r="J740" s="174"/>
      <c r="K740" s="174"/>
      <c r="L740" s="174"/>
      <c r="M740" s="174"/>
      <c r="N740" s="174"/>
      <c r="O740" s="174"/>
      <c r="P740" s="174"/>
      <c r="Q740" s="174"/>
      <c r="R740" s="174"/>
      <c r="S740" s="174"/>
      <c r="T740" s="174"/>
      <c r="U740" s="174"/>
      <c r="V740" s="174"/>
      <c r="W740" s="174"/>
      <c r="X740" s="174"/>
      <c r="Y740" s="174"/>
      <c r="Z740" s="174"/>
      <c r="AA740" s="174"/>
    </row>
    <row r="741">
      <c r="A741" s="174"/>
      <c r="B741" s="174"/>
      <c r="C741" s="174"/>
      <c r="D741" s="174"/>
      <c r="E741" s="174"/>
      <c r="F741" s="175"/>
      <c r="G741" s="175"/>
      <c r="H741" s="174"/>
      <c r="I741" s="174"/>
      <c r="J741" s="174"/>
      <c r="K741" s="174"/>
      <c r="L741" s="174"/>
      <c r="M741" s="174"/>
      <c r="N741" s="174"/>
      <c r="O741" s="174"/>
      <c r="P741" s="174"/>
      <c r="Q741" s="174"/>
      <c r="R741" s="174"/>
      <c r="S741" s="174"/>
      <c r="T741" s="174"/>
      <c r="U741" s="174"/>
      <c r="V741" s="174"/>
      <c r="W741" s="174"/>
      <c r="X741" s="174"/>
      <c r="Y741" s="174"/>
      <c r="Z741" s="174"/>
      <c r="AA741" s="174"/>
    </row>
    <row r="742">
      <c r="A742" s="174"/>
      <c r="B742" s="174"/>
      <c r="C742" s="174"/>
      <c r="D742" s="174"/>
      <c r="E742" s="174"/>
      <c r="F742" s="175"/>
      <c r="G742" s="175"/>
      <c r="H742" s="174"/>
      <c r="I742" s="174"/>
      <c r="J742" s="174"/>
      <c r="K742" s="174"/>
      <c r="L742" s="174"/>
      <c r="M742" s="174"/>
      <c r="N742" s="174"/>
      <c r="O742" s="174"/>
      <c r="P742" s="174"/>
      <c r="Q742" s="174"/>
      <c r="R742" s="174"/>
      <c r="S742" s="174"/>
      <c r="T742" s="174"/>
      <c r="U742" s="174"/>
      <c r="V742" s="174"/>
      <c r="W742" s="174"/>
      <c r="X742" s="174"/>
      <c r="Y742" s="174"/>
      <c r="Z742" s="174"/>
      <c r="AA742" s="174"/>
    </row>
    <row r="743">
      <c r="A743" s="174"/>
      <c r="B743" s="174"/>
      <c r="C743" s="174"/>
      <c r="D743" s="174"/>
      <c r="E743" s="174"/>
      <c r="F743" s="175"/>
      <c r="G743" s="175"/>
      <c r="H743" s="174"/>
      <c r="I743" s="174"/>
      <c r="J743" s="174"/>
      <c r="K743" s="174"/>
      <c r="L743" s="174"/>
      <c r="M743" s="174"/>
      <c r="N743" s="174"/>
      <c r="O743" s="174"/>
      <c r="P743" s="174"/>
      <c r="Q743" s="174"/>
      <c r="R743" s="174"/>
      <c r="S743" s="174"/>
      <c r="T743" s="174"/>
      <c r="U743" s="174"/>
      <c r="V743" s="174"/>
      <c r="W743" s="174"/>
      <c r="X743" s="174"/>
      <c r="Y743" s="174"/>
      <c r="Z743" s="174"/>
      <c r="AA743" s="174"/>
    </row>
    <row r="744">
      <c r="A744" s="174"/>
      <c r="B744" s="174"/>
      <c r="C744" s="174"/>
      <c r="D744" s="174"/>
      <c r="E744" s="174"/>
      <c r="F744" s="175"/>
      <c r="G744" s="175"/>
      <c r="H744" s="174"/>
      <c r="I744" s="174"/>
      <c r="J744" s="174"/>
      <c r="K744" s="174"/>
      <c r="L744" s="174"/>
      <c r="M744" s="174"/>
      <c r="N744" s="174"/>
      <c r="O744" s="174"/>
      <c r="P744" s="174"/>
      <c r="Q744" s="174"/>
      <c r="R744" s="174"/>
      <c r="S744" s="174"/>
      <c r="T744" s="174"/>
      <c r="U744" s="174"/>
      <c r="V744" s="174"/>
      <c r="W744" s="174"/>
      <c r="X744" s="174"/>
      <c r="Y744" s="174"/>
      <c r="Z744" s="174"/>
      <c r="AA744" s="174"/>
    </row>
    <row r="745">
      <c r="A745" s="174"/>
      <c r="B745" s="174"/>
      <c r="C745" s="174"/>
      <c r="D745" s="174"/>
      <c r="E745" s="174"/>
      <c r="F745" s="175"/>
      <c r="G745" s="175"/>
      <c r="H745" s="174"/>
      <c r="I745" s="174"/>
      <c r="J745" s="174"/>
      <c r="K745" s="174"/>
      <c r="L745" s="174"/>
      <c r="M745" s="174"/>
      <c r="N745" s="174"/>
      <c r="O745" s="174"/>
      <c r="P745" s="174"/>
      <c r="Q745" s="174"/>
      <c r="R745" s="174"/>
      <c r="S745" s="174"/>
      <c r="T745" s="174"/>
      <c r="U745" s="174"/>
      <c r="V745" s="174"/>
      <c r="W745" s="174"/>
      <c r="X745" s="174"/>
      <c r="Y745" s="174"/>
      <c r="Z745" s="174"/>
      <c r="AA745" s="174"/>
    </row>
    <row r="746">
      <c r="A746" s="174"/>
      <c r="B746" s="174"/>
      <c r="C746" s="174"/>
      <c r="D746" s="174"/>
      <c r="E746" s="174"/>
      <c r="F746" s="175"/>
      <c r="G746" s="175"/>
      <c r="H746" s="174"/>
      <c r="I746" s="174"/>
      <c r="J746" s="174"/>
      <c r="K746" s="174"/>
      <c r="L746" s="174"/>
      <c r="M746" s="174"/>
      <c r="N746" s="174"/>
      <c r="O746" s="174"/>
      <c r="P746" s="174"/>
      <c r="Q746" s="174"/>
      <c r="R746" s="174"/>
      <c r="S746" s="174"/>
      <c r="T746" s="174"/>
      <c r="U746" s="174"/>
      <c r="V746" s="174"/>
      <c r="W746" s="174"/>
      <c r="X746" s="174"/>
      <c r="Y746" s="174"/>
      <c r="Z746" s="174"/>
      <c r="AA746" s="174"/>
    </row>
    <row r="747">
      <c r="A747" s="174"/>
      <c r="B747" s="174"/>
      <c r="C747" s="174"/>
      <c r="D747" s="174"/>
      <c r="E747" s="174"/>
      <c r="F747" s="175"/>
      <c r="G747" s="175"/>
      <c r="H747" s="174"/>
      <c r="I747" s="174"/>
      <c r="J747" s="174"/>
      <c r="K747" s="174"/>
      <c r="L747" s="174"/>
      <c r="M747" s="174"/>
      <c r="N747" s="174"/>
      <c r="O747" s="174"/>
      <c r="P747" s="174"/>
      <c r="Q747" s="174"/>
      <c r="R747" s="174"/>
      <c r="S747" s="174"/>
      <c r="T747" s="174"/>
      <c r="U747" s="174"/>
      <c r="V747" s="174"/>
      <c r="W747" s="174"/>
      <c r="X747" s="174"/>
      <c r="Y747" s="174"/>
      <c r="Z747" s="174"/>
      <c r="AA747" s="174"/>
    </row>
    <row r="748">
      <c r="A748" s="174"/>
      <c r="B748" s="174"/>
      <c r="C748" s="174"/>
      <c r="D748" s="174"/>
      <c r="E748" s="174"/>
      <c r="F748" s="175"/>
      <c r="G748" s="175"/>
      <c r="H748" s="174"/>
      <c r="I748" s="174"/>
      <c r="J748" s="174"/>
      <c r="K748" s="174"/>
      <c r="L748" s="174"/>
      <c r="M748" s="174"/>
      <c r="N748" s="174"/>
      <c r="O748" s="174"/>
      <c r="P748" s="174"/>
      <c r="Q748" s="174"/>
      <c r="R748" s="174"/>
      <c r="S748" s="174"/>
      <c r="T748" s="174"/>
      <c r="U748" s="174"/>
      <c r="V748" s="174"/>
      <c r="W748" s="174"/>
      <c r="X748" s="174"/>
      <c r="Y748" s="174"/>
      <c r="Z748" s="174"/>
      <c r="AA748" s="174"/>
    </row>
    <row r="749">
      <c r="A749" s="174"/>
      <c r="B749" s="174"/>
      <c r="C749" s="174"/>
      <c r="D749" s="174"/>
      <c r="E749" s="174"/>
      <c r="F749" s="175"/>
      <c r="G749" s="175"/>
      <c r="H749" s="174"/>
      <c r="I749" s="174"/>
      <c r="J749" s="174"/>
      <c r="K749" s="174"/>
      <c r="L749" s="174"/>
      <c r="M749" s="174"/>
      <c r="N749" s="174"/>
      <c r="O749" s="174"/>
      <c r="P749" s="174"/>
      <c r="Q749" s="174"/>
      <c r="R749" s="174"/>
      <c r="S749" s="174"/>
      <c r="T749" s="174"/>
      <c r="U749" s="174"/>
      <c r="V749" s="174"/>
      <c r="W749" s="174"/>
      <c r="X749" s="174"/>
      <c r="Y749" s="174"/>
      <c r="Z749" s="174"/>
      <c r="AA749" s="174"/>
    </row>
    <row r="750">
      <c r="A750" s="174"/>
      <c r="B750" s="174"/>
      <c r="C750" s="174"/>
      <c r="D750" s="174"/>
      <c r="E750" s="174"/>
      <c r="F750" s="175"/>
      <c r="G750" s="175"/>
      <c r="H750" s="174"/>
      <c r="I750" s="174"/>
      <c r="J750" s="174"/>
      <c r="K750" s="174"/>
      <c r="L750" s="174"/>
      <c r="M750" s="174"/>
      <c r="N750" s="174"/>
      <c r="O750" s="174"/>
      <c r="P750" s="174"/>
      <c r="Q750" s="174"/>
      <c r="R750" s="174"/>
      <c r="S750" s="174"/>
      <c r="T750" s="174"/>
      <c r="U750" s="174"/>
      <c r="V750" s="174"/>
      <c r="W750" s="174"/>
      <c r="X750" s="174"/>
      <c r="Y750" s="174"/>
      <c r="Z750" s="174"/>
      <c r="AA750" s="174"/>
    </row>
    <row r="751">
      <c r="A751" s="174"/>
      <c r="B751" s="174"/>
      <c r="C751" s="174"/>
      <c r="D751" s="174"/>
      <c r="E751" s="174"/>
      <c r="F751" s="175"/>
      <c r="G751" s="175"/>
      <c r="H751" s="174"/>
      <c r="I751" s="174"/>
      <c r="J751" s="174"/>
      <c r="K751" s="174"/>
      <c r="L751" s="174"/>
      <c r="M751" s="174"/>
      <c r="N751" s="174"/>
      <c r="O751" s="174"/>
      <c r="P751" s="174"/>
      <c r="Q751" s="174"/>
      <c r="R751" s="174"/>
      <c r="S751" s="174"/>
      <c r="T751" s="174"/>
      <c r="U751" s="174"/>
      <c r="V751" s="174"/>
      <c r="W751" s="174"/>
      <c r="X751" s="174"/>
      <c r="Y751" s="174"/>
      <c r="Z751" s="174"/>
      <c r="AA751" s="174"/>
    </row>
    <row r="752">
      <c r="A752" s="174"/>
      <c r="B752" s="174"/>
      <c r="C752" s="174"/>
      <c r="D752" s="174"/>
      <c r="E752" s="174"/>
      <c r="F752" s="175"/>
      <c r="G752" s="175"/>
      <c r="H752" s="174"/>
      <c r="I752" s="174"/>
      <c r="J752" s="174"/>
      <c r="K752" s="174"/>
      <c r="L752" s="174"/>
      <c r="M752" s="174"/>
      <c r="N752" s="174"/>
      <c r="O752" s="174"/>
      <c r="P752" s="174"/>
      <c r="Q752" s="174"/>
      <c r="R752" s="174"/>
      <c r="S752" s="174"/>
      <c r="T752" s="174"/>
      <c r="U752" s="174"/>
      <c r="V752" s="174"/>
      <c r="W752" s="174"/>
      <c r="X752" s="174"/>
      <c r="Y752" s="174"/>
      <c r="Z752" s="174"/>
      <c r="AA752" s="174"/>
    </row>
    <row r="753">
      <c r="A753" s="174"/>
      <c r="B753" s="174"/>
      <c r="C753" s="174"/>
      <c r="D753" s="174"/>
      <c r="E753" s="174"/>
      <c r="F753" s="175"/>
      <c r="G753" s="175"/>
      <c r="H753" s="174"/>
      <c r="I753" s="174"/>
      <c r="J753" s="174"/>
      <c r="K753" s="174"/>
      <c r="L753" s="174"/>
      <c r="M753" s="174"/>
      <c r="N753" s="174"/>
      <c r="O753" s="174"/>
      <c r="P753" s="174"/>
      <c r="Q753" s="174"/>
      <c r="R753" s="174"/>
      <c r="S753" s="174"/>
      <c r="T753" s="174"/>
      <c r="U753" s="174"/>
      <c r="V753" s="174"/>
      <c r="W753" s="174"/>
      <c r="X753" s="174"/>
      <c r="Y753" s="174"/>
      <c r="Z753" s="174"/>
      <c r="AA753" s="174"/>
    </row>
    <row r="754">
      <c r="A754" s="174"/>
      <c r="B754" s="174"/>
      <c r="C754" s="174"/>
      <c r="D754" s="174"/>
      <c r="E754" s="174"/>
      <c r="F754" s="175"/>
      <c r="G754" s="175"/>
      <c r="H754" s="174"/>
      <c r="I754" s="174"/>
      <c r="J754" s="174"/>
      <c r="K754" s="174"/>
      <c r="L754" s="174"/>
      <c r="M754" s="174"/>
      <c r="N754" s="174"/>
      <c r="O754" s="174"/>
      <c r="P754" s="174"/>
      <c r="Q754" s="174"/>
      <c r="R754" s="174"/>
      <c r="S754" s="174"/>
      <c r="T754" s="174"/>
      <c r="U754" s="174"/>
      <c r="V754" s="174"/>
      <c r="W754" s="174"/>
      <c r="X754" s="174"/>
      <c r="Y754" s="174"/>
      <c r="Z754" s="174"/>
      <c r="AA754" s="174"/>
    </row>
    <row r="755">
      <c r="A755" s="174"/>
      <c r="B755" s="174"/>
      <c r="C755" s="174"/>
      <c r="D755" s="174"/>
      <c r="E755" s="174"/>
      <c r="F755" s="175"/>
      <c r="G755" s="175"/>
      <c r="H755" s="174"/>
      <c r="I755" s="174"/>
      <c r="J755" s="174"/>
      <c r="K755" s="174"/>
      <c r="L755" s="174"/>
      <c r="M755" s="174"/>
      <c r="N755" s="174"/>
      <c r="O755" s="174"/>
      <c r="P755" s="174"/>
      <c r="Q755" s="174"/>
      <c r="R755" s="174"/>
      <c r="S755" s="174"/>
      <c r="T755" s="174"/>
      <c r="U755" s="174"/>
      <c r="V755" s="174"/>
      <c r="W755" s="174"/>
      <c r="X755" s="174"/>
      <c r="Y755" s="174"/>
      <c r="Z755" s="174"/>
      <c r="AA755" s="174"/>
    </row>
    <row r="756">
      <c r="A756" s="174"/>
      <c r="B756" s="174"/>
      <c r="C756" s="174"/>
      <c r="D756" s="174"/>
      <c r="E756" s="174"/>
      <c r="F756" s="175"/>
      <c r="G756" s="175"/>
      <c r="H756" s="174"/>
      <c r="I756" s="174"/>
      <c r="J756" s="174"/>
      <c r="K756" s="174"/>
      <c r="L756" s="174"/>
      <c r="M756" s="174"/>
      <c r="N756" s="174"/>
      <c r="O756" s="174"/>
      <c r="P756" s="174"/>
      <c r="Q756" s="174"/>
      <c r="R756" s="174"/>
      <c r="S756" s="174"/>
      <c r="T756" s="174"/>
      <c r="U756" s="174"/>
      <c r="V756" s="174"/>
      <c r="W756" s="174"/>
      <c r="X756" s="174"/>
      <c r="Y756" s="174"/>
      <c r="Z756" s="174"/>
      <c r="AA756" s="174"/>
    </row>
    <row r="757">
      <c r="A757" s="174"/>
      <c r="B757" s="174"/>
      <c r="C757" s="174"/>
      <c r="D757" s="174"/>
      <c r="E757" s="174"/>
      <c r="F757" s="175"/>
      <c r="G757" s="175"/>
      <c r="H757" s="174"/>
      <c r="I757" s="174"/>
      <c r="J757" s="174"/>
      <c r="K757" s="174"/>
      <c r="L757" s="174"/>
      <c r="M757" s="174"/>
      <c r="N757" s="174"/>
      <c r="O757" s="174"/>
      <c r="P757" s="174"/>
      <c r="Q757" s="174"/>
      <c r="R757" s="174"/>
      <c r="S757" s="174"/>
      <c r="T757" s="174"/>
      <c r="U757" s="174"/>
      <c r="V757" s="174"/>
      <c r="W757" s="174"/>
      <c r="X757" s="174"/>
      <c r="Y757" s="174"/>
      <c r="Z757" s="174"/>
      <c r="AA757" s="174"/>
    </row>
    <row r="758">
      <c r="A758" s="174"/>
      <c r="B758" s="174"/>
      <c r="C758" s="174"/>
      <c r="D758" s="174"/>
      <c r="E758" s="174"/>
      <c r="F758" s="175"/>
      <c r="G758" s="175"/>
      <c r="H758" s="174"/>
      <c r="I758" s="174"/>
      <c r="J758" s="174"/>
      <c r="K758" s="174"/>
      <c r="L758" s="174"/>
      <c r="M758" s="174"/>
      <c r="N758" s="174"/>
      <c r="O758" s="174"/>
      <c r="P758" s="174"/>
      <c r="Q758" s="174"/>
      <c r="R758" s="174"/>
      <c r="S758" s="174"/>
      <c r="T758" s="174"/>
      <c r="U758" s="174"/>
      <c r="V758" s="174"/>
      <c r="W758" s="174"/>
      <c r="X758" s="174"/>
      <c r="Y758" s="174"/>
      <c r="Z758" s="174"/>
      <c r="AA758" s="174"/>
    </row>
    <row r="759">
      <c r="A759" s="174"/>
      <c r="B759" s="174"/>
      <c r="C759" s="174"/>
      <c r="D759" s="174"/>
      <c r="E759" s="174"/>
      <c r="F759" s="175"/>
      <c r="G759" s="175"/>
      <c r="H759" s="174"/>
      <c r="I759" s="174"/>
      <c r="J759" s="174"/>
      <c r="K759" s="174"/>
      <c r="L759" s="174"/>
      <c r="M759" s="174"/>
      <c r="N759" s="174"/>
      <c r="O759" s="174"/>
      <c r="P759" s="174"/>
      <c r="Q759" s="174"/>
      <c r="R759" s="174"/>
      <c r="S759" s="174"/>
      <c r="T759" s="174"/>
      <c r="U759" s="174"/>
      <c r="V759" s="174"/>
      <c r="W759" s="174"/>
      <c r="X759" s="174"/>
      <c r="Y759" s="174"/>
      <c r="Z759" s="174"/>
      <c r="AA759" s="174"/>
    </row>
    <row r="760">
      <c r="A760" s="174"/>
      <c r="B760" s="174"/>
      <c r="C760" s="174"/>
      <c r="D760" s="174"/>
      <c r="E760" s="174"/>
      <c r="F760" s="175"/>
      <c r="G760" s="175"/>
      <c r="H760" s="174"/>
      <c r="I760" s="174"/>
      <c r="J760" s="174"/>
      <c r="K760" s="174"/>
      <c r="L760" s="174"/>
      <c r="M760" s="174"/>
      <c r="N760" s="174"/>
      <c r="O760" s="174"/>
      <c r="P760" s="174"/>
      <c r="Q760" s="174"/>
      <c r="R760" s="174"/>
      <c r="S760" s="174"/>
      <c r="T760" s="174"/>
      <c r="U760" s="174"/>
      <c r="V760" s="174"/>
      <c r="W760" s="174"/>
      <c r="X760" s="174"/>
      <c r="Y760" s="174"/>
      <c r="Z760" s="174"/>
      <c r="AA760" s="174"/>
    </row>
    <row r="761">
      <c r="A761" s="174"/>
      <c r="B761" s="174"/>
      <c r="C761" s="174"/>
      <c r="D761" s="174"/>
      <c r="E761" s="174"/>
      <c r="F761" s="175"/>
      <c r="G761" s="175"/>
      <c r="H761" s="174"/>
      <c r="I761" s="174"/>
      <c r="J761" s="174"/>
      <c r="K761" s="174"/>
      <c r="L761" s="174"/>
      <c r="M761" s="174"/>
      <c r="N761" s="174"/>
      <c r="O761" s="174"/>
      <c r="P761" s="174"/>
      <c r="Q761" s="174"/>
      <c r="R761" s="174"/>
      <c r="S761" s="174"/>
      <c r="T761" s="174"/>
      <c r="U761" s="174"/>
      <c r="V761" s="174"/>
      <c r="W761" s="174"/>
      <c r="X761" s="174"/>
      <c r="Y761" s="174"/>
      <c r="Z761" s="174"/>
      <c r="AA761" s="174"/>
    </row>
    <row r="762">
      <c r="A762" s="174"/>
      <c r="B762" s="174"/>
      <c r="C762" s="174"/>
      <c r="D762" s="174"/>
      <c r="E762" s="174"/>
      <c r="F762" s="175"/>
      <c r="G762" s="175"/>
      <c r="H762" s="174"/>
      <c r="I762" s="174"/>
      <c r="J762" s="174"/>
      <c r="K762" s="174"/>
      <c r="L762" s="174"/>
      <c r="M762" s="174"/>
      <c r="N762" s="174"/>
      <c r="O762" s="174"/>
      <c r="P762" s="174"/>
      <c r="Q762" s="174"/>
      <c r="R762" s="174"/>
      <c r="S762" s="174"/>
      <c r="T762" s="174"/>
      <c r="U762" s="174"/>
      <c r="V762" s="174"/>
      <c r="W762" s="174"/>
      <c r="X762" s="174"/>
      <c r="Y762" s="174"/>
      <c r="Z762" s="174"/>
      <c r="AA762" s="174"/>
    </row>
    <row r="763">
      <c r="A763" s="174"/>
      <c r="B763" s="174"/>
      <c r="C763" s="174"/>
      <c r="D763" s="174"/>
      <c r="E763" s="174"/>
      <c r="F763" s="175"/>
      <c r="G763" s="175"/>
      <c r="H763" s="174"/>
      <c r="I763" s="174"/>
      <c r="J763" s="174"/>
      <c r="K763" s="174"/>
      <c r="L763" s="174"/>
      <c r="M763" s="174"/>
      <c r="N763" s="174"/>
      <c r="O763" s="174"/>
      <c r="P763" s="174"/>
      <c r="Q763" s="174"/>
      <c r="R763" s="174"/>
      <c r="S763" s="174"/>
      <c r="T763" s="174"/>
      <c r="U763" s="174"/>
      <c r="V763" s="174"/>
      <c r="W763" s="174"/>
      <c r="X763" s="174"/>
      <c r="Y763" s="174"/>
      <c r="Z763" s="174"/>
      <c r="AA763" s="174"/>
    </row>
    <row r="764">
      <c r="A764" s="174"/>
      <c r="B764" s="174"/>
      <c r="C764" s="174"/>
      <c r="D764" s="174"/>
      <c r="E764" s="174"/>
      <c r="F764" s="175"/>
      <c r="G764" s="175"/>
      <c r="H764" s="174"/>
      <c r="I764" s="174"/>
      <c r="J764" s="174"/>
      <c r="K764" s="174"/>
      <c r="L764" s="174"/>
      <c r="M764" s="174"/>
      <c r="N764" s="174"/>
      <c r="O764" s="174"/>
      <c r="P764" s="174"/>
      <c r="Q764" s="174"/>
      <c r="R764" s="174"/>
      <c r="S764" s="174"/>
      <c r="T764" s="174"/>
      <c r="U764" s="174"/>
      <c r="V764" s="174"/>
      <c r="W764" s="174"/>
      <c r="X764" s="174"/>
      <c r="Y764" s="174"/>
      <c r="Z764" s="174"/>
      <c r="AA764" s="174"/>
    </row>
    <row r="765">
      <c r="A765" s="174"/>
      <c r="B765" s="174"/>
      <c r="C765" s="174"/>
      <c r="D765" s="174"/>
      <c r="E765" s="174"/>
      <c r="F765" s="175"/>
      <c r="G765" s="175"/>
      <c r="H765" s="174"/>
      <c r="I765" s="174"/>
      <c r="J765" s="174"/>
      <c r="K765" s="174"/>
      <c r="L765" s="174"/>
      <c r="M765" s="174"/>
      <c r="N765" s="174"/>
      <c r="O765" s="174"/>
      <c r="P765" s="174"/>
      <c r="Q765" s="174"/>
      <c r="R765" s="174"/>
      <c r="S765" s="174"/>
      <c r="T765" s="174"/>
      <c r="U765" s="174"/>
      <c r="V765" s="174"/>
      <c r="W765" s="174"/>
      <c r="X765" s="174"/>
      <c r="Y765" s="174"/>
      <c r="Z765" s="174"/>
      <c r="AA765" s="174"/>
    </row>
    <row r="766">
      <c r="A766" s="174"/>
      <c r="B766" s="174"/>
      <c r="C766" s="174"/>
      <c r="D766" s="174"/>
      <c r="E766" s="174"/>
      <c r="F766" s="175"/>
      <c r="G766" s="175"/>
      <c r="H766" s="174"/>
      <c r="I766" s="174"/>
      <c r="J766" s="174"/>
      <c r="K766" s="174"/>
      <c r="L766" s="174"/>
      <c r="M766" s="174"/>
      <c r="N766" s="174"/>
      <c r="O766" s="174"/>
      <c r="P766" s="174"/>
      <c r="Q766" s="174"/>
      <c r="R766" s="174"/>
      <c r="S766" s="174"/>
      <c r="T766" s="174"/>
      <c r="U766" s="174"/>
      <c r="V766" s="174"/>
      <c r="W766" s="174"/>
      <c r="X766" s="174"/>
      <c r="Y766" s="174"/>
      <c r="Z766" s="174"/>
      <c r="AA766" s="174"/>
    </row>
    <row r="767">
      <c r="A767" s="174"/>
      <c r="B767" s="174"/>
      <c r="C767" s="174"/>
      <c r="D767" s="174"/>
      <c r="E767" s="174"/>
      <c r="F767" s="175"/>
      <c r="G767" s="175"/>
      <c r="H767" s="174"/>
      <c r="I767" s="174"/>
      <c r="J767" s="174"/>
      <c r="K767" s="174"/>
      <c r="L767" s="174"/>
      <c r="M767" s="174"/>
      <c r="N767" s="174"/>
      <c r="O767" s="174"/>
      <c r="P767" s="174"/>
      <c r="Q767" s="174"/>
      <c r="R767" s="174"/>
      <c r="S767" s="174"/>
      <c r="T767" s="174"/>
      <c r="U767" s="174"/>
      <c r="V767" s="174"/>
      <c r="W767" s="174"/>
      <c r="X767" s="174"/>
      <c r="Y767" s="174"/>
      <c r="Z767" s="174"/>
      <c r="AA767" s="174"/>
    </row>
    <row r="768">
      <c r="A768" s="174"/>
      <c r="B768" s="174"/>
      <c r="C768" s="174"/>
      <c r="D768" s="174"/>
      <c r="E768" s="174"/>
      <c r="F768" s="175"/>
      <c r="G768" s="175"/>
      <c r="H768" s="174"/>
      <c r="I768" s="174"/>
      <c r="J768" s="174"/>
      <c r="K768" s="174"/>
      <c r="L768" s="174"/>
      <c r="M768" s="174"/>
      <c r="N768" s="174"/>
      <c r="O768" s="174"/>
      <c r="P768" s="174"/>
      <c r="Q768" s="174"/>
      <c r="R768" s="174"/>
      <c r="S768" s="174"/>
      <c r="T768" s="174"/>
      <c r="U768" s="174"/>
      <c r="V768" s="174"/>
      <c r="W768" s="174"/>
      <c r="X768" s="174"/>
      <c r="Y768" s="174"/>
      <c r="Z768" s="174"/>
      <c r="AA768" s="174"/>
    </row>
    <row r="769">
      <c r="A769" s="174"/>
      <c r="B769" s="174"/>
      <c r="C769" s="174"/>
      <c r="D769" s="174"/>
      <c r="E769" s="174"/>
      <c r="F769" s="175"/>
      <c r="G769" s="175"/>
      <c r="H769" s="174"/>
      <c r="I769" s="174"/>
      <c r="J769" s="174"/>
      <c r="K769" s="174"/>
      <c r="L769" s="174"/>
      <c r="M769" s="174"/>
      <c r="N769" s="174"/>
      <c r="O769" s="174"/>
      <c r="P769" s="174"/>
      <c r="Q769" s="174"/>
      <c r="R769" s="174"/>
      <c r="S769" s="174"/>
      <c r="T769" s="174"/>
      <c r="U769" s="174"/>
      <c r="V769" s="174"/>
      <c r="W769" s="174"/>
      <c r="X769" s="174"/>
      <c r="Y769" s="174"/>
      <c r="Z769" s="174"/>
      <c r="AA769" s="174"/>
    </row>
    <row r="770">
      <c r="A770" s="174"/>
      <c r="B770" s="174"/>
      <c r="C770" s="174"/>
      <c r="D770" s="174"/>
      <c r="E770" s="174"/>
      <c r="F770" s="175"/>
      <c r="G770" s="175"/>
      <c r="H770" s="174"/>
      <c r="I770" s="174"/>
      <c r="J770" s="174"/>
      <c r="K770" s="174"/>
      <c r="L770" s="174"/>
      <c r="M770" s="174"/>
      <c r="N770" s="174"/>
      <c r="O770" s="174"/>
      <c r="P770" s="174"/>
      <c r="Q770" s="174"/>
      <c r="R770" s="174"/>
      <c r="S770" s="174"/>
      <c r="T770" s="174"/>
      <c r="U770" s="174"/>
      <c r="V770" s="174"/>
      <c r="W770" s="174"/>
      <c r="X770" s="174"/>
      <c r="Y770" s="174"/>
      <c r="Z770" s="174"/>
      <c r="AA770" s="174"/>
    </row>
    <row r="771">
      <c r="A771" s="174"/>
      <c r="B771" s="174"/>
      <c r="C771" s="174"/>
      <c r="D771" s="174"/>
      <c r="E771" s="174"/>
      <c r="F771" s="175"/>
      <c r="G771" s="175"/>
      <c r="H771" s="174"/>
      <c r="I771" s="174"/>
      <c r="J771" s="174"/>
      <c r="K771" s="174"/>
      <c r="L771" s="174"/>
      <c r="M771" s="174"/>
      <c r="N771" s="174"/>
      <c r="O771" s="174"/>
      <c r="P771" s="174"/>
      <c r="Q771" s="174"/>
      <c r="R771" s="174"/>
      <c r="S771" s="174"/>
      <c r="T771" s="174"/>
      <c r="U771" s="174"/>
      <c r="V771" s="174"/>
      <c r="W771" s="174"/>
      <c r="X771" s="174"/>
      <c r="Y771" s="174"/>
      <c r="Z771" s="174"/>
      <c r="AA771" s="174"/>
    </row>
    <row r="772">
      <c r="A772" s="174"/>
      <c r="B772" s="174"/>
      <c r="C772" s="174"/>
      <c r="D772" s="174"/>
      <c r="E772" s="174"/>
      <c r="F772" s="175"/>
      <c r="G772" s="175"/>
      <c r="H772" s="174"/>
      <c r="I772" s="174"/>
      <c r="J772" s="174"/>
      <c r="K772" s="174"/>
      <c r="L772" s="174"/>
      <c r="M772" s="174"/>
      <c r="N772" s="174"/>
      <c r="O772" s="174"/>
      <c r="P772" s="174"/>
      <c r="Q772" s="174"/>
      <c r="R772" s="174"/>
      <c r="S772" s="174"/>
      <c r="T772" s="174"/>
      <c r="U772" s="174"/>
      <c r="V772" s="174"/>
      <c r="W772" s="174"/>
      <c r="X772" s="174"/>
      <c r="Y772" s="174"/>
      <c r="Z772" s="174"/>
      <c r="AA772" s="174"/>
    </row>
    <row r="773">
      <c r="A773" s="174"/>
      <c r="B773" s="174"/>
      <c r="C773" s="174"/>
      <c r="D773" s="174"/>
      <c r="E773" s="174"/>
      <c r="F773" s="175"/>
      <c r="G773" s="175"/>
      <c r="H773" s="174"/>
      <c r="I773" s="174"/>
      <c r="J773" s="174"/>
      <c r="K773" s="174"/>
      <c r="L773" s="174"/>
      <c r="M773" s="174"/>
      <c r="N773" s="174"/>
      <c r="O773" s="174"/>
      <c r="P773" s="174"/>
      <c r="Q773" s="174"/>
      <c r="R773" s="174"/>
      <c r="S773" s="174"/>
      <c r="T773" s="174"/>
      <c r="U773" s="174"/>
      <c r="V773" s="174"/>
      <c r="W773" s="174"/>
      <c r="X773" s="174"/>
      <c r="Y773" s="174"/>
      <c r="Z773" s="174"/>
      <c r="AA773" s="174"/>
    </row>
    <row r="774">
      <c r="A774" s="174"/>
      <c r="B774" s="174"/>
      <c r="C774" s="174"/>
      <c r="D774" s="174"/>
      <c r="E774" s="174"/>
      <c r="F774" s="175"/>
      <c r="G774" s="175"/>
      <c r="H774" s="174"/>
      <c r="I774" s="174"/>
      <c r="J774" s="174"/>
      <c r="K774" s="174"/>
      <c r="L774" s="174"/>
      <c r="M774" s="174"/>
      <c r="N774" s="174"/>
      <c r="O774" s="174"/>
      <c r="P774" s="174"/>
      <c r="Q774" s="174"/>
      <c r="R774" s="174"/>
      <c r="S774" s="174"/>
      <c r="T774" s="174"/>
      <c r="U774" s="174"/>
      <c r="V774" s="174"/>
      <c r="W774" s="174"/>
      <c r="X774" s="174"/>
      <c r="Y774" s="174"/>
      <c r="Z774" s="174"/>
      <c r="AA774" s="174"/>
    </row>
    <row r="775">
      <c r="A775" s="174"/>
      <c r="B775" s="174"/>
      <c r="C775" s="174"/>
      <c r="D775" s="174"/>
      <c r="E775" s="174"/>
      <c r="F775" s="175"/>
      <c r="G775" s="175"/>
      <c r="H775" s="174"/>
      <c r="I775" s="174"/>
      <c r="J775" s="174"/>
      <c r="K775" s="174"/>
      <c r="L775" s="174"/>
      <c r="M775" s="174"/>
      <c r="N775" s="174"/>
      <c r="O775" s="174"/>
      <c r="P775" s="174"/>
      <c r="Q775" s="174"/>
      <c r="R775" s="174"/>
      <c r="S775" s="174"/>
      <c r="T775" s="174"/>
      <c r="U775" s="174"/>
      <c r="V775" s="174"/>
      <c r="W775" s="174"/>
      <c r="X775" s="174"/>
      <c r="Y775" s="174"/>
      <c r="Z775" s="174"/>
      <c r="AA775" s="174"/>
    </row>
    <row r="776">
      <c r="A776" s="174"/>
      <c r="B776" s="174"/>
      <c r="C776" s="174"/>
      <c r="D776" s="174"/>
      <c r="E776" s="174"/>
      <c r="F776" s="175"/>
      <c r="G776" s="175"/>
      <c r="H776" s="174"/>
      <c r="I776" s="174"/>
      <c r="J776" s="174"/>
      <c r="K776" s="174"/>
      <c r="L776" s="174"/>
      <c r="M776" s="174"/>
      <c r="N776" s="174"/>
      <c r="O776" s="174"/>
      <c r="P776" s="174"/>
      <c r="Q776" s="174"/>
      <c r="R776" s="174"/>
      <c r="S776" s="174"/>
      <c r="T776" s="174"/>
      <c r="U776" s="174"/>
      <c r="V776" s="174"/>
      <c r="W776" s="174"/>
      <c r="X776" s="174"/>
      <c r="Y776" s="174"/>
      <c r="Z776" s="174"/>
      <c r="AA776" s="174"/>
    </row>
    <row r="777">
      <c r="A777" s="174"/>
      <c r="B777" s="174"/>
      <c r="C777" s="174"/>
      <c r="D777" s="174"/>
      <c r="E777" s="174"/>
      <c r="F777" s="175"/>
      <c r="G777" s="175"/>
      <c r="H777" s="174"/>
      <c r="I777" s="174"/>
      <c r="J777" s="174"/>
      <c r="K777" s="174"/>
      <c r="L777" s="174"/>
      <c r="M777" s="174"/>
      <c r="N777" s="174"/>
      <c r="O777" s="174"/>
      <c r="P777" s="174"/>
      <c r="Q777" s="174"/>
      <c r="R777" s="174"/>
      <c r="S777" s="174"/>
      <c r="T777" s="174"/>
      <c r="U777" s="174"/>
      <c r="V777" s="174"/>
      <c r="W777" s="174"/>
      <c r="X777" s="174"/>
      <c r="Y777" s="174"/>
      <c r="Z777" s="174"/>
      <c r="AA777" s="174"/>
    </row>
    <row r="778">
      <c r="A778" s="174"/>
      <c r="B778" s="174"/>
      <c r="C778" s="174"/>
      <c r="D778" s="174"/>
      <c r="E778" s="174"/>
      <c r="F778" s="175"/>
      <c r="G778" s="175"/>
      <c r="H778" s="174"/>
      <c r="I778" s="174"/>
      <c r="J778" s="174"/>
      <c r="K778" s="174"/>
      <c r="L778" s="174"/>
      <c r="M778" s="174"/>
      <c r="N778" s="174"/>
      <c r="O778" s="174"/>
      <c r="P778" s="174"/>
      <c r="Q778" s="174"/>
      <c r="R778" s="174"/>
      <c r="S778" s="174"/>
      <c r="T778" s="174"/>
      <c r="U778" s="174"/>
      <c r="V778" s="174"/>
      <c r="W778" s="174"/>
      <c r="X778" s="174"/>
      <c r="Y778" s="174"/>
      <c r="Z778" s="174"/>
      <c r="AA778" s="174"/>
    </row>
    <row r="779">
      <c r="A779" s="174"/>
      <c r="B779" s="174"/>
      <c r="C779" s="174"/>
      <c r="D779" s="174"/>
      <c r="E779" s="174"/>
      <c r="F779" s="175"/>
      <c r="G779" s="175"/>
      <c r="H779" s="174"/>
      <c r="I779" s="174"/>
      <c r="J779" s="174"/>
      <c r="K779" s="174"/>
      <c r="L779" s="174"/>
      <c r="M779" s="174"/>
      <c r="N779" s="174"/>
      <c r="O779" s="174"/>
      <c r="P779" s="174"/>
      <c r="Q779" s="174"/>
      <c r="R779" s="174"/>
      <c r="S779" s="174"/>
      <c r="T779" s="174"/>
      <c r="U779" s="174"/>
      <c r="V779" s="174"/>
      <c r="W779" s="174"/>
      <c r="X779" s="174"/>
      <c r="Y779" s="174"/>
      <c r="Z779" s="174"/>
      <c r="AA779" s="174"/>
    </row>
    <row r="780">
      <c r="A780" s="174"/>
      <c r="B780" s="174"/>
      <c r="C780" s="174"/>
      <c r="D780" s="174"/>
      <c r="E780" s="174"/>
      <c r="F780" s="175"/>
      <c r="G780" s="175"/>
      <c r="H780" s="174"/>
      <c r="I780" s="174"/>
      <c r="J780" s="174"/>
      <c r="K780" s="174"/>
      <c r="L780" s="174"/>
      <c r="M780" s="174"/>
      <c r="N780" s="174"/>
      <c r="O780" s="174"/>
      <c r="P780" s="174"/>
      <c r="Q780" s="174"/>
      <c r="R780" s="174"/>
      <c r="S780" s="174"/>
      <c r="T780" s="174"/>
      <c r="U780" s="174"/>
      <c r="V780" s="174"/>
      <c r="W780" s="174"/>
      <c r="X780" s="174"/>
      <c r="Y780" s="174"/>
      <c r="Z780" s="174"/>
      <c r="AA780" s="174"/>
    </row>
    <row r="781">
      <c r="A781" s="174"/>
      <c r="B781" s="174"/>
      <c r="C781" s="174"/>
      <c r="D781" s="174"/>
      <c r="E781" s="174"/>
      <c r="F781" s="175"/>
      <c r="G781" s="175"/>
      <c r="H781" s="174"/>
      <c r="I781" s="174"/>
      <c r="J781" s="174"/>
      <c r="K781" s="174"/>
      <c r="L781" s="174"/>
      <c r="M781" s="174"/>
      <c r="N781" s="174"/>
      <c r="O781" s="174"/>
      <c r="P781" s="174"/>
      <c r="Q781" s="174"/>
      <c r="R781" s="174"/>
      <c r="S781" s="174"/>
      <c r="T781" s="174"/>
      <c r="U781" s="174"/>
      <c r="V781" s="174"/>
      <c r="W781" s="174"/>
      <c r="X781" s="174"/>
      <c r="Y781" s="174"/>
      <c r="Z781" s="174"/>
      <c r="AA781" s="174"/>
    </row>
    <row r="782">
      <c r="A782" s="174"/>
      <c r="B782" s="174"/>
      <c r="C782" s="174"/>
      <c r="D782" s="174"/>
      <c r="E782" s="174"/>
      <c r="F782" s="175"/>
      <c r="G782" s="175"/>
      <c r="H782" s="174"/>
      <c r="I782" s="174"/>
      <c r="J782" s="174"/>
      <c r="K782" s="174"/>
      <c r="L782" s="174"/>
      <c r="M782" s="174"/>
      <c r="N782" s="174"/>
      <c r="O782" s="174"/>
      <c r="P782" s="174"/>
      <c r="Q782" s="174"/>
      <c r="R782" s="174"/>
      <c r="S782" s="174"/>
      <c r="T782" s="174"/>
      <c r="U782" s="174"/>
      <c r="V782" s="174"/>
      <c r="W782" s="174"/>
      <c r="X782" s="174"/>
      <c r="Y782" s="174"/>
      <c r="Z782" s="174"/>
      <c r="AA782" s="174"/>
    </row>
    <row r="783">
      <c r="A783" s="174"/>
      <c r="B783" s="174"/>
      <c r="C783" s="174"/>
      <c r="D783" s="174"/>
      <c r="E783" s="174"/>
      <c r="F783" s="175"/>
      <c r="G783" s="175"/>
      <c r="H783" s="174"/>
      <c r="I783" s="174"/>
      <c r="J783" s="174"/>
      <c r="K783" s="174"/>
      <c r="L783" s="174"/>
      <c r="M783" s="174"/>
      <c r="N783" s="174"/>
      <c r="O783" s="174"/>
      <c r="P783" s="174"/>
      <c r="Q783" s="174"/>
      <c r="R783" s="174"/>
      <c r="S783" s="174"/>
      <c r="T783" s="174"/>
      <c r="U783" s="174"/>
      <c r="V783" s="174"/>
      <c r="W783" s="174"/>
      <c r="X783" s="174"/>
      <c r="Y783" s="174"/>
      <c r="Z783" s="174"/>
      <c r="AA783" s="174"/>
    </row>
    <row r="784">
      <c r="A784" s="174"/>
      <c r="B784" s="174"/>
      <c r="C784" s="174"/>
      <c r="D784" s="174"/>
      <c r="E784" s="174"/>
      <c r="F784" s="175"/>
      <c r="G784" s="175"/>
      <c r="H784" s="174"/>
      <c r="I784" s="174"/>
      <c r="J784" s="174"/>
      <c r="K784" s="174"/>
      <c r="L784" s="174"/>
      <c r="M784" s="174"/>
      <c r="N784" s="174"/>
      <c r="O784" s="174"/>
      <c r="P784" s="174"/>
      <c r="Q784" s="174"/>
      <c r="R784" s="174"/>
      <c r="S784" s="174"/>
      <c r="T784" s="174"/>
      <c r="U784" s="174"/>
      <c r="V784" s="174"/>
      <c r="W784" s="174"/>
      <c r="X784" s="174"/>
      <c r="Y784" s="174"/>
      <c r="Z784" s="174"/>
      <c r="AA784" s="174"/>
    </row>
    <row r="785">
      <c r="A785" s="174"/>
      <c r="B785" s="174"/>
      <c r="C785" s="174"/>
      <c r="D785" s="174"/>
      <c r="E785" s="174"/>
      <c r="F785" s="175"/>
      <c r="G785" s="175"/>
      <c r="H785" s="174"/>
      <c r="I785" s="174"/>
      <c r="J785" s="174"/>
      <c r="K785" s="174"/>
      <c r="L785" s="174"/>
      <c r="M785" s="174"/>
      <c r="N785" s="174"/>
      <c r="O785" s="174"/>
      <c r="P785" s="174"/>
      <c r="Q785" s="174"/>
      <c r="R785" s="174"/>
      <c r="S785" s="174"/>
      <c r="T785" s="174"/>
      <c r="U785" s="174"/>
      <c r="V785" s="174"/>
      <c r="W785" s="174"/>
      <c r="X785" s="174"/>
      <c r="Y785" s="174"/>
      <c r="Z785" s="174"/>
      <c r="AA785" s="174"/>
    </row>
    <row r="786">
      <c r="A786" s="174"/>
      <c r="B786" s="174"/>
      <c r="C786" s="174"/>
      <c r="D786" s="174"/>
      <c r="E786" s="174"/>
      <c r="F786" s="175"/>
      <c r="G786" s="175"/>
      <c r="H786" s="174"/>
      <c r="I786" s="174"/>
      <c r="J786" s="174"/>
      <c r="K786" s="174"/>
      <c r="L786" s="174"/>
      <c r="M786" s="174"/>
      <c r="N786" s="174"/>
      <c r="O786" s="174"/>
      <c r="P786" s="174"/>
      <c r="Q786" s="174"/>
      <c r="R786" s="174"/>
      <c r="S786" s="174"/>
      <c r="T786" s="174"/>
      <c r="U786" s="174"/>
      <c r="V786" s="174"/>
      <c r="W786" s="174"/>
      <c r="X786" s="174"/>
      <c r="Y786" s="174"/>
      <c r="Z786" s="174"/>
      <c r="AA786" s="174"/>
    </row>
    <row r="787">
      <c r="A787" s="174"/>
      <c r="B787" s="174"/>
      <c r="C787" s="174"/>
      <c r="D787" s="174"/>
      <c r="E787" s="174"/>
      <c r="F787" s="175"/>
      <c r="G787" s="175"/>
      <c r="H787" s="174"/>
      <c r="I787" s="174"/>
      <c r="J787" s="174"/>
      <c r="K787" s="174"/>
      <c r="L787" s="174"/>
      <c r="M787" s="174"/>
      <c r="N787" s="174"/>
      <c r="O787" s="174"/>
      <c r="P787" s="174"/>
      <c r="Q787" s="174"/>
      <c r="R787" s="174"/>
      <c r="S787" s="174"/>
      <c r="T787" s="174"/>
      <c r="U787" s="174"/>
      <c r="V787" s="174"/>
      <c r="W787" s="174"/>
      <c r="X787" s="174"/>
      <c r="Y787" s="174"/>
      <c r="Z787" s="174"/>
      <c r="AA787" s="174"/>
    </row>
    <row r="788">
      <c r="A788" s="174"/>
      <c r="B788" s="174"/>
      <c r="C788" s="174"/>
      <c r="D788" s="174"/>
      <c r="E788" s="174"/>
      <c r="F788" s="175"/>
      <c r="G788" s="175"/>
      <c r="H788" s="174"/>
      <c r="I788" s="174"/>
      <c r="J788" s="174"/>
      <c r="K788" s="174"/>
      <c r="L788" s="174"/>
      <c r="M788" s="174"/>
      <c r="N788" s="174"/>
      <c r="O788" s="174"/>
      <c r="P788" s="174"/>
      <c r="Q788" s="174"/>
      <c r="R788" s="174"/>
      <c r="S788" s="174"/>
      <c r="T788" s="174"/>
      <c r="U788" s="174"/>
      <c r="V788" s="174"/>
      <c r="W788" s="174"/>
      <c r="X788" s="174"/>
      <c r="Y788" s="174"/>
      <c r="Z788" s="174"/>
      <c r="AA788" s="174"/>
    </row>
    <row r="789">
      <c r="A789" s="174"/>
      <c r="B789" s="174"/>
      <c r="C789" s="174"/>
      <c r="D789" s="174"/>
      <c r="E789" s="174"/>
      <c r="F789" s="175"/>
      <c r="G789" s="175"/>
      <c r="H789" s="174"/>
      <c r="I789" s="174"/>
      <c r="J789" s="174"/>
      <c r="K789" s="174"/>
      <c r="L789" s="174"/>
      <c r="M789" s="174"/>
      <c r="N789" s="174"/>
      <c r="O789" s="174"/>
      <c r="P789" s="174"/>
      <c r="Q789" s="174"/>
      <c r="R789" s="174"/>
      <c r="S789" s="174"/>
      <c r="T789" s="174"/>
      <c r="U789" s="174"/>
      <c r="V789" s="174"/>
      <c r="W789" s="174"/>
      <c r="X789" s="174"/>
      <c r="Y789" s="174"/>
      <c r="Z789" s="174"/>
      <c r="AA789" s="174"/>
    </row>
    <row r="790">
      <c r="A790" s="174"/>
      <c r="B790" s="174"/>
      <c r="C790" s="174"/>
      <c r="D790" s="174"/>
      <c r="E790" s="174"/>
      <c r="F790" s="175"/>
      <c r="G790" s="175"/>
      <c r="H790" s="174"/>
      <c r="I790" s="174"/>
      <c r="J790" s="174"/>
      <c r="K790" s="174"/>
      <c r="L790" s="174"/>
      <c r="M790" s="174"/>
      <c r="N790" s="174"/>
      <c r="O790" s="174"/>
      <c r="P790" s="174"/>
      <c r="Q790" s="174"/>
      <c r="R790" s="174"/>
      <c r="S790" s="174"/>
      <c r="T790" s="174"/>
      <c r="U790" s="174"/>
      <c r="V790" s="174"/>
      <c r="W790" s="174"/>
      <c r="X790" s="174"/>
      <c r="Y790" s="174"/>
      <c r="Z790" s="174"/>
      <c r="AA790" s="174"/>
    </row>
    <row r="791">
      <c r="A791" s="174"/>
      <c r="B791" s="174"/>
      <c r="C791" s="174"/>
      <c r="D791" s="174"/>
      <c r="E791" s="174"/>
      <c r="F791" s="175"/>
      <c r="G791" s="175"/>
      <c r="H791" s="174"/>
      <c r="I791" s="174"/>
      <c r="J791" s="174"/>
      <c r="K791" s="174"/>
      <c r="L791" s="174"/>
      <c r="M791" s="174"/>
      <c r="N791" s="174"/>
      <c r="O791" s="174"/>
      <c r="P791" s="174"/>
      <c r="Q791" s="174"/>
      <c r="R791" s="174"/>
      <c r="S791" s="174"/>
      <c r="T791" s="174"/>
      <c r="U791" s="174"/>
      <c r="V791" s="174"/>
      <c r="W791" s="174"/>
      <c r="X791" s="174"/>
      <c r="Y791" s="174"/>
      <c r="Z791" s="174"/>
      <c r="AA791" s="174"/>
    </row>
    <row r="792">
      <c r="A792" s="174"/>
      <c r="B792" s="174"/>
      <c r="C792" s="174"/>
      <c r="D792" s="174"/>
      <c r="E792" s="174"/>
      <c r="F792" s="175"/>
      <c r="G792" s="175"/>
      <c r="H792" s="174"/>
      <c r="I792" s="174"/>
      <c r="J792" s="174"/>
      <c r="K792" s="174"/>
      <c r="L792" s="174"/>
      <c r="M792" s="174"/>
      <c r="N792" s="174"/>
      <c r="O792" s="174"/>
      <c r="P792" s="174"/>
      <c r="Q792" s="174"/>
      <c r="R792" s="174"/>
      <c r="S792" s="174"/>
      <c r="T792" s="174"/>
      <c r="U792" s="174"/>
      <c r="V792" s="174"/>
      <c r="W792" s="174"/>
      <c r="X792" s="174"/>
      <c r="Y792" s="174"/>
      <c r="Z792" s="174"/>
      <c r="AA792" s="174"/>
    </row>
    <row r="793">
      <c r="A793" s="174"/>
      <c r="B793" s="174"/>
      <c r="C793" s="174"/>
      <c r="D793" s="174"/>
      <c r="E793" s="174"/>
      <c r="F793" s="175"/>
      <c r="G793" s="175"/>
      <c r="H793" s="174"/>
      <c r="I793" s="174"/>
      <c r="J793" s="174"/>
      <c r="K793" s="174"/>
      <c r="L793" s="174"/>
      <c r="M793" s="174"/>
      <c r="N793" s="174"/>
      <c r="O793" s="174"/>
      <c r="P793" s="174"/>
      <c r="Q793" s="174"/>
      <c r="R793" s="174"/>
      <c r="S793" s="174"/>
      <c r="T793" s="174"/>
      <c r="U793" s="174"/>
      <c r="V793" s="174"/>
      <c r="W793" s="174"/>
      <c r="X793" s="174"/>
      <c r="Y793" s="174"/>
      <c r="Z793" s="174"/>
      <c r="AA793" s="174"/>
    </row>
    <row r="794">
      <c r="A794" s="174"/>
      <c r="B794" s="174"/>
      <c r="C794" s="174"/>
      <c r="D794" s="174"/>
      <c r="E794" s="174"/>
      <c r="F794" s="175"/>
      <c r="G794" s="175"/>
      <c r="H794" s="174"/>
      <c r="I794" s="174"/>
      <c r="J794" s="174"/>
      <c r="K794" s="174"/>
      <c r="L794" s="174"/>
      <c r="M794" s="174"/>
      <c r="N794" s="174"/>
      <c r="O794" s="174"/>
      <c r="P794" s="174"/>
      <c r="Q794" s="174"/>
      <c r="R794" s="174"/>
      <c r="S794" s="174"/>
      <c r="T794" s="174"/>
      <c r="U794" s="174"/>
      <c r="V794" s="174"/>
      <c r="W794" s="174"/>
      <c r="X794" s="174"/>
      <c r="Y794" s="174"/>
      <c r="Z794" s="174"/>
      <c r="AA794" s="174"/>
    </row>
    <row r="795">
      <c r="A795" s="174"/>
      <c r="B795" s="174"/>
      <c r="C795" s="174"/>
      <c r="D795" s="174"/>
      <c r="E795" s="174"/>
      <c r="F795" s="175"/>
      <c r="G795" s="175"/>
      <c r="H795" s="174"/>
      <c r="I795" s="174"/>
      <c r="J795" s="174"/>
      <c r="K795" s="174"/>
      <c r="L795" s="174"/>
      <c r="M795" s="174"/>
      <c r="N795" s="174"/>
      <c r="O795" s="174"/>
      <c r="P795" s="174"/>
      <c r="Q795" s="174"/>
      <c r="R795" s="174"/>
      <c r="S795" s="174"/>
      <c r="T795" s="174"/>
      <c r="U795" s="174"/>
      <c r="V795" s="174"/>
      <c r="W795" s="174"/>
      <c r="X795" s="174"/>
      <c r="Y795" s="174"/>
      <c r="Z795" s="174"/>
      <c r="AA795" s="174"/>
    </row>
    <row r="796">
      <c r="A796" s="174"/>
      <c r="B796" s="174"/>
      <c r="C796" s="174"/>
      <c r="D796" s="174"/>
      <c r="E796" s="174"/>
      <c r="F796" s="175"/>
      <c r="G796" s="175"/>
      <c r="H796" s="174"/>
      <c r="I796" s="174"/>
      <c r="J796" s="174"/>
      <c r="K796" s="174"/>
      <c r="L796" s="174"/>
      <c r="M796" s="174"/>
      <c r="N796" s="174"/>
      <c r="O796" s="174"/>
      <c r="P796" s="174"/>
      <c r="Q796" s="174"/>
      <c r="R796" s="174"/>
      <c r="S796" s="174"/>
      <c r="T796" s="174"/>
      <c r="U796" s="174"/>
      <c r="V796" s="174"/>
      <c r="W796" s="174"/>
      <c r="X796" s="174"/>
      <c r="Y796" s="174"/>
      <c r="Z796" s="174"/>
      <c r="AA796" s="174"/>
    </row>
    <row r="797">
      <c r="A797" s="174"/>
      <c r="B797" s="174"/>
      <c r="C797" s="174"/>
      <c r="D797" s="174"/>
      <c r="E797" s="174"/>
      <c r="F797" s="175"/>
      <c r="G797" s="175"/>
      <c r="H797" s="174"/>
      <c r="I797" s="174"/>
      <c r="J797" s="174"/>
      <c r="K797" s="174"/>
      <c r="L797" s="174"/>
      <c r="M797" s="174"/>
      <c r="N797" s="174"/>
      <c r="O797" s="174"/>
      <c r="P797" s="174"/>
      <c r="Q797" s="174"/>
      <c r="R797" s="174"/>
      <c r="S797" s="174"/>
      <c r="T797" s="174"/>
      <c r="U797" s="174"/>
      <c r="V797" s="174"/>
      <c r="W797" s="174"/>
      <c r="X797" s="174"/>
      <c r="Y797" s="174"/>
      <c r="Z797" s="174"/>
      <c r="AA797" s="174"/>
    </row>
    <row r="798">
      <c r="A798" s="174"/>
      <c r="B798" s="174"/>
      <c r="C798" s="174"/>
      <c r="D798" s="174"/>
      <c r="E798" s="174"/>
      <c r="F798" s="175"/>
      <c r="G798" s="175"/>
      <c r="H798" s="174"/>
      <c r="I798" s="174"/>
      <c r="J798" s="174"/>
      <c r="K798" s="174"/>
      <c r="L798" s="174"/>
      <c r="M798" s="174"/>
      <c r="N798" s="174"/>
      <c r="O798" s="174"/>
      <c r="P798" s="174"/>
      <c r="Q798" s="174"/>
      <c r="R798" s="174"/>
      <c r="S798" s="174"/>
      <c r="T798" s="174"/>
      <c r="U798" s="174"/>
      <c r="V798" s="174"/>
      <c r="W798" s="174"/>
      <c r="X798" s="174"/>
      <c r="Y798" s="174"/>
      <c r="Z798" s="174"/>
      <c r="AA798" s="174"/>
    </row>
    <row r="799">
      <c r="A799" s="174"/>
      <c r="B799" s="174"/>
      <c r="C799" s="174"/>
      <c r="D799" s="174"/>
      <c r="E799" s="174"/>
      <c r="F799" s="175"/>
      <c r="G799" s="175"/>
      <c r="H799" s="174"/>
      <c r="I799" s="174"/>
      <c r="J799" s="174"/>
      <c r="K799" s="174"/>
      <c r="L799" s="174"/>
      <c r="M799" s="174"/>
      <c r="N799" s="174"/>
      <c r="O799" s="174"/>
      <c r="P799" s="174"/>
      <c r="Q799" s="174"/>
      <c r="R799" s="174"/>
      <c r="S799" s="174"/>
      <c r="T799" s="174"/>
      <c r="U799" s="174"/>
      <c r="V799" s="174"/>
      <c r="W799" s="174"/>
      <c r="X799" s="174"/>
      <c r="Y799" s="174"/>
      <c r="Z799" s="174"/>
      <c r="AA799" s="174"/>
    </row>
    <row r="800">
      <c r="A800" s="174"/>
      <c r="B800" s="174"/>
      <c r="C800" s="174"/>
      <c r="D800" s="174"/>
      <c r="E800" s="174"/>
      <c r="F800" s="175"/>
      <c r="G800" s="175"/>
      <c r="H800" s="174"/>
      <c r="I800" s="174"/>
      <c r="J800" s="174"/>
      <c r="K800" s="174"/>
      <c r="L800" s="174"/>
      <c r="M800" s="174"/>
      <c r="N800" s="174"/>
      <c r="O800" s="174"/>
      <c r="P800" s="174"/>
      <c r="Q800" s="174"/>
      <c r="R800" s="174"/>
      <c r="S800" s="174"/>
      <c r="T800" s="174"/>
      <c r="U800" s="174"/>
      <c r="V800" s="174"/>
      <c r="W800" s="174"/>
      <c r="X800" s="174"/>
      <c r="Y800" s="174"/>
      <c r="Z800" s="174"/>
      <c r="AA800" s="174"/>
    </row>
    <row r="801">
      <c r="A801" s="174"/>
      <c r="B801" s="174"/>
      <c r="C801" s="174"/>
      <c r="D801" s="174"/>
      <c r="E801" s="174"/>
      <c r="F801" s="175"/>
      <c r="G801" s="175"/>
      <c r="H801" s="174"/>
      <c r="I801" s="174"/>
      <c r="J801" s="174"/>
      <c r="K801" s="174"/>
      <c r="L801" s="174"/>
      <c r="M801" s="174"/>
      <c r="N801" s="174"/>
      <c r="O801" s="174"/>
      <c r="P801" s="174"/>
      <c r="Q801" s="174"/>
      <c r="R801" s="174"/>
      <c r="S801" s="174"/>
      <c r="T801" s="174"/>
      <c r="U801" s="174"/>
      <c r="V801" s="174"/>
      <c r="W801" s="174"/>
      <c r="X801" s="174"/>
      <c r="Y801" s="174"/>
      <c r="Z801" s="174"/>
      <c r="AA801" s="174"/>
    </row>
    <row r="802">
      <c r="A802" s="174"/>
      <c r="B802" s="174"/>
      <c r="C802" s="174"/>
      <c r="D802" s="174"/>
      <c r="E802" s="174"/>
      <c r="F802" s="175"/>
      <c r="G802" s="175"/>
      <c r="H802" s="174"/>
      <c r="I802" s="174"/>
      <c r="J802" s="174"/>
      <c r="K802" s="174"/>
      <c r="L802" s="174"/>
      <c r="M802" s="174"/>
      <c r="N802" s="174"/>
      <c r="O802" s="174"/>
      <c r="P802" s="174"/>
      <c r="Q802" s="174"/>
      <c r="R802" s="174"/>
      <c r="S802" s="174"/>
      <c r="T802" s="174"/>
      <c r="U802" s="174"/>
      <c r="V802" s="174"/>
      <c r="W802" s="174"/>
      <c r="X802" s="174"/>
      <c r="Y802" s="174"/>
      <c r="Z802" s="174"/>
      <c r="AA802" s="174"/>
    </row>
    <row r="803">
      <c r="A803" s="174"/>
      <c r="B803" s="174"/>
      <c r="C803" s="174"/>
      <c r="D803" s="174"/>
      <c r="E803" s="174"/>
      <c r="F803" s="175"/>
      <c r="G803" s="175"/>
      <c r="H803" s="174"/>
      <c r="I803" s="174"/>
      <c r="J803" s="174"/>
      <c r="K803" s="174"/>
      <c r="L803" s="174"/>
      <c r="M803" s="174"/>
      <c r="N803" s="174"/>
      <c r="O803" s="174"/>
      <c r="P803" s="174"/>
      <c r="Q803" s="174"/>
      <c r="R803" s="174"/>
      <c r="S803" s="174"/>
      <c r="T803" s="174"/>
      <c r="U803" s="174"/>
      <c r="V803" s="174"/>
      <c r="W803" s="174"/>
      <c r="X803" s="174"/>
      <c r="Y803" s="174"/>
      <c r="Z803" s="174"/>
      <c r="AA803" s="174"/>
    </row>
    <row r="804">
      <c r="A804" s="174"/>
      <c r="B804" s="174"/>
      <c r="C804" s="174"/>
      <c r="D804" s="174"/>
      <c r="E804" s="174"/>
      <c r="F804" s="175"/>
      <c r="G804" s="175"/>
      <c r="H804" s="174"/>
      <c r="I804" s="174"/>
      <c r="J804" s="174"/>
      <c r="K804" s="174"/>
      <c r="L804" s="174"/>
      <c r="M804" s="174"/>
      <c r="N804" s="174"/>
      <c r="O804" s="174"/>
      <c r="P804" s="174"/>
      <c r="Q804" s="174"/>
      <c r="R804" s="174"/>
      <c r="S804" s="174"/>
      <c r="T804" s="174"/>
      <c r="U804" s="174"/>
      <c r="V804" s="174"/>
      <c r="W804" s="174"/>
      <c r="X804" s="174"/>
      <c r="Y804" s="174"/>
      <c r="Z804" s="174"/>
      <c r="AA804" s="174"/>
    </row>
    <row r="805">
      <c r="A805" s="174"/>
      <c r="B805" s="174"/>
      <c r="C805" s="174"/>
      <c r="D805" s="174"/>
      <c r="E805" s="174"/>
      <c r="F805" s="175"/>
      <c r="G805" s="175"/>
      <c r="H805" s="174"/>
      <c r="I805" s="174"/>
      <c r="J805" s="174"/>
      <c r="K805" s="174"/>
      <c r="L805" s="174"/>
      <c r="M805" s="174"/>
      <c r="N805" s="174"/>
      <c r="O805" s="174"/>
      <c r="P805" s="174"/>
      <c r="Q805" s="174"/>
      <c r="R805" s="174"/>
      <c r="S805" s="174"/>
      <c r="T805" s="174"/>
      <c r="U805" s="174"/>
      <c r="V805" s="174"/>
      <c r="W805" s="174"/>
      <c r="X805" s="174"/>
      <c r="Y805" s="174"/>
      <c r="Z805" s="174"/>
      <c r="AA805" s="174"/>
    </row>
    <row r="806">
      <c r="A806" s="174"/>
      <c r="B806" s="174"/>
      <c r="C806" s="174"/>
      <c r="D806" s="174"/>
      <c r="E806" s="174"/>
      <c r="F806" s="175"/>
      <c r="G806" s="175"/>
      <c r="H806" s="174"/>
      <c r="I806" s="174"/>
      <c r="J806" s="174"/>
      <c r="K806" s="174"/>
      <c r="L806" s="174"/>
      <c r="M806" s="174"/>
      <c r="N806" s="174"/>
      <c r="O806" s="174"/>
      <c r="P806" s="174"/>
      <c r="Q806" s="174"/>
      <c r="R806" s="174"/>
      <c r="S806" s="174"/>
      <c r="T806" s="174"/>
      <c r="U806" s="174"/>
      <c r="V806" s="174"/>
      <c r="W806" s="174"/>
      <c r="X806" s="174"/>
      <c r="Y806" s="174"/>
      <c r="Z806" s="174"/>
      <c r="AA806" s="174"/>
    </row>
    <row r="807">
      <c r="A807" s="174"/>
      <c r="B807" s="174"/>
      <c r="C807" s="174"/>
      <c r="D807" s="174"/>
      <c r="E807" s="174"/>
      <c r="F807" s="175"/>
      <c r="G807" s="175"/>
      <c r="H807" s="174"/>
      <c r="I807" s="174"/>
      <c r="J807" s="174"/>
      <c r="K807" s="174"/>
      <c r="L807" s="174"/>
      <c r="M807" s="174"/>
      <c r="N807" s="174"/>
      <c r="O807" s="174"/>
      <c r="P807" s="174"/>
      <c r="Q807" s="174"/>
      <c r="R807" s="174"/>
      <c r="S807" s="174"/>
      <c r="T807" s="174"/>
      <c r="U807" s="174"/>
      <c r="V807" s="174"/>
      <c r="W807" s="174"/>
      <c r="X807" s="174"/>
      <c r="Y807" s="174"/>
      <c r="Z807" s="174"/>
      <c r="AA807" s="174"/>
    </row>
    <row r="808">
      <c r="A808" s="174"/>
      <c r="B808" s="174"/>
      <c r="C808" s="174"/>
      <c r="D808" s="174"/>
      <c r="E808" s="174"/>
      <c r="F808" s="175"/>
      <c r="G808" s="175"/>
      <c r="H808" s="174"/>
      <c r="I808" s="174"/>
      <c r="J808" s="174"/>
      <c r="K808" s="174"/>
      <c r="L808" s="174"/>
      <c r="M808" s="174"/>
      <c r="N808" s="174"/>
      <c r="O808" s="174"/>
      <c r="P808" s="174"/>
      <c r="Q808" s="174"/>
      <c r="R808" s="174"/>
      <c r="S808" s="174"/>
      <c r="T808" s="174"/>
      <c r="U808" s="174"/>
      <c r="V808" s="174"/>
      <c r="W808" s="174"/>
      <c r="X808" s="174"/>
      <c r="Y808" s="174"/>
      <c r="Z808" s="174"/>
      <c r="AA808" s="174"/>
    </row>
    <row r="809">
      <c r="A809" s="174"/>
      <c r="B809" s="174"/>
      <c r="C809" s="174"/>
      <c r="D809" s="174"/>
      <c r="E809" s="174"/>
      <c r="F809" s="175"/>
      <c r="G809" s="175"/>
      <c r="H809" s="174"/>
      <c r="I809" s="174"/>
      <c r="J809" s="174"/>
      <c r="K809" s="174"/>
      <c r="L809" s="174"/>
      <c r="M809" s="174"/>
      <c r="N809" s="174"/>
      <c r="O809" s="174"/>
      <c r="P809" s="174"/>
      <c r="Q809" s="174"/>
      <c r="R809" s="174"/>
      <c r="S809" s="174"/>
      <c r="T809" s="174"/>
      <c r="U809" s="174"/>
      <c r="V809" s="174"/>
      <c r="W809" s="174"/>
      <c r="X809" s="174"/>
      <c r="Y809" s="174"/>
      <c r="Z809" s="174"/>
      <c r="AA809" s="174"/>
    </row>
    <row r="810">
      <c r="A810" s="174"/>
      <c r="B810" s="174"/>
      <c r="C810" s="174"/>
      <c r="D810" s="174"/>
      <c r="E810" s="174"/>
      <c r="F810" s="175"/>
      <c r="G810" s="175"/>
      <c r="H810" s="174"/>
      <c r="I810" s="174"/>
      <c r="J810" s="174"/>
      <c r="K810" s="174"/>
      <c r="L810" s="174"/>
      <c r="M810" s="174"/>
      <c r="N810" s="174"/>
      <c r="O810" s="174"/>
      <c r="P810" s="174"/>
      <c r="Q810" s="174"/>
      <c r="R810" s="174"/>
      <c r="S810" s="174"/>
      <c r="T810" s="174"/>
      <c r="U810" s="174"/>
      <c r="V810" s="174"/>
      <c r="W810" s="174"/>
      <c r="X810" s="174"/>
      <c r="Y810" s="174"/>
      <c r="Z810" s="174"/>
      <c r="AA810" s="174"/>
    </row>
    <row r="811">
      <c r="A811" s="174"/>
      <c r="B811" s="174"/>
      <c r="C811" s="174"/>
      <c r="D811" s="174"/>
      <c r="E811" s="174"/>
      <c r="F811" s="175"/>
      <c r="G811" s="175"/>
      <c r="H811" s="174"/>
      <c r="I811" s="174"/>
      <c r="J811" s="174"/>
      <c r="K811" s="174"/>
      <c r="L811" s="174"/>
      <c r="M811" s="174"/>
      <c r="N811" s="174"/>
      <c r="O811" s="174"/>
      <c r="P811" s="174"/>
      <c r="Q811" s="174"/>
      <c r="R811" s="174"/>
      <c r="S811" s="174"/>
      <c r="T811" s="174"/>
      <c r="U811" s="174"/>
      <c r="V811" s="174"/>
      <c r="W811" s="174"/>
      <c r="X811" s="174"/>
      <c r="Y811" s="174"/>
      <c r="Z811" s="174"/>
      <c r="AA811" s="174"/>
    </row>
    <row r="812">
      <c r="A812" s="174"/>
      <c r="B812" s="174"/>
      <c r="C812" s="174"/>
      <c r="D812" s="174"/>
      <c r="E812" s="174"/>
      <c r="F812" s="175"/>
      <c r="G812" s="175"/>
      <c r="H812" s="174"/>
      <c r="I812" s="174"/>
      <c r="J812" s="174"/>
      <c r="K812" s="174"/>
      <c r="L812" s="174"/>
      <c r="M812" s="174"/>
      <c r="N812" s="174"/>
      <c r="O812" s="174"/>
      <c r="P812" s="174"/>
      <c r="Q812" s="174"/>
      <c r="R812" s="174"/>
      <c r="S812" s="174"/>
      <c r="T812" s="174"/>
      <c r="U812" s="174"/>
      <c r="V812" s="174"/>
      <c r="W812" s="174"/>
      <c r="X812" s="174"/>
      <c r="Y812" s="174"/>
      <c r="Z812" s="174"/>
      <c r="AA812" s="174"/>
    </row>
    <row r="813">
      <c r="A813" s="174"/>
      <c r="B813" s="174"/>
      <c r="C813" s="174"/>
      <c r="D813" s="174"/>
      <c r="E813" s="174"/>
      <c r="F813" s="175"/>
      <c r="G813" s="175"/>
      <c r="H813" s="174"/>
      <c r="I813" s="174"/>
      <c r="J813" s="174"/>
      <c r="K813" s="174"/>
      <c r="L813" s="174"/>
      <c r="M813" s="174"/>
      <c r="N813" s="174"/>
      <c r="O813" s="174"/>
      <c r="P813" s="174"/>
      <c r="Q813" s="174"/>
      <c r="R813" s="174"/>
      <c r="S813" s="174"/>
      <c r="T813" s="174"/>
      <c r="U813" s="174"/>
      <c r="V813" s="174"/>
      <c r="W813" s="174"/>
      <c r="X813" s="174"/>
      <c r="Y813" s="174"/>
      <c r="Z813" s="174"/>
      <c r="AA813" s="174"/>
    </row>
    <row r="814">
      <c r="A814" s="174"/>
      <c r="B814" s="174"/>
      <c r="C814" s="174"/>
      <c r="D814" s="174"/>
      <c r="E814" s="174"/>
      <c r="F814" s="175"/>
      <c r="G814" s="175"/>
      <c r="H814" s="174"/>
      <c r="I814" s="174"/>
      <c r="J814" s="174"/>
      <c r="K814" s="174"/>
      <c r="L814" s="174"/>
      <c r="M814" s="174"/>
      <c r="N814" s="174"/>
      <c r="O814" s="174"/>
      <c r="P814" s="174"/>
      <c r="Q814" s="174"/>
      <c r="R814" s="174"/>
      <c r="S814" s="174"/>
      <c r="T814" s="174"/>
      <c r="U814" s="174"/>
      <c r="V814" s="174"/>
      <c r="W814" s="174"/>
      <c r="X814" s="174"/>
      <c r="Y814" s="174"/>
      <c r="Z814" s="174"/>
      <c r="AA814" s="174"/>
    </row>
    <row r="815">
      <c r="A815" s="174"/>
      <c r="B815" s="174"/>
      <c r="C815" s="174"/>
      <c r="D815" s="174"/>
      <c r="E815" s="174"/>
      <c r="F815" s="175"/>
      <c r="G815" s="175"/>
      <c r="H815" s="174"/>
      <c r="I815" s="174"/>
      <c r="J815" s="174"/>
      <c r="K815" s="174"/>
      <c r="L815" s="174"/>
      <c r="M815" s="174"/>
      <c r="N815" s="174"/>
      <c r="O815" s="174"/>
      <c r="P815" s="174"/>
      <c r="Q815" s="174"/>
      <c r="R815" s="174"/>
      <c r="S815" s="174"/>
      <c r="T815" s="174"/>
      <c r="U815" s="174"/>
      <c r="V815" s="174"/>
      <c r="W815" s="174"/>
      <c r="X815" s="174"/>
      <c r="Y815" s="174"/>
      <c r="Z815" s="174"/>
      <c r="AA815" s="174"/>
    </row>
    <row r="816">
      <c r="A816" s="174"/>
      <c r="B816" s="174"/>
      <c r="C816" s="174"/>
      <c r="D816" s="174"/>
      <c r="E816" s="174"/>
      <c r="F816" s="175"/>
      <c r="G816" s="175"/>
      <c r="H816" s="174"/>
      <c r="I816" s="174"/>
      <c r="J816" s="174"/>
      <c r="K816" s="174"/>
      <c r="L816" s="174"/>
      <c r="M816" s="174"/>
      <c r="N816" s="174"/>
      <c r="O816" s="174"/>
      <c r="P816" s="174"/>
      <c r="Q816" s="174"/>
      <c r="R816" s="174"/>
      <c r="S816" s="174"/>
      <c r="T816" s="174"/>
      <c r="U816" s="174"/>
      <c r="V816" s="174"/>
      <c r="W816" s="174"/>
      <c r="X816" s="174"/>
      <c r="Y816" s="174"/>
      <c r="Z816" s="174"/>
      <c r="AA816" s="174"/>
    </row>
    <row r="817">
      <c r="A817" s="174"/>
      <c r="B817" s="174"/>
      <c r="C817" s="174"/>
      <c r="D817" s="174"/>
      <c r="E817" s="174"/>
      <c r="F817" s="175"/>
      <c r="G817" s="175"/>
      <c r="H817" s="174"/>
      <c r="I817" s="174"/>
      <c r="J817" s="174"/>
      <c r="K817" s="174"/>
      <c r="L817" s="174"/>
      <c r="M817" s="174"/>
      <c r="N817" s="174"/>
      <c r="O817" s="174"/>
      <c r="P817" s="174"/>
      <c r="Q817" s="174"/>
      <c r="R817" s="174"/>
      <c r="S817" s="174"/>
      <c r="T817" s="174"/>
      <c r="U817" s="174"/>
      <c r="V817" s="174"/>
      <c r="W817" s="174"/>
      <c r="X817" s="174"/>
      <c r="Y817" s="174"/>
      <c r="Z817" s="174"/>
      <c r="AA817" s="174"/>
    </row>
    <row r="818">
      <c r="A818" s="174"/>
      <c r="B818" s="174"/>
      <c r="C818" s="174"/>
      <c r="D818" s="174"/>
      <c r="E818" s="174"/>
      <c r="F818" s="175"/>
      <c r="G818" s="175"/>
      <c r="H818" s="174"/>
      <c r="I818" s="174"/>
      <c r="J818" s="174"/>
      <c r="K818" s="174"/>
      <c r="L818" s="174"/>
      <c r="M818" s="174"/>
      <c r="N818" s="174"/>
      <c r="O818" s="174"/>
      <c r="P818" s="174"/>
      <c r="Q818" s="174"/>
      <c r="R818" s="174"/>
      <c r="S818" s="174"/>
      <c r="T818" s="174"/>
      <c r="U818" s="174"/>
      <c r="V818" s="174"/>
      <c r="W818" s="174"/>
      <c r="X818" s="174"/>
      <c r="Y818" s="174"/>
      <c r="Z818" s="174"/>
      <c r="AA818" s="174"/>
    </row>
    <row r="819">
      <c r="A819" s="174"/>
      <c r="B819" s="174"/>
      <c r="C819" s="174"/>
      <c r="D819" s="174"/>
      <c r="E819" s="174"/>
      <c r="F819" s="175"/>
      <c r="G819" s="175"/>
      <c r="H819" s="174"/>
      <c r="I819" s="174"/>
      <c r="J819" s="174"/>
      <c r="K819" s="174"/>
      <c r="L819" s="174"/>
      <c r="M819" s="174"/>
      <c r="N819" s="174"/>
      <c r="O819" s="174"/>
      <c r="P819" s="174"/>
      <c r="Q819" s="174"/>
      <c r="R819" s="174"/>
      <c r="S819" s="174"/>
      <c r="T819" s="174"/>
      <c r="U819" s="174"/>
      <c r="V819" s="174"/>
      <c r="W819" s="174"/>
      <c r="X819" s="174"/>
      <c r="Y819" s="174"/>
      <c r="Z819" s="174"/>
      <c r="AA819" s="174"/>
    </row>
    <row r="820">
      <c r="A820" s="174"/>
      <c r="B820" s="174"/>
      <c r="C820" s="174"/>
      <c r="D820" s="174"/>
      <c r="E820" s="174"/>
      <c r="F820" s="175"/>
      <c r="G820" s="175"/>
      <c r="H820" s="174"/>
      <c r="I820" s="174"/>
      <c r="J820" s="174"/>
      <c r="K820" s="174"/>
      <c r="L820" s="174"/>
      <c r="M820" s="174"/>
      <c r="N820" s="174"/>
      <c r="O820" s="174"/>
      <c r="P820" s="174"/>
      <c r="Q820" s="174"/>
      <c r="R820" s="174"/>
      <c r="S820" s="174"/>
      <c r="T820" s="174"/>
      <c r="U820" s="174"/>
      <c r="V820" s="174"/>
      <c r="W820" s="174"/>
      <c r="X820" s="174"/>
      <c r="Y820" s="174"/>
      <c r="Z820" s="174"/>
      <c r="AA820" s="174"/>
    </row>
    <row r="821">
      <c r="A821" s="174"/>
      <c r="B821" s="174"/>
      <c r="C821" s="174"/>
      <c r="D821" s="174"/>
      <c r="E821" s="174"/>
      <c r="F821" s="175"/>
      <c r="G821" s="175"/>
      <c r="H821" s="174"/>
      <c r="I821" s="174"/>
      <c r="J821" s="174"/>
      <c r="K821" s="174"/>
      <c r="L821" s="174"/>
      <c r="M821" s="174"/>
      <c r="N821" s="174"/>
      <c r="O821" s="174"/>
      <c r="P821" s="174"/>
      <c r="Q821" s="174"/>
      <c r="R821" s="174"/>
      <c r="S821" s="174"/>
      <c r="T821" s="174"/>
      <c r="U821" s="174"/>
      <c r="V821" s="174"/>
      <c r="W821" s="174"/>
      <c r="X821" s="174"/>
      <c r="Y821" s="174"/>
      <c r="Z821" s="174"/>
      <c r="AA821" s="174"/>
    </row>
    <row r="822">
      <c r="A822" s="174"/>
      <c r="B822" s="174"/>
      <c r="C822" s="174"/>
      <c r="D822" s="174"/>
      <c r="E822" s="174"/>
      <c r="F822" s="175"/>
      <c r="G822" s="175"/>
      <c r="H822" s="174"/>
      <c r="I822" s="174"/>
      <c r="J822" s="174"/>
      <c r="K822" s="174"/>
      <c r="L822" s="174"/>
      <c r="M822" s="174"/>
      <c r="N822" s="174"/>
      <c r="O822" s="174"/>
      <c r="P822" s="174"/>
      <c r="Q822" s="174"/>
      <c r="R822" s="174"/>
      <c r="S822" s="174"/>
      <c r="T822" s="174"/>
      <c r="U822" s="174"/>
      <c r="V822" s="174"/>
      <c r="W822" s="174"/>
      <c r="X822" s="174"/>
      <c r="Y822" s="174"/>
      <c r="Z822" s="174"/>
      <c r="AA822" s="174"/>
    </row>
    <row r="823">
      <c r="A823" s="174"/>
      <c r="B823" s="174"/>
      <c r="C823" s="174"/>
      <c r="D823" s="174"/>
      <c r="E823" s="174"/>
      <c r="F823" s="175"/>
      <c r="G823" s="175"/>
      <c r="H823" s="174"/>
      <c r="I823" s="174"/>
      <c r="J823" s="174"/>
      <c r="K823" s="174"/>
      <c r="L823" s="174"/>
      <c r="M823" s="174"/>
      <c r="N823" s="174"/>
      <c r="O823" s="174"/>
      <c r="P823" s="174"/>
      <c r="Q823" s="174"/>
      <c r="R823" s="174"/>
      <c r="S823" s="174"/>
      <c r="T823" s="174"/>
      <c r="U823" s="174"/>
      <c r="V823" s="174"/>
      <c r="W823" s="174"/>
      <c r="X823" s="174"/>
      <c r="Y823" s="174"/>
      <c r="Z823" s="174"/>
      <c r="AA823" s="174"/>
    </row>
    <row r="824">
      <c r="A824" s="174"/>
      <c r="B824" s="174"/>
      <c r="C824" s="174"/>
      <c r="D824" s="174"/>
      <c r="E824" s="174"/>
      <c r="F824" s="175"/>
      <c r="G824" s="175"/>
      <c r="H824" s="174"/>
      <c r="I824" s="174"/>
      <c r="J824" s="174"/>
      <c r="K824" s="174"/>
      <c r="L824" s="174"/>
      <c r="M824" s="174"/>
      <c r="N824" s="174"/>
      <c r="O824" s="174"/>
      <c r="P824" s="174"/>
      <c r="Q824" s="174"/>
      <c r="R824" s="174"/>
      <c r="S824" s="174"/>
      <c r="T824" s="174"/>
      <c r="U824" s="174"/>
      <c r="V824" s="174"/>
      <c r="W824" s="174"/>
      <c r="X824" s="174"/>
      <c r="Y824" s="174"/>
      <c r="Z824" s="174"/>
      <c r="AA824" s="174"/>
    </row>
    <row r="825">
      <c r="A825" s="174"/>
      <c r="B825" s="174"/>
      <c r="C825" s="174"/>
      <c r="D825" s="174"/>
      <c r="E825" s="174"/>
      <c r="F825" s="175"/>
      <c r="G825" s="175"/>
      <c r="H825" s="174"/>
      <c r="I825" s="174"/>
      <c r="J825" s="174"/>
      <c r="K825" s="174"/>
      <c r="L825" s="174"/>
      <c r="M825" s="174"/>
      <c r="N825" s="174"/>
      <c r="O825" s="174"/>
      <c r="P825" s="174"/>
      <c r="Q825" s="174"/>
      <c r="R825" s="174"/>
      <c r="S825" s="174"/>
      <c r="T825" s="174"/>
      <c r="U825" s="174"/>
      <c r="V825" s="174"/>
      <c r="W825" s="174"/>
      <c r="X825" s="174"/>
      <c r="Y825" s="174"/>
      <c r="Z825" s="174"/>
      <c r="AA825" s="174"/>
    </row>
    <row r="826">
      <c r="A826" s="174"/>
      <c r="B826" s="174"/>
      <c r="C826" s="174"/>
      <c r="D826" s="174"/>
      <c r="E826" s="174"/>
      <c r="F826" s="175"/>
      <c r="G826" s="175"/>
      <c r="H826" s="174"/>
      <c r="I826" s="174"/>
      <c r="J826" s="174"/>
      <c r="K826" s="174"/>
      <c r="L826" s="174"/>
      <c r="M826" s="174"/>
      <c r="N826" s="174"/>
      <c r="O826" s="174"/>
      <c r="P826" s="174"/>
      <c r="Q826" s="174"/>
      <c r="R826" s="174"/>
      <c r="S826" s="174"/>
      <c r="T826" s="174"/>
      <c r="U826" s="174"/>
      <c r="V826" s="174"/>
      <c r="W826" s="174"/>
      <c r="X826" s="174"/>
      <c r="Y826" s="174"/>
      <c r="Z826" s="174"/>
      <c r="AA826" s="174"/>
    </row>
    <row r="827">
      <c r="A827" s="174"/>
      <c r="B827" s="174"/>
      <c r="C827" s="174"/>
      <c r="D827" s="174"/>
      <c r="E827" s="174"/>
      <c r="F827" s="175"/>
      <c r="G827" s="175"/>
      <c r="H827" s="174"/>
      <c r="I827" s="174"/>
      <c r="J827" s="174"/>
      <c r="K827" s="174"/>
      <c r="L827" s="174"/>
      <c r="M827" s="174"/>
      <c r="N827" s="174"/>
      <c r="O827" s="174"/>
      <c r="P827" s="174"/>
      <c r="Q827" s="174"/>
      <c r="R827" s="174"/>
      <c r="S827" s="174"/>
      <c r="T827" s="174"/>
      <c r="U827" s="174"/>
      <c r="V827" s="174"/>
      <c r="W827" s="174"/>
      <c r="X827" s="174"/>
      <c r="Y827" s="174"/>
      <c r="Z827" s="174"/>
      <c r="AA827" s="174"/>
    </row>
    <row r="828">
      <c r="A828" s="174"/>
      <c r="B828" s="174"/>
      <c r="C828" s="174"/>
      <c r="D828" s="174"/>
      <c r="E828" s="174"/>
      <c r="F828" s="175"/>
      <c r="G828" s="175"/>
      <c r="H828" s="174"/>
      <c r="I828" s="174"/>
      <c r="J828" s="174"/>
      <c r="K828" s="174"/>
      <c r="L828" s="174"/>
      <c r="M828" s="174"/>
      <c r="N828" s="174"/>
      <c r="O828" s="174"/>
      <c r="P828" s="174"/>
      <c r="Q828" s="174"/>
      <c r="R828" s="174"/>
      <c r="S828" s="174"/>
      <c r="T828" s="174"/>
      <c r="U828" s="174"/>
      <c r="V828" s="174"/>
      <c r="W828" s="174"/>
      <c r="X828" s="174"/>
      <c r="Y828" s="174"/>
      <c r="Z828" s="174"/>
      <c r="AA828" s="174"/>
    </row>
    <row r="829">
      <c r="A829" s="174"/>
      <c r="B829" s="174"/>
      <c r="C829" s="174"/>
      <c r="D829" s="174"/>
      <c r="E829" s="174"/>
      <c r="F829" s="175"/>
      <c r="G829" s="175"/>
      <c r="H829" s="174"/>
      <c r="I829" s="174"/>
      <c r="J829" s="174"/>
      <c r="K829" s="174"/>
      <c r="L829" s="174"/>
      <c r="M829" s="174"/>
      <c r="N829" s="174"/>
      <c r="O829" s="174"/>
      <c r="P829" s="174"/>
      <c r="Q829" s="174"/>
      <c r="R829" s="174"/>
      <c r="S829" s="174"/>
      <c r="T829" s="174"/>
      <c r="U829" s="174"/>
      <c r="V829" s="174"/>
      <c r="W829" s="174"/>
      <c r="X829" s="174"/>
      <c r="Y829" s="174"/>
      <c r="Z829" s="174"/>
      <c r="AA829" s="174"/>
    </row>
    <row r="830">
      <c r="A830" s="174"/>
      <c r="B830" s="174"/>
      <c r="C830" s="174"/>
      <c r="D830" s="174"/>
      <c r="E830" s="174"/>
      <c r="F830" s="175"/>
      <c r="G830" s="175"/>
      <c r="H830" s="174"/>
      <c r="I830" s="174"/>
      <c r="J830" s="174"/>
      <c r="K830" s="174"/>
      <c r="L830" s="174"/>
      <c r="M830" s="174"/>
      <c r="N830" s="174"/>
      <c r="O830" s="174"/>
      <c r="P830" s="174"/>
      <c r="Q830" s="174"/>
      <c r="R830" s="174"/>
      <c r="S830" s="174"/>
      <c r="T830" s="174"/>
      <c r="U830" s="174"/>
      <c r="V830" s="174"/>
      <c r="W830" s="174"/>
      <c r="X830" s="174"/>
      <c r="Y830" s="174"/>
      <c r="Z830" s="174"/>
      <c r="AA830" s="174"/>
    </row>
    <row r="831">
      <c r="A831" s="174"/>
      <c r="B831" s="174"/>
      <c r="C831" s="174"/>
      <c r="D831" s="174"/>
      <c r="E831" s="174"/>
      <c r="F831" s="175"/>
      <c r="G831" s="175"/>
      <c r="H831" s="174"/>
      <c r="I831" s="174"/>
      <c r="J831" s="174"/>
      <c r="K831" s="174"/>
      <c r="L831" s="174"/>
      <c r="M831" s="174"/>
      <c r="N831" s="174"/>
      <c r="O831" s="174"/>
      <c r="P831" s="174"/>
      <c r="Q831" s="174"/>
      <c r="R831" s="174"/>
      <c r="S831" s="174"/>
      <c r="T831" s="174"/>
      <c r="U831" s="174"/>
      <c r="V831" s="174"/>
      <c r="W831" s="174"/>
      <c r="X831" s="174"/>
      <c r="Y831" s="174"/>
      <c r="Z831" s="174"/>
      <c r="AA831" s="174"/>
    </row>
    <row r="832">
      <c r="A832" s="174"/>
      <c r="B832" s="174"/>
      <c r="C832" s="174"/>
      <c r="D832" s="174"/>
      <c r="E832" s="174"/>
      <c r="F832" s="175"/>
      <c r="G832" s="175"/>
      <c r="H832" s="174"/>
      <c r="I832" s="174"/>
      <c r="J832" s="174"/>
      <c r="K832" s="174"/>
      <c r="L832" s="174"/>
      <c r="M832" s="174"/>
      <c r="N832" s="174"/>
      <c r="O832" s="174"/>
      <c r="P832" s="174"/>
      <c r="Q832" s="174"/>
      <c r="R832" s="174"/>
      <c r="S832" s="174"/>
      <c r="T832" s="174"/>
      <c r="U832" s="174"/>
      <c r="V832" s="174"/>
      <c r="W832" s="174"/>
      <c r="X832" s="174"/>
      <c r="Y832" s="174"/>
      <c r="Z832" s="174"/>
      <c r="AA832" s="174"/>
    </row>
    <row r="833">
      <c r="A833" s="174"/>
      <c r="B833" s="174"/>
      <c r="C833" s="174"/>
      <c r="D833" s="174"/>
      <c r="E833" s="174"/>
      <c r="F833" s="175"/>
      <c r="G833" s="175"/>
      <c r="H833" s="174"/>
      <c r="I833" s="174"/>
      <c r="J833" s="174"/>
      <c r="K833" s="174"/>
      <c r="L833" s="174"/>
      <c r="M833" s="174"/>
      <c r="N833" s="174"/>
      <c r="O833" s="174"/>
      <c r="P833" s="174"/>
      <c r="Q833" s="174"/>
      <c r="R833" s="174"/>
      <c r="S833" s="174"/>
      <c r="T833" s="174"/>
      <c r="U833" s="174"/>
      <c r="V833" s="174"/>
      <c r="W833" s="174"/>
      <c r="X833" s="174"/>
      <c r="Y833" s="174"/>
      <c r="Z833" s="174"/>
      <c r="AA833" s="174"/>
    </row>
    <row r="834">
      <c r="A834" s="174"/>
      <c r="B834" s="174"/>
      <c r="C834" s="174"/>
      <c r="D834" s="174"/>
      <c r="E834" s="174"/>
      <c r="F834" s="175"/>
      <c r="G834" s="175"/>
      <c r="H834" s="174"/>
      <c r="I834" s="174"/>
      <c r="J834" s="174"/>
      <c r="K834" s="174"/>
      <c r="L834" s="174"/>
      <c r="M834" s="174"/>
      <c r="N834" s="174"/>
      <c r="O834" s="174"/>
      <c r="P834" s="174"/>
      <c r="Q834" s="174"/>
      <c r="R834" s="174"/>
      <c r="S834" s="174"/>
      <c r="T834" s="174"/>
      <c r="U834" s="174"/>
      <c r="V834" s="174"/>
      <c r="W834" s="174"/>
      <c r="X834" s="174"/>
      <c r="Y834" s="174"/>
      <c r="Z834" s="174"/>
      <c r="AA834" s="174"/>
    </row>
    <row r="835">
      <c r="A835" s="174"/>
      <c r="B835" s="174"/>
      <c r="C835" s="174"/>
      <c r="D835" s="174"/>
      <c r="E835" s="174"/>
      <c r="F835" s="175"/>
      <c r="G835" s="175"/>
      <c r="H835" s="174"/>
      <c r="I835" s="174"/>
      <c r="J835" s="174"/>
      <c r="K835" s="174"/>
      <c r="L835" s="174"/>
      <c r="M835" s="174"/>
      <c r="N835" s="174"/>
      <c r="O835" s="174"/>
      <c r="P835" s="174"/>
      <c r="Q835" s="174"/>
      <c r="R835" s="174"/>
      <c r="S835" s="174"/>
      <c r="T835" s="174"/>
      <c r="U835" s="174"/>
      <c r="V835" s="174"/>
      <c r="W835" s="174"/>
      <c r="X835" s="174"/>
      <c r="Y835" s="174"/>
      <c r="Z835" s="174"/>
      <c r="AA835" s="174"/>
    </row>
    <row r="836">
      <c r="A836" s="174"/>
      <c r="B836" s="174"/>
      <c r="C836" s="174"/>
      <c r="D836" s="174"/>
      <c r="E836" s="174"/>
      <c r="F836" s="175"/>
      <c r="G836" s="175"/>
      <c r="H836" s="174"/>
      <c r="I836" s="174"/>
      <c r="J836" s="174"/>
      <c r="K836" s="174"/>
      <c r="L836" s="174"/>
      <c r="M836" s="174"/>
      <c r="N836" s="174"/>
      <c r="O836" s="174"/>
      <c r="P836" s="174"/>
      <c r="Q836" s="174"/>
      <c r="R836" s="174"/>
      <c r="S836" s="174"/>
      <c r="T836" s="174"/>
      <c r="U836" s="174"/>
      <c r="V836" s="174"/>
      <c r="W836" s="174"/>
      <c r="X836" s="174"/>
      <c r="Y836" s="174"/>
      <c r="Z836" s="174"/>
      <c r="AA836" s="174"/>
    </row>
    <row r="837">
      <c r="A837" s="174"/>
      <c r="B837" s="174"/>
      <c r="C837" s="174"/>
      <c r="D837" s="174"/>
      <c r="E837" s="174"/>
      <c r="F837" s="175"/>
      <c r="G837" s="175"/>
      <c r="H837" s="174"/>
      <c r="I837" s="174"/>
      <c r="J837" s="174"/>
      <c r="K837" s="174"/>
      <c r="L837" s="174"/>
      <c r="M837" s="174"/>
      <c r="N837" s="174"/>
      <c r="O837" s="174"/>
      <c r="P837" s="174"/>
      <c r="Q837" s="174"/>
      <c r="R837" s="174"/>
      <c r="S837" s="174"/>
      <c r="T837" s="174"/>
      <c r="U837" s="174"/>
      <c r="V837" s="174"/>
      <c r="W837" s="174"/>
      <c r="X837" s="174"/>
      <c r="Y837" s="174"/>
      <c r="Z837" s="174"/>
      <c r="AA837" s="174"/>
    </row>
    <row r="838">
      <c r="A838" s="174"/>
      <c r="B838" s="174"/>
      <c r="C838" s="174"/>
      <c r="D838" s="174"/>
      <c r="E838" s="174"/>
      <c r="F838" s="175"/>
      <c r="G838" s="175"/>
      <c r="H838" s="174"/>
      <c r="I838" s="174"/>
      <c r="J838" s="174"/>
      <c r="K838" s="174"/>
      <c r="L838" s="174"/>
      <c r="M838" s="174"/>
      <c r="N838" s="174"/>
      <c r="O838" s="174"/>
      <c r="P838" s="174"/>
      <c r="Q838" s="174"/>
      <c r="R838" s="174"/>
      <c r="S838" s="174"/>
      <c r="T838" s="174"/>
      <c r="U838" s="174"/>
      <c r="V838" s="174"/>
      <c r="W838" s="174"/>
      <c r="X838" s="174"/>
      <c r="Y838" s="174"/>
      <c r="Z838" s="174"/>
      <c r="AA838" s="174"/>
    </row>
    <row r="839">
      <c r="A839" s="174"/>
      <c r="B839" s="174"/>
      <c r="C839" s="174"/>
      <c r="D839" s="174"/>
      <c r="E839" s="174"/>
      <c r="F839" s="175"/>
      <c r="G839" s="175"/>
      <c r="H839" s="174"/>
      <c r="I839" s="174"/>
      <c r="J839" s="174"/>
      <c r="K839" s="174"/>
      <c r="L839" s="174"/>
      <c r="M839" s="174"/>
      <c r="N839" s="174"/>
      <c r="O839" s="174"/>
      <c r="P839" s="174"/>
      <c r="Q839" s="174"/>
      <c r="R839" s="174"/>
      <c r="S839" s="174"/>
      <c r="T839" s="174"/>
      <c r="U839" s="174"/>
      <c r="V839" s="174"/>
      <c r="W839" s="174"/>
      <c r="X839" s="174"/>
      <c r="Y839" s="174"/>
      <c r="Z839" s="174"/>
      <c r="AA839" s="174"/>
    </row>
    <row r="840">
      <c r="A840" s="174"/>
      <c r="B840" s="174"/>
      <c r="C840" s="174"/>
      <c r="D840" s="174"/>
      <c r="E840" s="174"/>
      <c r="F840" s="175"/>
      <c r="G840" s="175"/>
      <c r="H840" s="174"/>
      <c r="I840" s="174"/>
      <c r="J840" s="174"/>
      <c r="K840" s="174"/>
      <c r="L840" s="174"/>
      <c r="M840" s="174"/>
      <c r="N840" s="174"/>
      <c r="O840" s="174"/>
      <c r="P840" s="174"/>
      <c r="Q840" s="174"/>
      <c r="R840" s="174"/>
      <c r="S840" s="174"/>
      <c r="T840" s="174"/>
      <c r="U840" s="174"/>
      <c r="V840" s="174"/>
      <c r="W840" s="174"/>
      <c r="X840" s="174"/>
      <c r="Y840" s="174"/>
      <c r="Z840" s="174"/>
      <c r="AA840" s="174"/>
    </row>
    <row r="841">
      <c r="A841" s="174"/>
      <c r="B841" s="174"/>
      <c r="C841" s="174"/>
      <c r="D841" s="174"/>
      <c r="E841" s="174"/>
      <c r="F841" s="175"/>
      <c r="G841" s="175"/>
      <c r="H841" s="174"/>
      <c r="I841" s="174"/>
      <c r="J841" s="174"/>
      <c r="K841" s="174"/>
      <c r="L841" s="174"/>
      <c r="M841" s="174"/>
      <c r="N841" s="174"/>
      <c r="O841" s="174"/>
      <c r="P841" s="174"/>
      <c r="Q841" s="174"/>
      <c r="R841" s="174"/>
      <c r="S841" s="174"/>
      <c r="T841" s="174"/>
      <c r="U841" s="174"/>
      <c r="V841" s="174"/>
      <c r="W841" s="174"/>
      <c r="X841" s="174"/>
      <c r="Y841" s="174"/>
      <c r="Z841" s="174"/>
      <c r="AA841" s="174"/>
    </row>
    <row r="842">
      <c r="A842" s="174"/>
      <c r="B842" s="174"/>
      <c r="C842" s="174"/>
      <c r="D842" s="174"/>
      <c r="E842" s="174"/>
      <c r="F842" s="175"/>
      <c r="G842" s="175"/>
      <c r="H842" s="174"/>
      <c r="I842" s="174"/>
      <c r="J842" s="174"/>
      <c r="K842" s="174"/>
      <c r="L842" s="174"/>
      <c r="M842" s="174"/>
      <c r="N842" s="174"/>
      <c r="O842" s="174"/>
      <c r="P842" s="174"/>
      <c r="Q842" s="174"/>
      <c r="R842" s="174"/>
      <c r="S842" s="174"/>
      <c r="T842" s="174"/>
      <c r="U842" s="174"/>
      <c r="V842" s="174"/>
      <c r="W842" s="174"/>
      <c r="X842" s="174"/>
      <c r="Y842" s="174"/>
      <c r="Z842" s="174"/>
      <c r="AA842" s="174"/>
    </row>
    <row r="843">
      <c r="A843" s="174"/>
      <c r="B843" s="174"/>
      <c r="C843" s="174"/>
      <c r="D843" s="174"/>
      <c r="E843" s="174"/>
      <c r="F843" s="175"/>
      <c r="G843" s="175"/>
      <c r="H843" s="174"/>
      <c r="I843" s="174"/>
      <c r="J843" s="174"/>
      <c r="K843" s="174"/>
      <c r="L843" s="174"/>
      <c r="M843" s="174"/>
      <c r="N843" s="174"/>
      <c r="O843" s="174"/>
      <c r="P843" s="174"/>
      <c r="Q843" s="174"/>
      <c r="R843" s="174"/>
      <c r="S843" s="174"/>
      <c r="T843" s="174"/>
      <c r="U843" s="174"/>
      <c r="V843" s="174"/>
      <c r="W843" s="174"/>
      <c r="X843" s="174"/>
      <c r="Y843" s="174"/>
      <c r="Z843" s="174"/>
      <c r="AA843" s="174"/>
    </row>
    <row r="844">
      <c r="A844" s="174"/>
      <c r="B844" s="174"/>
      <c r="C844" s="174"/>
      <c r="D844" s="174"/>
      <c r="E844" s="174"/>
      <c r="F844" s="175"/>
      <c r="G844" s="175"/>
      <c r="H844" s="174"/>
      <c r="I844" s="174"/>
      <c r="J844" s="174"/>
      <c r="K844" s="174"/>
      <c r="L844" s="174"/>
      <c r="M844" s="174"/>
      <c r="N844" s="174"/>
      <c r="O844" s="174"/>
      <c r="P844" s="174"/>
      <c r="Q844" s="174"/>
      <c r="R844" s="174"/>
      <c r="S844" s="174"/>
      <c r="T844" s="174"/>
      <c r="U844" s="174"/>
      <c r="V844" s="174"/>
      <c r="W844" s="174"/>
      <c r="X844" s="174"/>
      <c r="Y844" s="174"/>
      <c r="Z844" s="174"/>
      <c r="AA844" s="174"/>
    </row>
    <row r="845">
      <c r="A845" s="174"/>
      <c r="B845" s="174"/>
      <c r="C845" s="174"/>
      <c r="D845" s="174"/>
      <c r="E845" s="174"/>
      <c r="F845" s="175"/>
      <c r="G845" s="175"/>
      <c r="H845" s="174"/>
      <c r="I845" s="174"/>
      <c r="J845" s="174"/>
      <c r="K845" s="174"/>
      <c r="L845" s="174"/>
      <c r="M845" s="174"/>
      <c r="N845" s="174"/>
      <c r="O845" s="174"/>
      <c r="P845" s="174"/>
      <c r="Q845" s="174"/>
      <c r="R845" s="174"/>
      <c r="S845" s="174"/>
      <c r="T845" s="174"/>
      <c r="U845" s="174"/>
      <c r="V845" s="174"/>
      <c r="W845" s="174"/>
      <c r="X845" s="174"/>
      <c r="Y845" s="174"/>
      <c r="Z845" s="174"/>
      <c r="AA845" s="174"/>
    </row>
    <row r="846">
      <c r="A846" s="174"/>
      <c r="B846" s="174"/>
      <c r="C846" s="174"/>
      <c r="D846" s="174"/>
      <c r="E846" s="174"/>
      <c r="F846" s="175"/>
      <c r="G846" s="175"/>
      <c r="H846" s="174"/>
      <c r="I846" s="174"/>
      <c r="J846" s="174"/>
      <c r="K846" s="174"/>
      <c r="L846" s="174"/>
      <c r="M846" s="174"/>
      <c r="N846" s="174"/>
      <c r="O846" s="174"/>
      <c r="P846" s="174"/>
      <c r="Q846" s="174"/>
      <c r="R846" s="174"/>
      <c r="S846" s="174"/>
      <c r="T846" s="174"/>
      <c r="U846" s="174"/>
      <c r="V846" s="174"/>
      <c r="W846" s="174"/>
      <c r="X846" s="174"/>
      <c r="Y846" s="174"/>
      <c r="Z846" s="174"/>
      <c r="AA846" s="174"/>
    </row>
    <row r="847">
      <c r="A847" s="174"/>
      <c r="B847" s="174"/>
      <c r="C847" s="174"/>
      <c r="D847" s="174"/>
      <c r="E847" s="174"/>
      <c r="F847" s="175"/>
      <c r="G847" s="175"/>
      <c r="H847" s="174"/>
      <c r="I847" s="174"/>
      <c r="J847" s="174"/>
      <c r="K847" s="174"/>
      <c r="L847" s="174"/>
      <c r="M847" s="174"/>
      <c r="N847" s="174"/>
      <c r="O847" s="174"/>
      <c r="P847" s="174"/>
      <c r="Q847" s="174"/>
      <c r="R847" s="174"/>
      <c r="S847" s="174"/>
      <c r="T847" s="174"/>
      <c r="U847" s="174"/>
      <c r="V847" s="174"/>
      <c r="W847" s="174"/>
      <c r="X847" s="174"/>
      <c r="Y847" s="174"/>
      <c r="Z847" s="174"/>
      <c r="AA847" s="174"/>
    </row>
    <row r="848">
      <c r="A848" s="174"/>
      <c r="B848" s="174"/>
      <c r="C848" s="174"/>
      <c r="D848" s="174"/>
      <c r="E848" s="174"/>
      <c r="F848" s="175"/>
      <c r="G848" s="175"/>
      <c r="H848" s="174"/>
      <c r="I848" s="174"/>
      <c r="J848" s="174"/>
      <c r="K848" s="174"/>
      <c r="L848" s="174"/>
      <c r="M848" s="174"/>
      <c r="N848" s="174"/>
      <c r="O848" s="174"/>
      <c r="P848" s="174"/>
      <c r="Q848" s="174"/>
      <c r="R848" s="174"/>
      <c r="S848" s="174"/>
      <c r="T848" s="174"/>
      <c r="U848" s="174"/>
      <c r="V848" s="174"/>
      <c r="W848" s="174"/>
      <c r="X848" s="174"/>
      <c r="Y848" s="174"/>
      <c r="Z848" s="174"/>
      <c r="AA848" s="174"/>
    </row>
    <row r="849">
      <c r="A849" s="174"/>
      <c r="B849" s="174"/>
      <c r="C849" s="174"/>
      <c r="D849" s="174"/>
      <c r="E849" s="174"/>
      <c r="F849" s="175"/>
      <c r="G849" s="175"/>
      <c r="H849" s="174"/>
      <c r="I849" s="174"/>
      <c r="J849" s="174"/>
      <c r="K849" s="174"/>
      <c r="L849" s="174"/>
      <c r="M849" s="174"/>
      <c r="N849" s="174"/>
      <c r="O849" s="174"/>
      <c r="P849" s="174"/>
      <c r="Q849" s="174"/>
      <c r="R849" s="174"/>
      <c r="S849" s="174"/>
      <c r="T849" s="174"/>
      <c r="U849" s="174"/>
      <c r="V849" s="174"/>
      <c r="W849" s="174"/>
      <c r="X849" s="174"/>
      <c r="Y849" s="174"/>
      <c r="Z849" s="174"/>
      <c r="AA849" s="174"/>
    </row>
    <row r="850">
      <c r="A850" s="174"/>
      <c r="B850" s="174"/>
      <c r="C850" s="174"/>
      <c r="D850" s="174"/>
      <c r="E850" s="174"/>
      <c r="F850" s="175"/>
      <c r="G850" s="175"/>
      <c r="H850" s="174"/>
      <c r="I850" s="174"/>
      <c r="J850" s="174"/>
      <c r="K850" s="174"/>
      <c r="L850" s="174"/>
      <c r="M850" s="174"/>
      <c r="N850" s="174"/>
      <c r="O850" s="174"/>
      <c r="P850" s="174"/>
      <c r="Q850" s="174"/>
      <c r="R850" s="174"/>
      <c r="S850" s="174"/>
      <c r="T850" s="174"/>
      <c r="U850" s="174"/>
      <c r="V850" s="174"/>
      <c r="W850" s="174"/>
      <c r="X850" s="174"/>
      <c r="Y850" s="174"/>
      <c r="Z850" s="174"/>
      <c r="AA850" s="174"/>
    </row>
    <row r="851">
      <c r="A851" s="174"/>
      <c r="B851" s="174"/>
      <c r="C851" s="174"/>
      <c r="D851" s="174"/>
      <c r="E851" s="174"/>
      <c r="F851" s="175"/>
      <c r="G851" s="175"/>
      <c r="H851" s="174"/>
      <c r="I851" s="174"/>
      <c r="J851" s="174"/>
      <c r="K851" s="174"/>
      <c r="L851" s="174"/>
      <c r="M851" s="174"/>
      <c r="N851" s="174"/>
      <c r="O851" s="174"/>
      <c r="P851" s="174"/>
      <c r="Q851" s="174"/>
      <c r="R851" s="174"/>
      <c r="S851" s="174"/>
      <c r="T851" s="174"/>
      <c r="U851" s="174"/>
      <c r="V851" s="174"/>
      <c r="W851" s="174"/>
      <c r="X851" s="174"/>
      <c r="Y851" s="174"/>
      <c r="Z851" s="174"/>
      <c r="AA851" s="174"/>
    </row>
    <row r="852">
      <c r="A852" s="174"/>
      <c r="B852" s="174"/>
      <c r="C852" s="174"/>
      <c r="D852" s="174"/>
      <c r="E852" s="174"/>
      <c r="F852" s="175"/>
      <c r="G852" s="175"/>
      <c r="H852" s="174"/>
      <c r="I852" s="174"/>
      <c r="J852" s="174"/>
      <c r="K852" s="174"/>
      <c r="L852" s="174"/>
      <c r="M852" s="174"/>
      <c r="N852" s="174"/>
      <c r="O852" s="174"/>
      <c r="P852" s="174"/>
      <c r="Q852" s="174"/>
      <c r="R852" s="174"/>
      <c r="S852" s="174"/>
      <c r="T852" s="174"/>
      <c r="U852" s="174"/>
      <c r="V852" s="174"/>
      <c r="W852" s="174"/>
      <c r="X852" s="174"/>
      <c r="Y852" s="174"/>
      <c r="Z852" s="174"/>
      <c r="AA852" s="174"/>
    </row>
    <row r="853">
      <c r="A853" s="174"/>
      <c r="B853" s="174"/>
      <c r="C853" s="174"/>
      <c r="D853" s="174"/>
      <c r="E853" s="174"/>
      <c r="F853" s="175"/>
      <c r="G853" s="175"/>
      <c r="H853" s="174"/>
      <c r="I853" s="174"/>
      <c r="J853" s="174"/>
      <c r="K853" s="174"/>
      <c r="L853" s="174"/>
      <c r="M853" s="174"/>
      <c r="N853" s="174"/>
      <c r="O853" s="174"/>
      <c r="P853" s="174"/>
      <c r="Q853" s="174"/>
      <c r="R853" s="174"/>
      <c r="S853" s="174"/>
      <c r="T853" s="174"/>
      <c r="U853" s="174"/>
      <c r="V853" s="174"/>
      <c r="W853" s="174"/>
      <c r="X853" s="174"/>
      <c r="Y853" s="174"/>
      <c r="Z853" s="174"/>
      <c r="AA853" s="174"/>
    </row>
    <row r="854">
      <c r="A854" s="174"/>
      <c r="B854" s="174"/>
      <c r="C854" s="174"/>
      <c r="D854" s="174"/>
      <c r="E854" s="174"/>
      <c r="F854" s="175"/>
      <c r="G854" s="175"/>
      <c r="H854" s="174"/>
      <c r="I854" s="174"/>
      <c r="J854" s="174"/>
      <c r="K854" s="174"/>
      <c r="L854" s="174"/>
      <c r="M854" s="174"/>
      <c r="N854" s="174"/>
      <c r="O854" s="174"/>
      <c r="P854" s="174"/>
      <c r="Q854" s="174"/>
      <c r="R854" s="174"/>
      <c r="S854" s="174"/>
      <c r="T854" s="174"/>
      <c r="U854" s="174"/>
      <c r="V854" s="174"/>
      <c r="W854" s="174"/>
      <c r="X854" s="174"/>
      <c r="Y854" s="174"/>
      <c r="Z854" s="174"/>
      <c r="AA854" s="174"/>
    </row>
    <row r="855">
      <c r="A855" s="174"/>
      <c r="B855" s="174"/>
      <c r="C855" s="174"/>
      <c r="D855" s="174"/>
      <c r="E855" s="174"/>
      <c r="F855" s="175"/>
      <c r="G855" s="175"/>
      <c r="H855" s="174"/>
      <c r="I855" s="174"/>
      <c r="J855" s="174"/>
      <c r="K855" s="174"/>
      <c r="L855" s="174"/>
      <c r="M855" s="174"/>
      <c r="N855" s="174"/>
      <c r="O855" s="174"/>
      <c r="P855" s="174"/>
      <c r="Q855" s="174"/>
      <c r="R855" s="174"/>
      <c r="S855" s="174"/>
      <c r="T855" s="174"/>
      <c r="U855" s="174"/>
      <c r="V855" s="174"/>
      <c r="W855" s="174"/>
      <c r="X855" s="174"/>
      <c r="Y855" s="174"/>
      <c r="Z855" s="174"/>
      <c r="AA855" s="174"/>
    </row>
    <row r="856">
      <c r="A856" s="174"/>
      <c r="B856" s="174"/>
      <c r="C856" s="174"/>
      <c r="D856" s="174"/>
      <c r="E856" s="174"/>
      <c r="F856" s="175"/>
      <c r="G856" s="175"/>
      <c r="H856" s="174"/>
      <c r="I856" s="174"/>
      <c r="J856" s="174"/>
      <c r="K856" s="174"/>
      <c r="L856" s="174"/>
      <c r="M856" s="174"/>
      <c r="N856" s="174"/>
      <c r="O856" s="174"/>
      <c r="P856" s="174"/>
      <c r="Q856" s="174"/>
      <c r="R856" s="174"/>
      <c r="S856" s="174"/>
      <c r="T856" s="174"/>
      <c r="U856" s="174"/>
      <c r="V856" s="174"/>
      <c r="W856" s="174"/>
      <c r="X856" s="174"/>
      <c r="Y856" s="174"/>
      <c r="Z856" s="174"/>
      <c r="AA856" s="174"/>
    </row>
    <row r="857">
      <c r="A857" s="174"/>
      <c r="B857" s="174"/>
      <c r="C857" s="174"/>
      <c r="D857" s="174"/>
      <c r="E857" s="174"/>
      <c r="F857" s="175"/>
      <c r="G857" s="175"/>
      <c r="H857" s="174"/>
      <c r="I857" s="174"/>
      <c r="J857" s="174"/>
      <c r="K857" s="174"/>
      <c r="L857" s="174"/>
      <c r="M857" s="174"/>
      <c r="N857" s="174"/>
      <c r="O857" s="174"/>
      <c r="P857" s="174"/>
      <c r="Q857" s="174"/>
      <c r="R857" s="174"/>
      <c r="S857" s="174"/>
      <c r="T857" s="174"/>
      <c r="U857" s="174"/>
      <c r="V857" s="174"/>
      <c r="W857" s="174"/>
      <c r="X857" s="174"/>
      <c r="Y857" s="174"/>
      <c r="Z857" s="174"/>
      <c r="AA857" s="174"/>
    </row>
    <row r="858">
      <c r="A858" s="174"/>
      <c r="B858" s="174"/>
      <c r="C858" s="174"/>
      <c r="D858" s="174"/>
      <c r="E858" s="174"/>
      <c r="F858" s="175"/>
      <c r="G858" s="175"/>
      <c r="H858" s="174"/>
      <c r="I858" s="174"/>
      <c r="J858" s="174"/>
      <c r="K858" s="174"/>
      <c r="L858" s="174"/>
      <c r="M858" s="174"/>
      <c r="N858" s="174"/>
      <c r="O858" s="174"/>
      <c r="P858" s="174"/>
      <c r="Q858" s="174"/>
      <c r="R858" s="174"/>
      <c r="S858" s="174"/>
      <c r="T858" s="174"/>
      <c r="U858" s="174"/>
      <c r="V858" s="174"/>
      <c r="W858" s="174"/>
      <c r="X858" s="174"/>
      <c r="Y858" s="174"/>
      <c r="Z858" s="174"/>
      <c r="AA858" s="174"/>
    </row>
    <row r="859">
      <c r="A859" s="174"/>
      <c r="B859" s="174"/>
      <c r="C859" s="174"/>
      <c r="D859" s="174"/>
      <c r="E859" s="174"/>
      <c r="F859" s="175"/>
      <c r="G859" s="175"/>
      <c r="H859" s="174"/>
      <c r="I859" s="174"/>
      <c r="J859" s="174"/>
      <c r="K859" s="174"/>
      <c r="L859" s="174"/>
      <c r="M859" s="174"/>
      <c r="N859" s="174"/>
      <c r="O859" s="174"/>
      <c r="P859" s="174"/>
      <c r="Q859" s="174"/>
      <c r="R859" s="174"/>
      <c r="S859" s="174"/>
      <c r="T859" s="174"/>
      <c r="U859" s="174"/>
      <c r="V859" s="174"/>
      <c r="W859" s="174"/>
      <c r="X859" s="174"/>
      <c r="Y859" s="174"/>
      <c r="Z859" s="174"/>
      <c r="AA859" s="174"/>
    </row>
    <row r="860">
      <c r="A860" s="174"/>
      <c r="B860" s="174"/>
      <c r="C860" s="174"/>
      <c r="D860" s="174"/>
      <c r="E860" s="174"/>
      <c r="F860" s="175"/>
      <c r="G860" s="175"/>
      <c r="H860" s="174"/>
      <c r="I860" s="174"/>
      <c r="J860" s="174"/>
      <c r="K860" s="174"/>
      <c r="L860" s="174"/>
      <c r="M860" s="174"/>
      <c r="N860" s="174"/>
      <c r="O860" s="174"/>
      <c r="P860" s="174"/>
      <c r="Q860" s="174"/>
      <c r="R860" s="174"/>
      <c r="S860" s="174"/>
      <c r="T860" s="174"/>
      <c r="U860" s="174"/>
      <c r="V860" s="174"/>
      <c r="W860" s="174"/>
      <c r="X860" s="174"/>
      <c r="Y860" s="174"/>
      <c r="Z860" s="174"/>
      <c r="AA860" s="174"/>
    </row>
    <row r="861">
      <c r="A861" s="174"/>
      <c r="B861" s="174"/>
      <c r="C861" s="174"/>
      <c r="D861" s="174"/>
      <c r="E861" s="174"/>
      <c r="F861" s="175"/>
      <c r="G861" s="175"/>
      <c r="H861" s="174"/>
      <c r="I861" s="174"/>
      <c r="J861" s="174"/>
      <c r="K861" s="174"/>
      <c r="L861" s="174"/>
      <c r="M861" s="174"/>
      <c r="N861" s="174"/>
      <c r="O861" s="174"/>
      <c r="P861" s="174"/>
      <c r="Q861" s="174"/>
      <c r="R861" s="174"/>
      <c r="S861" s="174"/>
      <c r="T861" s="174"/>
      <c r="U861" s="174"/>
      <c r="V861" s="174"/>
      <c r="W861" s="174"/>
      <c r="X861" s="174"/>
      <c r="Y861" s="174"/>
      <c r="Z861" s="174"/>
      <c r="AA861" s="174"/>
    </row>
    <row r="862">
      <c r="A862" s="174"/>
      <c r="B862" s="174"/>
      <c r="C862" s="174"/>
      <c r="D862" s="174"/>
      <c r="E862" s="174"/>
      <c r="F862" s="175"/>
      <c r="G862" s="175"/>
      <c r="H862" s="174"/>
      <c r="I862" s="174"/>
      <c r="J862" s="174"/>
      <c r="K862" s="174"/>
      <c r="L862" s="174"/>
      <c r="M862" s="174"/>
      <c r="N862" s="174"/>
      <c r="O862" s="174"/>
      <c r="P862" s="174"/>
      <c r="Q862" s="174"/>
      <c r="R862" s="174"/>
      <c r="S862" s="174"/>
      <c r="T862" s="174"/>
      <c r="U862" s="174"/>
      <c r="V862" s="174"/>
      <c r="W862" s="174"/>
      <c r="X862" s="174"/>
      <c r="Y862" s="174"/>
      <c r="Z862" s="174"/>
      <c r="AA862" s="174"/>
    </row>
    <row r="863">
      <c r="A863" s="174"/>
      <c r="B863" s="174"/>
      <c r="C863" s="174"/>
      <c r="D863" s="174"/>
      <c r="E863" s="174"/>
      <c r="F863" s="175"/>
      <c r="G863" s="175"/>
      <c r="H863" s="174"/>
      <c r="I863" s="174"/>
      <c r="J863" s="174"/>
      <c r="K863" s="174"/>
      <c r="L863" s="174"/>
      <c r="M863" s="174"/>
      <c r="N863" s="174"/>
      <c r="O863" s="174"/>
      <c r="P863" s="174"/>
      <c r="Q863" s="174"/>
      <c r="R863" s="174"/>
      <c r="S863" s="174"/>
      <c r="T863" s="174"/>
      <c r="U863" s="174"/>
      <c r="V863" s="174"/>
      <c r="W863" s="174"/>
      <c r="X863" s="174"/>
      <c r="Y863" s="174"/>
      <c r="Z863" s="174"/>
      <c r="AA863" s="174"/>
    </row>
    <row r="864">
      <c r="A864" s="174"/>
      <c r="B864" s="174"/>
      <c r="C864" s="174"/>
      <c r="D864" s="174"/>
      <c r="E864" s="174"/>
      <c r="F864" s="175"/>
      <c r="G864" s="175"/>
      <c r="H864" s="174"/>
      <c r="I864" s="174"/>
      <c r="J864" s="174"/>
      <c r="K864" s="174"/>
      <c r="L864" s="174"/>
      <c r="M864" s="174"/>
      <c r="N864" s="174"/>
      <c r="O864" s="174"/>
      <c r="P864" s="174"/>
      <c r="Q864" s="174"/>
      <c r="R864" s="174"/>
      <c r="S864" s="174"/>
      <c r="T864" s="174"/>
      <c r="U864" s="174"/>
      <c r="V864" s="174"/>
      <c r="W864" s="174"/>
      <c r="X864" s="174"/>
      <c r="Y864" s="174"/>
      <c r="Z864" s="174"/>
      <c r="AA864" s="174"/>
    </row>
    <row r="865">
      <c r="A865" s="174"/>
      <c r="B865" s="174"/>
      <c r="C865" s="174"/>
      <c r="D865" s="174"/>
      <c r="E865" s="174"/>
      <c r="F865" s="175"/>
      <c r="G865" s="175"/>
      <c r="H865" s="174"/>
      <c r="I865" s="174"/>
      <c r="J865" s="174"/>
      <c r="K865" s="174"/>
      <c r="L865" s="174"/>
      <c r="M865" s="174"/>
      <c r="N865" s="174"/>
      <c r="O865" s="174"/>
      <c r="P865" s="174"/>
      <c r="Q865" s="174"/>
      <c r="R865" s="174"/>
      <c r="S865" s="174"/>
      <c r="T865" s="174"/>
      <c r="U865" s="174"/>
      <c r="V865" s="174"/>
      <c r="W865" s="174"/>
      <c r="X865" s="174"/>
      <c r="Y865" s="174"/>
      <c r="Z865" s="174"/>
      <c r="AA865" s="174"/>
    </row>
    <row r="866">
      <c r="A866" s="174"/>
      <c r="B866" s="174"/>
      <c r="C866" s="174"/>
      <c r="D866" s="174"/>
      <c r="E866" s="174"/>
      <c r="F866" s="175"/>
      <c r="G866" s="175"/>
      <c r="H866" s="174"/>
      <c r="I866" s="174"/>
      <c r="J866" s="174"/>
      <c r="K866" s="174"/>
      <c r="L866" s="174"/>
      <c r="M866" s="174"/>
      <c r="N866" s="174"/>
      <c r="O866" s="174"/>
      <c r="P866" s="174"/>
      <c r="Q866" s="174"/>
      <c r="R866" s="174"/>
      <c r="S866" s="174"/>
      <c r="T866" s="174"/>
      <c r="U866" s="174"/>
      <c r="V866" s="174"/>
      <c r="W866" s="174"/>
      <c r="X866" s="174"/>
      <c r="Y866" s="174"/>
      <c r="Z866" s="174"/>
      <c r="AA866" s="174"/>
    </row>
    <row r="867">
      <c r="A867" s="174"/>
      <c r="B867" s="174"/>
      <c r="C867" s="174"/>
      <c r="D867" s="174"/>
      <c r="E867" s="174"/>
      <c r="F867" s="175"/>
      <c r="G867" s="175"/>
      <c r="H867" s="174"/>
      <c r="I867" s="174"/>
      <c r="J867" s="174"/>
      <c r="K867" s="174"/>
      <c r="L867" s="174"/>
      <c r="M867" s="174"/>
      <c r="N867" s="174"/>
      <c r="O867" s="174"/>
      <c r="P867" s="174"/>
      <c r="Q867" s="174"/>
      <c r="R867" s="174"/>
      <c r="S867" s="174"/>
      <c r="T867" s="174"/>
      <c r="U867" s="174"/>
      <c r="V867" s="174"/>
      <c r="W867" s="174"/>
      <c r="X867" s="174"/>
      <c r="Y867" s="174"/>
      <c r="Z867" s="174"/>
      <c r="AA867" s="174"/>
    </row>
    <row r="868">
      <c r="A868" s="174"/>
      <c r="B868" s="174"/>
      <c r="C868" s="174"/>
      <c r="D868" s="174"/>
      <c r="E868" s="174"/>
      <c r="F868" s="175"/>
      <c r="G868" s="175"/>
      <c r="H868" s="174"/>
      <c r="I868" s="174"/>
      <c r="J868" s="174"/>
      <c r="K868" s="174"/>
      <c r="L868" s="174"/>
      <c r="M868" s="174"/>
      <c r="N868" s="174"/>
      <c r="O868" s="174"/>
      <c r="P868" s="174"/>
      <c r="Q868" s="174"/>
      <c r="R868" s="174"/>
      <c r="S868" s="174"/>
      <c r="T868" s="174"/>
      <c r="U868" s="174"/>
      <c r="V868" s="174"/>
      <c r="W868" s="174"/>
      <c r="X868" s="174"/>
      <c r="Y868" s="174"/>
      <c r="Z868" s="174"/>
      <c r="AA868" s="174"/>
    </row>
    <row r="869">
      <c r="A869" s="174"/>
      <c r="B869" s="174"/>
      <c r="C869" s="174"/>
      <c r="D869" s="174"/>
      <c r="E869" s="174"/>
      <c r="F869" s="175"/>
      <c r="G869" s="175"/>
      <c r="H869" s="174"/>
      <c r="I869" s="174"/>
      <c r="J869" s="174"/>
      <c r="K869" s="174"/>
      <c r="L869" s="174"/>
      <c r="M869" s="174"/>
      <c r="N869" s="174"/>
      <c r="O869" s="174"/>
      <c r="P869" s="174"/>
      <c r="Q869" s="174"/>
      <c r="R869" s="174"/>
      <c r="S869" s="174"/>
      <c r="T869" s="174"/>
      <c r="U869" s="174"/>
      <c r="V869" s="174"/>
      <c r="W869" s="174"/>
      <c r="X869" s="174"/>
      <c r="Y869" s="174"/>
      <c r="Z869" s="174"/>
      <c r="AA869" s="174"/>
    </row>
    <row r="870">
      <c r="A870" s="174"/>
      <c r="B870" s="174"/>
      <c r="C870" s="174"/>
      <c r="D870" s="174"/>
      <c r="E870" s="174"/>
      <c r="F870" s="175"/>
      <c r="G870" s="175"/>
      <c r="H870" s="174"/>
      <c r="I870" s="174"/>
      <c r="J870" s="174"/>
      <c r="K870" s="174"/>
      <c r="L870" s="174"/>
      <c r="M870" s="174"/>
      <c r="N870" s="174"/>
      <c r="O870" s="174"/>
      <c r="P870" s="174"/>
      <c r="Q870" s="174"/>
      <c r="R870" s="174"/>
      <c r="S870" s="174"/>
      <c r="T870" s="174"/>
      <c r="U870" s="174"/>
      <c r="V870" s="174"/>
      <c r="W870" s="174"/>
      <c r="X870" s="174"/>
      <c r="Y870" s="174"/>
      <c r="Z870" s="174"/>
      <c r="AA870" s="174"/>
    </row>
    <row r="871">
      <c r="A871" s="174"/>
      <c r="B871" s="174"/>
      <c r="C871" s="174"/>
      <c r="D871" s="174"/>
      <c r="E871" s="174"/>
      <c r="F871" s="175"/>
      <c r="G871" s="175"/>
      <c r="H871" s="174"/>
      <c r="I871" s="174"/>
      <c r="J871" s="174"/>
      <c r="K871" s="174"/>
      <c r="L871" s="174"/>
      <c r="M871" s="174"/>
      <c r="N871" s="174"/>
      <c r="O871" s="174"/>
      <c r="P871" s="174"/>
      <c r="Q871" s="174"/>
      <c r="R871" s="174"/>
      <c r="S871" s="174"/>
      <c r="T871" s="174"/>
      <c r="U871" s="174"/>
      <c r="V871" s="174"/>
      <c r="W871" s="174"/>
      <c r="X871" s="174"/>
      <c r="Y871" s="174"/>
      <c r="Z871" s="174"/>
      <c r="AA871" s="174"/>
    </row>
    <row r="872">
      <c r="A872" s="174"/>
      <c r="B872" s="174"/>
      <c r="C872" s="174"/>
      <c r="D872" s="174"/>
      <c r="E872" s="174"/>
      <c r="F872" s="175"/>
      <c r="G872" s="175"/>
      <c r="H872" s="174"/>
      <c r="I872" s="174"/>
      <c r="J872" s="174"/>
      <c r="K872" s="174"/>
      <c r="L872" s="174"/>
      <c r="M872" s="174"/>
      <c r="N872" s="174"/>
      <c r="O872" s="174"/>
      <c r="P872" s="174"/>
      <c r="Q872" s="174"/>
      <c r="R872" s="174"/>
      <c r="S872" s="174"/>
      <c r="T872" s="174"/>
      <c r="U872" s="174"/>
      <c r="V872" s="174"/>
      <c r="W872" s="174"/>
      <c r="X872" s="174"/>
      <c r="Y872" s="174"/>
      <c r="Z872" s="174"/>
      <c r="AA872" s="174"/>
    </row>
    <row r="873">
      <c r="A873" s="174"/>
      <c r="B873" s="174"/>
      <c r="C873" s="174"/>
      <c r="D873" s="174"/>
      <c r="E873" s="174"/>
      <c r="F873" s="175"/>
      <c r="G873" s="175"/>
      <c r="H873" s="174"/>
      <c r="I873" s="174"/>
      <c r="J873" s="174"/>
      <c r="K873" s="174"/>
      <c r="L873" s="174"/>
      <c r="M873" s="174"/>
      <c r="N873" s="174"/>
      <c r="O873" s="174"/>
      <c r="P873" s="174"/>
      <c r="Q873" s="174"/>
      <c r="R873" s="174"/>
      <c r="S873" s="174"/>
      <c r="T873" s="174"/>
      <c r="U873" s="174"/>
      <c r="V873" s="174"/>
      <c r="W873" s="174"/>
      <c r="X873" s="174"/>
      <c r="Y873" s="174"/>
      <c r="Z873" s="174"/>
      <c r="AA873" s="174"/>
    </row>
    <row r="874">
      <c r="A874" s="174"/>
      <c r="B874" s="174"/>
      <c r="C874" s="174"/>
      <c r="D874" s="174"/>
      <c r="E874" s="174"/>
      <c r="F874" s="175"/>
      <c r="G874" s="175"/>
      <c r="H874" s="174"/>
      <c r="I874" s="174"/>
      <c r="J874" s="174"/>
      <c r="K874" s="174"/>
      <c r="L874" s="174"/>
      <c r="M874" s="174"/>
      <c r="N874" s="174"/>
      <c r="O874" s="174"/>
      <c r="P874" s="174"/>
      <c r="Q874" s="174"/>
      <c r="R874" s="174"/>
      <c r="S874" s="174"/>
      <c r="T874" s="174"/>
      <c r="U874" s="174"/>
      <c r="V874" s="174"/>
      <c r="W874" s="174"/>
      <c r="X874" s="174"/>
      <c r="Y874" s="174"/>
      <c r="Z874" s="174"/>
      <c r="AA874" s="174"/>
    </row>
    <row r="875">
      <c r="A875" s="174"/>
      <c r="B875" s="174"/>
      <c r="C875" s="174"/>
      <c r="D875" s="174"/>
      <c r="E875" s="174"/>
      <c r="F875" s="175"/>
      <c r="G875" s="175"/>
      <c r="H875" s="174"/>
      <c r="I875" s="174"/>
      <c r="J875" s="174"/>
      <c r="K875" s="174"/>
      <c r="L875" s="174"/>
      <c r="M875" s="174"/>
      <c r="N875" s="174"/>
      <c r="O875" s="174"/>
      <c r="P875" s="174"/>
      <c r="Q875" s="174"/>
      <c r="R875" s="174"/>
      <c r="S875" s="174"/>
      <c r="T875" s="174"/>
      <c r="U875" s="174"/>
      <c r="V875" s="174"/>
      <c r="W875" s="174"/>
      <c r="X875" s="174"/>
      <c r="Y875" s="174"/>
      <c r="Z875" s="174"/>
      <c r="AA875" s="174"/>
    </row>
    <row r="876">
      <c r="A876" s="174"/>
      <c r="B876" s="174"/>
      <c r="C876" s="174"/>
      <c r="D876" s="174"/>
      <c r="E876" s="174"/>
      <c r="F876" s="175"/>
      <c r="G876" s="175"/>
      <c r="H876" s="174"/>
      <c r="I876" s="174"/>
      <c r="J876" s="174"/>
      <c r="K876" s="174"/>
      <c r="L876" s="174"/>
      <c r="M876" s="174"/>
      <c r="N876" s="174"/>
      <c r="O876" s="174"/>
      <c r="P876" s="174"/>
      <c r="Q876" s="174"/>
      <c r="R876" s="174"/>
      <c r="S876" s="174"/>
      <c r="T876" s="174"/>
      <c r="U876" s="174"/>
      <c r="V876" s="174"/>
      <c r="W876" s="174"/>
      <c r="X876" s="174"/>
      <c r="Y876" s="174"/>
      <c r="Z876" s="174"/>
      <c r="AA876" s="174"/>
    </row>
    <row r="877">
      <c r="A877" s="174"/>
      <c r="B877" s="174"/>
      <c r="C877" s="174"/>
      <c r="D877" s="174"/>
      <c r="E877" s="174"/>
      <c r="F877" s="175"/>
      <c r="G877" s="175"/>
      <c r="H877" s="174"/>
      <c r="I877" s="174"/>
      <c r="J877" s="174"/>
      <c r="K877" s="174"/>
      <c r="L877" s="174"/>
      <c r="M877" s="174"/>
      <c r="N877" s="174"/>
      <c r="O877" s="174"/>
      <c r="P877" s="174"/>
      <c r="Q877" s="174"/>
      <c r="R877" s="174"/>
      <c r="S877" s="174"/>
      <c r="T877" s="174"/>
      <c r="U877" s="174"/>
      <c r="V877" s="174"/>
      <c r="W877" s="174"/>
      <c r="X877" s="174"/>
      <c r="Y877" s="174"/>
      <c r="Z877" s="174"/>
      <c r="AA877" s="174"/>
    </row>
    <row r="878">
      <c r="A878" s="174"/>
      <c r="B878" s="174"/>
      <c r="C878" s="174"/>
      <c r="D878" s="174"/>
      <c r="E878" s="174"/>
      <c r="F878" s="175"/>
      <c r="G878" s="175"/>
      <c r="H878" s="174"/>
      <c r="I878" s="174"/>
      <c r="J878" s="174"/>
      <c r="K878" s="174"/>
      <c r="L878" s="174"/>
      <c r="M878" s="174"/>
      <c r="N878" s="174"/>
      <c r="O878" s="174"/>
      <c r="P878" s="174"/>
      <c r="Q878" s="174"/>
      <c r="R878" s="174"/>
      <c r="S878" s="174"/>
      <c r="T878" s="174"/>
      <c r="U878" s="174"/>
      <c r="V878" s="174"/>
      <c r="W878" s="174"/>
      <c r="X878" s="174"/>
      <c r="Y878" s="174"/>
      <c r="Z878" s="174"/>
      <c r="AA878" s="174"/>
    </row>
    <row r="879">
      <c r="A879" s="174"/>
      <c r="B879" s="174"/>
      <c r="C879" s="174"/>
      <c r="D879" s="174"/>
      <c r="E879" s="174"/>
      <c r="F879" s="175"/>
      <c r="G879" s="175"/>
      <c r="H879" s="174"/>
      <c r="I879" s="174"/>
      <c r="J879" s="174"/>
      <c r="K879" s="174"/>
      <c r="L879" s="174"/>
      <c r="M879" s="174"/>
      <c r="N879" s="174"/>
      <c r="O879" s="174"/>
      <c r="P879" s="174"/>
      <c r="Q879" s="174"/>
      <c r="R879" s="174"/>
      <c r="S879" s="174"/>
      <c r="T879" s="174"/>
      <c r="U879" s="174"/>
      <c r="V879" s="174"/>
      <c r="W879" s="174"/>
      <c r="X879" s="174"/>
      <c r="Y879" s="174"/>
      <c r="Z879" s="174"/>
      <c r="AA879" s="174"/>
    </row>
    <row r="880">
      <c r="A880" s="174"/>
      <c r="B880" s="174"/>
      <c r="C880" s="174"/>
      <c r="D880" s="174"/>
      <c r="E880" s="174"/>
      <c r="F880" s="175"/>
      <c r="G880" s="175"/>
      <c r="H880" s="174"/>
      <c r="I880" s="174"/>
      <c r="J880" s="174"/>
      <c r="K880" s="174"/>
      <c r="L880" s="174"/>
      <c r="M880" s="174"/>
      <c r="N880" s="174"/>
      <c r="O880" s="174"/>
      <c r="P880" s="174"/>
      <c r="Q880" s="174"/>
      <c r="R880" s="174"/>
      <c r="S880" s="174"/>
      <c r="T880" s="174"/>
      <c r="U880" s="174"/>
      <c r="V880" s="174"/>
      <c r="W880" s="174"/>
      <c r="X880" s="174"/>
      <c r="Y880" s="174"/>
      <c r="Z880" s="174"/>
      <c r="AA880" s="174"/>
    </row>
    <row r="881">
      <c r="A881" s="174"/>
      <c r="B881" s="174"/>
      <c r="C881" s="174"/>
      <c r="D881" s="174"/>
      <c r="E881" s="174"/>
      <c r="F881" s="175"/>
      <c r="G881" s="175"/>
      <c r="H881" s="174"/>
      <c r="I881" s="174"/>
      <c r="J881" s="174"/>
      <c r="K881" s="174"/>
      <c r="L881" s="174"/>
      <c r="M881" s="174"/>
      <c r="N881" s="174"/>
      <c r="O881" s="174"/>
      <c r="P881" s="174"/>
      <c r="Q881" s="174"/>
      <c r="R881" s="174"/>
      <c r="S881" s="174"/>
      <c r="T881" s="174"/>
      <c r="U881" s="174"/>
      <c r="V881" s="174"/>
      <c r="W881" s="174"/>
      <c r="X881" s="174"/>
      <c r="Y881" s="174"/>
      <c r="Z881" s="174"/>
      <c r="AA881" s="174"/>
    </row>
    <row r="882">
      <c r="A882" s="174"/>
      <c r="B882" s="174"/>
      <c r="C882" s="174"/>
      <c r="D882" s="174"/>
      <c r="E882" s="174"/>
      <c r="F882" s="175"/>
      <c r="G882" s="175"/>
      <c r="H882" s="174"/>
      <c r="I882" s="174"/>
      <c r="J882" s="174"/>
      <c r="K882" s="174"/>
      <c r="L882" s="174"/>
      <c r="M882" s="174"/>
      <c r="N882" s="174"/>
      <c r="O882" s="174"/>
      <c r="P882" s="174"/>
      <c r="Q882" s="174"/>
      <c r="R882" s="174"/>
      <c r="S882" s="174"/>
      <c r="T882" s="174"/>
      <c r="U882" s="174"/>
      <c r="V882" s="174"/>
      <c r="W882" s="174"/>
      <c r="X882" s="174"/>
      <c r="Y882" s="174"/>
      <c r="Z882" s="174"/>
      <c r="AA882" s="174"/>
    </row>
    <row r="883">
      <c r="A883" s="174"/>
      <c r="B883" s="174"/>
      <c r="C883" s="174"/>
      <c r="D883" s="174"/>
      <c r="E883" s="174"/>
      <c r="F883" s="175"/>
      <c r="G883" s="175"/>
      <c r="H883" s="174"/>
      <c r="I883" s="174"/>
      <c r="J883" s="174"/>
      <c r="K883" s="174"/>
      <c r="L883" s="174"/>
      <c r="M883" s="174"/>
      <c r="N883" s="174"/>
      <c r="O883" s="174"/>
      <c r="P883" s="174"/>
      <c r="Q883" s="174"/>
      <c r="R883" s="174"/>
      <c r="S883" s="174"/>
      <c r="T883" s="174"/>
      <c r="U883" s="174"/>
      <c r="V883" s="174"/>
      <c r="W883" s="174"/>
      <c r="X883" s="174"/>
      <c r="Y883" s="174"/>
      <c r="Z883" s="174"/>
      <c r="AA883" s="174"/>
    </row>
    <row r="884">
      <c r="A884" s="174"/>
      <c r="B884" s="174"/>
      <c r="C884" s="174"/>
      <c r="D884" s="174"/>
      <c r="E884" s="174"/>
      <c r="F884" s="175"/>
      <c r="G884" s="175"/>
      <c r="H884" s="174"/>
      <c r="I884" s="174"/>
      <c r="J884" s="174"/>
      <c r="K884" s="174"/>
      <c r="L884" s="174"/>
      <c r="M884" s="174"/>
      <c r="N884" s="174"/>
      <c r="O884" s="174"/>
      <c r="P884" s="174"/>
      <c r="Q884" s="174"/>
      <c r="R884" s="174"/>
      <c r="S884" s="174"/>
      <c r="T884" s="174"/>
      <c r="U884" s="174"/>
      <c r="V884" s="174"/>
      <c r="W884" s="174"/>
      <c r="X884" s="174"/>
      <c r="Y884" s="174"/>
      <c r="Z884" s="174"/>
      <c r="AA884" s="174"/>
    </row>
    <row r="885">
      <c r="A885" s="174"/>
      <c r="B885" s="174"/>
      <c r="C885" s="174"/>
      <c r="D885" s="174"/>
      <c r="E885" s="174"/>
      <c r="F885" s="175"/>
      <c r="G885" s="175"/>
      <c r="H885" s="174"/>
      <c r="I885" s="174"/>
      <c r="J885" s="174"/>
      <c r="K885" s="174"/>
      <c r="L885" s="174"/>
      <c r="M885" s="174"/>
      <c r="N885" s="174"/>
      <c r="O885" s="174"/>
      <c r="P885" s="174"/>
      <c r="Q885" s="174"/>
      <c r="R885" s="174"/>
      <c r="S885" s="174"/>
      <c r="T885" s="174"/>
      <c r="U885" s="174"/>
      <c r="V885" s="174"/>
      <c r="W885" s="174"/>
      <c r="X885" s="174"/>
      <c r="Y885" s="174"/>
      <c r="Z885" s="174"/>
      <c r="AA885" s="174"/>
    </row>
    <row r="886">
      <c r="A886" s="174"/>
      <c r="B886" s="174"/>
      <c r="C886" s="174"/>
      <c r="D886" s="174"/>
      <c r="E886" s="174"/>
      <c r="F886" s="175"/>
      <c r="G886" s="175"/>
      <c r="H886" s="174"/>
      <c r="I886" s="174"/>
      <c r="J886" s="174"/>
      <c r="K886" s="174"/>
      <c r="L886" s="174"/>
      <c r="M886" s="174"/>
      <c r="N886" s="174"/>
      <c r="O886" s="174"/>
      <c r="P886" s="174"/>
      <c r="Q886" s="174"/>
      <c r="R886" s="174"/>
      <c r="S886" s="174"/>
      <c r="T886" s="174"/>
      <c r="U886" s="174"/>
      <c r="V886" s="174"/>
      <c r="W886" s="174"/>
      <c r="X886" s="174"/>
      <c r="Y886" s="174"/>
      <c r="Z886" s="174"/>
      <c r="AA886" s="174"/>
    </row>
    <row r="887">
      <c r="A887" s="174"/>
      <c r="B887" s="174"/>
      <c r="C887" s="174"/>
      <c r="D887" s="174"/>
      <c r="E887" s="174"/>
      <c r="F887" s="175"/>
      <c r="G887" s="175"/>
      <c r="H887" s="174"/>
      <c r="I887" s="174"/>
      <c r="J887" s="174"/>
      <c r="K887" s="174"/>
      <c r="L887" s="174"/>
      <c r="M887" s="174"/>
      <c r="N887" s="174"/>
      <c r="O887" s="174"/>
      <c r="P887" s="174"/>
      <c r="Q887" s="174"/>
      <c r="R887" s="174"/>
      <c r="S887" s="174"/>
      <c r="T887" s="174"/>
      <c r="U887" s="174"/>
      <c r="V887" s="174"/>
      <c r="W887" s="174"/>
      <c r="X887" s="174"/>
      <c r="Y887" s="174"/>
      <c r="Z887" s="174"/>
      <c r="AA887" s="174"/>
    </row>
    <row r="888">
      <c r="A888" s="174"/>
      <c r="B888" s="174"/>
      <c r="C888" s="174"/>
      <c r="D888" s="174"/>
      <c r="E888" s="174"/>
      <c r="F888" s="175"/>
      <c r="G888" s="175"/>
      <c r="H888" s="174"/>
      <c r="I888" s="174"/>
      <c r="J888" s="174"/>
      <c r="K888" s="174"/>
      <c r="L888" s="174"/>
      <c r="M888" s="174"/>
      <c r="N888" s="174"/>
      <c r="O888" s="174"/>
      <c r="P888" s="174"/>
      <c r="Q888" s="174"/>
      <c r="R888" s="174"/>
      <c r="S888" s="174"/>
      <c r="T888" s="174"/>
      <c r="U888" s="174"/>
      <c r="V888" s="174"/>
      <c r="W888" s="174"/>
      <c r="X888" s="174"/>
      <c r="Y888" s="174"/>
      <c r="Z888" s="174"/>
      <c r="AA888" s="174"/>
    </row>
    <row r="889">
      <c r="A889" s="174"/>
      <c r="B889" s="174"/>
      <c r="C889" s="174"/>
      <c r="D889" s="174"/>
      <c r="E889" s="174"/>
      <c r="F889" s="175"/>
      <c r="G889" s="175"/>
      <c r="H889" s="174"/>
      <c r="I889" s="174"/>
      <c r="J889" s="174"/>
      <c r="K889" s="174"/>
      <c r="L889" s="174"/>
      <c r="M889" s="174"/>
      <c r="N889" s="174"/>
      <c r="O889" s="174"/>
      <c r="P889" s="174"/>
      <c r="Q889" s="174"/>
      <c r="R889" s="174"/>
      <c r="S889" s="174"/>
      <c r="T889" s="174"/>
      <c r="U889" s="174"/>
      <c r="V889" s="174"/>
      <c r="W889" s="174"/>
      <c r="X889" s="174"/>
      <c r="Y889" s="174"/>
      <c r="Z889" s="174"/>
      <c r="AA889" s="174"/>
    </row>
    <row r="890">
      <c r="A890" s="174"/>
      <c r="B890" s="174"/>
      <c r="C890" s="174"/>
      <c r="D890" s="174"/>
      <c r="E890" s="174"/>
      <c r="F890" s="175"/>
      <c r="G890" s="175"/>
      <c r="H890" s="174"/>
      <c r="I890" s="174"/>
      <c r="J890" s="174"/>
      <c r="K890" s="174"/>
      <c r="L890" s="174"/>
      <c r="M890" s="174"/>
      <c r="N890" s="174"/>
      <c r="O890" s="174"/>
      <c r="P890" s="174"/>
      <c r="Q890" s="174"/>
      <c r="R890" s="174"/>
      <c r="S890" s="174"/>
      <c r="T890" s="174"/>
      <c r="U890" s="174"/>
      <c r="V890" s="174"/>
      <c r="W890" s="174"/>
      <c r="X890" s="174"/>
      <c r="Y890" s="174"/>
      <c r="Z890" s="174"/>
      <c r="AA890" s="174"/>
    </row>
    <row r="891">
      <c r="A891" s="174"/>
      <c r="B891" s="174"/>
      <c r="C891" s="174"/>
      <c r="D891" s="174"/>
      <c r="E891" s="174"/>
      <c r="F891" s="175"/>
      <c r="G891" s="175"/>
      <c r="H891" s="174"/>
      <c r="I891" s="174"/>
      <c r="J891" s="174"/>
      <c r="K891" s="174"/>
      <c r="L891" s="174"/>
      <c r="M891" s="174"/>
      <c r="N891" s="174"/>
      <c r="O891" s="174"/>
      <c r="P891" s="174"/>
      <c r="Q891" s="174"/>
      <c r="R891" s="174"/>
      <c r="S891" s="174"/>
      <c r="T891" s="174"/>
      <c r="U891" s="174"/>
      <c r="V891" s="174"/>
      <c r="W891" s="174"/>
      <c r="X891" s="174"/>
      <c r="Y891" s="174"/>
      <c r="Z891" s="174"/>
      <c r="AA891" s="174"/>
    </row>
    <row r="892">
      <c r="A892" s="174"/>
      <c r="B892" s="174"/>
      <c r="C892" s="174"/>
      <c r="D892" s="174"/>
      <c r="E892" s="174"/>
      <c r="F892" s="175"/>
      <c r="G892" s="175"/>
      <c r="H892" s="174"/>
      <c r="I892" s="174"/>
      <c r="J892" s="174"/>
      <c r="K892" s="174"/>
      <c r="L892" s="174"/>
      <c r="M892" s="174"/>
      <c r="N892" s="174"/>
      <c r="O892" s="174"/>
      <c r="P892" s="174"/>
      <c r="Q892" s="174"/>
      <c r="R892" s="174"/>
      <c r="S892" s="174"/>
      <c r="T892" s="174"/>
      <c r="U892" s="174"/>
      <c r="V892" s="174"/>
      <c r="W892" s="174"/>
      <c r="X892" s="174"/>
      <c r="Y892" s="174"/>
      <c r="Z892" s="174"/>
      <c r="AA892" s="174"/>
    </row>
    <row r="893">
      <c r="A893" s="174"/>
      <c r="B893" s="174"/>
      <c r="C893" s="174"/>
      <c r="D893" s="174"/>
      <c r="E893" s="174"/>
      <c r="F893" s="175"/>
      <c r="G893" s="175"/>
      <c r="H893" s="174"/>
      <c r="I893" s="174"/>
      <c r="J893" s="174"/>
      <c r="K893" s="174"/>
      <c r="L893" s="174"/>
      <c r="M893" s="174"/>
      <c r="N893" s="174"/>
      <c r="O893" s="174"/>
      <c r="P893" s="174"/>
      <c r="Q893" s="174"/>
      <c r="R893" s="174"/>
      <c r="S893" s="174"/>
      <c r="T893" s="174"/>
      <c r="U893" s="174"/>
      <c r="V893" s="174"/>
      <c r="W893" s="174"/>
      <c r="X893" s="174"/>
      <c r="Y893" s="174"/>
      <c r="Z893" s="174"/>
      <c r="AA893" s="174"/>
    </row>
    <row r="894">
      <c r="A894" s="174"/>
      <c r="B894" s="174"/>
      <c r="C894" s="174"/>
      <c r="D894" s="174"/>
      <c r="E894" s="174"/>
      <c r="F894" s="175"/>
      <c r="G894" s="175"/>
      <c r="H894" s="174"/>
      <c r="I894" s="174"/>
      <c r="J894" s="174"/>
      <c r="K894" s="174"/>
      <c r="L894" s="174"/>
      <c r="M894" s="174"/>
      <c r="N894" s="174"/>
      <c r="O894" s="174"/>
      <c r="P894" s="174"/>
      <c r="Q894" s="174"/>
      <c r="R894" s="174"/>
      <c r="S894" s="174"/>
      <c r="T894" s="174"/>
      <c r="U894" s="174"/>
      <c r="V894" s="174"/>
      <c r="W894" s="174"/>
      <c r="X894" s="174"/>
      <c r="Y894" s="174"/>
      <c r="Z894" s="174"/>
      <c r="AA894" s="174"/>
    </row>
    <row r="895">
      <c r="A895" s="174"/>
      <c r="B895" s="174"/>
      <c r="C895" s="174"/>
      <c r="D895" s="174"/>
      <c r="E895" s="174"/>
      <c r="F895" s="175"/>
      <c r="G895" s="175"/>
      <c r="H895" s="174"/>
      <c r="I895" s="174"/>
      <c r="J895" s="174"/>
      <c r="K895" s="174"/>
      <c r="L895" s="174"/>
      <c r="M895" s="174"/>
      <c r="N895" s="174"/>
      <c r="O895" s="174"/>
      <c r="P895" s="174"/>
      <c r="Q895" s="174"/>
      <c r="R895" s="174"/>
      <c r="S895" s="174"/>
      <c r="T895" s="174"/>
      <c r="U895" s="174"/>
      <c r="V895" s="174"/>
      <c r="W895" s="174"/>
      <c r="X895" s="174"/>
      <c r="Y895" s="174"/>
      <c r="Z895" s="174"/>
      <c r="AA895" s="174"/>
    </row>
    <row r="896">
      <c r="A896" s="174"/>
      <c r="B896" s="174"/>
      <c r="C896" s="174"/>
      <c r="D896" s="174"/>
      <c r="E896" s="174"/>
      <c r="F896" s="175"/>
      <c r="G896" s="175"/>
      <c r="H896" s="174"/>
      <c r="I896" s="174"/>
      <c r="J896" s="174"/>
      <c r="K896" s="174"/>
      <c r="L896" s="174"/>
      <c r="M896" s="174"/>
      <c r="N896" s="174"/>
      <c r="O896" s="174"/>
      <c r="P896" s="174"/>
      <c r="Q896" s="174"/>
      <c r="R896" s="174"/>
      <c r="S896" s="174"/>
      <c r="T896" s="174"/>
      <c r="U896" s="174"/>
      <c r="V896" s="174"/>
      <c r="W896" s="174"/>
      <c r="X896" s="174"/>
      <c r="Y896" s="174"/>
      <c r="Z896" s="174"/>
      <c r="AA896" s="174"/>
    </row>
    <row r="897">
      <c r="A897" s="174"/>
      <c r="B897" s="174"/>
      <c r="C897" s="174"/>
      <c r="D897" s="174"/>
      <c r="E897" s="174"/>
      <c r="F897" s="175"/>
      <c r="G897" s="175"/>
      <c r="H897" s="174"/>
      <c r="I897" s="174"/>
      <c r="J897" s="174"/>
      <c r="K897" s="174"/>
      <c r="L897" s="174"/>
      <c r="M897" s="174"/>
      <c r="N897" s="174"/>
      <c r="O897" s="174"/>
      <c r="P897" s="174"/>
      <c r="Q897" s="174"/>
      <c r="R897" s="174"/>
      <c r="S897" s="174"/>
      <c r="T897" s="174"/>
      <c r="U897" s="174"/>
      <c r="V897" s="174"/>
      <c r="W897" s="174"/>
      <c r="X897" s="174"/>
      <c r="Y897" s="174"/>
      <c r="Z897" s="174"/>
      <c r="AA897" s="174"/>
    </row>
    <row r="898">
      <c r="A898" s="174"/>
      <c r="B898" s="174"/>
      <c r="C898" s="174"/>
      <c r="D898" s="174"/>
      <c r="E898" s="174"/>
      <c r="F898" s="175"/>
      <c r="G898" s="175"/>
      <c r="H898" s="174"/>
      <c r="I898" s="174"/>
      <c r="J898" s="174"/>
      <c r="K898" s="174"/>
      <c r="L898" s="174"/>
      <c r="M898" s="174"/>
      <c r="N898" s="174"/>
      <c r="O898" s="174"/>
      <c r="P898" s="174"/>
      <c r="Q898" s="174"/>
      <c r="R898" s="174"/>
      <c r="S898" s="174"/>
      <c r="T898" s="174"/>
      <c r="U898" s="174"/>
      <c r="V898" s="174"/>
      <c r="W898" s="174"/>
      <c r="X898" s="174"/>
      <c r="Y898" s="174"/>
      <c r="Z898" s="174"/>
      <c r="AA898" s="174"/>
    </row>
    <row r="899">
      <c r="A899" s="174"/>
      <c r="B899" s="174"/>
      <c r="C899" s="174"/>
      <c r="D899" s="174"/>
      <c r="E899" s="174"/>
      <c r="F899" s="175"/>
      <c r="G899" s="175"/>
      <c r="H899" s="174"/>
      <c r="I899" s="174"/>
      <c r="J899" s="174"/>
      <c r="K899" s="174"/>
      <c r="L899" s="174"/>
      <c r="M899" s="174"/>
      <c r="N899" s="174"/>
      <c r="O899" s="174"/>
      <c r="P899" s="174"/>
      <c r="Q899" s="174"/>
      <c r="R899" s="174"/>
      <c r="S899" s="174"/>
      <c r="T899" s="174"/>
      <c r="U899" s="174"/>
      <c r="V899" s="174"/>
      <c r="W899" s="174"/>
      <c r="X899" s="174"/>
      <c r="Y899" s="174"/>
      <c r="Z899" s="174"/>
      <c r="AA899" s="174"/>
    </row>
    <row r="900">
      <c r="A900" s="174"/>
      <c r="B900" s="174"/>
      <c r="C900" s="174"/>
      <c r="D900" s="174"/>
      <c r="E900" s="174"/>
      <c r="F900" s="175"/>
      <c r="G900" s="175"/>
      <c r="H900" s="174"/>
      <c r="I900" s="174"/>
      <c r="J900" s="174"/>
      <c r="K900" s="174"/>
      <c r="L900" s="174"/>
      <c r="M900" s="174"/>
      <c r="N900" s="174"/>
      <c r="O900" s="174"/>
      <c r="P900" s="174"/>
      <c r="Q900" s="174"/>
      <c r="R900" s="174"/>
      <c r="S900" s="174"/>
      <c r="T900" s="174"/>
      <c r="U900" s="174"/>
      <c r="V900" s="174"/>
      <c r="W900" s="174"/>
      <c r="X900" s="174"/>
      <c r="Y900" s="174"/>
      <c r="Z900" s="174"/>
      <c r="AA900" s="174"/>
    </row>
    <row r="901">
      <c r="A901" s="174"/>
      <c r="B901" s="174"/>
      <c r="C901" s="174"/>
      <c r="D901" s="174"/>
      <c r="E901" s="174"/>
      <c r="F901" s="175"/>
      <c r="G901" s="175"/>
      <c r="H901" s="174"/>
      <c r="I901" s="174"/>
      <c r="J901" s="174"/>
      <c r="K901" s="174"/>
      <c r="L901" s="174"/>
      <c r="M901" s="174"/>
      <c r="N901" s="174"/>
      <c r="O901" s="174"/>
      <c r="P901" s="174"/>
      <c r="Q901" s="174"/>
      <c r="R901" s="174"/>
      <c r="S901" s="174"/>
      <c r="T901" s="174"/>
      <c r="U901" s="174"/>
      <c r="V901" s="174"/>
      <c r="W901" s="174"/>
      <c r="X901" s="174"/>
      <c r="Y901" s="174"/>
      <c r="Z901" s="174"/>
      <c r="AA901" s="174"/>
    </row>
    <row r="902">
      <c r="A902" s="174"/>
      <c r="B902" s="174"/>
      <c r="C902" s="174"/>
      <c r="D902" s="174"/>
      <c r="E902" s="174"/>
      <c r="F902" s="175"/>
      <c r="G902" s="175"/>
      <c r="H902" s="174"/>
      <c r="I902" s="174"/>
      <c r="J902" s="174"/>
      <c r="K902" s="174"/>
      <c r="L902" s="174"/>
      <c r="M902" s="174"/>
      <c r="N902" s="174"/>
      <c r="O902" s="174"/>
      <c r="P902" s="174"/>
      <c r="Q902" s="174"/>
      <c r="R902" s="174"/>
      <c r="S902" s="174"/>
      <c r="T902" s="174"/>
      <c r="U902" s="174"/>
      <c r="V902" s="174"/>
      <c r="W902" s="174"/>
      <c r="X902" s="174"/>
      <c r="Y902" s="174"/>
      <c r="Z902" s="174"/>
      <c r="AA902" s="174"/>
    </row>
    <row r="903">
      <c r="A903" s="174"/>
      <c r="B903" s="174"/>
      <c r="C903" s="174"/>
      <c r="D903" s="174"/>
      <c r="E903" s="174"/>
      <c r="F903" s="175"/>
      <c r="G903" s="175"/>
      <c r="H903" s="174"/>
      <c r="I903" s="174"/>
      <c r="J903" s="174"/>
      <c r="K903" s="174"/>
      <c r="L903" s="174"/>
      <c r="M903" s="174"/>
      <c r="N903" s="174"/>
      <c r="O903" s="174"/>
      <c r="P903" s="174"/>
      <c r="Q903" s="174"/>
      <c r="R903" s="174"/>
      <c r="S903" s="174"/>
      <c r="T903" s="174"/>
      <c r="U903" s="174"/>
      <c r="V903" s="174"/>
      <c r="W903" s="174"/>
      <c r="X903" s="174"/>
      <c r="Y903" s="174"/>
      <c r="Z903" s="174"/>
      <c r="AA903" s="174"/>
    </row>
    <row r="904">
      <c r="A904" s="174"/>
      <c r="B904" s="174"/>
      <c r="C904" s="174"/>
      <c r="D904" s="174"/>
      <c r="E904" s="174"/>
      <c r="F904" s="175"/>
      <c r="G904" s="175"/>
      <c r="H904" s="174"/>
      <c r="I904" s="174"/>
      <c r="J904" s="174"/>
      <c r="K904" s="174"/>
      <c r="L904" s="174"/>
      <c r="M904" s="174"/>
      <c r="N904" s="174"/>
      <c r="O904" s="174"/>
      <c r="P904" s="174"/>
      <c r="Q904" s="174"/>
      <c r="R904" s="174"/>
      <c r="S904" s="174"/>
      <c r="T904" s="174"/>
      <c r="U904" s="174"/>
      <c r="V904" s="174"/>
      <c r="W904" s="174"/>
      <c r="X904" s="174"/>
      <c r="Y904" s="174"/>
      <c r="Z904" s="174"/>
      <c r="AA904" s="174"/>
    </row>
    <row r="905">
      <c r="A905" s="174"/>
      <c r="B905" s="174"/>
      <c r="C905" s="174"/>
      <c r="D905" s="174"/>
      <c r="E905" s="174"/>
      <c r="F905" s="175"/>
      <c r="G905" s="175"/>
      <c r="H905" s="174"/>
      <c r="I905" s="174"/>
      <c r="J905" s="174"/>
      <c r="K905" s="174"/>
      <c r="L905" s="174"/>
      <c r="M905" s="174"/>
      <c r="N905" s="174"/>
      <c r="O905" s="174"/>
      <c r="P905" s="174"/>
      <c r="Q905" s="174"/>
      <c r="R905" s="174"/>
      <c r="S905" s="174"/>
      <c r="T905" s="174"/>
      <c r="U905" s="174"/>
      <c r="V905" s="174"/>
      <c r="W905" s="174"/>
      <c r="X905" s="174"/>
      <c r="Y905" s="174"/>
      <c r="Z905" s="174"/>
      <c r="AA905" s="174"/>
    </row>
    <row r="906">
      <c r="A906" s="174"/>
      <c r="B906" s="174"/>
      <c r="C906" s="174"/>
      <c r="D906" s="174"/>
      <c r="E906" s="174"/>
      <c r="F906" s="175"/>
      <c r="G906" s="175"/>
      <c r="H906" s="174"/>
      <c r="I906" s="174"/>
      <c r="J906" s="174"/>
      <c r="K906" s="174"/>
      <c r="L906" s="174"/>
      <c r="M906" s="174"/>
      <c r="N906" s="174"/>
      <c r="O906" s="174"/>
      <c r="P906" s="174"/>
      <c r="Q906" s="174"/>
      <c r="R906" s="174"/>
      <c r="S906" s="174"/>
      <c r="T906" s="174"/>
      <c r="U906" s="174"/>
      <c r="V906" s="174"/>
      <c r="W906" s="174"/>
      <c r="X906" s="174"/>
      <c r="Y906" s="174"/>
      <c r="Z906" s="174"/>
      <c r="AA906" s="174"/>
    </row>
    <row r="907">
      <c r="A907" s="174"/>
      <c r="B907" s="174"/>
      <c r="C907" s="174"/>
      <c r="D907" s="174"/>
      <c r="E907" s="174"/>
      <c r="F907" s="175"/>
      <c r="G907" s="175"/>
      <c r="H907" s="174"/>
      <c r="I907" s="174"/>
      <c r="J907" s="174"/>
      <c r="K907" s="174"/>
      <c r="L907" s="174"/>
      <c r="M907" s="174"/>
      <c r="N907" s="174"/>
      <c r="O907" s="174"/>
      <c r="P907" s="174"/>
      <c r="Q907" s="174"/>
      <c r="R907" s="174"/>
      <c r="S907" s="174"/>
      <c r="T907" s="174"/>
      <c r="U907" s="174"/>
      <c r="V907" s="174"/>
      <c r="W907" s="174"/>
      <c r="X907" s="174"/>
      <c r="Y907" s="174"/>
      <c r="Z907" s="174"/>
      <c r="AA907" s="174"/>
    </row>
    <row r="908">
      <c r="A908" s="174"/>
      <c r="B908" s="174"/>
      <c r="C908" s="174"/>
      <c r="D908" s="174"/>
      <c r="E908" s="174"/>
      <c r="F908" s="175"/>
      <c r="G908" s="175"/>
      <c r="H908" s="174"/>
      <c r="I908" s="174"/>
      <c r="J908" s="174"/>
      <c r="K908" s="174"/>
      <c r="L908" s="174"/>
      <c r="M908" s="174"/>
      <c r="N908" s="174"/>
      <c r="O908" s="174"/>
      <c r="P908" s="174"/>
      <c r="Q908" s="174"/>
      <c r="R908" s="174"/>
      <c r="S908" s="174"/>
      <c r="T908" s="174"/>
      <c r="U908" s="174"/>
      <c r="V908" s="174"/>
      <c r="W908" s="174"/>
      <c r="X908" s="174"/>
      <c r="Y908" s="174"/>
      <c r="Z908" s="174"/>
      <c r="AA908" s="174"/>
    </row>
    <row r="909">
      <c r="A909" s="174"/>
      <c r="B909" s="174"/>
      <c r="C909" s="174"/>
      <c r="D909" s="174"/>
      <c r="E909" s="174"/>
      <c r="F909" s="175"/>
      <c r="G909" s="175"/>
      <c r="H909" s="174"/>
      <c r="I909" s="174"/>
      <c r="J909" s="174"/>
      <c r="K909" s="174"/>
      <c r="L909" s="174"/>
      <c r="M909" s="174"/>
      <c r="N909" s="174"/>
      <c r="O909" s="174"/>
      <c r="P909" s="174"/>
      <c r="Q909" s="174"/>
      <c r="R909" s="174"/>
      <c r="S909" s="174"/>
      <c r="T909" s="174"/>
      <c r="U909" s="174"/>
      <c r="V909" s="174"/>
      <c r="W909" s="174"/>
      <c r="X909" s="174"/>
      <c r="Y909" s="174"/>
      <c r="Z909" s="174"/>
      <c r="AA909" s="174"/>
    </row>
    <row r="910">
      <c r="A910" s="174"/>
      <c r="B910" s="174"/>
      <c r="C910" s="174"/>
      <c r="D910" s="174"/>
      <c r="E910" s="174"/>
      <c r="F910" s="175"/>
      <c r="G910" s="175"/>
      <c r="H910" s="174"/>
      <c r="I910" s="174"/>
      <c r="J910" s="174"/>
      <c r="K910" s="174"/>
      <c r="L910" s="174"/>
      <c r="M910" s="174"/>
      <c r="N910" s="174"/>
      <c r="O910" s="174"/>
      <c r="P910" s="174"/>
      <c r="Q910" s="174"/>
      <c r="R910" s="174"/>
      <c r="S910" s="174"/>
      <c r="T910" s="174"/>
      <c r="U910" s="174"/>
      <c r="V910" s="174"/>
      <c r="W910" s="174"/>
      <c r="X910" s="174"/>
      <c r="Y910" s="174"/>
      <c r="Z910" s="174"/>
      <c r="AA910" s="174"/>
    </row>
    <row r="911">
      <c r="A911" s="174"/>
      <c r="B911" s="174"/>
      <c r="C911" s="174"/>
      <c r="D911" s="174"/>
      <c r="E911" s="174"/>
      <c r="F911" s="175"/>
      <c r="G911" s="175"/>
      <c r="H911" s="174"/>
      <c r="I911" s="174"/>
      <c r="J911" s="174"/>
      <c r="K911" s="174"/>
      <c r="L911" s="174"/>
      <c r="M911" s="174"/>
      <c r="N911" s="174"/>
      <c r="O911" s="174"/>
      <c r="P911" s="174"/>
      <c r="Q911" s="174"/>
      <c r="R911" s="174"/>
      <c r="S911" s="174"/>
      <c r="T911" s="174"/>
      <c r="U911" s="174"/>
      <c r="V911" s="174"/>
      <c r="W911" s="174"/>
      <c r="X911" s="174"/>
      <c r="Y911" s="174"/>
      <c r="Z911" s="174"/>
      <c r="AA911" s="174"/>
    </row>
    <row r="912">
      <c r="A912" s="174"/>
      <c r="B912" s="174"/>
      <c r="C912" s="174"/>
      <c r="D912" s="174"/>
      <c r="E912" s="174"/>
      <c r="F912" s="175"/>
      <c r="G912" s="175"/>
      <c r="H912" s="174"/>
      <c r="I912" s="174"/>
      <c r="J912" s="174"/>
      <c r="K912" s="174"/>
      <c r="L912" s="174"/>
      <c r="M912" s="174"/>
      <c r="N912" s="174"/>
      <c r="O912" s="174"/>
      <c r="P912" s="174"/>
      <c r="Q912" s="174"/>
      <c r="R912" s="174"/>
      <c r="S912" s="174"/>
      <c r="T912" s="174"/>
      <c r="U912" s="174"/>
      <c r="V912" s="174"/>
      <c r="W912" s="174"/>
      <c r="X912" s="174"/>
      <c r="Y912" s="174"/>
      <c r="Z912" s="174"/>
      <c r="AA912" s="174"/>
    </row>
    <row r="913">
      <c r="A913" s="174"/>
      <c r="B913" s="174"/>
      <c r="C913" s="174"/>
      <c r="D913" s="174"/>
      <c r="E913" s="174"/>
      <c r="F913" s="175"/>
      <c r="G913" s="175"/>
      <c r="H913" s="174"/>
      <c r="I913" s="174"/>
      <c r="J913" s="174"/>
      <c r="K913" s="174"/>
      <c r="L913" s="174"/>
      <c r="M913" s="174"/>
      <c r="N913" s="174"/>
      <c r="O913" s="174"/>
      <c r="P913" s="174"/>
      <c r="Q913" s="174"/>
      <c r="R913" s="174"/>
      <c r="S913" s="174"/>
      <c r="T913" s="174"/>
      <c r="U913" s="174"/>
      <c r="V913" s="174"/>
      <c r="W913" s="174"/>
      <c r="X913" s="174"/>
      <c r="Y913" s="174"/>
      <c r="Z913" s="174"/>
      <c r="AA913" s="174"/>
    </row>
    <row r="914">
      <c r="A914" s="174"/>
      <c r="B914" s="174"/>
      <c r="C914" s="174"/>
      <c r="D914" s="174"/>
      <c r="E914" s="174"/>
      <c r="F914" s="175"/>
      <c r="G914" s="175"/>
      <c r="H914" s="174"/>
      <c r="I914" s="174"/>
      <c r="J914" s="174"/>
      <c r="K914" s="174"/>
      <c r="L914" s="174"/>
      <c r="M914" s="174"/>
      <c r="N914" s="174"/>
      <c r="O914" s="174"/>
      <c r="P914" s="174"/>
      <c r="Q914" s="174"/>
      <c r="R914" s="174"/>
      <c r="S914" s="174"/>
      <c r="T914" s="174"/>
      <c r="U914" s="174"/>
      <c r="V914" s="174"/>
      <c r="W914" s="174"/>
      <c r="X914" s="174"/>
      <c r="Y914" s="174"/>
      <c r="Z914" s="174"/>
      <c r="AA914" s="174"/>
    </row>
    <row r="915">
      <c r="A915" s="174"/>
      <c r="B915" s="174"/>
      <c r="C915" s="174"/>
      <c r="D915" s="174"/>
      <c r="E915" s="174"/>
      <c r="F915" s="175"/>
      <c r="G915" s="175"/>
      <c r="H915" s="174"/>
      <c r="I915" s="174"/>
      <c r="J915" s="174"/>
      <c r="K915" s="174"/>
      <c r="L915" s="174"/>
      <c r="M915" s="174"/>
      <c r="N915" s="174"/>
      <c r="O915" s="174"/>
      <c r="P915" s="174"/>
      <c r="Q915" s="174"/>
      <c r="R915" s="174"/>
      <c r="S915" s="174"/>
      <c r="T915" s="174"/>
      <c r="U915" s="174"/>
      <c r="V915" s="174"/>
      <c r="W915" s="174"/>
      <c r="X915" s="174"/>
      <c r="Y915" s="174"/>
      <c r="Z915" s="174"/>
      <c r="AA915" s="174"/>
    </row>
    <row r="916">
      <c r="A916" s="174"/>
      <c r="B916" s="174"/>
      <c r="C916" s="174"/>
      <c r="D916" s="174"/>
      <c r="E916" s="174"/>
      <c r="F916" s="175"/>
      <c r="G916" s="175"/>
      <c r="H916" s="174"/>
      <c r="I916" s="174"/>
      <c r="J916" s="174"/>
      <c r="K916" s="174"/>
      <c r="L916" s="174"/>
      <c r="M916" s="174"/>
      <c r="N916" s="174"/>
      <c r="O916" s="174"/>
      <c r="P916" s="174"/>
      <c r="Q916" s="174"/>
      <c r="R916" s="174"/>
      <c r="S916" s="174"/>
      <c r="T916" s="174"/>
      <c r="U916" s="174"/>
      <c r="V916" s="174"/>
      <c r="W916" s="174"/>
      <c r="X916" s="174"/>
      <c r="Y916" s="174"/>
      <c r="Z916" s="174"/>
      <c r="AA916" s="174"/>
    </row>
    <row r="917">
      <c r="A917" s="174"/>
      <c r="B917" s="174"/>
      <c r="C917" s="174"/>
      <c r="D917" s="174"/>
      <c r="E917" s="174"/>
      <c r="F917" s="175"/>
      <c r="G917" s="175"/>
      <c r="H917" s="174"/>
      <c r="I917" s="174"/>
      <c r="J917" s="174"/>
      <c r="K917" s="174"/>
      <c r="L917" s="174"/>
      <c r="M917" s="174"/>
      <c r="N917" s="174"/>
      <c r="O917" s="174"/>
      <c r="P917" s="174"/>
      <c r="Q917" s="174"/>
      <c r="R917" s="174"/>
      <c r="S917" s="174"/>
      <c r="T917" s="174"/>
      <c r="U917" s="174"/>
      <c r="V917" s="174"/>
      <c r="W917" s="174"/>
      <c r="X917" s="174"/>
      <c r="Y917" s="174"/>
      <c r="Z917" s="174"/>
      <c r="AA917" s="174"/>
    </row>
    <row r="918">
      <c r="A918" s="174"/>
      <c r="B918" s="174"/>
      <c r="C918" s="174"/>
      <c r="D918" s="174"/>
      <c r="E918" s="174"/>
      <c r="F918" s="175"/>
      <c r="G918" s="175"/>
      <c r="H918" s="174"/>
      <c r="I918" s="174"/>
      <c r="J918" s="174"/>
      <c r="K918" s="174"/>
      <c r="L918" s="174"/>
      <c r="M918" s="174"/>
      <c r="N918" s="174"/>
      <c r="O918" s="174"/>
      <c r="P918" s="174"/>
      <c r="Q918" s="174"/>
      <c r="R918" s="174"/>
      <c r="S918" s="174"/>
      <c r="T918" s="174"/>
      <c r="U918" s="174"/>
      <c r="V918" s="174"/>
      <c r="W918" s="174"/>
      <c r="X918" s="174"/>
      <c r="Y918" s="174"/>
      <c r="Z918" s="174"/>
      <c r="AA918" s="174"/>
    </row>
    <row r="919">
      <c r="A919" s="174"/>
      <c r="B919" s="174"/>
      <c r="C919" s="174"/>
      <c r="D919" s="174"/>
      <c r="E919" s="174"/>
      <c r="F919" s="175"/>
      <c r="G919" s="175"/>
      <c r="H919" s="174"/>
      <c r="I919" s="174"/>
      <c r="J919" s="174"/>
      <c r="K919" s="174"/>
      <c r="L919" s="174"/>
      <c r="M919" s="174"/>
      <c r="N919" s="174"/>
      <c r="O919" s="174"/>
      <c r="P919" s="174"/>
      <c r="Q919" s="174"/>
      <c r="R919" s="174"/>
      <c r="S919" s="174"/>
      <c r="T919" s="174"/>
      <c r="U919" s="174"/>
      <c r="V919" s="174"/>
      <c r="W919" s="174"/>
      <c r="X919" s="174"/>
      <c r="Y919" s="174"/>
      <c r="Z919" s="174"/>
      <c r="AA919" s="174"/>
    </row>
    <row r="920">
      <c r="A920" s="174"/>
      <c r="B920" s="174"/>
      <c r="C920" s="174"/>
      <c r="D920" s="174"/>
      <c r="E920" s="174"/>
      <c r="F920" s="175"/>
      <c r="G920" s="175"/>
      <c r="H920" s="174"/>
      <c r="I920" s="174"/>
      <c r="J920" s="174"/>
      <c r="K920" s="174"/>
      <c r="L920" s="174"/>
      <c r="M920" s="174"/>
      <c r="N920" s="174"/>
      <c r="O920" s="174"/>
      <c r="P920" s="174"/>
      <c r="Q920" s="174"/>
      <c r="R920" s="174"/>
      <c r="S920" s="174"/>
      <c r="T920" s="174"/>
      <c r="U920" s="174"/>
      <c r="V920" s="174"/>
      <c r="W920" s="174"/>
      <c r="X920" s="174"/>
      <c r="Y920" s="174"/>
      <c r="Z920" s="174"/>
      <c r="AA920" s="174"/>
    </row>
    <row r="921">
      <c r="A921" s="174"/>
      <c r="B921" s="174"/>
      <c r="C921" s="174"/>
      <c r="D921" s="174"/>
      <c r="E921" s="174"/>
      <c r="F921" s="175"/>
      <c r="G921" s="175"/>
      <c r="H921" s="174"/>
      <c r="I921" s="174"/>
      <c r="J921" s="174"/>
      <c r="K921" s="174"/>
      <c r="L921" s="174"/>
      <c r="M921" s="174"/>
      <c r="N921" s="174"/>
      <c r="O921" s="174"/>
      <c r="P921" s="174"/>
      <c r="Q921" s="174"/>
      <c r="R921" s="174"/>
      <c r="S921" s="174"/>
      <c r="T921" s="174"/>
      <c r="U921" s="174"/>
      <c r="V921" s="174"/>
      <c r="W921" s="174"/>
      <c r="X921" s="174"/>
      <c r="Y921" s="174"/>
      <c r="Z921" s="174"/>
      <c r="AA921" s="174"/>
    </row>
    <row r="922">
      <c r="A922" s="174"/>
      <c r="B922" s="174"/>
      <c r="C922" s="174"/>
      <c r="D922" s="174"/>
      <c r="E922" s="174"/>
      <c r="F922" s="175"/>
      <c r="G922" s="175"/>
      <c r="H922" s="174"/>
      <c r="I922" s="174"/>
      <c r="J922" s="174"/>
      <c r="K922" s="174"/>
      <c r="L922" s="174"/>
      <c r="M922" s="174"/>
      <c r="N922" s="174"/>
      <c r="O922" s="174"/>
      <c r="P922" s="174"/>
      <c r="Q922" s="174"/>
      <c r="R922" s="174"/>
      <c r="S922" s="174"/>
      <c r="T922" s="174"/>
      <c r="U922" s="174"/>
      <c r="V922" s="174"/>
      <c r="W922" s="174"/>
      <c r="X922" s="174"/>
      <c r="Y922" s="174"/>
      <c r="Z922" s="174"/>
      <c r="AA922" s="174"/>
    </row>
    <row r="923">
      <c r="A923" s="174"/>
      <c r="B923" s="174"/>
      <c r="C923" s="174"/>
      <c r="D923" s="174"/>
      <c r="E923" s="174"/>
      <c r="F923" s="175"/>
      <c r="G923" s="175"/>
      <c r="H923" s="174"/>
      <c r="I923" s="174"/>
      <c r="J923" s="174"/>
      <c r="K923" s="174"/>
      <c r="L923" s="174"/>
      <c r="M923" s="174"/>
      <c r="N923" s="174"/>
      <c r="O923" s="174"/>
      <c r="P923" s="174"/>
      <c r="Q923" s="174"/>
      <c r="R923" s="174"/>
      <c r="S923" s="174"/>
      <c r="T923" s="174"/>
      <c r="U923" s="174"/>
      <c r="V923" s="174"/>
      <c r="W923" s="174"/>
      <c r="X923" s="174"/>
      <c r="Y923" s="174"/>
      <c r="Z923" s="174"/>
      <c r="AA923" s="174"/>
    </row>
    <row r="924">
      <c r="A924" s="174"/>
      <c r="B924" s="174"/>
      <c r="C924" s="174"/>
      <c r="D924" s="174"/>
      <c r="E924" s="174"/>
      <c r="F924" s="175"/>
      <c r="G924" s="175"/>
      <c r="H924" s="174"/>
      <c r="I924" s="174"/>
      <c r="J924" s="174"/>
      <c r="K924" s="174"/>
      <c r="L924" s="174"/>
      <c r="M924" s="174"/>
      <c r="N924" s="174"/>
      <c r="O924" s="174"/>
      <c r="P924" s="174"/>
      <c r="Q924" s="174"/>
      <c r="R924" s="174"/>
      <c r="S924" s="174"/>
      <c r="T924" s="174"/>
      <c r="U924" s="174"/>
      <c r="V924" s="174"/>
      <c r="W924" s="174"/>
      <c r="X924" s="174"/>
      <c r="Y924" s="174"/>
      <c r="Z924" s="174"/>
      <c r="AA924" s="174"/>
    </row>
    <row r="925">
      <c r="A925" s="174"/>
      <c r="B925" s="174"/>
      <c r="C925" s="174"/>
      <c r="D925" s="174"/>
      <c r="E925" s="174"/>
      <c r="F925" s="175"/>
      <c r="G925" s="175"/>
      <c r="H925" s="174"/>
      <c r="I925" s="174"/>
      <c r="J925" s="174"/>
      <c r="K925" s="174"/>
      <c r="L925" s="174"/>
      <c r="M925" s="174"/>
      <c r="N925" s="174"/>
      <c r="O925" s="174"/>
      <c r="P925" s="174"/>
      <c r="Q925" s="174"/>
      <c r="R925" s="174"/>
      <c r="S925" s="174"/>
      <c r="T925" s="174"/>
      <c r="U925" s="174"/>
      <c r="V925" s="174"/>
      <c r="W925" s="174"/>
      <c r="X925" s="174"/>
      <c r="Y925" s="174"/>
      <c r="Z925" s="174"/>
      <c r="AA925" s="174"/>
    </row>
    <row r="926">
      <c r="A926" s="174"/>
      <c r="B926" s="174"/>
      <c r="C926" s="174"/>
      <c r="D926" s="174"/>
      <c r="E926" s="174"/>
      <c r="F926" s="175"/>
      <c r="G926" s="175"/>
      <c r="H926" s="174"/>
      <c r="I926" s="174"/>
      <c r="J926" s="174"/>
      <c r="K926" s="174"/>
      <c r="L926" s="174"/>
      <c r="M926" s="174"/>
      <c r="N926" s="174"/>
      <c r="O926" s="174"/>
      <c r="P926" s="174"/>
      <c r="Q926" s="174"/>
      <c r="R926" s="174"/>
      <c r="S926" s="174"/>
      <c r="T926" s="174"/>
      <c r="U926" s="174"/>
      <c r="V926" s="174"/>
      <c r="W926" s="174"/>
      <c r="X926" s="174"/>
      <c r="Y926" s="174"/>
      <c r="Z926" s="174"/>
      <c r="AA926" s="174"/>
    </row>
    <row r="927">
      <c r="A927" s="174"/>
      <c r="B927" s="174"/>
      <c r="C927" s="174"/>
      <c r="D927" s="174"/>
      <c r="E927" s="174"/>
      <c r="F927" s="175"/>
      <c r="G927" s="175"/>
      <c r="H927" s="174"/>
      <c r="I927" s="174"/>
      <c r="J927" s="174"/>
      <c r="K927" s="174"/>
      <c r="L927" s="174"/>
      <c r="M927" s="174"/>
      <c r="N927" s="174"/>
      <c r="O927" s="174"/>
      <c r="P927" s="174"/>
      <c r="Q927" s="174"/>
      <c r="R927" s="174"/>
      <c r="S927" s="174"/>
      <c r="T927" s="174"/>
      <c r="U927" s="174"/>
      <c r="V927" s="174"/>
      <c r="W927" s="174"/>
      <c r="X927" s="174"/>
      <c r="Y927" s="174"/>
      <c r="Z927" s="174"/>
      <c r="AA927" s="174"/>
    </row>
    <row r="928">
      <c r="A928" s="174"/>
      <c r="B928" s="174"/>
      <c r="C928" s="174"/>
      <c r="D928" s="174"/>
      <c r="E928" s="174"/>
      <c r="F928" s="175"/>
      <c r="G928" s="175"/>
      <c r="H928" s="174"/>
      <c r="I928" s="174"/>
      <c r="J928" s="174"/>
      <c r="K928" s="174"/>
      <c r="L928" s="174"/>
      <c r="M928" s="174"/>
      <c r="N928" s="174"/>
      <c r="O928" s="174"/>
      <c r="P928" s="174"/>
      <c r="Q928" s="174"/>
      <c r="R928" s="174"/>
      <c r="S928" s="174"/>
      <c r="T928" s="174"/>
      <c r="U928" s="174"/>
      <c r="V928" s="174"/>
      <c r="W928" s="174"/>
      <c r="X928" s="174"/>
      <c r="Y928" s="174"/>
      <c r="Z928" s="174"/>
      <c r="AA928" s="174"/>
    </row>
    <row r="929">
      <c r="A929" s="174"/>
      <c r="B929" s="174"/>
      <c r="C929" s="174"/>
      <c r="D929" s="174"/>
      <c r="E929" s="174"/>
      <c r="F929" s="175"/>
      <c r="G929" s="175"/>
      <c r="H929" s="174"/>
      <c r="I929" s="174"/>
      <c r="J929" s="174"/>
      <c r="K929" s="174"/>
      <c r="L929" s="174"/>
      <c r="M929" s="174"/>
      <c r="N929" s="174"/>
      <c r="O929" s="174"/>
      <c r="P929" s="174"/>
      <c r="Q929" s="174"/>
      <c r="R929" s="174"/>
      <c r="S929" s="174"/>
      <c r="T929" s="174"/>
      <c r="U929" s="174"/>
      <c r="V929" s="174"/>
      <c r="W929" s="174"/>
      <c r="X929" s="174"/>
      <c r="Y929" s="174"/>
      <c r="Z929" s="174"/>
      <c r="AA929" s="174"/>
    </row>
    <row r="930">
      <c r="A930" s="174"/>
      <c r="B930" s="174"/>
      <c r="C930" s="174"/>
      <c r="D930" s="174"/>
      <c r="E930" s="174"/>
      <c r="F930" s="175"/>
      <c r="G930" s="175"/>
      <c r="H930" s="174"/>
      <c r="I930" s="174"/>
      <c r="J930" s="174"/>
      <c r="K930" s="174"/>
      <c r="L930" s="174"/>
      <c r="M930" s="174"/>
      <c r="N930" s="174"/>
      <c r="O930" s="174"/>
      <c r="P930" s="174"/>
      <c r="Q930" s="174"/>
      <c r="R930" s="174"/>
      <c r="S930" s="174"/>
      <c r="T930" s="174"/>
      <c r="U930" s="174"/>
      <c r="V930" s="174"/>
      <c r="W930" s="174"/>
      <c r="X930" s="174"/>
      <c r="Y930" s="174"/>
      <c r="Z930" s="174"/>
      <c r="AA930" s="174"/>
    </row>
    <row r="931">
      <c r="A931" s="174"/>
      <c r="B931" s="174"/>
      <c r="C931" s="174"/>
      <c r="D931" s="174"/>
      <c r="E931" s="174"/>
      <c r="F931" s="175"/>
      <c r="G931" s="175"/>
      <c r="H931" s="174"/>
      <c r="I931" s="174"/>
      <c r="J931" s="174"/>
      <c r="K931" s="174"/>
      <c r="L931" s="174"/>
      <c r="M931" s="174"/>
      <c r="N931" s="174"/>
      <c r="O931" s="174"/>
      <c r="P931" s="174"/>
      <c r="Q931" s="174"/>
      <c r="R931" s="174"/>
      <c r="S931" s="174"/>
      <c r="T931" s="174"/>
      <c r="U931" s="174"/>
      <c r="V931" s="174"/>
      <c r="W931" s="174"/>
      <c r="X931" s="174"/>
      <c r="Y931" s="174"/>
      <c r="Z931" s="174"/>
      <c r="AA931" s="174"/>
    </row>
    <row r="932">
      <c r="A932" s="174"/>
      <c r="B932" s="174"/>
      <c r="C932" s="174"/>
      <c r="D932" s="174"/>
      <c r="E932" s="174"/>
      <c r="F932" s="175"/>
      <c r="G932" s="175"/>
      <c r="H932" s="174"/>
      <c r="I932" s="174"/>
      <c r="J932" s="174"/>
      <c r="K932" s="174"/>
      <c r="L932" s="174"/>
      <c r="M932" s="174"/>
      <c r="N932" s="174"/>
      <c r="O932" s="174"/>
      <c r="P932" s="174"/>
      <c r="Q932" s="174"/>
      <c r="R932" s="174"/>
      <c r="S932" s="174"/>
      <c r="T932" s="174"/>
      <c r="U932" s="174"/>
      <c r="V932" s="174"/>
      <c r="W932" s="174"/>
      <c r="X932" s="174"/>
      <c r="Y932" s="174"/>
      <c r="Z932" s="174"/>
      <c r="AA932" s="174"/>
    </row>
    <row r="933">
      <c r="A933" s="174"/>
      <c r="B933" s="174"/>
      <c r="C933" s="174"/>
      <c r="D933" s="174"/>
      <c r="E933" s="174"/>
      <c r="F933" s="175"/>
      <c r="G933" s="175"/>
      <c r="H933" s="174"/>
      <c r="I933" s="174"/>
      <c r="J933" s="174"/>
      <c r="K933" s="174"/>
      <c r="L933" s="174"/>
      <c r="M933" s="174"/>
      <c r="N933" s="174"/>
      <c r="O933" s="174"/>
      <c r="P933" s="174"/>
      <c r="Q933" s="174"/>
      <c r="R933" s="174"/>
      <c r="S933" s="174"/>
      <c r="T933" s="174"/>
      <c r="U933" s="174"/>
      <c r="V933" s="174"/>
      <c r="W933" s="174"/>
      <c r="X933" s="174"/>
      <c r="Y933" s="174"/>
      <c r="Z933" s="174"/>
      <c r="AA933" s="174"/>
    </row>
    <row r="934">
      <c r="A934" s="174"/>
      <c r="B934" s="174"/>
      <c r="C934" s="174"/>
      <c r="D934" s="174"/>
      <c r="E934" s="174"/>
      <c r="F934" s="175"/>
      <c r="G934" s="175"/>
      <c r="H934" s="174"/>
      <c r="I934" s="174"/>
      <c r="J934" s="174"/>
      <c r="K934" s="174"/>
      <c r="L934" s="174"/>
      <c r="M934" s="174"/>
      <c r="N934" s="174"/>
      <c r="O934" s="174"/>
      <c r="P934" s="174"/>
      <c r="Q934" s="174"/>
      <c r="R934" s="174"/>
      <c r="S934" s="174"/>
      <c r="T934" s="174"/>
      <c r="U934" s="174"/>
      <c r="V934" s="174"/>
      <c r="W934" s="174"/>
      <c r="X934" s="174"/>
      <c r="Y934" s="174"/>
      <c r="Z934" s="174"/>
      <c r="AA934" s="174"/>
    </row>
    <row r="935">
      <c r="A935" s="174"/>
      <c r="B935" s="174"/>
      <c r="C935" s="174"/>
      <c r="D935" s="174"/>
      <c r="E935" s="174"/>
      <c r="F935" s="175"/>
      <c r="G935" s="175"/>
      <c r="H935" s="174"/>
      <c r="I935" s="174"/>
      <c r="J935" s="174"/>
      <c r="K935" s="174"/>
      <c r="L935" s="174"/>
      <c r="M935" s="174"/>
      <c r="N935" s="174"/>
      <c r="O935" s="174"/>
      <c r="P935" s="174"/>
      <c r="Q935" s="174"/>
      <c r="R935" s="174"/>
      <c r="S935" s="174"/>
      <c r="T935" s="174"/>
      <c r="U935" s="174"/>
      <c r="V935" s="174"/>
      <c r="W935" s="174"/>
      <c r="X935" s="174"/>
      <c r="Y935" s="174"/>
      <c r="Z935" s="174"/>
      <c r="AA935" s="174"/>
    </row>
    <row r="936">
      <c r="A936" s="174"/>
      <c r="B936" s="174"/>
      <c r="C936" s="174"/>
      <c r="D936" s="174"/>
      <c r="E936" s="174"/>
      <c r="F936" s="175"/>
      <c r="G936" s="175"/>
      <c r="H936" s="174"/>
      <c r="I936" s="174"/>
      <c r="J936" s="174"/>
      <c r="K936" s="174"/>
      <c r="L936" s="174"/>
      <c r="M936" s="174"/>
      <c r="N936" s="174"/>
      <c r="O936" s="174"/>
      <c r="P936" s="174"/>
      <c r="Q936" s="174"/>
      <c r="R936" s="174"/>
      <c r="S936" s="174"/>
      <c r="T936" s="174"/>
      <c r="U936" s="174"/>
      <c r="V936" s="174"/>
      <c r="W936" s="174"/>
      <c r="X936" s="174"/>
      <c r="Y936" s="174"/>
      <c r="Z936" s="174"/>
      <c r="AA936" s="174"/>
    </row>
    <row r="937">
      <c r="A937" s="174"/>
      <c r="B937" s="174"/>
      <c r="C937" s="174"/>
      <c r="D937" s="174"/>
      <c r="E937" s="174"/>
      <c r="F937" s="175"/>
      <c r="G937" s="175"/>
      <c r="H937" s="174"/>
      <c r="I937" s="174"/>
      <c r="J937" s="174"/>
      <c r="K937" s="174"/>
      <c r="L937" s="174"/>
      <c r="M937" s="174"/>
      <c r="N937" s="174"/>
      <c r="O937" s="174"/>
      <c r="P937" s="174"/>
      <c r="Q937" s="174"/>
      <c r="R937" s="174"/>
      <c r="S937" s="174"/>
      <c r="T937" s="174"/>
      <c r="U937" s="174"/>
      <c r="V937" s="174"/>
      <c r="W937" s="174"/>
      <c r="X937" s="174"/>
      <c r="Y937" s="174"/>
      <c r="Z937" s="174"/>
      <c r="AA937" s="174"/>
    </row>
    <row r="938">
      <c r="A938" s="174"/>
      <c r="B938" s="174"/>
      <c r="C938" s="174"/>
      <c r="D938" s="174"/>
      <c r="E938" s="174"/>
      <c r="F938" s="175"/>
      <c r="G938" s="175"/>
      <c r="H938" s="174"/>
      <c r="I938" s="174"/>
      <c r="J938" s="174"/>
      <c r="K938" s="174"/>
      <c r="L938" s="174"/>
      <c r="M938" s="174"/>
      <c r="N938" s="174"/>
      <c r="O938" s="174"/>
      <c r="P938" s="174"/>
      <c r="Q938" s="174"/>
      <c r="R938" s="174"/>
      <c r="S938" s="174"/>
      <c r="T938" s="174"/>
      <c r="U938" s="174"/>
      <c r="V938" s="174"/>
      <c r="W938" s="174"/>
      <c r="X938" s="174"/>
      <c r="Y938" s="174"/>
      <c r="Z938" s="174"/>
      <c r="AA938" s="174"/>
    </row>
    <row r="939">
      <c r="A939" s="174"/>
      <c r="B939" s="174"/>
      <c r="C939" s="174"/>
      <c r="D939" s="174"/>
      <c r="E939" s="174"/>
      <c r="F939" s="175"/>
      <c r="G939" s="175"/>
      <c r="H939" s="174"/>
      <c r="I939" s="174"/>
      <c r="J939" s="174"/>
      <c r="K939" s="174"/>
      <c r="L939" s="174"/>
      <c r="M939" s="174"/>
      <c r="N939" s="174"/>
      <c r="O939" s="174"/>
      <c r="P939" s="174"/>
      <c r="Q939" s="174"/>
      <c r="R939" s="174"/>
      <c r="S939" s="174"/>
      <c r="T939" s="174"/>
      <c r="U939" s="174"/>
      <c r="V939" s="174"/>
      <c r="W939" s="174"/>
      <c r="X939" s="174"/>
      <c r="Y939" s="174"/>
      <c r="Z939" s="174"/>
      <c r="AA939" s="174"/>
    </row>
    <row r="940">
      <c r="A940" s="174"/>
      <c r="B940" s="174"/>
      <c r="C940" s="174"/>
      <c r="D940" s="174"/>
      <c r="E940" s="174"/>
      <c r="F940" s="175"/>
      <c r="G940" s="175"/>
      <c r="H940" s="174"/>
      <c r="I940" s="174"/>
      <c r="J940" s="174"/>
      <c r="K940" s="174"/>
      <c r="L940" s="174"/>
      <c r="M940" s="174"/>
      <c r="N940" s="174"/>
      <c r="O940" s="174"/>
      <c r="P940" s="174"/>
      <c r="Q940" s="174"/>
      <c r="R940" s="174"/>
      <c r="S940" s="174"/>
      <c r="T940" s="174"/>
      <c r="U940" s="174"/>
      <c r="V940" s="174"/>
      <c r="W940" s="174"/>
      <c r="X940" s="174"/>
      <c r="Y940" s="174"/>
      <c r="Z940" s="174"/>
      <c r="AA940" s="174"/>
    </row>
    <row r="941">
      <c r="A941" s="174"/>
      <c r="B941" s="174"/>
      <c r="C941" s="174"/>
      <c r="D941" s="174"/>
      <c r="E941" s="174"/>
      <c r="F941" s="175"/>
      <c r="G941" s="175"/>
      <c r="H941" s="174"/>
      <c r="I941" s="174"/>
      <c r="J941" s="174"/>
      <c r="K941" s="174"/>
      <c r="L941" s="174"/>
      <c r="M941" s="174"/>
      <c r="N941" s="174"/>
      <c r="O941" s="174"/>
      <c r="P941" s="174"/>
      <c r="Q941" s="174"/>
      <c r="R941" s="174"/>
      <c r="S941" s="174"/>
      <c r="T941" s="174"/>
      <c r="U941" s="174"/>
      <c r="V941" s="174"/>
      <c r="W941" s="174"/>
      <c r="X941" s="174"/>
      <c r="Y941" s="174"/>
      <c r="Z941" s="174"/>
      <c r="AA941" s="174"/>
    </row>
    <row r="942">
      <c r="A942" s="174"/>
      <c r="B942" s="174"/>
      <c r="C942" s="174"/>
      <c r="D942" s="174"/>
      <c r="E942" s="174"/>
      <c r="F942" s="175"/>
      <c r="G942" s="175"/>
      <c r="H942" s="174"/>
      <c r="I942" s="174"/>
      <c r="J942" s="174"/>
      <c r="K942" s="174"/>
      <c r="L942" s="174"/>
      <c r="M942" s="174"/>
      <c r="N942" s="174"/>
      <c r="O942" s="174"/>
      <c r="P942" s="174"/>
      <c r="Q942" s="174"/>
      <c r="R942" s="174"/>
      <c r="S942" s="174"/>
      <c r="T942" s="174"/>
      <c r="U942" s="174"/>
      <c r="V942" s="174"/>
      <c r="W942" s="174"/>
      <c r="X942" s="174"/>
      <c r="Y942" s="174"/>
      <c r="Z942" s="174"/>
      <c r="AA942" s="174"/>
    </row>
    <row r="943">
      <c r="A943" s="174"/>
      <c r="B943" s="174"/>
      <c r="C943" s="174"/>
      <c r="D943" s="174"/>
      <c r="E943" s="174"/>
      <c r="F943" s="175"/>
      <c r="G943" s="175"/>
      <c r="H943" s="174"/>
      <c r="I943" s="174"/>
      <c r="J943" s="174"/>
      <c r="K943" s="174"/>
      <c r="L943" s="174"/>
      <c r="M943" s="174"/>
      <c r="N943" s="174"/>
      <c r="O943" s="174"/>
      <c r="P943" s="174"/>
      <c r="Q943" s="174"/>
      <c r="R943" s="174"/>
      <c r="S943" s="174"/>
      <c r="T943" s="174"/>
      <c r="U943" s="174"/>
      <c r="V943" s="174"/>
      <c r="W943" s="174"/>
      <c r="X943" s="174"/>
      <c r="Y943" s="174"/>
      <c r="Z943" s="174"/>
      <c r="AA943" s="174"/>
    </row>
    <row r="944">
      <c r="A944" s="174"/>
      <c r="B944" s="174"/>
      <c r="C944" s="174"/>
      <c r="D944" s="174"/>
      <c r="E944" s="174"/>
      <c r="F944" s="175"/>
      <c r="G944" s="175"/>
      <c r="H944" s="174"/>
      <c r="I944" s="174"/>
      <c r="J944" s="174"/>
      <c r="K944" s="174"/>
      <c r="L944" s="174"/>
      <c r="M944" s="174"/>
      <c r="N944" s="174"/>
      <c r="O944" s="174"/>
      <c r="P944" s="174"/>
      <c r="Q944" s="174"/>
      <c r="R944" s="174"/>
      <c r="S944" s="174"/>
      <c r="T944" s="174"/>
      <c r="U944" s="174"/>
      <c r="V944" s="174"/>
      <c r="W944" s="174"/>
      <c r="X944" s="174"/>
      <c r="Y944" s="174"/>
      <c r="Z944" s="174"/>
      <c r="AA944" s="174"/>
    </row>
    <row r="945">
      <c r="A945" s="174"/>
      <c r="B945" s="174"/>
      <c r="C945" s="174"/>
      <c r="D945" s="174"/>
      <c r="E945" s="174"/>
      <c r="F945" s="175"/>
      <c r="G945" s="175"/>
      <c r="H945" s="174"/>
      <c r="I945" s="174"/>
      <c r="J945" s="174"/>
      <c r="K945" s="174"/>
      <c r="L945" s="174"/>
      <c r="M945" s="174"/>
      <c r="N945" s="174"/>
      <c r="O945" s="174"/>
      <c r="P945" s="174"/>
      <c r="Q945" s="174"/>
      <c r="R945" s="174"/>
      <c r="S945" s="174"/>
      <c r="T945" s="174"/>
      <c r="U945" s="174"/>
      <c r="V945" s="174"/>
      <c r="W945" s="174"/>
      <c r="X945" s="174"/>
      <c r="Y945" s="174"/>
      <c r="Z945" s="174"/>
      <c r="AA945" s="174"/>
    </row>
    <row r="946">
      <c r="A946" s="174"/>
      <c r="B946" s="174"/>
      <c r="C946" s="174"/>
      <c r="D946" s="174"/>
      <c r="E946" s="174"/>
      <c r="F946" s="175"/>
      <c r="G946" s="175"/>
      <c r="H946" s="174"/>
      <c r="I946" s="174"/>
      <c r="J946" s="174"/>
      <c r="K946" s="174"/>
      <c r="L946" s="174"/>
      <c r="M946" s="174"/>
      <c r="N946" s="174"/>
      <c r="O946" s="174"/>
      <c r="P946" s="174"/>
      <c r="Q946" s="174"/>
      <c r="R946" s="174"/>
      <c r="S946" s="174"/>
      <c r="T946" s="174"/>
      <c r="U946" s="174"/>
      <c r="V946" s="174"/>
      <c r="W946" s="174"/>
      <c r="X946" s="174"/>
      <c r="Y946" s="174"/>
      <c r="Z946" s="174"/>
      <c r="AA946" s="174"/>
    </row>
    <row r="947">
      <c r="A947" s="174"/>
      <c r="B947" s="174"/>
      <c r="C947" s="174"/>
      <c r="D947" s="174"/>
      <c r="E947" s="174"/>
      <c r="F947" s="175"/>
      <c r="G947" s="175"/>
      <c r="H947" s="174"/>
      <c r="I947" s="174"/>
      <c r="J947" s="174"/>
      <c r="K947" s="174"/>
      <c r="L947" s="174"/>
      <c r="M947" s="174"/>
      <c r="N947" s="174"/>
      <c r="O947" s="174"/>
      <c r="P947" s="174"/>
      <c r="Q947" s="174"/>
      <c r="R947" s="174"/>
      <c r="S947" s="174"/>
      <c r="T947" s="174"/>
      <c r="U947" s="174"/>
      <c r="V947" s="174"/>
      <c r="W947" s="174"/>
      <c r="X947" s="174"/>
      <c r="Y947" s="174"/>
      <c r="Z947" s="174"/>
      <c r="AA947" s="174"/>
    </row>
    <row r="948">
      <c r="A948" s="174"/>
      <c r="B948" s="174"/>
      <c r="C948" s="174"/>
      <c r="D948" s="174"/>
      <c r="E948" s="174"/>
      <c r="F948" s="175"/>
      <c r="G948" s="175"/>
      <c r="H948" s="174"/>
      <c r="I948" s="174"/>
      <c r="J948" s="174"/>
      <c r="K948" s="174"/>
      <c r="L948" s="174"/>
      <c r="M948" s="174"/>
      <c r="N948" s="174"/>
      <c r="O948" s="174"/>
      <c r="P948" s="174"/>
      <c r="Q948" s="174"/>
      <c r="R948" s="174"/>
      <c r="S948" s="174"/>
      <c r="T948" s="174"/>
      <c r="U948" s="174"/>
      <c r="V948" s="174"/>
      <c r="W948" s="174"/>
      <c r="X948" s="174"/>
      <c r="Y948" s="174"/>
      <c r="Z948" s="174"/>
      <c r="AA948" s="174"/>
    </row>
    <row r="949">
      <c r="A949" s="174"/>
      <c r="B949" s="174"/>
      <c r="C949" s="174"/>
      <c r="D949" s="174"/>
      <c r="E949" s="174"/>
      <c r="F949" s="175"/>
      <c r="G949" s="175"/>
      <c r="H949" s="174"/>
      <c r="I949" s="174"/>
      <c r="J949" s="174"/>
      <c r="K949" s="174"/>
      <c r="L949" s="174"/>
      <c r="M949" s="174"/>
      <c r="N949" s="174"/>
      <c r="O949" s="174"/>
      <c r="P949" s="174"/>
      <c r="Q949" s="174"/>
      <c r="R949" s="174"/>
      <c r="S949" s="174"/>
      <c r="T949" s="174"/>
      <c r="U949" s="174"/>
      <c r="V949" s="174"/>
      <c r="W949" s="174"/>
      <c r="X949" s="174"/>
      <c r="Y949" s="174"/>
      <c r="Z949" s="174"/>
      <c r="AA949" s="174"/>
    </row>
    <row r="950">
      <c r="A950" s="174"/>
      <c r="B950" s="174"/>
      <c r="C950" s="174"/>
      <c r="D950" s="174"/>
      <c r="E950" s="174"/>
      <c r="F950" s="175"/>
      <c r="G950" s="175"/>
      <c r="H950" s="174"/>
      <c r="I950" s="174"/>
      <c r="J950" s="174"/>
      <c r="K950" s="174"/>
      <c r="L950" s="174"/>
      <c r="M950" s="174"/>
      <c r="N950" s="174"/>
      <c r="O950" s="174"/>
      <c r="P950" s="174"/>
      <c r="Q950" s="174"/>
      <c r="R950" s="174"/>
      <c r="S950" s="174"/>
      <c r="T950" s="174"/>
      <c r="U950" s="174"/>
      <c r="V950" s="174"/>
      <c r="W950" s="174"/>
      <c r="X950" s="174"/>
      <c r="Y950" s="174"/>
      <c r="Z950" s="174"/>
      <c r="AA950" s="174"/>
    </row>
    <row r="951">
      <c r="A951" s="174"/>
      <c r="B951" s="174"/>
      <c r="C951" s="174"/>
      <c r="D951" s="174"/>
      <c r="E951" s="174"/>
      <c r="F951" s="175"/>
      <c r="G951" s="175"/>
      <c r="H951" s="174"/>
      <c r="I951" s="174"/>
      <c r="J951" s="174"/>
      <c r="K951" s="174"/>
      <c r="L951" s="174"/>
      <c r="M951" s="174"/>
      <c r="N951" s="174"/>
      <c r="O951" s="174"/>
      <c r="P951" s="174"/>
      <c r="Q951" s="174"/>
      <c r="R951" s="174"/>
      <c r="S951" s="174"/>
      <c r="T951" s="174"/>
      <c r="U951" s="174"/>
      <c r="V951" s="174"/>
      <c r="W951" s="174"/>
      <c r="X951" s="174"/>
      <c r="Y951" s="174"/>
      <c r="Z951" s="174"/>
      <c r="AA951" s="174"/>
    </row>
    <row r="952">
      <c r="A952" s="174"/>
      <c r="B952" s="174"/>
      <c r="C952" s="174"/>
      <c r="D952" s="174"/>
      <c r="E952" s="174"/>
      <c r="F952" s="175"/>
      <c r="G952" s="175"/>
      <c r="H952" s="174"/>
      <c r="I952" s="174"/>
      <c r="J952" s="174"/>
      <c r="K952" s="174"/>
      <c r="L952" s="174"/>
      <c r="M952" s="174"/>
      <c r="N952" s="174"/>
      <c r="O952" s="174"/>
      <c r="P952" s="174"/>
      <c r="Q952" s="174"/>
      <c r="R952" s="174"/>
      <c r="S952" s="174"/>
      <c r="T952" s="174"/>
      <c r="U952" s="174"/>
      <c r="V952" s="174"/>
      <c r="W952" s="174"/>
      <c r="X952" s="174"/>
      <c r="Y952" s="174"/>
      <c r="Z952" s="174"/>
      <c r="AA952" s="174"/>
    </row>
    <row r="953">
      <c r="A953" s="174"/>
      <c r="B953" s="174"/>
      <c r="C953" s="174"/>
      <c r="D953" s="174"/>
      <c r="E953" s="174"/>
      <c r="F953" s="175"/>
      <c r="G953" s="175"/>
      <c r="H953" s="174"/>
      <c r="I953" s="174"/>
      <c r="J953" s="174"/>
      <c r="K953" s="174"/>
      <c r="L953" s="174"/>
      <c r="M953" s="174"/>
      <c r="N953" s="174"/>
      <c r="O953" s="174"/>
      <c r="P953" s="174"/>
      <c r="Q953" s="174"/>
      <c r="R953" s="174"/>
      <c r="S953" s="174"/>
      <c r="T953" s="174"/>
      <c r="U953" s="174"/>
      <c r="V953" s="174"/>
      <c r="W953" s="174"/>
      <c r="X953" s="174"/>
      <c r="Y953" s="174"/>
      <c r="Z953" s="174"/>
      <c r="AA953" s="174"/>
    </row>
    <row r="954">
      <c r="A954" s="174"/>
      <c r="B954" s="174"/>
      <c r="C954" s="174"/>
      <c r="D954" s="174"/>
      <c r="E954" s="174"/>
      <c r="F954" s="175"/>
      <c r="G954" s="175"/>
      <c r="H954" s="174"/>
      <c r="I954" s="174"/>
      <c r="J954" s="174"/>
      <c r="K954" s="174"/>
      <c r="L954" s="174"/>
      <c r="M954" s="174"/>
      <c r="N954" s="174"/>
      <c r="O954" s="174"/>
      <c r="P954" s="174"/>
      <c r="Q954" s="174"/>
      <c r="R954" s="174"/>
      <c r="S954" s="174"/>
      <c r="T954" s="174"/>
      <c r="U954" s="174"/>
      <c r="V954" s="174"/>
      <c r="W954" s="174"/>
      <c r="X954" s="174"/>
      <c r="Y954" s="174"/>
      <c r="Z954" s="174"/>
      <c r="AA954" s="174"/>
    </row>
    <row r="955">
      <c r="A955" s="174"/>
      <c r="B955" s="174"/>
      <c r="C955" s="174"/>
      <c r="D955" s="174"/>
      <c r="E955" s="174"/>
      <c r="F955" s="175"/>
      <c r="G955" s="175"/>
      <c r="H955" s="174"/>
      <c r="I955" s="174"/>
      <c r="J955" s="174"/>
      <c r="K955" s="174"/>
      <c r="L955" s="174"/>
      <c r="M955" s="174"/>
      <c r="N955" s="174"/>
      <c r="O955" s="174"/>
      <c r="P955" s="174"/>
      <c r="Q955" s="174"/>
      <c r="R955" s="174"/>
      <c r="S955" s="174"/>
      <c r="T955" s="174"/>
      <c r="U955" s="174"/>
      <c r="V955" s="174"/>
      <c r="W955" s="174"/>
      <c r="X955" s="174"/>
      <c r="Y955" s="174"/>
      <c r="Z955" s="174"/>
      <c r="AA955" s="174"/>
    </row>
    <row r="956">
      <c r="A956" s="174"/>
      <c r="B956" s="174"/>
      <c r="C956" s="174"/>
      <c r="D956" s="174"/>
      <c r="E956" s="174"/>
      <c r="F956" s="175"/>
      <c r="G956" s="175"/>
      <c r="H956" s="174"/>
      <c r="I956" s="174"/>
      <c r="J956" s="174"/>
      <c r="K956" s="174"/>
      <c r="L956" s="174"/>
      <c r="M956" s="174"/>
      <c r="N956" s="174"/>
      <c r="O956" s="174"/>
      <c r="P956" s="174"/>
      <c r="Q956" s="174"/>
      <c r="R956" s="174"/>
      <c r="S956" s="174"/>
      <c r="T956" s="174"/>
      <c r="U956" s="174"/>
      <c r="V956" s="174"/>
      <c r="W956" s="174"/>
      <c r="X956" s="174"/>
      <c r="Y956" s="174"/>
      <c r="Z956" s="174"/>
      <c r="AA956" s="174"/>
    </row>
    <row r="957">
      <c r="A957" s="174"/>
      <c r="B957" s="174"/>
      <c r="C957" s="174"/>
      <c r="D957" s="174"/>
      <c r="E957" s="174"/>
      <c r="F957" s="175"/>
      <c r="G957" s="175"/>
      <c r="H957" s="174"/>
      <c r="I957" s="174"/>
      <c r="J957" s="174"/>
      <c r="K957" s="174"/>
      <c r="L957" s="174"/>
      <c r="M957" s="174"/>
      <c r="N957" s="174"/>
      <c r="O957" s="174"/>
      <c r="P957" s="174"/>
      <c r="Q957" s="174"/>
      <c r="R957" s="174"/>
      <c r="S957" s="174"/>
      <c r="T957" s="174"/>
      <c r="U957" s="174"/>
      <c r="V957" s="174"/>
      <c r="W957" s="174"/>
      <c r="X957" s="174"/>
      <c r="Y957" s="174"/>
      <c r="Z957" s="174"/>
      <c r="AA957" s="174"/>
    </row>
    <row r="958">
      <c r="A958" s="174"/>
      <c r="B958" s="174"/>
      <c r="C958" s="174"/>
      <c r="D958" s="174"/>
      <c r="E958" s="174"/>
      <c r="F958" s="175"/>
      <c r="G958" s="175"/>
      <c r="H958" s="174"/>
      <c r="I958" s="174"/>
      <c r="J958" s="174"/>
      <c r="K958" s="174"/>
      <c r="L958" s="174"/>
      <c r="M958" s="174"/>
      <c r="N958" s="174"/>
      <c r="O958" s="174"/>
      <c r="P958" s="174"/>
      <c r="Q958" s="174"/>
      <c r="R958" s="174"/>
      <c r="S958" s="174"/>
      <c r="T958" s="174"/>
      <c r="U958" s="174"/>
      <c r="V958" s="174"/>
      <c r="W958" s="174"/>
      <c r="X958" s="174"/>
      <c r="Y958" s="174"/>
      <c r="Z958" s="174"/>
      <c r="AA958" s="174"/>
    </row>
    <row r="959">
      <c r="A959" s="174"/>
      <c r="B959" s="174"/>
      <c r="C959" s="174"/>
      <c r="D959" s="174"/>
      <c r="E959" s="174"/>
      <c r="F959" s="175"/>
      <c r="G959" s="175"/>
      <c r="H959" s="174"/>
      <c r="I959" s="174"/>
      <c r="J959" s="174"/>
      <c r="K959" s="174"/>
      <c r="L959" s="174"/>
      <c r="M959" s="174"/>
      <c r="N959" s="174"/>
      <c r="O959" s="174"/>
      <c r="P959" s="174"/>
      <c r="Q959" s="174"/>
      <c r="R959" s="174"/>
      <c r="S959" s="174"/>
      <c r="T959" s="174"/>
      <c r="U959" s="174"/>
      <c r="V959" s="174"/>
      <c r="W959" s="174"/>
      <c r="X959" s="174"/>
      <c r="Y959" s="174"/>
      <c r="Z959" s="174"/>
      <c r="AA959" s="174"/>
    </row>
    <row r="960">
      <c r="A960" s="174"/>
      <c r="B960" s="174"/>
      <c r="C960" s="174"/>
      <c r="D960" s="174"/>
      <c r="E960" s="174"/>
      <c r="F960" s="175"/>
      <c r="G960" s="175"/>
      <c r="H960" s="174"/>
      <c r="I960" s="174"/>
      <c r="J960" s="174"/>
      <c r="K960" s="174"/>
      <c r="L960" s="174"/>
      <c r="M960" s="174"/>
      <c r="N960" s="174"/>
      <c r="O960" s="174"/>
      <c r="P960" s="174"/>
      <c r="Q960" s="174"/>
      <c r="R960" s="174"/>
      <c r="S960" s="174"/>
      <c r="T960" s="174"/>
      <c r="U960" s="174"/>
      <c r="V960" s="174"/>
      <c r="W960" s="174"/>
      <c r="X960" s="174"/>
      <c r="Y960" s="174"/>
      <c r="Z960" s="174"/>
      <c r="AA960" s="174"/>
    </row>
    <row r="961">
      <c r="A961" s="174"/>
      <c r="B961" s="174"/>
      <c r="C961" s="174"/>
      <c r="D961" s="174"/>
      <c r="E961" s="174"/>
      <c r="F961" s="175"/>
      <c r="G961" s="175"/>
      <c r="H961" s="174"/>
      <c r="I961" s="174"/>
      <c r="J961" s="174"/>
      <c r="K961" s="174"/>
      <c r="L961" s="174"/>
      <c r="M961" s="174"/>
      <c r="N961" s="174"/>
      <c r="O961" s="174"/>
      <c r="P961" s="174"/>
      <c r="Q961" s="174"/>
      <c r="R961" s="174"/>
      <c r="S961" s="174"/>
      <c r="T961" s="174"/>
      <c r="U961" s="174"/>
      <c r="V961" s="174"/>
      <c r="W961" s="174"/>
      <c r="X961" s="174"/>
      <c r="Y961" s="174"/>
      <c r="Z961" s="174"/>
      <c r="AA961" s="174"/>
    </row>
    <row r="962">
      <c r="A962" s="174"/>
      <c r="B962" s="174"/>
      <c r="C962" s="174"/>
      <c r="D962" s="174"/>
      <c r="E962" s="174"/>
      <c r="F962" s="175"/>
      <c r="G962" s="175"/>
      <c r="H962" s="174"/>
      <c r="I962" s="174"/>
      <c r="J962" s="174"/>
      <c r="K962" s="174"/>
      <c r="L962" s="174"/>
      <c r="M962" s="174"/>
      <c r="N962" s="174"/>
      <c r="O962" s="174"/>
      <c r="P962" s="174"/>
      <c r="Q962" s="174"/>
      <c r="R962" s="174"/>
      <c r="S962" s="174"/>
      <c r="T962" s="174"/>
      <c r="U962" s="174"/>
      <c r="V962" s="174"/>
      <c r="W962" s="174"/>
      <c r="X962" s="174"/>
      <c r="Y962" s="174"/>
      <c r="Z962" s="174"/>
      <c r="AA962" s="174"/>
    </row>
    <row r="963">
      <c r="A963" s="174"/>
      <c r="B963" s="174"/>
      <c r="C963" s="174"/>
      <c r="D963" s="174"/>
      <c r="E963" s="174"/>
      <c r="F963" s="175"/>
      <c r="G963" s="175"/>
      <c r="H963" s="174"/>
      <c r="I963" s="174"/>
      <c r="J963" s="174"/>
      <c r="K963" s="174"/>
      <c r="L963" s="174"/>
      <c r="M963" s="174"/>
      <c r="N963" s="174"/>
      <c r="O963" s="174"/>
      <c r="P963" s="174"/>
      <c r="Q963" s="174"/>
      <c r="R963" s="174"/>
      <c r="S963" s="174"/>
      <c r="T963" s="174"/>
      <c r="U963" s="174"/>
      <c r="V963" s="174"/>
      <c r="W963" s="174"/>
      <c r="X963" s="174"/>
      <c r="Y963" s="174"/>
      <c r="Z963" s="174"/>
      <c r="AA963" s="174"/>
    </row>
    <row r="964">
      <c r="A964" s="174"/>
      <c r="B964" s="174"/>
      <c r="C964" s="174"/>
      <c r="D964" s="174"/>
      <c r="E964" s="174"/>
      <c r="F964" s="175"/>
      <c r="G964" s="175"/>
      <c r="H964" s="174"/>
      <c r="I964" s="174"/>
      <c r="J964" s="174"/>
      <c r="K964" s="174"/>
      <c r="L964" s="174"/>
      <c r="M964" s="174"/>
      <c r="N964" s="174"/>
      <c r="O964" s="174"/>
      <c r="P964" s="174"/>
      <c r="Q964" s="174"/>
      <c r="R964" s="174"/>
      <c r="S964" s="174"/>
      <c r="T964" s="174"/>
      <c r="U964" s="174"/>
      <c r="V964" s="174"/>
      <c r="W964" s="174"/>
      <c r="X964" s="174"/>
      <c r="Y964" s="174"/>
      <c r="Z964" s="174"/>
      <c r="AA964" s="174"/>
    </row>
    <row r="965">
      <c r="A965" s="174"/>
      <c r="B965" s="174"/>
      <c r="C965" s="174"/>
      <c r="D965" s="174"/>
      <c r="E965" s="174"/>
      <c r="F965" s="175"/>
      <c r="G965" s="175"/>
      <c r="H965" s="174"/>
      <c r="I965" s="174"/>
      <c r="J965" s="174"/>
      <c r="K965" s="174"/>
      <c r="L965" s="174"/>
      <c r="M965" s="174"/>
      <c r="N965" s="174"/>
      <c r="O965" s="174"/>
      <c r="P965" s="174"/>
      <c r="Q965" s="174"/>
      <c r="R965" s="174"/>
      <c r="S965" s="174"/>
      <c r="T965" s="174"/>
      <c r="U965" s="174"/>
      <c r="V965" s="174"/>
      <c r="W965" s="174"/>
      <c r="X965" s="174"/>
      <c r="Y965" s="174"/>
      <c r="Z965" s="174"/>
      <c r="AA965" s="174"/>
    </row>
    <row r="966">
      <c r="A966" s="174"/>
      <c r="B966" s="174"/>
      <c r="C966" s="174"/>
      <c r="D966" s="174"/>
      <c r="E966" s="174"/>
      <c r="F966" s="175"/>
      <c r="G966" s="175"/>
      <c r="H966" s="174"/>
      <c r="I966" s="174"/>
      <c r="J966" s="174"/>
      <c r="K966" s="174"/>
      <c r="L966" s="174"/>
      <c r="M966" s="174"/>
      <c r="N966" s="174"/>
      <c r="O966" s="174"/>
      <c r="P966" s="174"/>
      <c r="Q966" s="174"/>
      <c r="R966" s="174"/>
      <c r="S966" s="174"/>
      <c r="T966" s="174"/>
      <c r="U966" s="174"/>
      <c r="V966" s="174"/>
      <c r="W966" s="174"/>
      <c r="X966" s="174"/>
      <c r="Y966" s="174"/>
      <c r="Z966" s="174"/>
      <c r="AA966" s="174"/>
    </row>
    <row r="967">
      <c r="A967" s="174"/>
      <c r="B967" s="174"/>
      <c r="C967" s="174"/>
      <c r="D967" s="174"/>
      <c r="E967" s="174"/>
      <c r="F967" s="175"/>
      <c r="G967" s="175"/>
      <c r="H967" s="174"/>
      <c r="I967" s="174"/>
      <c r="J967" s="174"/>
      <c r="K967" s="174"/>
      <c r="L967" s="174"/>
      <c r="M967" s="174"/>
      <c r="N967" s="174"/>
      <c r="O967" s="174"/>
      <c r="P967" s="174"/>
      <c r="Q967" s="174"/>
      <c r="R967" s="174"/>
      <c r="S967" s="174"/>
      <c r="T967" s="174"/>
      <c r="U967" s="174"/>
      <c r="V967" s="174"/>
      <c r="W967" s="174"/>
      <c r="X967" s="174"/>
      <c r="Y967" s="174"/>
      <c r="Z967" s="174"/>
      <c r="AA967" s="174"/>
    </row>
    <row r="968">
      <c r="A968" s="174"/>
      <c r="B968" s="174"/>
      <c r="C968" s="174"/>
      <c r="D968" s="174"/>
      <c r="E968" s="174"/>
      <c r="F968" s="175"/>
      <c r="G968" s="175"/>
      <c r="H968" s="174"/>
      <c r="I968" s="174"/>
      <c r="J968" s="174"/>
      <c r="K968" s="174"/>
      <c r="L968" s="174"/>
      <c r="M968" s="174"/>
      <c r="N968" s="174"/>
      <c r="O968" s="174"/>
      <c r="P968" s="174"/>
      <c r="Q968" s="174"/>
      <c r="R968" s="174"/>
      <c r="S968" s="174"/>
      <c r="T968" s="174"/>
      <c r="U968" s="174"/>
      <c r="V968" s="174"/>
      <c r="W968" s="174"/>
      <c r="X968" s="174"/>
      <c r="Y968" s="174"/>
      <c r="Z968" s="174"/>
      <c r="AA968" s="174"/>
    </row>
    <row r="969">
      <c r="A969" s="174"/>
      <c r="B969" s="174"/>
      <c r="C969" s="174"/>
      <c r="D969" s="174"/>
      <c r="E969" s="174"/>
      <c r="F969" s="175"/>
      <c r="G969" s="175"/>
      <c r="H969" s="174"/>
      <c r="I969" s="174"/>
      <c r="J969" s="174"/>
      <c r="K969" s="174"/>
      <c r="L969" s="174"/>
      <c r="M969" s="174"/>
      <c r="N969" s="174"/>
      <c r="O969" s="174"/>
      <c r="P969" s="174"/>
      <c r="Q969" s="174"/>
      <c r="R969" s="174"/>
      <c r="S969" s="174"/>
      <c r="T969" s="174"/>
      <c r="U969" s="174"/>
      <c r="V969" s="174"/>
      <c r="W969" s="174"/>
      <c r="X969" s="174"/>
      <c r="Y969" s="174"/>
      <c r="Z969" s="174"/>
      <c r="AA969" s="174"/>
    </row>
    <row r="970">
      <c r="A970" s="174"/>
      <c r="B970" s="174"/>
      <c r="C970" s="174"/>
      <c r="D970" s="174"/>
      <c r="E970" s="174"/>
      <c r="F970" s="175"/>
      <c r="G970" s="175"/>
      <c r="H970" s="174"/>
      <c r="I970" s="174"/>
      <c r="J970" s="174"/>
      <c r="K970" s="174"/>
      <c r="L970" s="174"/>
      <c r="M970" s="174"/>
      <c r="N970" s="174"/>
      <c r="O970" s="174"/>
      <c r="P970" s="174"/>
      <c r="Q970" s="174"/>
      <c r="R970" s="174"/>
      <c r="S970" s="174"/>
      <c r="T970" s="174"/>
      <c r="U970" s="174"/>
      <c r="V970" s="174"/>
      <c r="W970" s="174"/>
      <c r="X970" s="174"/>
      <c r="Y970" s="174"/>
      <c r="Z970" s="174"/>
      <c r="AA970" s="174"/>
    </row>
    <row r="971">
      <c r="A971" s="174"/>
      <c r="B971" s="174"/>
      <c r="C971" s="174"/>
      <c r="D971" s="174"/>
      <c r="E971" s="174"/>
      <c r="F971" s="175"/>
      <c r="G971" s="175"/>
      <c r="H971" s="174"/>
      <c r="I971" s="174"/>
      <c r="J971" s="174"/>
      <c r="K971" s="174"/>
      <c r="L971" s="174"/>
      <c r="M971" s="174"/>
      <c r="N971" s="174"/>
      <c r="O971" s="174"/>
      <c r="P971" s="174"/>
      <c r="Q971" s="174"/>
      <c r="R971" s="174"/>
      <c r="S971" s="174"/>
      <c r="T971" s="174"/>
      <c r="U971" s="174"/>
      <c r="V971" s="174"/>
      <c r="W971" s="174"/>
      <c r="X971" s="174"/>
      <c r="Y971" s="174"/>
      <c r="Z971" s="174"/>
      <c r="AA971" s="174"/>
    </row>
    <row r="972">
      <c r="A972" s="174"/>
      <c r="B972" s="174"/>
      <c r="C972" s="174"/>
      <c r="D972" s="174"/>
      <c r="E972" s="174"/>
      <c r="F972" s="175"/>
      <c r="G972" s="175"/>
      <c r="H972" s="174"/>
      <c r="I972" s="174"/>
      <c r="J972" s="174"/>
      <c r="K972" s="174"/>
      <c r="L972" s="174"/>
      <c r="M972" s="174"/>
      <c r="N972" s="174"/>
      <c r="O972" s="174"/>
      <c r="P972" s="174"/>
      <c r="Q972" s="174"/>
      <c r="R972" s="174"/>
      <c r="S972" s="174"/>
      <c r="T972" s="174"/>
      <c r="U972" s="174"/>
      <c r="V972" s="174"/>
      <c r="W972" s="174"/>
      <c r="X972" s="174"/>
      <c r="Y972" s="174"/>
      <c r="Z972" s="174"/>
      <c r="AA972" s="174"/>
    </row>
    <row r="973">
      <c r="A973" s="174"/>
      <c r="B973" s="174"/>
      <c r="C973" s="174"/>
      <c r="D973" s="174"/>
      <c r="E973" s="174"/>
      <c r="F973" s="175"/>
      <c r="G973" s="175"/>
      <c r="H973" s="174"/>
      <c r="I973" s="174"/>
      <c r="J973" s="174"/>
      <c r="K973" s="174"/>
      <c r="L973" s="174"/>
      <c r="M973" s="174"/>
      <c r="N973" s="174"/>
      <c r="O973" s="174"/>
      <c r="P973" s="174"/>
      <c r="Q973" s="174"/>
      <c r="R973" s="174"/>
      <c r="S973" s="174"/>
      <c r="T973" s="174"/>
      <c r="U973" s="174"/>
      <c r="V973" s="174"/>
      <c r="W973" s="174"/>
      <c r="X973" s="174"/>
      <c r="Y973" s="174"/>
      <c r="Z973" s="174"/>
      <c r="AA973" s="174"/>
    </row>
    <row r="974">
      <c r="A974" s="174"/>
      <c r="B974" s="174"/>
      <c r="C974" s="174"/>
      <c r="D974" s="174"/>
      <c r="E974" s="174"/>
      <c r="F974" s="175"/>
      <c r="G974" s="175"/>
      <c r="H974" s="174"/>
      <c r="I974" s="174"/>
      <c r="J974" s="174"/>
      <c r="K974" s="174"/>
      <c r="L974" s="174"/>
      <c r="M974" s="174"/>
      <c r="N974" s="174"/>
      <c r="O974" s="174"/>
      <c r="P974" s="174"/>
      <c r="Q974" s="174"/>
      <c r="R974" s="174"/>
      <c r="S974" s="174"/>
      <c r="T974" s="174"/>
      <c r="U974" s="174"/>
      <c r="V974" s="174"/>
      <c r="W974" s="174"/>
      <c r="X974" s="174"/>
      <c r="Y974" s="174"/>
      <c r="Z974" s="174"/>
      <c r="AA974" s="174"/>
    </row>
    <row r="975">
      <c r="A975" s="174"/>
      <c r="B975" s="174"/>
      <c r="C975" s="174"/>
      <c r="D975" s="174"/>
      <c r="E975" s="174"/>
      <c r="F975" s="175"/>
      <c r="G975" s="175"/>
      <c r="H975" s="174"/>
      <c r="I975" s="174"/>
      <c r="J975" s="174"/>
      <c r="K975" s="174"/>
      <c r="L975" s="174"/>
      <c r="M975" s="174"/>
      <c r="N975" s="174"/>
      <c r="O975" s="174"/>
      <c r="P975" s="174"/>
      <c r="Q975" s="174"/>
      <c r="R975" s="174"/>
      <c r="S975" s="174"/>
      <c r="T975" s="174"/>
      <c r="U975" s="174"/>
      <c r="V975" s="174"/>
      <c r="W975" s="174"/>
      <c r="X975" s="174"/>
      <c r="Y975" s="174"/>
      <c r="Z975" s="174"/>
      <c r="AA975" s="174"/>
    </row>
    <row r="976">
      <c r="A976" s="174"/>
      <c r="B976" s="174"/>
      <c r="C976" s="174"/>
      <c r="D976" s="174"/>
      <c r="E976" s="174"/>
      <c r="F976" s="175"/>
      <c r="G976" s="175"/>
      <c r="H976" s="174"/>
      <c r="I976" s="174"/>
      <c r="J976" s="174"/>
      <c r="K976" s="174"/>
      <c r="L976" s="174"/>
      <c r="M976" s="174"/>
      <c r="N976" s="174"/>
      <c r="O976" s="174"/>
      <c r="P976" s="174"/>
      <c r="Q976" s="174"/>
      <c r="R976" s="174"/>
      <c r="S976" s="174"/>
      <c r="T976" s="174"/>
      <c r="U976" s="174"/>
      <c r="V976" s="174"/>
      <c r="W976" s="174"/>
      <c r="X976" s="174"/>
      <c r="Y976" s="174"/>
      <c r="Z976" s="174"/>
      <c r="AA976" s="174"/>
    </row>
    <row r="977">
      <c r="A977" s="174"/>
      <c r="B977" s="174"/>
      <c r="C977" s="174"/>
      <c r="D977" s="174"/>
      <c r="E977" s="174"/>
      <c r="F977" s="175"/>
      <c r="G977" s="175"/>
      <c r="H977" s="174"/>
      <c r="I977" s="174"/>
      <c r="J977" s="174"/>
      <c r="K977" s="174"/>
      <c r="L977" s="174"/>
      <c r="M977" s="174"/>
      <c r="N977" s="174"/>
      <c r="O977" s="174"/>
      <c r="P977" s="174"/>
      <c r="Q977" s="174"/>
      <c r="R977" s="174"/>
      <c r="S977" s="174"/>
      <c r="T977" s="174"/>
      <c r="U977" s="174"/>
      <c r="V977" s="174"/>
      <c r="W977" s="174"/>
      <c r="X977" s="174"/>
      <c r="Y977" s="174"/>
      <c r="Z977" s="174"/>
      <c r="AA977" s="174"/>
    </row>
    <row r="978">
      <c r="A978" s="174"/>
      <c r="B978" s="174"/>
      <c r="C978" s="174"/>
      <c r="D978" s="174"/>
      <c r="E978" s="174"/>
      <c r="F978" s="175"/>
      <c r="G978" s="175"/>
      <c r="H978" s="174"/>
      <c r="I978" s="174"/>
      <c r="J978" s="174"/>
      <c r="K978" s="174"/>
      <c r="L978" s="174"/>
      <c r="M978" s="174"/>
      <c r="N978" s="174"/>
      <c r="O978" s="174"/>
      <c r="P978" s="174"/>
      <c r="Q978" s="174"/>
      <c r="R978" s="174"/>
      <c r="S978" s="174"/>
      <c r="T978" s="174"/>
      <c r="U978" s="174"/>
      <c r="V978" s="174"/>
      <c r="W978" s="174"/>
      <c r="X978" s="174"/>
      <c r="Y978" s="174"/>
      <c r="Z978" s="174"/>
      <c r="AA978" s="174"/>
    </row>
    <row r="979">
      <c r="A979" s="174"/>
      <c r="B979" s="174"/>
      <c r="C979" s="174"/>
      <c r="D979" s="174"/>
      <c r="E979" s="174"/>
      <c r="F979" s="175"/>
      <c r="G979" s="175"/>
      <c r="H979" s="174"/>
      <c r="I979" s="174"/>
      <c r="J979" s="174"/>
      <c r="K979" s="174"/>
      <c r="L979" s="174"/>
      <c r="M979" s="174"/>
      <c r="N979" s="174"/>
      <c r="O979" s="174"/>
      <c r="P979" s="174"/>
      <c r="Q979" s="174"/>
      <c r="R979" s="174"/>
      <c r="S979" s="174"/>
      <c r="T979" s="174"/>
      <c r="U979" s="174"/>
      <c r="V979" s="174"/>
      <c r="W979" s="174"/>
      <c r="X979" s="174"/>
      <c r="Y979" s="174"/>
      <c r="Z979" s="174"/>
      <c r="AA979" s="174"/>
    </row>
    <row r="980">
      <c r="A980" s="174"/>
      <c r="B980" s="174"/>
      <c r="C980" s="174"/>
      <c r="D980" s="174"/>
      <c r="E980" s="174"/>
      <c r="F980" s="175"/>
      <c r="G980" s="175"/>
      <c r="H980" s="174"/>
      <c r="I980" s="174"/>
      <c r="J980" s="174"/>
      <c r="K980" s="174"/>
      <c r="L980" s="174"/>
      <c r="M980" s="174"/>
      <c r="N980" s="174"/>
      <c r="O980" s="174"/>
      <c r="P980" s="174"/>
      <c r="Q980" s="174"/>
      <c r="R980" s="174"/>
      <c r="S980" s="174"/>
      <c r="T980" s="174"/>
      <c r="U980" s="174"/>
      <c r="V980" s="174"/>
      <c r="W980" s="174"/>
      <c r="X980" s="174"/>
      <c r="Y980" s="174"/>
      <c r="Z980" s="174"/>
      <c r="AA980" s="174"/>
    </row>
    <row r="981">
      <c r="A981" s="174"/>
      <c r="B981" s="174"/>
      <c r="C981" s="174"/>
      <c r="D981" s="174"/>
      <c r="E981" s="174"/>
      <c r="F981" s="175"/>
      <c r="G981" s="175"/>
      <c r="H981" s="174"/>
      <c r="I981" s="174"/>
      <c r="J981" s="174"/>
      <c r="K981" s="174"/>
      <c r="L981" s="174"/>
      <c r="M981" s="174"/>
      <c r="N981" s="174"/>
      <c r="O981" s="174"/>
      <c r="P981" s="174"/>
      <c r="Q981" s="174"/>
      <c r="R981" s="174"/>
      <c r="S981" s="174"/>
      <c r="T981" s="174"/>
      <c r="U981" s="174"/>
      <c r="V981" s="174"/>
      <c r="W981" s="174"/>
      <c r="X981" s="174"/>
      <c r="Y981" s="174"/>
      <c r="Z981" s="174"/>
      <c r="AA981" s="174"/>
    </row>
    <row r="982">
      <c r="A982" s="174"/>
      <c r="B982" s="174"/>
      <c r="C982" s="174"/>
      <c r="D982" s="174"/>
      <c r="E982" s="174"/>
      <c r="F982" s="175"/>
      <c r="G982" s="175"/>
      <c r="H982" s="174"/>
      <c r="I982" s="174"/>
      <c r="J982" s="174"/>
      <c r="K982" s="174"/>
      <c r="L982" s="174"/>
      <c r="M982" s="174"/>
      <c r="N982" s="174"/>
      <c r="O982" s="174"/>
      <c r="P982" s="174"/>
      <c r="Q982" s="174"/>
      <c r="R982" s="174"/>
      <c r="S982" s="174"/>
      <c r="T982" s="174"/>
      <c r="U982" s="174"/>
      <c r="V982" s="174"/>
      <c r="W982" s="174"/>
      <c r="X982" s="174"/>
      <c r="Y982" s="174"/>
      <c r="Z982" s="174"/>
      <c r="AA982" s="174"/>
    </row>
    <row r="983">
      <c r="A983" s="174"/>
      <c r="B983" s="174"/>
      <c r="C983" s="174"/>
      <c r="D983" s="174"/>
      <c r="E983" s="174"/>
      <c r="F983" s="175"/>
      <c r="G983" s="175"/>
      <c r="H983" s="174"/>
      <c r="I983" s="174"/>
      <c r="J983" s="174"/>
      <c r="K983" s="174"/>
      <c r="L983" s="174"/>
      <c r="M983" s="174"/>
      <c r="N983" s="174"/>
      <c r="O983" s="174"/>
      <c r="P983" s="174"/>
      <c r="Q983" s="174"/>
      <c r="R983" s="174"/>
      <c r="S983" s="174"/>
      <c r="T983" s="174"/>
      <c r="U983" s="174"/>
      <c r="V983" s="174"/>
      <c r="W983" s="174"/>
      <c r="X983" s="174"/>
      <c r="Y983" s="174"/>
      <c r="Z983" s="174"/>
      <c r="AA983" s="174"/>
    </row>
    <row r="984">
      <c r="A984" s="174"/>
      <c r="B984" s="174"/>
      <c r="C984" s="174"/>
      <c r="D984" s="174"/>
      <c r="E984" s="174"/>
      <c r="F984" s="175"/>
      <c r="G984" s="175"/>
      <c r="H984" s="174"/>
      <c r="I984" s="174"/>
      <c r="J984" s="174"/>
      <c r="K984" s="174"/>
      <c r="L984" s="174"/>
      <c r="M984" s="174"/>
      <c r="N984" s="174"/>
      <c r="O984" s="174"/>
      <c r="P984" s="174"/>
      <c r="Q984" s="174"/>
      <c r="R984" s="174"/>
      <c r="S984" s="174"/>
      <c r="T984" s="174"/>
      <c r="U984" s="174"/>
      <c r="V984" s="174"/>
      <c r="W984" s="174"/>
      <c r="X984" s="174"/>
      <c r="Y984" s="174"/>
      <c r="Z984" s="174"/>
      <c r="AA984" s="174"/>
    </row>
    <row r="985">
      <c r="A985" s="174"/>
      <c r="B985" s="174"/>
      <c r="C985" s="174"/>
      <c r="D985" s="174"/>
      <c r="E985" s="174"/>
      <c r="F985" s="175"/>
      <c r="G985" s="175"/>
      <c r="H985" s="174"/>
      <c r="I985" s="174"/>
      <c r="J985" s="174"/>
      <c r="K985" s="174"/>
      <c r="L985" s="174"/>
      <c r="M985" s="174"/>
      <c r="N985" s="174"/>
      <c r="O985" s="174"/>
      <c r="P985" s="174"/>
      <c r="Q985" s="174"/>
      <c r="R985" s="174"/>
      <c r="S985" s="174"/>
      <c r="T985" s="174"/>
      <c r="U985" s="174"/>
      <c r="V985" s="174"/>
      <c r="W985" s="174"/>
      <c r="X985" s="174"/>
      <c r="Y985" s="174"/>
      <c r="Z985" s="174"/>
      <c r="AA985" s="174"/>
    </row>
    <row r="986">
      <c r="A986" s="174"/>
      <c r="B986" s="174"/>
      <c r="C986" s="174"/>
      <c r="D986" s="174"/>
      <c r="E986" s="174"/>
      <c r="F986" s="175"/>
      <c r="G986" s="175"/>
      <c r="H986" s="174"/>
      <c r="I986" s="174"/>
      <c r="J986" s="174"/>
      <c r="K986" s="174"/>
      <c r="L986" s="174"/>
      <c r="M986" s="174"/>
      <c r="N986" s="174"/>
      <c r="O986" s="174"/>
      <c r="P986" s="174"/>
      <c r="Q986" s="174"/>
      <c r="R986" s="174"/>
      <c r="S986" s="174"/>
      <c r="T986" s="174"/>
      <c r="U986" s="174"/>
      <c r="V986" s="174"/>
      <c r="W986" s="174"/>
      <c r="X986" s="174"/>
      <c r="Y986" s="174"/>
      <c r="Z986" s="174"/>
      <c r="AA986" s="174"/>
    </row>
    <row r="987">
      <c r="A987" s="174"/>
      <c r="B987" s="174"/>
      <c r="C987" s="174"/>
      <c r="D987" s="174"/>
      <c r="E987" s="174"/>
      <c r="F987" s="175"/>
      <c r="G987" s="175"/>
      <c r="H987" s="174"/>
      <c r="I987" s="174"/>
      <c r="J987" s="174"/>
      <c r="K987" s="174"/>
      <c r="L987" s="174"/>
      <c r="M987" s="174"/>
      <c r="N987" s="174"/>
      <c r="O987" s="174"/>
      <c r="P987" s="174"/>
      <c r="Q987" s="174"/>
      <c r="R987" s="174"/>
      <c r="S987" s="174"/>
      <c r="T987" s="174"/>
      <c r="U987" s="174"/>
      <c r="V987" s="174"/>
      <c r="W987" s="174"/>
      <c r="X987" s="174"/>
      <c r="Y987" s="174"/>
      <c r="Z987" s="174"/>
      <c r="AA987" s="174"/>
    </row>
    <row r="988">
      <c r="A988" s="174"/>
      <c r="B988" s="174"/>
      <c r="C988" s="174"/>
      <c r="D988" s="174"/>
      <c r="E988" s="174"/>
      <c r="F988" s="175"/>
      <c r="G988" s="175"/>
      <c r="H988" s="174"/>
      <c r="I988" s="174"/>
      <c r="J988" s="174"/>
      <c r="K988" s="174"/>
      <c r="L988" s="174"/>
      <c r="M988" s="174"/>
      <c r="N988" s="174"/>
      <c r="O988" s="174"/>
      <c r="P988" s="174"/>
      <c r="Q988" s="174"/>
      <c r="R988" s="174"/>
      <c r="S988" s="174"/>
      <c r="T988" s="174"/>
      <c r="U988" s="174"/>
      <c r="V988" s="174"/>
      <c r="W988" s="174"/>
      <c r="X988" s="174"/>
      <c r="Y988" s="174"/>
      <c r="Z988" s="174"/>
      <c r="AA988" s="174"/>
    </row>
    <row r="989">
      <c r="A989" s="174"/>
      <c r="B989" s="174"/>
      <c r="C989" s="174"/>
      <c r="D989" s="174"/>
      <c r="E989" s="174"/>
      <c r="F989" s="175"/>
      <c r="G989" s="175"/>
      <c r="H989" s="174"/>
      <c r="I989" s="174"/>
      <c r="J989" s="174"/>
      <c r="K989" s="174"/>
      <c r="L989" s="174"/>
      <c r="M989" s="174"/>
      <c r="N989" s="174"/>
      <c r="O989" s="174"/>
      <c r="P989" s="174"/>
      <c r="Q989" s="174"/>
      <c r="R989" s="174"/>
      <c r="S989" s="174"/>
      <c r="T989" s="174"/>
      <c r="U989" s="174"/>
      <c r="V989" s="174"/>
      <c r="W989" s="174"/>
      <c r="X989" s="174"/>
      <c r="Y989" s="174"/>
      <c r="Z989" s="174"/>
      <c r="AA989" s="174"/>
    </row>
    <row r="990">
      <c r="A990" s="174"/>
      <c r="B990" s="174"/>
      <c r="C990" s="174"/>
      <c r="D990" s="174"/>
      <c r="E990" s="174"/>
      <c r="F990" s="175"/>
      <c r="G990" s="175"/>
      <c r="H990" s="174"/>
      <c r="I990" s="174"/>
      <c r="J990" s="174"/>
      <c r="K990" s="174"/>
      <c r="L990" s="174"/>
      <c r="M990" s="174"/>
      <c r="N990" s="174"/>
      <c r="O990" s="174"/>
      <c r="P990" s="174"/>
      <c r="Q990" s="174"/>
      <c r="R990" s="174"/>
      <c r="S990" s="174"/>
      <c r="T990" s="174"/>
      <c r="U990" s="174"/>
      <c r="V990" s="174"/>
      <c r="W990" s="174"/>
      <c r="X990" s="174"/>
      <c r="Y990" s="174"/>
      <c r="Z990" s="174"/>
      <c r="AA990" s="174"/>
    </row>
    <row r="991">
      <c r="A991" s="174"/>
      <c r="B991" s="174"/>
      <c r="C991" s="174"/>
      <c r="D991" s="174"/>
      <c r="E991" s="174"/>
      <c r="F991" s="175"/>
      <c r="G991" s="175"/>
      <c r="H991" s="174"/>
      <c r="I991" s="174"/>
      <c r="J991" s="174"/>
      <c r="K991" s="174"/>
      <c r="L991" s="174"/>
      <c r="M991" s="174"/>
      <c r="N991" s="174"/>
      <c r="O991" s="174"/>
      <c r="P991" s="174"/>
      <c r="Q991" s="174"/>
      <c r="R991" s="174"/>
      <c r="S991" s="174"/>
      <c r="T991" s="174"/>
      <c r="U991" s="174"/>
      <c r="V991" s="174"/>
      <c r="W991" s="174"/>
      <c r="X991" s="174"/>
      <c r="Y991" s="174"/>
      <c r="Z991" s="174"/>
      <c r="AA991" s="174"/>
    </row>
    <row r="992">
      <c r="A992" s="174"/>
      <c r="B992" s="174"/>
      <c r="C992" s="174"/>
      <c r="D992" s="174"/>
      <c r="E992" s="174"/>
      <c r="F992" s="175"/>
      <c r="G992" s="175"/>
      <c r="H992" s="174"/>
      <c r="I992" s="174"/>
      <c r="J992" s="174"/>
      <c r="K992" s="174"/>
      <c r="L992" s="174"/>
      <c r="M992" s="174"/>
      <c r="N992" s="174"/>
      <c r="O992" s="174"/>
      <c r="P992" s="174"/>
      <c r="Q992" s="174"/>
      <c r="R992" s="174"/>
      <c r="S992" s="174"/>
      <c r="T992" s="174"/>
      <c r="U992" s="174"/>
      <c r="V992" s="174"/>
      <c r="W992" s="174"/>
      <c r="X992" s="174"/>
      <c r="Y992" s="174"/>
      <c r="Z992" s="174"/>
      <c r="AA992" s="174"/>
    </row>
    <row r="993">
      <c r="A993" s="174"/>
      <c r="B993" s="174"/>
      <c r="C993" s="174"/>
      <c r="D993" s="174"/>
      <c r="E993" s="174"/>
      <c r="F993" s="175"/>
      <c r="G993" s="175"/>
      <c r="H993" s="174"/>
      <c r="I993" s="174"/>
      <c r="J993" s="174"/>
      <c r="K993" s="174"/>
      <c r="L993" s="174"/>
      <c r="M993" s="174"/>
      <c r="N993" s="174"/>
      <c r="O993" s="174"/>
      <c r="P993" s="174"/>
      <c r="Q993" s="174"/>
      <c r="R993" s="174"/>
      <c r="S993" s="174"/>
      <c r="T993" s="174"/>
      <c r="U993" s="174"/>
      <c r="V993" s="174"/>
      <c r="W993" s="174"/>
      <c r="X993" s="174"/>
      <c r="Y993" s="174"/>
      <c r="Z993" s="174"/>
      <c r="AA993" s="174"/>
    </row>
    <row r="994">
      <c r="A994" s="174"/>
      <c r="B994" s="174"/>
      <c r="C994" s="174"/>
      <c r="D994" s="174"/>
      <c r="E994" s="174"/>
      <c r="F994" s="175"/>
      <c r="G994" s="175"/>
      <c r="H994" s="174"/>
      <c r="I994" s="174"/>
      <c r="J994" s="174"/>
      <c r="K994" s="174"/>
      <c r="L994" s="174"/>
      <c r="M994" s="174"/>
      <c r="N994" s="174"/>
      <c r="O994" s="174"/>
      <c r="P994" s="174"/>
      <c r="Q994" s="174"/>
      <c r="R994" s="174"/>
      <c r="S994" s="174"/>
      <c r="T994" s="174"/>
      <c r="U994" s="174"/>
      <c r="V994" s="174"/>
      <c r="W994" s="174"/>
      <c r="X994" s="174"/>
      <c r="Y994" s="174"/>
      <c r="Z994" s="174"/>
      <c r="AA994" s="174"/>
    </row>
    <row r="995">
      <c r="A995" s="174"/>
      <c r="B995" s="174"/>
      <c r="C995" s="174"/>
      <c r="D995" s="174"/>
      <c r="E995" s="174"/>
      <c r="F995" s="175"/>
      <c r="G995" s="175"/>
      <c r="H995" s="174"/>
      <c r="I995" s="174"/>
      <c r="J995" s="174"/>
      <c r="K995" s="174"/>
      <c r="L995" s="174"/>
      <c r="M995" s="174"/>
      <c r="N995" s="174"/>
      <c r="O995" s="174"/>
      <c r="P995" s="174"/>
      <c r="Q995" s="174"/>
      <c r="R995" s="174"/>
      <c r="S995" s="174"/>
      <c r="T995" s="174"/>
      <c r="U995" s="174"/>
      <c r="V995" s="174"/>
      <c r="W995" s="174"/>
      <c r="X995" s="174"/>
      <c r="Y995" s="174"/>
      <c r="Z995" s="174"/>
      <c r="AA995" s="174"/>
    </row>
    <row r="996">
      <c r="A996" s="174"/>
      <c r="B996" s="174"/>
      <c r="C996" s="174"/>
      <c r="D996" s="174"/>
      <c r="E996" s="174"/>
      <c r="F996" s="175"/>
      <c r="G996" s="175"/>
      <c r="H996" s="174"/>
      <c r="I996" s="174"/>
      <c r="J996" s="174"/>
      <c r="K996" s="174"/>
      <c r="L996" s="174"/>
      <c r="M996" s="174"/>
      <c r="N996" s="174"/>
      <c r="O996" s="174"/>
      <c r="P996" s="174"/>
      <c r="Q996" s="174"/>
      <c r="R996" s="174"/>
      <c r="S996" s="174"/>
      <c r="T996" s="174"/>
      <c r="U996" s="174"/>
      <c r="V996" s="174"/>
      <c r="W996" s="174"/>
      <c r="X996" s="174"/>
      <c r="Y996" s="174"/>
      <c r="Z996" s="174"/>
      <c r="AA996" s="174"/>
    </row>
    <row r="997">
      <c r="A997" s="174"/>
      <c r="B997" s="174"/>
      <c r="C997" s="174"/>
      <c r="D997" s="174"/>
      <c r="E997" s="174"/>
      <c r="F997" s="175"/>
      <c r="G997" s="175"/>
      <c r="H997" s="174"/>
      <c r="I997" s="174"/>
      <c r="J997" s="174"/>
      <c r="K997" s="174"/>
      <c r="L997" s="174"/>
      <c r="M997" s="174"/>
      <c r="N997" s="174"/>
      <c r="O997" s="174"/>
      <c r="P997" s="174"/>
      <c r="Q997" s="174"/>
      <c r="R997" s="174"/>
      <c r="S997" s="174"/>
      <c r="T997" s="174"/>
      <c r="U997" s="174"/>
      <c r="V997" s="174"/>
      <c r="W997" s="174"/>
      <c r="X997" s="174"/>
      <c r="Y997" s="174"/>
      <c r="Z997" s="174"/>
      <c r="AA997" s="174"/>
    </row>
    <row r="998">
      <c r="A998" s="174"/>
      <c r="B998" s="174"/>
      <c r="C998" s="174"/>
      <c r="D998" s="174"/>
      <c r="E998" s="174"/>
      <c r="F998" s="175"/>
      <c r="G998" s="175"/>
      <c r="H998" s="174"/>
      <c r="I998" s="174"/>
      <c r="J998" s="174"/>
      <c r="K998" s="174"/>
      <c r="L998" s="174"/>
      <c r="M998" s="174"/>
      <c r="N998" s="174"/>
      <c r="O998" s="174"/>
      <c r="P998" s="174"/>
      <c r="Q998" s="174"/>
      <c r="R998" s="174"/>
      <c r="S998" s="174"/>
      <c r="T998" s="174"/>
      <c r="U998" s="174"/>
      <c r="V998" s="174"/>
      <c r="W998" s="174"/>
      <c r="X998" s="174"/>
      <c r="Y998" s="174"/>
      <c r="Z998" s="174"/>
      <c r="AA998" s="174"/>
    </row>
    <row r="999">
      <c r="A999" s="174"/>
      <c r="B999" s="174"/>
      <c r="C999" s="174"/>
      <c r="D999" s="174"/>
      <c r="E999" s="174"/>
      <c r="F999" s="175"/>
      <c r="G999" s="175"/>
      <c r="H999" s="174"/>
      <c r="I999" s="174"/>
      <c r="J999" s="174"/>
      <c r="K999" s="174"/>
      <c r="L999" s="174"/>
      <c r="M999" s="174"/>
      <c r="N999" s="174"/>
      <c r="O999" s="174"/>
      <c r="P999" s="174"/>
      <c r="Q999" s="174"/>
      <c r="R999" s="174"/>
      <c r="S999" s="174"/>
      <c r="T999" s="174"/>
      <c r="U999" s="174"/>
      <c r="V999" s="174"/>
      <c r="W999" s="174"/>
      <c r="X999" s="174"/>
      <c r="Y999" s="174"/>
      <c r="Z999" s="174"/>
      <c r="AA999" s="174"/>
    </row>
    <row r="1000">
      <c r="A1000" s="174"/>
      <c r="B1000" s="174"/>
      <c r="C1000" s="174"/>
      <c r="D1000" s="174"/>
      <c r="E1000" s="174"/>
      <c r="F1000" s="175"/>
      <c r="G1000" s="175"/>
      <c r="H1000" s="174"/>
      <c r="I1000" s="174"/>
      <c r="J1000" s="174"/>
      <c r="K1000" s="174"/>
      <c r="L1000" s="174"/>
      <c r="M1000" s="174"/>
      <c r="N1000" s="174"/>
      <c r="O1000" s="174"/>
      <c r="P1000" s="174"/>
      <c r="Q1000" s="174"/>
      <c r="R1000" s="174"/>
      <c r="S1000" s="174"/>
      <c r="T1000" s="174"/>
      <c r="U1000" s="174"/>
      <c r="V1000" s="174"/>
      <c r="W1000" s="174"/>
      <c r="X1000" s="174"/>
      <c r="Y1000" s="174"/>
      <c r="Z1000" s="174"/>
      <c r="AA1000" s="174"/>
    </row>
    <row r="1001">
      <c r="A1001" s="174"/>
      <c r="B1001" s="174"/>
      <c r="C1001" s="174"/>
      <c r="D1001" s="174"/>
      <c r="E1001" s="174"/>
      <c r="F1001" s="175"/>
      <c r="G1001" s="175"/>
      <c r="H1001" s="174"/>
      <c r="I1001" s="174"/>
      <c r="J1001" s="174"/>
      <c r="K1001" s="174"/>
      <c r="L1001" s="174"/>
      <c r="M1001" s="174"/>
      <c r="N1001" s="174"/>
      <c r="O1001" s="174"/>
      <c r="P1001" s="174"/>
      <c r="Q1001" s="174"/>
      <c r="R1001" s="174"/>
      <c r="S1001" s="174"/>
      <c r="T1001" s="174"/>
      <c r="U1001" s="174"/>
      <c r="V1001" s="174"/>
      <c r="W1001" s="174"/>
      <c r="X1001" s="174"/>
      <c r="Y1001" s="174"/>
      <c r="Z1001" s="174"/>
      <c r="AA1001" s="174"/>
    </row>
    <row r="1002">
      <c r="A1002" s="174"/>
      <c r="B1002" s="174"/>
      <c r="C1002" s="174"/>
      <c r="D1002" s="174"/>
      <c r="E1002" s="174"/>
      <c r="F1002" s="175"/>
      <c r="G1002" s="175"/>
      <c r="H1002" s="174"/>
      <c r="I1002" s="174"/>
      <c r="J1002" s="174"/>
      <c r="K1002" s="174"/>
      <c r="L1002" s="174"/>
      <c r="M1002" s="174"/>
      <c r="N1002" s="174"/>
      <c r="O1002" s="174"/>
      <c r="P1002" s="174"/>
      <c r="Q1002" s="174"/>
      <c r="R1002" s="174"/>
      <c r="S1002" s="174"/>
      <c r="T1002" s="174"/>
      <c r="U1002" s="174"/>
      <c r="V1002" s="174"/>
      <c r="W1002" s="174"/>
      <c r="X1002" s="174"/>
      <c r="Y1002" s="174"/>
      <c r="Z1002" s="174"/>
      <c r="AA1002" s="174"/>
    </row>
    <row r="1003">
      <c r="A1003" s="174"/>
      <c r="B1003" s="174"/>
      <c r="C1003" s="174"/>
      <c r="D1003" s="174"/>
      <c r="E1003" s="174"/>
      <c r="F1003" s="175"/>
      <c r="G1003" s="175"/>
      <c r="H1003" s="174"/>
      <c r="I1003" s="174"/>
      <c r="J1003" s="174"/>
      <c r="K1003" s="174"/>
      <c r="L1003" s="174"/>
      <c r="M1003" s="174"/>
      <c r="N1003" s="174"/>
      <c r="O1003" s="174"/>
      <c r="P1003" s="174"/>
      <c r="Q1003" s="174"/>
      <c r="R1003" s="174"/>
      <c r="S1003" s="174"/>
      <c r="T1003" s="174"/>
      <c r="U1003" s="174"/>
      <c r="V1003" s="174"/>
      <c r="W1003" s="174"/>
      <c r="X1003" s="174"/>
      <c r="Y1003" s="174"/>
      <c r="Z1003" s="174"/>
      <c r="AA1003" s="174"/>
    </row>
    <row r="1004">
      <c r="A1004" s="174"/>
      <c r="B1004" s="174"/>
      <c r="C1004" s="174"/>
      <c r="D1004" s="174"/>
      <c r="E1004" s="174"/>
      <c r="F1004" s="175"/>
      <c r="G1004" s="175"/>
      <c r="H1004" s="174"/>
      <c r="I1004" s="174"/>
      <c r="J1004" s="174"/>
      <c r="K1004" s="174"/>
      <c r="L1004" s="174"/>
      <c r="M1004" s="174"/>
      <c r="N1004" s="174"/>
      <c r="O1004" s="174"/>
      <c r="P1004" s="174"/>
      <c r="Q1004" s="174"/>
      <c r="R1004" s="174"/>
      <c r="S1004" s="174"/>
      <c r="T1004" s="174"/>
      <c r="U1004" s="174"/>
      <c r="V1004" s="174"/>
      <c r="W1004" s="174"/>
      <c r="X1004" s="174"/>
      <c r="Y1004" s="174"/>
      <c r="Z1004" s="174"/>
      <c r="AA1004" s="174"/>
    </row>
    <row r="1005">
      <c r="A1005" s="174"/>
      <c r="B1005" s="174"/>
      <c r="C1005" s="174"/>
      <c r="D1005" s="174"/>
      <c r="E1005" s="174"/>
      <c r="F1005" s="175"/>
      <c r="G1005" s="175"/>
      <c r="H1005" s="174"/>
      <c r="I1005" s="174"/>
      <c r="J1005" s="174"/>
      <c r="K1005" s="174"/>
      <c r="L1005" s="174"/>
      <c r="M1005" s="174"/>
      <c r="N1005" s="174"/>
      <c r="O1005" s="174"/>
      <c r="P1005" s="174"/>
      <c r="Q1005" s="174"/>
      <c r="R1005" s="174"/>
      <c r="S1005" s="174"/>
      <c r="T1005" s="174"/>
      <c r="U1005" s="174"/>
      <c r="V1005" s="174"/>
      <c r="W1005" s="174"/>
      <c r="X1005" s="174"/>
      <c r="Y1005" s="174"/>
      <c r="Z1005" s="174"/>
      <c r="AA1005" s="174"/>
    </row>
    <row r="1006">
      <c r="A1006" s="174"/>
      <c r="B1006" s="174"/>
      <c r="C1006" s="174"/>
      <c r="D1006" s="174"/>
      <c r="E1006" s="174"/>
      <c r="F1006" s="175"/>
      <c r="G1006" s="175"/>
      <c r="H1006" s="174"/>
      <c r="I1006" s="174"/>
      <c r="J1006" s="174"/>
      <c r="K1006" s="174"/>
      <c r="L1006" s="174"/>
      <c r="M1006" s="174"/>
      <c r="N1006" s="174"/>
      <c r="O1006" s="174"/>
      <c r="P1006" s="174"/>
      <c r="Q1006" s="174"/>
      <c r="R1006" s="174"/>
      <c r="S1006" s="174"/>
      <c r="T1006" s="174"/>
      <c r="U1006" s="174"/>
      <c r="V1006" s="174"/>
      <c r="W1006" s="174"/>
      <c r="X1006" s="174"/>
      <c r="Y1006" s="174"/>
      <c r="Z1006" s="174"/>
      <c r="AA1006" s="174"/>
    </row>
    <row r="1007">
      <c r="A1007" s="174"/>
      <c r="B1007" s="174"/>
      <c r="C1007" s="174"/>
      <c r="D1007" s="174"/>
      <c r="E1007" s="174"/>
      <c r="F1007" s="175"/>
      <c r="G1007" s="175"/>
      <c r="H1007" s="174"/>
      <c r="I1007" s="174"/>
      <c r="J1007" s="174"/>
      <c r="K1007" s="174"/>
      <c r="L1007" s="174"/>
      <c r="M1007" s="174"/>
      <c r="N1007" s="174"/>
      <c r="O1007" s="174"/>
      <c r="P1007" s="174"/>
      <c r="Q1007" s="174"/>
      <c r="R1007" s="174"/>
      <c r="S1007" s="174"/>
      <c r="T1007" s="174"/>
      <c r="U1007" s="174"/>
      <c r="V1007" s="174"/>
      <c r="W1007" s="174"/>
      <c r="X1007" s="174"/>
      <c r="Y1007" s="174"/>
      <c r="Z1007" s="174"/>
      <c r="AA1007" s="174"/>
    </row>
    <row r="1008">
      <c r="A1008" s="174"/>
      <c r="B1008" s="174"/>
      <c r="C1008" s="174"/>
      <c r="D1008" s="174"/>
      <c r="E1008" s="174"/>
      <c r="F1008" s="175"/>
      <c r="G1008" s="175"/>
      <c r="H1008" s="174"/>
      <c r="I1008" s="174"/>
      <c r="J1008" s="174"/>
      <c r="K1008" s="174"/>
      <c r="L1008" s="174"/>
      <c r="M1008" s="174"/>
      <c r="N1008" s="174"/>
      <c r="O1008" s="174"/>
      <c r="P1008" s="174"/>
      <c r="Q1008" s="174"/>
      <c r="R1008" s="174"/>
      <c r="S1008" s="174"/>
      <c r="T1008" s="174"/>
      <c r="U1008" s="174"/>
      <c r="V1008" s="174"/>
      <c r="W1008" s="174"/>
      <c r="X1008" s="174"/>
      <c r="Y1008" s="174"/>
      <c r="Z1008" s="174"/>
      <c r="AA1008" s="174"/>
    </row>
    <row r="1009">
      <c r="A1009" s="174"/>
      <c r="B1009" s="174"/>
      <c r="C1009" s="174"/>
      <c r="D1009" s="174"/>
      <c r="E1009" s="174"/>
      <c r="F1009" s="175"/>
      <c r="G1009" s="175"/>
      <c r="H1009" s="174"/>
      <c r="I1009" s="174"/>
      <c r="J1009" s="174"/>
      <c r="K1009" s="174"/>
      <c r="L1009" s="174"/>
      <c r="M1009" s="174"/>
      <c r="N1009" s="174"/>
      <c r="O1009" s="174"/>
      <c r="P1009" s="174"/>
      <c r="Q1009" s="174"/>
      <c r="R1009" s="174"/>
      <c r="S1009" s="174"/>
      <c r="T1009" s="174"/>
      <c r="U1009" s="174"/>
      <c r="V1009" s="174"/>
      <c r="W1009" s="174"/>
      <c r="X1009" s="174"/>
      <c r="Y1009" s="174"/>
      <c r="Z1009" s="174"/>
      <c r="AA1009" s="174"/>
    </row>
    <row r="1010">
      <c r="A1010" s="174"/>
      <c r="B1010" s="174"/>
      <c r="C1010" s="174"/>
      <c r="D1010" s="174"/>
      <c r="E1010" s="174"/>
      <c r="F1010" s="175"/>
      <c r="G1010" s="175"/>
      <c r="H1010" s="174"/>
      <c r="I1010" s="174"/>
      <c r="J1010" s="174"/>
      <c r="K1010" s="174"/>
      <c r="L1010" s="174"/>
      <c r="M1010" s="174"/>
      <c r="N1010" s="174"/>
      <c r="O1010" s="174"/>
      <c r="P1010" s="174"/>
      <c r="Q1010" s="174"/>
      <c r="R1010" s="174"/>
      <c r="S1010" s="174"/>
      <c r="T1010" s="174"/>
      <c r="U1010" s="174"/>
      <c r="V1010" s="174"/>
      <c r="W1010" s="174"/>
      <c r="X1010" s="174"/>
      <c r="Y1010" s="174"/>
      <c r="Z1010" s="174"/>
      <c r="AA1010" s="174"/>
    </row>
    <row r="1011">
      <c r="A1011" s="174"/>
      <c r="B1011" s="174"/>
      <c r="C1011" s="174"/>
      <c r="D1011" s="174"/>
      <c r="E1011" s="174"/>
      <c r="F1011" s="175"/>
      <c r="G1011" s="175"/>
      <c r="H1011" s="174"/>
      <c r="I1011" s="174"/>
      <c r="J1011" s="174"/>
      <c r="K1011" s="174"/>
      <c r="L1011" s="174"/>
      <c r="M1011" s="174"/>
      <c r="N1011" s="174"/>
      <c r="O1011" s="174"/>
      <c r="P1011" s="174"/>
      <c r="Q1011" s="174"/>
      <c r="R1011" s="174"/>
      <c r="S1011" s="174"/>
      <c r="T1011" s="174"/>
      <c r="U1011" s="174"/>
      <c r="V1011" s="174"/>
      <c r="W1011" s="174"/>
      <c r="X1011" s="174"/>
      <c r="Y1011" s="174"/>
      <c r="Z1011" s="174"/>
      <c r="AA1011" s="174"/>
    </row>
    <row r="1012">
      <c r="A1012" s="174"/>
      <c r="B1012" s="174"/>
      <c r="C1012" s="174"/>
      <c r="D1012" s="174"/>
      <c r="E1012" s="174"/>
      <c r="F1012" s="175"/>
      <c r="G1012" s="175"/>
      <c r="H1012" s="174"/>
      <c r="I1012" s="174"/>
      <c r="J1012" s="174"/>
      <c r="K1012" s="174"/>
      <c r="L1012" s="174"/>
      <c r="M1012" s="174"/>
      <c r="N1012" s="174"/>
      <c r="O1012" s="174"/>
      <c r="P1012" s="174"/>
      <c r="Q1012" s="174"/>
      <c r="R1012" s="174"/>
      <c r="S1012" s="174"/>
      <c r="T1012" s="174"/>
      <c r="U1012" s="174"/>
      <c r="V1012" s="174"/>
      <c r="W1012" s="174"/>
      <c r="X1012" s="174"/>
      <c r="Y1012" s="174"/>
      <c r="Z1012" s="174"/>
      <c r="AA1012" s="174"/>
    </row>
    <row r="1013">
      <c r="A1013" s="174"/>
      <c r="B1013" s="174"/>
      <c r="C1013" s="174"/>
      <c r="D1013" s="174"/>
      <c r="E1013" s="174"/>
      <c r="F1013" s="175"/>
      <c r="G1013" s="175"/>
      <c r="H1013" s="174"/>
      <c r="I1013" s="174"/>
      <c r="J1013" s="174"/>
      <c r="K1013" s="174"/>
      <c r="L1013" s="174"/>
      <c r="M1013" s="174"/>
      <c r="N1013" s="174"/>
      <c r="O1013" s="174"/>
      <c r="P1013" s="174"/>
      <c r="Q1013" s="174"/>
      <c r="R1013" s="174"/>
      <c r="S1013" s="174"/>
      <c r="T1013" s="174"/>
      <c r="U1013" s="174"/>
      <c r="V1013" s="174"/>
      <c r="W1013" s="174"/>
      <c r="X1013" s="174"/>
      <c r="Y1013" s="174"/>
      <c r="Z1013" s="174"/>
      <c r="AA1013" s="174"/>
    </row>
    <row r="1014">
      <c r="A1014" s="174"/>
      <c r="B1014" s="174"/>
      <c r="C1014" s="174"/>
      <c r="D1014" s="174"/>
      <c r="E1014" s="174"/>
      <c r="F1014" s="175"/>
      <c r="G1014" s="175"/>
      <c r="H1014" s="174"/>
      <c r="I1014" s="174"/>
      <c r="J1014" s="174"/>
      <c r="K1014" s="174"/>
      <c r="L1014" s="174"/>
      <c r="M1014" s="174"/>
      <c r="N1014" s="174"/>
      <c r="O1014" s="174"/>
      <c r="P1014" s="174"/>
      <c r="Q1014" s="174"/>
      <c r="R1014" s="174"/>
      <c r="S1014" s="174"/>
      <c r="T1014" s="174"/>
      <c r="U1014" s="174"/>
      <c r="V1014" s="174"/>
      <c r="W1014" s="174"/>
      <c r="X1014" s="174"/>
      <c r="Y1014" s="174"/>
      <c r="Z1014" s="174"/>
      <c r="AA1014" s="174"/>
    </row>
    <row r="1015">
      <c r="A1015" s="174"/>
      <c r="B1015" s="174"/>
      <c r="C1015" s="174"/>
      <c r="D1015" s="174"/>
      <c r="E1015" s="174"/>
      <c r="F1015" s="175"/>
      <c r="G1015" s="175"/>
      <c r="H1015" s="174"/>
      <c r="I1015" s="174"/>
      <c r="J1015" s="174"/>
      <c r="K1015" s="174"/>
      <c r="L1015" s="174"/>
      <c r="M1015" s="174"/>
      <c r="N1015" s="174"/>
      <c r="O1015" s="174"/>
      <c r="P1015" s="174"/>
      <c r="Q1015" s="174"/>
      <c r="R1015" s="174"/>
      <c r="S1015" s="174"/>
      <c r="T1015" s="174"/>
      <c r="U1015" s="174"/>
      <c r="V1015" s="174"/>
      <c r="W1015" s="174"/>
      <c r="X1015" s="174"/>
      <c r="Y1015" s="174"/>
      <c r="Z1015" s="174"/>
      <c r="AA1015" s="174"/>
    </row>
    <row r="1016">
      <c r="A1016" s="174"/>
      <c r="B1016" s="174"/>
      <c r="C1016" s="174"/>
      <c r="D1016" s="174"/>
      <c r="E1016" s="174"/>
      <c r="F1016" s="175"/>
      <c r="G1016" s="175"/>
      <c r="H1016" s="174"/>
      <c r="I1016" s="174"/>
      <c r="J1016" s="174"/>
      <c r="K1016" s="174"/>
      <c r="L1016" s="174"/>
      <c r="M1016" s="174"/>
      <c r="N1016" s="174"/>
      <c r="O1016" s="174"/>
      <c r="P1016" s="174"/>
      <c r="Q1016" s="174"/>
      <c r="R1016" s="174"/>
      <c r="S1016" s="174"/>
      <c r="T1016" s="174"/>
      <c r="U1016" s="174"/>
      <c r="V1016" s="174"/>
      <c r="W1016" s="174"/>
      <c r="X1016" s="174"/>
      <c r="Y1016" s="174"/>
      <c r="Z1016" s="174"/>
      <c r="AA1016" s="174"/>
    </row>
    <row r="1017">
      <c r="A1017" s="174"/>
      <c r="B1017" s="174"/>
      <c r="C1017" s="174"/>
      <c r="D1017" s="174"/>
      <c r="E1017" s="174"/>
      <c r="F1017" s="175"/>
      <c r="G1017" s="175"/>
      <c r="H1017" s="174"/>
      <c r="I1017" s="174"/>
      <c r="J1017" s="174"/>
      <c r="K1017" s="174"/>
      <c r="L1017" s="174"/>
      <c r="M1017" s="174"/>
      <c r="N1017" s="174"/>
      <c r="O1017" s="174"/>
      <c r="P1017" s="174"/>
      <c r="Q1017" s="174"/>
      <c r="R1017" s="174"/>
      <c r="S1017" s="174"/>
      <c r="T1017" s="174"/>
      <c r="U1017" s="174"/>
      <c r="V1017" s="174"/>
      <c r="W1017" s="174"/>
      <c r="X1017" s="174"/>
      <c r="Y1017" s="174"/>
      <c r="Z1017" s="174"/>
      <c r="AA1017" s="174"/>
    </row>
    <row r="1018">
      <c r="A1018" s="174"/>
      <c r="B1018" s="174"/>
      <c r="C1018" s="174"/>
      <c r="D1018" s="174"/>
      <c r="E1018" s="174"/>
      <c r="F1018" s="175"/>
      <c r="G1018" s="175"/>
      <c r="H1018" s="174"/>
      <c r="I1018" s="174"/>
      <c r="J1018" s="174"/>
      <c r="K1018" s="174"/>
      <c r="L1018" s="174"/>
      <c r="M1018" s="174"/>
      <c r="N1018" s="174"/>
      <c r="O1018" s="174"/>
      <c r="P1018" s="174"/>
      <c r="Q1018" s="174"/>
      <c r="R1018" s="174"/>
      <c r="S1018" s="174"/>
      <c r="T1018" s="174"/>
      <c r="U1018" s="174"/>
      <c r="V1018" s="174"/>
      <c r="W1018" s="174"/>
      <c r="X1018" s="174"/>
      <c r="Y1018" s="174"/>
      <c r="Z1018" s="174"/>
      <c r="AA1018" s="174"/>
    </row>
    <row r="1019">
      <c r="A1019" s="174"/>
      <c r="B1019" s="174"/>
      <c r="C1019" s="174"/>
      <c r="D1019" s="174"/>
      <c r="E1019" s="174"/>
      <c r="F1019" s="175"/>
      <c r="G1019" s="175"/>
      <c r="H1019" s="174"/>
      <c r="I1019" s="174"/>
      <c r="J1019" s="174"/>
      <c r="K1019" s="174"/>
      <c r="L1019" s="174"/>
      <c r="M1019" s="174"/>
      <c r="N1019" s="174"/>
      <c r="O1019" s="174"/>
      <c r="P1019" s="174"/>
      <c r="Q1019" s="174"/>
      <c r="R1019" s="174"/>
      <c r="S1019" s="174"/>
      <c r="T1019" s="174"/>
      <c r="U1019" s="174"/>
      <c r="V1019" s="174"/>
      <c r="W1019" s="174"/>
      <c r="X1019" s="174"/>
      <c r="Y1019" s="174"/>
      <c r="Z1019" s="174"/>
      <c r="AA1019" s="174"/>
    </row>
    <row r="1020">
      <c r="A1020" s="174"/>
      <c r="B1020" s="174"/>
      <c r="C1020" s="174"/>
      <c r="D1020" s="174"/>
      <c r="E1020" s="174"/>
      <c r="F1020" s="175"/>
      <c r="G1020" s="175"/>
      <c r="H1020" s="174"/>
      <c r="I1020" s="174"/>
      <c r="J1020" s="174"/>
      <c r="K1020" s="174"/>
      <c r="L1020" s="174"/>
      <c r="M1020" s="174"/>
      <c r="N1020" s="174"/>
      <c r="O1020" s="174"/>
      <c r="P1020" s="174"/>
      <c r="Q1020" s="174"/>
      <c r="R1020" s="174"/>
      <c r="S1020" s="174"/>
      <c r="T1020" s="174"/>
      <c r="U1020" s="174"/>
      <c r="V1020" s="174"/>
      <c r="W1020" s="174"/>
      <c r="X1020" s="174"/>
      <c r="Y1020" s="174"/>
      <c r="Z1020" s="174"/>
      <c r="AA1020" s="174"/>
    </row>
    <row r="1021">
      <c r="A1021" s="174"/>
      <c r="B1021" s="174"/>
      <c r="C1021" s="174"/>
      <c r="D1021" s="174"/>
      <c r="E1021" s="174"/>
      <c r="F1021" s="175"/>
      <c r="G1021" s="175"/>
      <c r="H1021" s="174"/>
      <c r="I1021" s="174"/>
      <c r="J1021" s="174"/>
      <c r="K1021" s="174"/>
      <c r="L1021" s="174"/>
      <c r="M1021" s="174"/>
      <c r="N1021" s="174"/>
      <c r="O1021" s="174"/>
      <c r="P1021" s="174"/>
      <c r="Q1021" s="174"/>
      <c r="R1021" s="174"/>
      <c r="S1021" s="174"/>
      <c r="T1021" s="174"/>
      <c r="U1021" s="174"/>
      <c r="V1021" s="174"/>
      <c r="W1021" s="174"/>
      <c r="X1021" s="174"/>
      <c r="Y1021" s="174"/>
      <c r="Z1021" s="174"/>
      <c r="AA1021" s="174"/>
    </row>
    <row r="1022">
      <c r="A1022" s="174"/>
      <c r="B1022" s="174"/>
      <c r="C1022" s="174"/>
      <c r="D1022" s="174"/>
      <c r="E1022" s="174"/>
      <c r="F1022" s="175"/>
      <c r="G1022" s="175"/>
      <c r="H1022" s="174"/>
      <c r="I1022" s="174"/>
      <c r="J1022" s="174"/>
      <c r="K1022" s="174"/>
      <c r="L1022" s="174"/>
      <c r="M1022" s="174"/>
      <c r="N1022" s="174"/>
      <c r="O1022" s="174"/>
      <c r="P1022" s="174"/>
      <c r="Q1022" s="174"/>
      <c r="R1022" s="174"/>
      <c r="S1022" s="174"/>
      <c r="T1022" s="174"/>
      <c r="U1022" s="174"/>
      <c r="V1022" s="174"/>
      <c r="W1022" s="174"/>
      <c r="X1022" s="174"/>
      <c r="Y1022" s="174"/>
      <c r="Z1022" s="174"/>
      <c r="AA1022" s="174"/>
    </row>
    <row r="1023">
      <c r="A1023" s="174"/>
      <c r="B1023" s="174"/>
      <c r="C1023" s="174"/>
      <c r="D1023" s="174"/>
      <c r="E1023" s="174"/>
      <c r="F1023" s="175"/>
      <c r="G1023" s="175"/>
      <c r="H1023" s="174"/>
      <c r="I1023" s="174"/>
      <c r="J1023" s="174"/>
      <c r="K1023" s="174"/>
      <c r="L1023" s="174"/>
      <c r="M1023" s="174"/>
      <c r="N1023" s="174"/>
      <c r="O1023" s="174"/>
      <c r="P1023" s="174"/>
      <c r="Q1023" s="174"/>
      <c r="R1023" s="174"/>
      <c r="S1023" s="174"/>
      <c r="T1023" s="174"/>
      <c r="U1023" s="174"/>
      <c r="V1023" s="174"/>
      <c r="W1023" s="174"/>
      <c r="X1023" s="174"/>
      <c r="Y1023" s="174"/>
      <c r="Z1023" s="174"/>
      <c r="AA1023" s="174"/>
    </row>
    <row r="1024">
      <c r="A1024" s="174"/>
      <c r="B1024" s="174"/>
      <c r="C1024" s="174"/>
      <c r="D1024" s="174"/>
      <c r="E1024" s="174"/>
      <c r="F1024" s="175"/>
      <c r="G1024" s="175"/>
      <c r="H1024" s="174"/>
      <c r="I1024" s="174"/>
      <c r="J1024" s="174"/>
      <c r="K1024" s="174"/>
      <c r="L1024" s="174"/>
      <c r="M1024" s="174"/>
      <c r="N1024" s="174"/>
      <c r="O1024" s="174"/>
      <c r="P1024" s="174"/>
      <c r="Q1024" s="174"/>
      <c r="R1024" s="174"/>
      <c r="S1024" s="174"/>
      <c r="T1024" s="174"/>
      <c r="U1024" s="174"/>
      <c r="V1024" s="174"/>
      <c r="W1024" s="174"/>
      <c r="X1024" s="174"/>
      <c r="Y1024" s="174"/>
      <c r="Z1024" s="174"/>
      <c r="AA1024" s="174"/>
    </row>
    <row r="1025">
      <c r="A1025" s="174"/>
      <c r="B1025" s="174"/>
      <c r="C1025" s="174"/>
      <c r="D1025" s="174"/>
      <c r="E1025" s="174"/>
      <c r="F1025" s="175"/>
      <c r="G1025" s="175"/>
      <c r="H1025" s="174"/>
      <c r="I1025" s="174"/>
      <c r="J1025" s="174"/>
      <c r="K1025" s="174"/>
      <c r="L1025" s="174"/>
      <c r="M1025" s="174"/>
      <c r="N1025" s="174"/>
      <c r="O1025" s="174"/>
      <c r="P1025" s="174"/>
      <c r="Q1025" s="174"/>
      <c r="R1025" s="174"/>
      <c r="S1025" s="174"/>
      <c r="T1025" s="174"/>
      <c r="U1025" s="174"/>
      <c r="V1025" s="174"/>
      <c r="W1025" s="174"/>
      <c r="X1025" s="174"/>
      <c r="Y1025" s="174"/>
      <c r="Z1025" s="174"/>
      <c r="AA1025" s="174"/>
    </row>
    <row r="1026">
      <c r="A1026" s="174"/>
      <c r="B1026" s="174"/>
      <c r="C1026" s="174"/>
      <c r="D1026" s="174"/>
      <c r="E1026" s="174"/>
      <c r="F1026" s="175"/>
      <c r="G1026" s="175"/>
      <c r="H1026" s="174"/>
      <c r="I1026" s="174"/>
      <c r="J1026" s="174"/>
      <c r="K1026" s="174"/>
      <c r="L1026" s="174"/>
      <c r="M1026" s="174"/>
      <c r="N1026" s="174"/>
      <c r="O1026" s="174"/>
      <c r="P1026" s="174"/>
      <c r="Q1026" s="174"/>
      <c r="R1026" s="174"/>
      <c r="S1026" s="174"/>
      <c r="T1026" s="174"/>
      <c r="U1026" s="174"/>
      <c r="V1026" s="174"/>
      <c r="W1026" s="174"/>
      <c r="X1026" s="174"/>
      <c r="Y1026" s="174"/>
      <c r="Z1026" s="174"/>
      <c r="AA1026" s="174"/>
    </row>
    <row r="1027">
      <c r="A1027" s="174"/>
      <c r="B1027" s="174"/>
      <c r="C1027" s="174"/>
      <c r="D1027" s="174"/>
      <c r="E1027" s="174"/>
      <c r="F1027" s="175"/>
      <c r="G1027" s="175"/>
      <c r="H1027" s="174"/>
      <c r="I1027" s="174"/>
      <c r="J1027" s="174"/>
      <c r="K1027" s="174"/>
      <c r="L1027" s="174"/>
      <c r="M1027" s="174"/>
      <c r="N1027" s="174"/>
      <c r="O1027" s="174"/>
      <c r="P1027" s="174"/>
      <c r="Q1027" s="174"/>
      <c r="R1027" s="174"/>
      <c r="S1027" s="174"/>
      <c r="T1027" s="174"/>
      <c r="U1027" s="174"/>
      <c r="V1027" s="174"/>
      <c r="W1027" s="174"/>
      <c r="X1027" s="174"/>
      <c r="Y1027" s="174"/>
      <c r="Z1027" s="174"/>
      <c r="AA1027" s="174"/>
    </row>
    <row r="1028">
      <c r="A1028" s="174"/>
      <c r="B1028" s="174"/>
      <c r="C1028" s="174"/>
      <c r="D1028" s="174"/>
      <c r="E1028" s="174"/>
      <c r="F1028" s="175"/>
      <c r="G1028" s="175"/>
      <c r="H1028" s="174"/>
      <c r="I1028" s="174"/>
      <c r="J1028" s="174"/>
      <c r="K1028" s="174"/>
      <c r="L1028" s="174"/>
      <c r="M1028" s="174"/>
      <c r="N1028" s="174"/>
      <c r="O1028" s="174"/>
      <c r="P1028" s="174"/>
      <c r="Q1028" s="174"/>
      <c r="R1028" s="174"/>
      <c r="S1028" s="174"/>
      <c r="T1028" s="174"/>
      <c r="U1028" s="174"/>
      <c r="V1028" s="174"/>
      <c r="W1028" s="174"/>
      <c r="X1028" s="174"/>
      <c r="Y1028" s="174"/>
      <c r="Z1028" s="174"/>
      <c r="AA1028" s="174"/>
    </row>
    <row r="1029">
      <c r="A1029" s="174"/>
      <c r="B1029" s="174"/>
      <c r="C1029" s="174"/>
      <c r="D1029" s="174"/>
      <c r="E1029" s="174"/>
      <c r="F1029" s="175"/>
      <c r="G1029" s="175"/>
      <c r="H1029" s="174"/>
      <c r="I1029" s="174"/>
      <c r="J1029" s="174"/>
      <c r="K1029" s="174"/>
      <c r="L1029" s="174"/>
      <c r="M1029" s="174"/>
      <c r="N1029" s="174"/>
      <c r="O1029" s="174"/>
      <c r="P1029" s="174"/>
      <c r="Q1029" s="174"/>
      <c r="R1029" s="174"/>
      <c r="S1029" s="174"/>
      <c r="T1029" s="174"/>
      <c r="U1029" s="174"/>
      <c r="V1029" s="174"/>
      <c r="W1029" s="174"/>
      <c r="X1029" s="174"/>
      <c r="Y1029" s="174"/>
      <c r="Z1029" s="174"/>
      <c r="AA1029" s="174"/>
    </row>
    <row r="1030">
      <c r="A1030" s="174"/>
      <c r="B1030" s="174"/>
      <c r="C1030" s="174"/>
      <c r="D1030" s="174"/>
      <c r="E1030" s="174"/>
      <c r="F1030" s="175"/>
      <c r="G1030" s="175"/>
      <c r="H1030" s="174"/>
      <c r="I1030" s="174"/>
      <c r="J1030" s="174"/>
      <c r="K1030" s="174"/>
      <c r="L1030" s="174"/>
      <c r="M1030" s="174"/>
      <c r="N1030" s="174"/>
      <c r="O1030" s="174"/>
      <c r="P1030" s="174"/>
      <c r="Q1030" s="174"/>
      <c r="R1030" s="174"/>
      <c r="S1030" s="174"/>
      <c r="T1030" s="174"/>
      <c r="U1030" s="174"/>
      <c r="V1030" s="174"/>
      <c r="W1030" s="174"/>
      <c r="X1030" s="174"/>
      <c r="Y1030" s="174"/>
      <c r="Z1030" s="174"/>
      <c r="AA1030" s="174"/>
    </row>
    <row r="1031">
      <c r="A1031" s="174"/>
      <c r="B1031" s="174"/>
      <c r="C1031" s="174"/>
      <c r="D1031" s="174"/>
      <c r="E1031" s="174"/>
      <c r="F1031" s="175"/>
      <c r="G1031" s="175"/>
      <c r="H1031" s="174"/>
      <c r="I1031" s="174"/>
      <c r="J1031" s="174"/>
      <c r="K1031" s="174"/>
      <c r="L1031" s="174"/>
      <c r="M1031" s="174"/>
      <c r="N1031" s="174"/>
      <c r="O1031" s="174"/>
      <c r="P1031" s="174"/>
      <c r="Q1031" s="174"/>
      <c r="R1031" s="174"/>
      <c r="S1031" s="174"/>
      <c r="T1031" s="174"/>
      <c r="U1031" s="174"/>
      <c r="V1031" s="174"/>
      <c r="W1031" s="174"/>
      <c r="X1031" s="174"/>
      <c r="Y1031" s="174"/>
      <c r="Z1031" s="174"/>
      <c r="AA1031" s="174"/>
    </row>
    <row r="1032">
      <c r="A1032" s="174"/>
      <c r="B1032" s="174"/>
      <c r="C1032" s="174"/>
      <c r="D1032" s="174"/>
      <c r="E1032" s="174"/>
      <c r="F1032" s="175"/>
      <c r="G1032" s="175"/>
      <c r="H1032" s="174"/>
      <c r="I1032" s="174"/>
      <c r="J1032" s="174"/>
      <c r="K1032" s="174"/>
      <c r="L1032" s="174"/>
      <c r="M1032" s="174"/>
      <c r="N1032" s="174"/>
      <c r="O1032" s="174"/>
      <c r="P1032" s="174"/>
      <c r="Q1032" s="174"/>
      <c r="R1032" s="174"/>
      <c r="S1032" s="174"/>
      <c r="T1032" s="174"/>
      <c r="U1032" s="174"/>
      <c r="V1032" s="174"/>
      <c r="W1032" s="174"/>
      <c r="X1032" s="174"/>
      <c r="Y1032" s="174"/>
      <c r="Z1032" s="174"/>
      <c r="AA1032" s="174"/>
    </row>
    <row r="1033">
      <c r="A1033" s="174"/>
      <c r="B1033" s="174"/>
      <c r="C1033" s="174"/>
      <c r="D1033" s="174"/>
      <c r="E1033" s="174"/>
      <c r="F1033" s="175"/>
      <c r="G1033" s="175"/>
      <c r="H1033" s="174"/>
      <c r="I1033" s="174"/>
      <c r="J1033" s="174"/>
      <c r="K1033" s="174"/>
      <c r="L1033" s="174"/>
      <c r="M1033" s="174"/>
      <c r="N1033" s="174"/>
      <c r="O1033" s="174"/>
      <c r="P1033" s="174"/>
      <c r="Q1033" s="174"/>
      <c r="R1033" s="174"/>
      <c r="S1033" s="174"/>
      <c r="T1033" s="174"/>
      <c r="U1033" s="174"/>
      <c r="V1033" s="174"/>
      <c r="W1033" s="174"/>
      <c r="X1033" s="174"/>
      <c r="Y1033" s="174"/>
      <c r="Z1033" s="174"/>
      <c r="AA1033" s="174"/>
    </row>
    <row r="1034">
      <c r="A1034" s="174"/>
      <c r="B1034" s="174"/>
      <c r="C1034" s="174"/>
      <c r="D1034" s="174"/>
      <c r="E1034" s="174"/>
      <c r="F1034" s="175"/>
      <c r="G1034" s="175"/>
      <c r="H1034" s="174"/>
      <c r="I1034" s="174"/>
      <c r="J1034" s="174"/>
      <c r="K1034" s="174"/>
      <c r="L1034" s="174"/>
      <c r="M1034" s="174"/>
      <c r="N1034" s="174"/>
      <c r="O1034" s="174"/>
      <c r="P1034" s="174"/>
      <c r="Q1034" s="174"/>
      <c r="R1034" s="174"/>
      <c r="S1034" s="174"/>
      <c r="T1034" s="174"/>
      <c r="U1034" s="174"/>
      <c r="V1034" s="174"/>
      <c r="W1034" s="174"/>
      <c r="X1034" s="174"/>
      <c r="Y1034" s="174"/>
      <c r="Z1034" s="174"/>
      <c r="AA1034" s="174"/>
    </row>
    <row r="1035">
      <c r="A1035" s="174"/>
      <c r="B1035" s="174"/>
      <c r="C1035" s="174"/>
      <c r="D1035" s="174"/>
      <c r="E1035" s="174"/>
      <c r="F1035" s="175"/>
      <c r="G1035" s="175"/>
      <c r="H1035" s="174"/>
      <c r="I1035" s="174"/>
      <c r="J1035" s="174"/>
      <c r="K1035" s="174"/>
      <c r="L1035" s="174"/>
      <c r="M1035" s="174"/>
      <c r="N1035" s="174"/>
      <c r="O1035" s="174"/>
      <c r="P1035" s="174"/>
      <c r="Q1035" s="174"/>
      <c r="R1035" s="174"/>
      <c r="S1035" s="174"/>
      <c r="T1035" s="174"/>
      <c r="U1035" s="174"/>
      <c r="V1035" s="174"/>
      <c r="W1035" s="174"/>
      <c r="X1035" s="174"/>
      <c r="Y1035" s="174"/>
      <c r="Z1035" s="174"/>
      <c r="AA1035" s="174"/>
    </row>
    <row r="1036">
      <c r="A1036" s="174"/>
      <c r="B1036" s="174"/>
      <c r="C1036" s="174"/>
      <c r="D1036" s="174"/>
      <c r="E1036" s="174"/>
      <c r="F1036" s="175"/>
      <c r="G1036" s="175"/>
      <c r="H1036" s="174"/>
      <c r="I1036" s="174"/>
      <c r="J1036" s="174"/>
      <c r="K1036" s="174"/>
      <c r="L1036" s="174"/>
      <c r="M1036" s="174"/>
      <c r="N1036" s="174"/>
      <c r="O1036" s="174"/>
      <c r="P1036" s="174"/>
      <c r="Q1036" s="174"/>
      <c r="R1036" s="174"/>
      <c r="S1036" s="174"/>
      <c r="T1036" s="174"/>
      <c r="U1036" s="174"/>
      <c r="V1036" s="174"/>
      <c r="W1036" s="174"/>
      <c r="X1036" s="174"/>
      <c r="Y1036" s="174"/>
      <c r="Z1036" s="174"/>
      <c r="AA1036" s="174"/>
    </row>
    <row r="1037">
      <c r="A1037" s="174"/>
      <c r="B1037" s="174"/>
      <c r="C1037" s="174"/>
      <c r="D1037" s="174"/>
      <c r="E1037" s="174"/>
      <c r="F1037" s="175"/>
      <c r="G1037" s="175"/>
      <c r="H1037" s="174"/>
      <c r="I1037" s="174"/>
      <c r="J1037" s="174"/>
      <c r="K1037" s="174"/>
      <c r="L1037" s="174"/>
      <c r="M1037" s="174"/>
      <c r="N1037" s="174"/>
      <c r="O1037" s="174"/>
      <c r="P1037" s="174"/>
      <c r="Q1037" s="174"/>
      <c r="R1037" s="174"/>
      <c r="S1037" s="174"/>
      <c r="T1037" s="174"/>
      <c r="U1037" s="174"/>
      <c r="V1037" s="174"/>
      <c r="W1037" s="174"/>
      <c r="X1037" s="174"/>
      <c r="Y1037" s="174"/>
      <c r="Z1037" s="174"/>
      <c r="AA1037" s="174"/>
    </row>
    <row r="1038">
      <c r="A1038" s="174"/>
      <c r="B1038" s="174"/>
      <c r="C1038" s="174"/>
      <c r="D1038" s="174"/>
      <c r="E1038" s="174"/>
      <c r="F1038" s="175"/>
      <c r="G1038" s="175"/>
      <c r="H1038" s="174"/>
      <c r="I1038" s="174"/>
      <c r="J1038" s="174"/>
      <c r="K1038" s="174"/>
      <c r="L1038" s="174"/>
      <c r="M1038" s="174"/>
      <c r="N1038" s="174"/>
      <c r="O1038" s="174"/>
      <c r="P1038" s="174"/>
      <c r="Q1038" s="174"/>
      <c r="R1038" s="174"/>
      <c r="S1038" s="174"/>
      <c r="T1038" s="174"/>
      <c r="U1038" s="174"/>
      <c r="V1038" s="174"/>
      <c r="W1038" s="174"/>
      <c r="X1038" s="174"/>
      <c r="Y1038" s="174"/>
      <c r="Z1038" s="174"/>
      <c r="AA1038" s="174"/>
    </row>
    <row r="1039">
      <c r="A1039" s="174"/>
      <c r="B1039" s="174"/>
      <c r="C1039" s="174"/>
      <c r="D1039" s="174"/>
      <c r="E1039" s="174"/>
      <c r="F1039" s="175"/>
      <c r="G1039" s="175"/>
      <c r="H1039" s="174"/>
      <c r="I1039" s="174"/>
      <c r="J1039" s="174"/>
      <c r="K1039" s="174"/>
      <c r="L1039" s="174"/>
      <c r="M1039" s="174"/>
      <c r="N1039" s="174"/>
      <c r="O1039" s="174"/>
      <c r="P1039" s="174"/>
      <c r="Q1039" s="174"/>
      <c r="R1039" s="174"/>
      <c r="S1039" s="174"/>
      <c r="T1039" s="174"/>
      <c r="U1039" s="174"/>
      <c r="V1039" s="174"/>
      <c r="W1039" s="174"/>
      <c r="X1039" s="174"/>
      <c r="Y1039" s="174"/>
      <c r="Z1039" s="174"/>
      <c r="AA1039" s="174"/>
    </row>
    <row r="1040">
      <c r="A1040" s="174"/>
      <c r="B1040" s="174"/>
      <c r="C1040" s="174"/>
      <c r="D1040" s="174"/>
      <c r="E1040" s="174"/>
      <c r="F1040" s="175"/>
      <c r="G1040" s="175"/>
      <c r="H1040" s="174"/>
      <c r="I1040" s="174"/>
      <c r="J1040" s="174"/>
      <c r="K1040" s="174"/>
      <c r="L1040" s="174"/>
      <c r="M1040" s="174"/>
      <c r="N1040" s="174"/>
      <c r="O1040" s="174"/>
      <c r="P1040" s="174"/>
      <c r="Q1040" s="174"/>
      <c r="R1040" s="174"/>
      <c r="S1040" s="174"/>
      <c r="T1040" s="174"/>
      <c r="U1040" s="174"/>
      <c r="V1040" s="174"/>
      <c r="W1040" s="174"/>
      <c r="X1040" s="174"/>
      <c r="Y1040" s="174"/>
      <c r="Z1040" s="174"/>
      <c r="AA1040" s="174"/>
    </row>
    <row r="1041">
      <c r="A1041" s="174"/>
      <c r="B1041" s="174"/>
      <c r="C1041" s="174"/>
      <c r="D1041" s="174"/>
      <c r="E1041" s="174"/>
      <c r="F1041" s="175"/>
      <c r="G1041" s="175"/>
      <c r="H1041" s="174"/>
      <c r="I1041" s="174"/>
      <c r="J1041" s="174"/>
      <c r="K1041" s="174"/>
      <c r="L1041" s="174"/>
      <c r="M1041" s="174"/>
      <c r="N1041" s="174"/>
      <c r="O1041" s="174"/>
      <c r="P1041" s="174"/>
      <c r="Q1041" s="174"/>
      <c r="R1041" s="174"/>
      <c r="S1041" s="174"/>
      <c r="T1041" s="174"/>
      <c r="U1041" s="174"/>
      <c r="V1041" s="174"/>
      <c r="W1041" s="174"/>
      <c r="X1041" s="174"/>
      <c r="Y1041" s="174"/>
      <c r="Z1041" s="174"/>
      <c r="AA1041" s="174"/>
    </row>
    <row r="1042">
      <c r="A1042" s="174"/>
      <c r="B1042" s="174"/>
      <c r="C1042" s="174"/>
      <c r="D1042" s="174"/>
      <c r="E1042" s="174"/>
      <c r="F1042" s="175"/>
      <c r="G1042" s="175"/>
      <c r="H1042" s="174"/>
      <c r="I1042" s="174"/>
      <c r="J1042" s="174"/>
      <c r="K1042" s="174"/>
      <c r="L1042" s="174"/>
      <c r="M1042" s="174"/>
      <c r="N1042" s="174"/>
      <c r="O1042" s="174"/>
      <c r="P1042" s="174"/>
      <c r="Q1042" s="174"/>
      <c r="R1042" s="174"/>
      <c r="S1042" s="174"/>
      <c r="T1042" s="174"/>
      <c r="U1042" s="174"/>
      <c r="V1042" s="174"/>
      <c r="W1042" s="174"/>
      <c r="X1042" s="174"/>
      <c r="Y1042" s="174"/>
      <c r="Z1042" s="174"/>
      <c r="AA1042" s="174"/>
    </row>
    <row r="1043">
      <c r="A1043" s="174"/>
      <c r="B1043" s="174"/>
      <c r="C1043" s="174"/>
      <c r="D1043" s="174"/>
      <c r="E1043" s="174"/>
      <c r="F1043" s="175"/>
      <c r="G1043" s="175"/>
      <c r="H1043" s="174"/>
      <c r="I1043" s="174"/>
      <c r="J1043" s="174"/>
      <c r="K1043" s="174"/>
      <c r="L1043" s="174"/>
      <c r="M1043" s="174"/>
      <c r="N1043" s="174"/>
      <c r="O1043" s="174"/>
      <c r="P1043" s="174"/>
      <c r="Q1043" s="174"/>
      <c r="R1043" s="174"/>
      <c r="S1043" s="174"/>
      <c r="T1043" s="174"/>
      <c r="U1043" s="174"/>
      <c r="V1043" s="174"/>
      <c r="W1043" s="174"/>
      <c r="X1043" s="174"/>
      <c r="Y1043" s="174"/>
      <c r="Z1043" s="174"/>
      <c r="AA1043" s="174"/>
    </row>
    <row r="1044">
      <c r="A1044" s="174"/>
      <c r="B1044" s="174"/>
      <c r="C1044" s="174"/>
      <c r="D1044" s="174"/>
      <c r="E1044" s="174"/>
      <c r="F1044" s="175"/>
      <c r="G1044" s="175"/>
      <c r="H1044" s="174"/>
      <c r="I1044" s="174"/>
      <c r="J1044" s="174"/>
      <c r="K1044" s="174"/>
      <c r="L1044" s="174"/>
      <c r="M1044" s="174"/>
      <c r="N1044" s="174"/>
      <c r="O1044" s="174"/>
      <c r="P1044" s="174"/>
      <c r="Q1044" s="174"/>
      <c r="R1044" s="174"/>
      <c r="S1044" s="174"/>
      <c r="T1044" s="174"/>
      <c r="U1044" s="174"/>
      <c r="V1044" s="174"/>
      <c r="W1044" s="174"/>
      <c r="X1044" s="174"/>
      <c r="Y1044" s="174"/>
      <c r="Z1044" s="174"/>
      <c r="AA1044" s="174"/>
    </row>
    <row r="1045">
      <c r="A1045" s="174"/>
      <c r="B1045" s="174"/>
      <c r="C1045" s="174"/>
      <c r="D1045" s="174"/>
      <c r="E1045" s="174"/>
      <c r="F1045" s="175"/>
      <c r="G1045" s="175"/>
      <c r="H1045" s="174"/>
      <c r="I1045" s="174"/>
      <c r="J1045" s="174"/>
      <c r="K1045" s="174"/>
      <c r="L1045" s="174"/>
      <c r="M1045" s="174"/>
      <c r="N1045" s="174"/>
      <c r="O1045" s="174"/>
      <c r="P1045" s="174"/>
      <c r="Q1045" s="174"/>
      <c r="R1045" s="174"/>
      <c r="S1045" s="174"/>
      <c r="T1045" s="174"/>
      <c r="U1045" s="174"/>
      <c r="V1045" s="174"/>
      <c r="W1045" s="174"/>
      <c r="X1045" s="174"/>
      <c r="Y1045" s="174"/>
      <c r="Z1045" s="174"/>
      <c r="AA1045" s="174"/>
    </row>
    <row r="1046">
      <c r="A1046" s="174"/>
      <c r="B1046" s="174"/>
      <c r="C1046" s="174"/>
      <c r="D1046" s="174"/>
      <c r="E1046" s="174"/>
      <c r="F1046" s="175"/>
      <c r="G1046" s="175"/>
      <c r="H1046" s="174"/>
      <c r="I1046" s="174"/>
      <c r="J1046" s="174"/>
      <c r="K1046" s="174"/>
      <c r="L1046" s="174"/>
      <c r="M1046" s="174"/>
      <c r="N1046" s="174"/>
      <c r="O1046" s="174"/>
      <c r="P1046" s="174"/>
      <c r="Q1046" s="174"/>
      <c r="R1046" s="174"/>
      <c r="S1046" s="174"/>
      <c r="T1046" s="174"/>
      <c r="U1046" s="174"/>
      <c r="V1046" s="174"/>
      <c r="W1046" s="174"/>
      <c r="X1046" s="174"/>
      <c r="Y1046" s="174"/>
      <c r="Z1046" s="174"/>
      <c r="AA1046" s="174"/>
    </row>
    <row r="1047">
      <c r="A1047" s="174"/>
      <c r="B1047" s="174"/>
      <c r="C1047" s="174"/>
      <c r="D1047" s="174"/>
      <c r="E1047" s="174"/>
      <c r="F1047" s="175"/>
      <c r="G1047" s="175"/>
      <c r="H1047" s="174"/>
      <c r="I1047" s="174"/>
      <c r="J1047" s="174"/>
      <c r="K1047" s="174"/>
      <c r="L1047" s="174"/>
      <c r="M1047" s="174"/>
      <c r="N1047" s="174"/>
      <c r="O1047" s="174"/>
      <c r="P1047" s="174"/>
      <c r="Q1047" s="174"/>
      <c r="R1047" s="174"/>
      <c r="S1047" s="174"/>
      <c r="T1047" s="174"/>
      <c r="U1047" s="174"/>
      <c r="V1047" s="174"/>
      <c r="W1047" s="174"/>
      <c r="X1047" s="174"/>
      <c r="Y1047" s="174"/>
      <c r="Z1047" s="174"/>
      <c r="AA1047" s="174"/>
    </row>
    <row r="1048">
      <c r="A1048" s="174"/>
      <c r="B1048" s="174"/>
      <c r="C1048" s="174"/>
      <c r="D1048" s="174"/>
      <c r="E1048" s="174"/>
      <c r="F1048" s="175"/>
      <c r="G1048" s="175"/>
      <c r="H1048" s="174"/>
      <c r="I1048" s="174"/>
      <c r="J1048" s="174"/>
      <c r="K1048" s="174"/>
      <c r="L1048" s="174"/>
      <c r="M1048" s="174"/>
      <c r="N1048" s="174"/>
      <c r="O1048" s="174"/>
      <c r="P1048" s="174"/>
      <c r="Q1048" s="174"/>
      <c r="R1048" s="174"/>
      <c r="S1048" s="174"/>
      <c r="T1048" s="174"/>
      <c r="U1048" s="174"/>
      <c r="V1048" s="174"/>
      <c r="W1048" s="174"/>
      <c r="X1048" s="174"/>
      <c r="Y1048" s="174"/>
      <c r="Z1048" s="174"/>
      <c r="AA1048" s="174"/>
    </row>
    <row r="1049">
      <c r="A1049" s="174"/>
      <c r="B1049" s="174"/>
      <c r="C1049" s="174"/>
      <c r="D1049" s="174"/>
      <c r="E1049" s="174"/>
      <c r="F1049" s="175"/>
      <c r="G1049" s="175"/>
      <c r="H1049" s="174"/>
      <c r="I1049" s="174"/>
      <c r="J1049" s="174"/>
      <c r="K1049" s="174"/>
      <c r="L1049" s="174"/>
      <c r="M1049" s="174"/>
      <c r="N1049" s="174"/>
      <c r="O1049" s="174"/>
      <c r="P1049" s="174"/>
      <c r="Q1049" s="174"/>
      <c r="R1049" s="174"/>
      <c r="S1049" s="174"/>
      <c r="T1049" s="174"/>
      <c r="U1049" s="174"/>
      <c r="V1049" s="174"/>
      <c r="W1049" s="174"/>
      <c r="X1049" s="174"/>
      <c r="Y1049" s="174"/>
      <c r="Z1049" s="174"/>
      <c r="AA1049" s="174"/>
    </row>
    <row r="1050">
      <c r="A1050" s="174"/>
      <c r="B1050" s="174"/>
      <c r="C1050" s="174"/>
      <c r="D1050" s="174"/>
      <c r="E1050" s="174"/>
      <c r="F1050" s="175"/>
      <c r="G1050" s="175"/>
      <c r="H1050" s="174"/>
      <c r="I1050" s="174"/>
      <c r="J1050" s="174"/>
      <c r="K1050" s="174"/>
      <c r="L1050" s="174"/>
      <c r="M1050" s="174"/>
      <c r="N1050" s="174"/>
      <c r="O1050" s="174"/>
      <c r="P1050" s="174"/>
      <c r="Q1050" s="174"/>
      <c r="R1050" s="174"/>
      <c r="S1050" s="174"/>
      <c r="T1050" s="174"/>
      <c r="U1050" s="174"/>
      <c r="V1050" s="174"/>
      <c r="W1050" s="174"/>
      <c r="X1050" s="174"/>
      <c r="Y1050" s="174"/>
      <c r="Z1050" s="174"/>
      <c r="AA1050" s="174"/>
    </row>
    <row r="1051">
      <c r="A1051" s="174"/>
      <c r="B1051" s="174"/>
      <c r="C1051" s="174"/>
      <c r="D1051" s="174"/>
      <c r="E1051" s="174"/>
      <c r="F1051" s="175"/>
      <c r="G1051" s="175"/>
      <c r="H1051" s="174"/>
      <c r="I1051" s="174"/>
      <c r="J1051" s="174"/>
      <c r="K1051" s="174"/>
      <c r="L1051" s="174"/>
      <c r="M1051" s="174"/>
      <c r="N1051" s="174"/>
      <c r="O1051" s="174"/>
      <c r="P1051" s="174"/>
      <c r="Q1051" s="174"/>
      <c r="R1051" s="174"/>
      <c r="S1051" s="174"/>
      <c r="T1051" s="174"/>
      <c r="U1051" s="174"/>
      <c r="V1051" s="174"/>
      <c r="W1051" s="174"/>
      <c r="X1051" s="174"/>
      <c r="Y1051" s="174"/>
      <c r="Z1051" s="174"/>
      <c r="AA1051" s="174"/>
    </row>
    <row r="1052">
      <c r="A1052" s="174"/>
      <c r="B1052" s="174"/>
      <c r="C1052" s="174"/>
      <c r="D1052" s="174"/>
      <c r="E1052" s="174"/>
      <c r="F1052" s="175"/>
      <c r="G1052" s="175"/>
      <c r="H1052" s="174"/>
      <c r="I1052" s="174"/>
      <c r="J1052" s="174"/>
      <c r="K1052" s="174"/>
      <c r="L1052" s="174"/>
      <c r="M1052" s="174"/>
      <c r="N1052" s="174"/>
      <c r="O1052" s="174"/>
      <c r="P1052" s="174"/>
      <c r="Q1052" s="174"/>
      <c r="R1052" s="174"/>
      <c r="S1052" s="174"/>
      <c r="T1052" s="174"/>
      <c r="U1052" s="174"/>
      <c r="V1052" s="174"/>
      <c r="W1052" s="174"/>
      <c r="X1052" s="174"/>
      <c r="Y1052" s="174"/>
      <c r="Z1052" s="174"/>
      <c r="AA1052" s="174"/>
    </row>
    <row r="1053">
      <c r="A1053" s="174"/>
      <c r="B1053" s="174"/>
      <c r="C1053" s="174"/>
      <c r="D1053" s="174"/>
      <c r="E1053" s="174"/>
      <c r="F1053" s="175"/>
      <c r="G1053" s="175"/>
      <c r="H1053" s="174"/>
      <c r="I1053" s="174"/>
      <c r="J1053" s="174"/>
      <c r="K1053" s="174"/>
      <c r="L1053" s="174"/>
      <c r="M1053" s="174"/>
      <c r="N1053" s="174"/>
      <c r="O1053" s="174"/>
      <c r="P1053" s="174"/>
      <c r="Q1053" s="174"/>
      <c r="R1053" s="174"/>
      <c r="S1053" s="174"/>
      <c r="T1053" s="174"/>
      <c r="U1053" s="174"/>
      <c r="V1053" s="174"/>
      <c r="W1053" s="174"/>
      <c r="X1053" s="174"/>
      <c r="Y1053" s="174"/>
      <c r="Z1053" s="174"/>
      <c r="AA1053" s="174"/>
    </row>
    <row r="1054">
      <c r="A1054" s="174"/>
      <c r="B1054" s="174"/>
      <c r="C1054" s="174"/>
      <c r="D1054" s="174"/>
      <c r="E1054" s="174"/>
      <c r="F1054" s="175"/>
      <c r="G1054" s="175"/>
      <c r="H1054" s="174"/>
      <c r="I1054" s="174"/>
      <c r="J1054" s="174"/>
      <c r="K1054" s="174"/>
      <c r="L1054" s="174"/>
      <c r="M1054" s="174"/>
      <c r="N1054" s="174"/>
      <c r="O1054" s="174"/>
      <c r="P1054" s="174"/>
      <c r="Q1054" s="174"/>
      <c r="R1054" s="174"/>
      <c r="S1054" s="174"/>
      <c r="T1054" s="174"/>
      <c r="U1054" s="174"/>
      <c r="V1054" s="174"/>
      <c r="W1054" s="174"/>
      <c r="X1054" s="174"/>
      <c r="Y1054" s="174"/>
      <c r="Z1054" s="174"/>
      <c r="AA1054" s="174"/>
    </row>
    <row r="1055">
      <c r="A1055" s="174"/>
      <c r="B1055" s="174"/>
      <c r="C1055" s="174"/>
      <c r="D1055" s="174"/>
      <c r="E1055" s="174"/>
      <c r="F1055" s="175"/>
      <c r="G1055" s="175"/>
      <c r="H1055" s="174"/>
      <c r="I1055" s="174"/>
      <c r="J1055" s="174"/>
      <c r="K1055" s="174"/>
      <c r="L1055" s="174"/>
      <c r="M1055" s="174"/>
      <c r="N1055" s="174"/>
      <c r="O1055" s="174"/>
      <c r="P1055" s="174"/>
      <c r="Q1055" s="174"/>
      <c r="R1055" s="174"/>
      <c r="S1055" s="174"/>
      <c r="T1055" s="174"/>
      <c r="U1055" s="174"/>
      <c r="V1055" s="174"/>
      <c r="W1055" s="174"/>
      <c r="X1055" s="174"/>
      <c r="Y1055" s="174"/>
      <c r="Z1055" s="174"/>
      <c r="AA1055" s="174"/>
    </row>
    <row r="1056">
      <c r="A1056" s="174"/>
      <c r="B1056" s="174"/>
      <c r="C1056" s="174"/>
      <c r="D1056" s="174"/>
      <c r="E1056" s="174"/>
      <c r="F1056" s="175"/>
      <c r="G1056" s="175"/>
      <c r="H1056" s="174"/>
      <c r="I1056" s="174"/>
      <c r="J1056" s="174"/>
      <c r="K1056" s="174"/>
      <c r="L1056" s="174"/>
      <c r="M1056" s="174"/>
      <c r="N1056" s="174"/>
      <c r="O1056" s="174"/>
      <c r="P1056" s="174"/>
      <c r="Q1056" s="174"/>
      <c r="R1056" s="174"/>
      <c r="S1056" s="174"/>
      <c r="T1056" s="174"/>
      <c r="U1056" s="174"/>
      <c r="V1056" s="174"/>
      <c r="W1056" s="174"/>
      <c r="X1056" s="174"/>
      <c r="Y1056" s="174"/>
      <c r="Z1056" s="174"/>
      <c r="AA1056" s="174"/>
    </row>
    <row r="1057">
      <c r="A1057" s="174"/>
      <c r="B1057" s="174"/>
      <c r="C1057" s="174"/>
      <c r="D1057" s="174"/>
      <c r="E1057" s="174"/>
      <c r="F1057" s="175"/>
      <c r="G1057" s="175"/>
      <c r="H1057" s="174"/>
      <c r="I1057" s="174"/>
      <c r="J1057" s="174"/>
      <c r="K1057" s="174"/>
      <c r="L1057" s="174"/>
      <c r="M1057" s="174"/>
      <c r="N1057" s="174"/>
      <c r="O1057" s="174"/>
      <c r="P1057" s="174"/>
      <c r="Q1057" s="174"/>
      <c r="R1057" s="174"/>
      <c r="S1057" s="174"/>
      <c r="T1057" s="174"/>
      <c r="U1057" s="174"/>
      <c r="V1057" s="174"/>
      <c r="W1057" s="174"/>
      <c r="X1057" s="174"/>
      <c r="Y1057" s="174"/>
      <c r="Z1057" s="174"/>
      <c r="AA1057" s="174"/>
    </row>
    <row r="1058">
      <c r="A1058" s="174"/>
      <c r="B1058" s="174"/>
      <c r="C1058" s="174"/>
      <c r="D1058" s="174"/>
      <c r="E1058" s="174"/>
      <c r="F1058" s="175"/>
      <c r="G1058" s="175"/>
      <c r="H1058" s="174"/>
      <c r="I1058" s="174"/>
      <c r="J1058" s="174"/>
      <c r="K1058" s="174"/>
      <c r="L1058" s="174"/>
      <c r="M1058" s="174"/>
      <c r="N1058" s="174"/>
      <c r="O1058" s="174"/>
      <c r="P1058" s="174"/>
      <c r="Q1058" s="174"/>
      <c r="R1058" s="174"/>
      <c r="S1058" s="174"/>
      <c r="T1058" s="174"/>
      <c r="U1058" s="174"/>
      <c r="V1058" s="174"/>
      <c r="W1058" s="174"/>
      <c r="X1058" s="174"/>
      <c r="Y1058" s="174"/>
      <c r="Z1058" s="174"/>
      <c r="AA1058" s="174"/>
    </row>
    <row r="1059">
      <c r="A1059" s="174"/>
      <c r="B1059" s="174"/>
      <c r="C1059" s="174"/>
      <c r="D1059" s="174"/>
      <c r="E1059" s="174"/>
      <c r="F1059" s="175"/>
      <c r="G1059" s="175"/>
      <c r="H1059" s="174"/>
      <c r="I1059" s="174"/>
      <c r="J1059" s="174"/>
      <c r="K1059" s="174"/>
      <c r="L1059" s="174"/>
      <c r="M1059" s="174"/>
      <c r="N1059" s="174"/>
      <c r="O1059" s="174"/>
      <c r="P1059" s="174"/>
      <c r="Q1059" s="174"/>
      <c r="R1059" s="174"/>
      <c r="S1059" s="174"/>
      <c r="T1059" s="174"/>
      <c r="U1059" s="174"/>
      <c r="V1059" s="174"/>
      <c r="W1059" s="174"/>
      <c r="X1059" s="174"/>
      <c r="Y1059" s="174"/>
      <c r="Z1059" s="174"/>
      <c r="AA1059" s="174"/>
    </row>
    <row r="1060">
      <c r="A1060" s="174"/>
      <c r="B1060" s="174"/>
      <c r="C1060" s="174"/>
      <c r="D1060" s="174"/>
      <c r="E1060" s="174"/>
      <c r="F1060" s="175"/>
      <c r="G1060" s="175"/>
      <c r="H1060" s="174"/>
      <c r="I1060" s="174"/>
      <c r="J1060" s="174"/>
      <c r="K1060" s="174"/>
      <c r="L1060" s="174"/>
      <c r="M1060" s="174"/>
      <c r="N1060" s="174"/>
      <c r="O1060" s="174"/>
      <c r="P1060" s="174"/>
      <c r="Q1060" s="174"/>
      <c r="R1060" s="174"/>
      <c r="S1060" s="174"/>
      <c r="T1060" s="174"/>
      <c r="U1060" s="174"/>
      <c r="V1060" s="174"/>
      <c r="W1060" s="174"/>
      <c r="X1060" s="174"/>
      <c r="Y1060" s="174"/>
      <c r="Z1060" s="174"/>
      <c r="AA1060" s="174"/>
    </row>
    <row r="1061">
      <c r="A1061" s="174"/>
      <c r="B1061" s="174"/>
      <c r="C1061" s="174"/>
      <c r="D1061" s="174"/>
      <c r="E1061" s="174"/>
      <c r="F1061" s="175"/>
      <c r="G1061" s="175"/>
      <c r="H1061" s="174"/>
      <c r="I1061" s="174"/>
      <c r="J1061" s="174"/>
      <c r="K1061" s="174"/>
      <c r="L1061" s="174"/>
      <c r="M1061" s="174"/>
      <c r="N1061" s="174"/>
      <c r="O1061" s="174"/>
      <c r="P1061" s="174"/>
      <c r="Q1061" s="174"/>
      <c r="R1061" s="174"/>
      <c r="S1061" s="174"/>
      <c r="T1061" s="174"/>
      <c r="U1061" s="174"/>
      <c r="V1061" s="174"/>
      <c r="W1061" s="174"/>
      <c r="X1061" s="174"/>
      <c r="Y1061" s="174"/>
      <c r="Z1061" s="174"/>
      <c r="AA1061" s="174"/>
    </row>
    <row r="1062">
      <c r="A1062" s="174"/>
      <c r="B1062" s="174"/>
      <c r="C1062" s="174"/>
      <c r="D1062" s="174"/>
      <c r="E1062" s="174"/>
      <c r="F1062" s="175"/>
      <c r="G1062" s="175"/>
      <c r="H1062" s="174"/>
      <c r="I1062" s="174"/>
      <c r="J1062" s="174"/>
      <c r="K1062" s="174"/>
      <c r="L1062" s="174"/>
      <c r="M1062" s="174"/>
      <c r="N1062" s="174"/>
      <c r="O1062" s="174"/>
      <c r="P1062" s="174"/>
      <c r="Q1062" s="174"/>
      <c r="R1062" s="174"/>
      <c r="S1062" s="174"/>
      <c r="T1062" s="174"/>
      <c r="U1062" s="174"/>
      <c r="V1062" s="174"/>
      <c r="W1062" s="174"/>
      <c r="X1062" s="174"/>
      <c r="Y1062" s="174"/>
      <c r="Z1062" s="174"/>
      <c r="AA1062" s="174"/>
    </row>
    <row r="1063">
      <c r="A1063" s="174"/>
      <c r="B1063" s="174"/>
      <c r="C1063" s="174"/>
      <c r="D1063" s="174"/>
      <c r="E1063" s="174"/>
      <c r="F1063" s="175"/>
      <c r="G1063" s="175"/>
      <c r="H1063" s="174"/>
      <c r="I1063" s="174"/>
      <c r="J1063" s="174"/>
      <c r="K1063" s="174"/>
      <c r="L1063" s="174"/>
      <c r="M1063" s="174"/>
      <c r="N1063" s="174"/>
      <c r="O1063" s="174"/>
      <c r="P1063" s="174"/>
      <c r="Q1063" s="174"/>
      <c r="R1063" s="174"/>
      <c r="S1063" s="174"/>
      <c r="T1063" s="174"/>
      <c r="U1063" s="174"/>
      <c r="V1063" s="174"/>
      <c r="W1063" s="174"/>
      <c r="X1063" s="174"/>
      <c r="Y1063" s="174"/>
      <c r="Z1063" s="174"/>
      <c r="AA1063" s="174"/>
    </row>
    <row r="1064">
      <c r="A1064" s="174"/>
      <c r="B1064" s="174"/>
      <c r="C1064" s="174"/>
      <c r="D1064" s="174"/>
      <c r="E1064" s="174"/>
      <c r="F1064" s="175"/>
      <c r="G1064" s="175"/>
      <c r="H1064" s="174"/>
      <c r="I1064" s="174"/>
      <c r="J1064" s="174"/>
      <c r="K1064" s="174"/>
      <c r="L1064" s="174"/>
      <c r="M1064" s="174"/>
      <c r="N1064" s="174"/>
      <c r="O1064" s="174"/>
      <c r="P1064" s="174"/>
      <c r="Q1064" s="174"/>
      <c r="R1064" s="174"/>
      <c r="S1064" s="174"/>
      <c r="T1064" s="174"/>
      <c r="U1064" s="174"/>
      <c r="V1064" s="174"/>
      <c r="W1064" s="174"/>
      <c r="X1064" s="174"/>
      <c r="Y1064" s="174"/>
      <c r="Z1064" s="174"/>
      <c r="AA1064" s="174"/>
    </row>
    <row r="1065">
      <c r="A1065" s="174"/>
      <c r="B1065" s="174"/>
      <c r="C1065" s="174"/>
      <c r="D1065" s="174"/>
      <c r="E1065" s="174"/>
      <c r="F1065" s="175"/>
      <c r="G1065" s="175"/>
      <c r="H1065" s="174"/>
      <c r="I1065" s="174"/>
      <c r="J1065" s="174"/>
      <c r="K1065" s="174"/>
      <c r="L1065" s="174"/>
      <c r="M1065" s="174"/>
      <c r="N1065" s="174"/>
      <c r="O1065" s="174"/>
      <c r="P1065" s="174"/>
      <c r="Q1065" s="174"/>
      <c r="R1065" s="174"/>
      <c r="S1065" s="174"/>
      <c r="T1065" s="174"/>
      <c r="U1065" s="174"/>
      <c r="V1065" s="174"/>
      <c r="W1065" s="174"/>
      <c r="X1065" s="174"/>
      <c r="Y1065" s="174"/>
      <c r="Z1065" s="174"/>
      <c r="AA1065" s="174"/>
    </row>
    <row r="1066">
      <c r="A1066" s="174"/>
      <c r="B1066" s="174"/>
      <c r="C1066" s="174"/>
      <c r="D1066" s="174"/>
      <c r="E1066" s="174"/>
      <c r="F1066" s="175"/>
      <c r="G1066" s="175"/>
      <c r="H1066" s="174"/>
      <c r="I1066" s="174"/>
      <c r="J1066" s="174"/>
      <c r="K1066" s="174"/>
      <c r="L1066" s="174"/>
      <c r="M1066" s="174"/>
      <c r="N1066" s="174"/>
      <c r="O1066" s="174"/>
      <c r="P1066" s="174"/>
      <c r="Q1066" s="174"/>
      <c r="R1066" s="174"/>
      <c r="S1066" s="174"/>
      <c r="T1066" s="174"/>
      <c r="U1066" s="174"/>
      <c r="V1066" s="174"/>
      <c r="W1066" s="174"/>
      <c r="X1066" s="174"/>
      <c r="Y1066" s="174"/>
      <c r="Z1066" s="174"/>
      <c r="AA1066" s="174"/>
    </row>
    <row r="1067">
      <c r="A1067" s="174"/>
      <c r="B1067" s="174"/>
      <c r="C1067" s="174"/>
      <c r="D1067" s="174"/>
      <c r="E1067" s="174"/>
      <c r="F1067" s="175"/>
      <c r="G1067" s="175"/>
      <c r="H1067" s="174"/>
      <c r="I1067" s="174"/>
      <c r="J1067" s="174"/>
      <c r="K1067" s="174"/>
      <c r="L1067" s="174"/>
      <c r="M1067" s="174"/>
      <c r="N1067" s="174"/>
      <c r="O1067" s="174"/>
      <c r="P1067" s="174"/>
      <c r="Q1067" s="174"/>
      <c r="R1067" s="174"/>
      <c r="S1067" s="174"/>
      <c r="T1067" s="174"/>
      <c r="U1067" s="174"/>
      <c r="V1067" s="174"/>
      <c r="W1067" s="174"/>
      <c r="X1067" s="174"/>
      <c r="Y1067" s="174"/>
      <c r="Z1067" s="174"/>
      <c r="AA1067" s="174"/>
    </row>
    <row r="1068">
      <c r="A1068" s="174"/>
      <c r="B1068" s="174"/>
      <c r="C1068" s="174"/>
      <c r="D1068" s="174"/>
      <c r="E1068" s="174"/>
      <c r="F1068" s="175"/>
      <c r="G1068" s="175"/>
      <c r="H1068" s="174"/>
      <c r="I1068" s="174"/>
      <c r="J1068" s="174"/>
      <c r="K1068" s="174"/>
      <c r="L1068" s="174"/>
      <c r="M1068" s="174"/>
      <c r="N1068" s="174"/>
      <c r="O1068" s="174"/>
      <c r="P1068" s="174"/>
      <c r="Q1068" s="174"/>
      <c r="R1068" s="174"/>
      <c r="S1068" s="174"/>
      <c r="T1068" s="174"/>
      <c r="U1068" s="174"/>
      <c r="V1068" s="174"/>
      <c r="W1068" s="174"/>
      <c r="X1068" s="174"/>
      <c r="Y1068" s="174"/>
      <c r="Z1068" s="174"/>
      <c r="AA1068" s="174"/>
    </row>
    <row r="1069">
      <c r="A1069" s="174"/>
      <c r="B1069" s="174"/>
      <c r="C1069" s="174"/>
      <c r="D1069" s="174"/>
      <c r="E1069" s="174"/>
      <c r="F1069" s="175"/>
      <c r="G1069" s="175"/>
      <c r="H1069" s="174"/>
      <c r="I1069" s="174"/>
      <c r="J1069" s="174"/>
      <c r="K1069" s="174"/>
      <c r="L1069" s="174"/>
      <c r="M1069" s="174"/>
      <c r="N1069" s="174"/>
      <c r="O1069" s="174"/>
      <c r="P1069" s="174"/>
      <c r="Q1069" s="174"/>
      <c r="R1069" s="174"/>
      <c r="S1069" s="174"/>
      <c r="T1069" s="174"/>
      <c r="U1069" s="174"/>
      <c r="V1069" s="174"/>
      <c r="W1069" s="174"/>
      <c r="X1069" s="174"/>
      <c r="Y1069" s="174"/>
      <c r="Z1069" s="174"/>
      <c r="AA1069" s="174"/>
    </row>
    <row r="1070">
      <c r="A1070" s="174"/>
      <c r="B1070" s="174"/>
      <c r="C1070" s="174"/>
      <c r="D1070" s="174"/>
      <c r="E1070" s="174"/>
      <c r="F1070" s="175"/>
      <c r="G1070" s="175"/>
      <c r="H1070" s="174"/>
      <c r="I1070" s="174"/>
      <c r="J1070" s="174"/>
      <c r="K1070" s="174"/>
      <c r="L1070" s="174"/>
      <c r="M1070" s="174"/>
      <c r="N1070" s="174"/>
      <c r="O1070" s="174"/>
      <c r="P1070" s="174"/>
      <c r="Q1070" s="174"/>
      <c r="R1070" s="174"/>
      <c r="S1070" s="174"/>
      <c r="T1070" s="174"/>
      <c r="U1070" s="174"/>
      <c r="V1070" s="174"/>
      <c r="W1070" s="174"/>
      <c r="X1070" s="174"/>
      <c r="Y1070" s="174"/>
      <c r="Z1070" s="174"/>
      <c r="AA1070" s="174"/>
    </row>
    <row r="1071">
      <c r="A1071" s="174"/>
      <c r="B1071" s="174"/>
      <c r="C1071" s="174"/>
      <c r="D1071" s="174"/>
      <c r="E1071" s="174"/>
      <c r="F1071" s="175"/>
      <c r="G1071" s="175"/>
      <c r="H1071" s="174"/>
      <c r="I1071" s="174"/>
      <c r="J1071" s="174"/>
      <c r="K1071" s="174"/>
      <c r="L1071" s="174"/>
      <c r="M1071" s="174"/>
      <c r="N1071" s="174"/>
      <c r="O1071" s="174"/>
      <c r="P1071" s="174"/>
      <c r="Q1071" s="174"/>
      <c r="R1071" s="174"/>
      <c r="S1071" s="174"/>
      <c r="T1071" s="174"/>
      <c r="U1071" s="174"/>
      <c r="V1071" s="174"/>
      <c r="W1071" s="174"/>
      <c r="X1071" s="174"/>
      <c r="Y1071" s="174"/>
      <c r="Z1071" s="174"/>
      <c r="AA1071" s="174"/>
    </row>
    <row r="1072">
      <c r="A1072" s="174"/>
      <c r="B1072" s="174"/>
      <c r="C1072" s="174"/>
      <c r="D1072" s="174"/>
      <c r="E1072" s="174"/>
      <c r="F1072" s="175"/>
      <c r="G1072" s="175"/>
      <c r="H1072" s="174"/>
      <c r="I1072" s="174"/>
      <c r="J1072" s="174"/>
      <c r="K1072" s="174"/>
      <c r="L1072" s="174"/>
      <c r="M1072" s="174"/>
      <c r="N1072" s="174"/>
      <c r="O1072" s="174"/>
      <c r="P1072" s="174"/>
      <c r="Q1072" s="174"/>
      <c r="R1072" s="174"/>
      <c r="S1072" s="174"/>
      <c r="T1072" s="174"/>
      <c r="U1072" s="174"/>
      <c r="V1072" s="174"/>
      <c r="W1072" s="174"/>
      <c r="X1072" s="174"/>
      <c r="Y1072" s="174"/>
      <c r="Z1072" s="174"/>
      <c r="AA1072" s="174"/>
    </row>
    <row r="1073">
      <c r="A1073" s="174"/>
      <c r="B1073" s="174"/>
      <c r="C1073" s="174"/>
      <c r="D1073" s="174"/>
      <c r="E1073" s="174"/>
      <c r="F1073" s="175"/>
      <c r="G1073" s="175"/>
      <c r="H1073" s="174"/>
      <c r="I1073" s="174"/>
      <c r="J1073" s="174"/>
      <c r="K1073" s="174"/>
      <c r="L1073" s="174"/>
      <c r="M1073" s="174"/>
      <c r="N1073" s="174"/>
      <c r="O1073" s="174"/>
      <c r="P1073" s="174"/>
      <c r="Q1073" s="174"/>
      <c r="R1073" s="174"/>
      <c r="S1073" s="174"/>
      <c r="T1073" s="174"/>
      <c r="U1073" s="174"/>
      <c r="V1073" s="174"/>
      <c r="W1073" s="174"/>
      <c r="X1073" s="174"/>
      <c r="Y1073" s="174"/>
      <c r="Z1073" s="174"/>
      <c r="AA1073" s="174"/>
    </row>
    <row r="1074">
      <c r="A1074" s="174"/>
      <c r="B1074" s="174"/>
      <c r="C1074" s="174"/>
      <c r="D1074" s="174"/>
      <c r="E1074" s="174"/>
      <c r="F1074" s="175"/>
      <c r="G1074" s="175"/>
      <c r="H1074" s="174"/>
      <c r="I1074" s="174"/>
      <c r="J1074" s="174"/>
      <c r="K1074" s="174"/>
      <c r="L1074" s="174"/>
      <c r="M1074" s="174"/>
      <c r="N1074" s="174"/>
      <c r="O1074" s="174"/>
      <c r="P1074" s="174"/>
      <c r="Q1074" s="174"/>
      <c r="R1074" s="174"/>
      <c r="S1074" s="174"/>
      <c r="T1074" s="174"/>
      <c r="U1074" s="174"/>
      <c r="V1074" s="174"/>
      <c r="W1074" s="174"/>
      <c r="X1074" s="174"/>
      <c r="Y1074" s="174"/>
      <c r="Z1074" s="174"/>
      <c r="AA1074" s="174"/>
    </row>
    <row r="1075">
      <c r="A1075" s="174"/>
      <c r="B1075" s="174"/>
      <c r="C1075" s="174"/>
      <c r="D1075" s="174"/>
      <c r="E1075" s="174"/>
      <c r="F1075" s="175"/>
      <c r="G1075" s="175"/>
      <c r="H1075" s="174"/>
      <c r="I1075" s="174"/>
      <c r="J1075" s="174"/>
      <c r="K1075" s="174"/>
      <c r="L1075" s="174"/>
      <c r="M1075" s="174"/>
      <c r="N1075" s="174"/>
      <c r="O1075" s="174"/>
      <c r="P1075" s="174"/>
      <c r="Q1075" s="174"/>
      <c r="R1075" s="174"/>
      <c r="S1075" s="174"/>
      <c r="T1075" s="174"/>
      <c r="U1075" s="174"/>
      <c r="V1075" s="174"/>
      <c r="W1075" s="174"/>
      <c r="X1075" s="174"/>
      <c r="Y1075" s="174"/>
      <c r="Z1075" s="174"/>
      <c r="AA1075" s="174"/>
    </row>
    <row r="1076">
      <c r="A1076" s="174"/>
      <c r="B1076" s="174"/>
      <c r="C1076" s="174"/>
      <c r="D1076" s="174"/>
      <c r="E1076" s="174"/>
      <c r="F1076" s="175"/>
      <c r="G1076" s="175"/>
      <c r="H1076" s="174"/>
      <c r="I1076" s="174"/>
      <c r="J1076" s="174"/>
      <c r="K1076" s="174"/>
      <c r="L1076" s="174"/>
      <c r="M1076" s="174"/>
      <c r="N1076" s="174"/>
      <c r="O1076" s="174"/>
      <c r="P1076" s="174"/>
      <c r="Q1076" s="174"/>
      <c r="R1076" s="174"/>
      <c r="S1076" s="174"/>
      <c r="T1076" s="174"/>
      <c r="U1076" s="174"/>
      <c r="V1076" s="174"/>
      <c r="W1076" s="174"/>
      <c r="X1076" s="174"/>
      <c r="Y1076" s="174"/>
      <c r="Z1076" s="174"/>
      <c r="AA1076" s="174"/>
    </row>
    <row r="1077">
      <c r="A1077" s="174"/>
      <c r="B1077" s="174"/>
      <c r="C1077" s="174"/>
      <c r="D1077" s="174"/>
      <c r="E1077" s="174"/>
      <c r="F1077" s="175"/>
      <c r="G1077" s="175"/>
      <c r="H1077" s="174"/>
      <c r="I1077" s="174"/>
      <c r="J1077" s="174"/>
      <c r="K1077" s="174"/>
      <c r="L1077" s="174"/>
      <c r="M1077" s="174"/>
      <c r="N1077" s="174"/>
      <c r="O1077" s="174"/>
      <c r="P1077" s="174"/>
      <c r="Q1077" s="174"/>
      <c r="R1077" s="174"/>
      <c r="S1077" s="174"/>
      <c r="T1077" s="174"/>
      <c r="U1077" s="174"/>
      <c r="V1077" s="174"/>
      <c r="W1077" s="174"/>
      <c r="X1077" s="174"/>
      <c r="Y1077" s="174"/>
      <c r="Z1077" s="174"/>
      <c r="AA1077" s="174"/>
    </row>
    <row r="1078">
      <c r="A1078" s="174"/>
      <c r="B1078" s="174"/>
      <c r="C1078" s="174"/>
      <c r="D1078" s="174"/>
      <c r="E1078" s="174"/>
      <c r="F1078" s="175"/>
      <c r="G1078" s="175"/>
      <c r="H1078" s="174"/>
      <c r="I1078" s="174"/>
      <c r="J1078" s="174"/>
      <c r="K1078" s="174"/>
      <c r="L1078" s="174"/>
      <c r="M1078" s="174"/>
      <c r="N1078" s="174"/>
      <c r="O1078" s="174"/>
      <c r="P1078" s="174"/>
      <c r="Q1078" s="174"/>
      <c r="R1078" s="174"/>
      <c r="S1078" s="174"/>
      <c r="T1078" s="174"/>
      <c r="U1078" s="174"/>
      <c r="V1078" s="174"/>
      <c r="W1078" s="174"/>
      <c r="X1078" s="174"/>
      <c r="Y1078" s="174"/>
      <c r="Z1078" s="174"/>
      <c r="AA1078" s="174"/>
    </row>
    <row r="1079">
      <c r="A1079" s="174"/>
      <c r="B1079" s="174"/>
      <c r="C1079" s="174"/>
      <c r="D1079" s="174"/>
      <c r="E1079" s="174"/>
      <c r="F1079" s="175"/>
      <c r="G1079" s="175"/>
      <c r="H1079" s="174"/>
      <c r="I1079" s="174"/>
      <c r="J1079" s="174"/>
      <c r="K1079" s="174"/>
      <c r="L1079" s="174"/>
      <c r="M1079" s="174"/>
      <c r="N1079" s="174"/>
      <c r="O1079" s="174"/>
      <c r="P1079" s="174"/>
      <c r="Q1079" s="174"/>
      <c r="R1079" s="174"/>
      <c r="S1079" s="174"/>
      <c r="T1079" s="174"/>
      <c r="U1079" s="174"/>
      <c r="V1079" s="174"/>
      <c r="W1079" s="174"/>
      <c r="X1079" s="174"/>
      <c r="Y1079" s="174"/>
      <c r="Z1079" s="174"/>
      <c r="AA1079" s="174"/>
    </row>
    <row r="1080">
      <c r="A1080" s="174"/>
      <c r="B1080" s="174"/>
      <c r="C1080" s="174"/>
      <c r="D1080" s="174"/>
      <c r="E1080" s="174"/>
      <c r="F1080" s="175"/>
      <c r="G1080" s="175"/>
      <c r="H1080" s="174"/>
      <c r="I1080" s="174"/>
      <c r="J1080" s="174"/>
      <c r="K1080" s="174"/>
      <c r="L1080" s="174"/>
      <c r="M1080" s="174"/>
      <c r="N1080" s="174"/>
      <c r="O1080" s="174"/>
      <c r="P1080" s="174"/>
      <c r="Q1080" s="174"/>
      <c r="R1080" s="174"/>
      <c r="S1080" s="174"/>
      <c r="T1080" s="174"/>
      <c r="U1080" s="174"/>
      <c r="V1080" s="174"/>
      <c r="W1080" s="174"/>
      <c r="X1080" s="174"/>
      <c r="Y1080" s="174"/>
      <c r="Z1080" s="174"/>
      <c r="AA1080" s="174"/>
    </row>
    <row r="1081">
      <c r="A1081" s="174"/>
      <c r="B1081" s="174"/>
      <c r="C1081" s="174"/>
      <c r="D1081" s="174"/>
      <c r="E1081" s="174"/>
      <c r="F1081" s="175"/>
      <c r="G1081" s="175"/>
      <c r="H1081" s="174"/>
      <c r="I1081" s="174"/>
      <c r="J1081" s="174"/>
      <c r="K1081" s="174"/>
      <c r="L1081" s="174"/>
      <c r="M1081" s="174"/>
      <c r="N1081" s="174"/>
      <c r="O1081" s="174"/>
      <c r="P1081" s="174"/>
      <c r="Q1081" s="174"/>
      <c r="R1081" s="174"/>
      <c r="S1081" s="174"/>
      <c r="T1081" s="174"/>
      <c r="U1081" s="174"/>
      <c r="V1081" s="174"/>
      <c r="W1081" s="174"/>
      <c r="X1081" s="174"/>
      <c r="Y1081" s="174"/>
      <c r="Z1081" s="174"/>
      <c r="AA1081" s="174"/>
    </row>
    <row r="1082">
      <c r="A1082" s="174"/>
      <c r="B1082" s="174"/>
      <c r="C1082" s="174"/>
      <c r="D1082" s="174"/>
      <c r="E1082" s="174"/>
      <c r="F1082" s="175"/>
      <c r="G1082" s="175"/>
      <c r="H1082" s="174"/>
      <c r="I1082" s="174"/>
      <c r="J1082" s="174"/>
      <c r="K1082" s="174"/>
      <c r="L1082" s="174"/>
      <c r="M1082" s="174"/>
      <c r="N1082" s="174"/>
      <c r="O1082" s="174"/>
      <c r="P1082" s="174"/>
      <c r="Q1082" s="174"/>
      <c r="R1082" s="174"/>
      <c r="S1082" s="174"/>
      <c r="T1082" s="174"/>
      <c r="U1082" s="174"/>
      <c r="V1082" s="174"/>
      <c r="W1082" s="174"/>
      <c r="X1082" s="174"/>
      <c r="Y1082" s="174"/>
      <c r="Z1082" s="174"/>
      <c r="AA1082" s="174"/>
    </row>
    <row r="1083">
      <c r="A1083" s="174"/>
      <c r="B1083" s="174"/>
      <c r="C1083" s="174"/>
      <c r="D1083" s="174"/>
      <c r="E1083" s="174"/>
      <c r="F1083" s="175"/>
      <c r="G1083" s="175"/>
      <c r="H1083" s="174"/>
      <c r="I1083" s="174"/>
      <c r="J1083" s="174"/>
      <c r="K1083" s="174"/>
      <c r="L1083" s="174"/>
      <c r="M1083" s="174"/>
      <c r="N1083" s="174"/>
      <c r="O1083" s="174"/>
      <c r="P1083" s="174"/>
      <c r="Q1083" s="174"/>
      <c r="R1083" s="174"/>
      <c r="S1083" s="174"/>
      <c r="T1083" s="174"/>
      <c r="U1083" s="174"/>
      <c r="V1083" s="174"/>
      <c r="W1083" s="174"/>
      <c r="X1083" s="174"/>
      <c r="Y1083" s="174"/>
      <c r="Z1083" s="174"/>
      <c r="AA1083" s="174"/>
    </row>
    <row r="1084">
      <c r="A1084" s="174"/>
      <c r="B1084" s="174"/>
      <c r="C1084" s="174"/>
      <c r="D1084" s="174"/>
      <c r="E1084" s="174"/>
      <c r="F1084" s="175"/>
      <c r="G1084" s="175"/>
      <c r="H1084" s="174"/>
      <c r="I1084" s="174"/>
      <c r="J1084" s="174"/>
      <c r="K1084" s="174"/>
      <c r="L1084" s="174"/>
      <c r="M1084" s="174"/>
      <c r="N1084" s="174"/>
      <c r="O1084" s="174"/>
      <c r="P1084" s="174"/>
      <c r="Q1084" s="174"/>
      <c r="R1084" s="174"/>
      <c r="S1084" s="174"/>
      <c r="T1084" s="174"/>
      <c r="U1084" s="174"/>
      <c r="V1084" s="174"/>
      <c r="W1084" s="174"/>
      <c r="X1084" s="174"/>
      <c r="Y1084" s="174"/>
      <c r="Z1084" s="174"/>
      <c r="AA1084" s="174"/>
    </row>
    <row r="1085">
      <c r="A1085" s="174"/>
      <c r="B1085" s="174"/>
      <c r="C1085" s="174"/>
      <c r="D1085" s="174"/>
      <c r="E1085" s="174"/>
      <c r="F1085" s="175"/>
      <c r="G1085" s="175"/>
      <c r="H1085" s="174"/>
      <c r="I1085" s="174"/>
      <c r="J1085" s="174"/>
      <c r="K1085" s="174"/>
      <c r="L1085" s="174"/>
      <c r="M1085" s="174"/>
      <c r="N1085" s="174"/>
      <c r="O1085" s="174"/>
      <c r="P1085" s="174"/>
      <c r="Q1085" s="174"/>
      <c r="R1085" s="174"/>
      <c r="S1085" s="174"/>
      <c r="T1085" s="174"/>
      <c r="U1085" s="174"/>
      <c r="V1085" s="174"/>
      <c r="W1085" s="174"/>
      <c r="X1085" s="174"/>
      <c r="Y1085" s="174"/>
      <c r="Z1085" s="174"/>
      <c r="AA1085" s="174"/>
    </row>
    <row r="1086">
      <c r="A1086" s="174"/>
      <c r="B1086" s="174"/>
      <c r="C1086" s="174"/>
      <c r="D1086" s="174"/>
      <c r="E1086" s="174"/>
      <c r="F1086" s="175"/>
      <c r="G1086" s="175"/>
      <c r="H1086" s="174"/>
      <c r="I1086" s="174"/>
      <c r="J1086" s="174"/>
      <c r="K1086" s="174"/>
      <c r="L1086" s="174"/>
      <c r="M1086" s="174"/>
      <c r="N1086" s="174"/>
      <c r="O1086" s="174"/>
      <c r="P1086" s="174"/>
      <c r="Q1086" s="174"/>
      <c r="R1086" s="174"/>
      <c r="S1086" s="174"/>
      <c r="T1086" s="174"/>
      <c r="U1086" s="174"/>
      <c r="V1086" s="174"/>
      <c r="W1086" s="174"/>
      <c r="X1086" s="174"/>
      <c r="Y1086" s="174"/>
      <c r="Z1086" s="174"/>
      <c r="AA1086" s="174"/>
    </row>
    <row r="1087">
      <c r="A1087" s="174"/>
      <c r="B1087" s="174"/>
      <c r="C1087" s="174"/>
      <c r="D1087" s="174"/>
      <c r="E1087" s="174"/>
      <c r="F1087" s="175"/>
      <c r="G1087" s="175"/>
      <c r="H1087" s="174"/>
      <c r="I1087" s="174"/>
      <c r="J1087" s="174"/>
      <c r="K1087" s="174"/>
      <c r="L1087" s="174"/>
      <c r="M1087" s="174"/>
      <c r="N1087" s="174"/>
      <c r="O1087" s="174"/>
      <c r="P1087" s="174"/>
      <c r="Q1087" s="174"/>
      <c r="R1087" s="174"/>
      <c r="S1087" s="174"/>
      <c r="T1087" s="174"/>
      <c r="U1087" s="174"/>
      <c r="V1087" s="174"/>
      <c r="W1087" s="174"/>
      <c r="X1087" s="174"/>
      <c r="Y1087" s="174"/>
      <c r="Z1087" s="174"/>
      <c r="AA1087" s="174"/>
    </row>
    <row r="1088">
      <c r="A1088" s="174"/>
      <c r="B1088" s="174"/>
      <c r="C1088" s="174"/>
      <c r="D1088" s="174"/>
      <c r="E1088" s="174"/>
      <c r="F1088" s="175"/>
      <c r="G1088" s="175"/>
      <c r="H1088" s="174"/>
      <c r="I1088" s="174"/>
      <c r="J1088" s="174"/>
      <c r="K1088" s="174"/>
      <c r="L1088" s="174"/>
      <c r="M1088" s="174"/>
      <c r="N1088" s="174"/>
      <c r="O1088" s="174"/>
      <c r="P1088" s="174"/>
      <c r="Q1088" s="174"/>
      <c r="R1088" s="174"/>
      <c r="S1088" s="174"/>
      <c r="T1088" s="174"/>
      <c r="U1088" s="174"/>
      <c r="V1088" s="174"/>
      <c r="W1088" s="174"/>
      <c r="X1088" s="174"/>
      <c r="Y1088" s="174"/>
      <c r="Z1088" s="174"/>
      <c r="AA1088" s="174"/>
    </row>
    <row r="1089">
      <c r="A1089" s="174"/>
      <c r="B1089" s="174"/>
      <c r="C1089" s="174"/>
      <c r="D1089" s="174"/>
      <c r="E1089" s="174"/>
      <c r="F1089" s="175"/>
      <c r="G1089" s="175"/>
      <c r="H1089" s="174"/>
      <c r="I1089" s="174"/>
      <c r="J1089" s="174"/>
      <c r="K1089" s="174"/>
      <c r="L1089" s="174"/>
      <c r="M1089" s="174"/>
      <c r="N1089" s="174"/>
      <c r="O1089" s="174"/>
      <c r="P1089" s="174"/>
      <c r="Q1089" s="174"/>
      <c r="R1089" s="174"/>
      <c r="S1089" s="174"/>
      <c r="T1089" s="174"/>
      <c r="U1089" s="174"/>
      <c r="V1089" s="174"/>
      <c r="W1089" s="174"/>
      <c r="X1089" s="174"/>
      <c r="Y1089" s="174"/>
      <c r="Z1089" s="174"/>
      <c r="AA1089" s="174"/>
    </row>
    <row r="1090">
      <c r="A1090" s="174"/>
      <c r="B1090" s="174"/>
      <c r="C1090" s="174"/>
      <c r="D1090" s="174"/>
      <c r="E1090" s="174"/>
      <c r="F1090" s="175"/>
      <c r="G1090" s="175"/>
      <c r="H1090" s="174"/>
      <c r="I1090" s="174"/>
      <c r="J1090" s="174"/>
      <c r="K1090" s="174"/>
      <c r="L1090" s="174"/>
      <c r="M1090" s="174"/>
      <c r="N1090" s="174"/>
      <c r="O1090" s="174"/>
      <c r="P1090" s="174"/>
      <c r="Q1090" s="174"/>
      <c r="R1090" s="174"/>
      <c r="S1090" s="174"/>
      <c r="T1090" s="174"/>
      <c r="U1090" s="174"/>
      <c r="V1090" s="174"/>
      <c r="W1090" s="174"/>
      <c r="X1090" s="174"/>
      <c r="Y1090" s="174"/>
      <c r="Z1090" s="174"/>
      <c r="AA1090" s="174"/>
    </row>
    <row r="1091">
      <c r="A1091" s="174"/>
      <c r="B1091" s="174"/>
      <c r="C1091" s="174"/>
      <c r="D1091" s="174"/>
      <c r="E1091" s="174"/>
      <c r="F1091" s="175"/>
      <c r="G1091" s="175"/>
      <c r="H1091" s="174"/>
      <c r="I1091" s="174"/>
      <c r="J1091" s="174"/>
      <c r="K1091" s="174"/>
      <c r="L1091" s="174"/>
      <c r="M1091" s="174"/>
      <c r="N1091" s="174"/>
      <c r="O1091" s="174"/>
      <c r="P1091" s="174"/>
      <c r="Q1091" s="174"/>
      <c r="R1091" s="174"/>
      <c r="S1091" s="174"/>
      <c r="T1091" s="174"/>
      <c r="U1091" s="174"/>
      <c r="V1091" s="174"/>
      <c r="W1091" s="174"/>
      <c r="X1091" s="174"/>
      <c r="Y1091" s="174"/>
      <c r="Z1091" s="174"/>
      <c r="AA1091" s="174"/>
    </row>
    <row r="1092">
      <c r="A1092" s="174"/>
      <c r="B1092" s="174"/>
      <c r="C1092" s="174"/>
      <c r="D1092" s="174"/>
      <c r="E1092" s="174"/>
      <c r="F1092" s="175"/>
      <c r="G1092" s="175"/>
      <c r="H1092" s="174"/>
      <c r="I1092" s="174"/>
      <c r="J1092" s="174"/>
      <c r="K1092" s="174"/>
      <c r="L1092" s="174"/>
      <c r="M1092" s="174"/>
      <c r="N1092" s="174"/>
      <c r="O1092" s="174"/>
      <c r="P1092" s="174"/>
      <c r="Q1092" s="174"/>
      <c r="R1092" s="174"/>
      <c r="S1092" s="174"/>
      <c r="T1092" s="174"/>
      <c r="U1092" s="174"/>
      <c r="V1092" s="174"/>
      <c r="W1092" s="174"/>
      <c r="X1092" s="174"/>
      <c r="Y1092" s="174"/>
      <c r="Z1092" s="174"/>
      <c r="AA1092" s="174"/>
    </row>
    <row r="1093">
      <c r="A1093" s="174"/>
      <c r="B1093" s="174"/>
      <c r="C1093" s="174"/>
      <c r="D1093" s="174"/>
      <c r="E1093" s="174"/>
      <c r="F1093" s="175"/>
      <c r="G1093" s="175"/>
      <c r="H1093" s="174"/>
      <c r="I1093" s="174"/>
      <c r="J1093" s="174"/>
      <c r="K1093" s="174"/>
      <c r="L1093" s="174"/>
      <c r="M1093" s="174"/>
      <c r="N1093" s="174"/>
      <c r="O1093" s="174"/>
      <c r="P1093" s="174"/>
      <c r="Q1093" s="174"/>
      <c r="R1093" s="174"/>
      <c r="S1093" s="174"/>
      <c r="T1093" s="174"/>
      <c r="U1093" s="174"/>
      <c r="V1093" s="174"/>
      <c r="W1093" s="174"/>
      <c r="X1093" s="174"/>
      <c r="Y1093" s="174"/>
      <c r="Z1093" s="174"/>
      <c r="AA1093" s="174"/>
    </row>
    <row r="1094">
      <c r="A1094" s="174"/>
      <c r="B1094" s="174"/>
      <c r="C1094" s="174"/>
      <c r="D1094" s="174"/>
      <c r="E1094" s="174"/>
      <c r="F1094" s="175"/>
      <c r="G1094" s="175"/>
      <c r="H1094" s="174"/>
      <c r="I1094" s="174"/>
      <c r="J1094" s="174"/>
      <c r="K1094" s="174"/>
      <c r="L1094" s="174"/>
      <c r="M1094" s="174"/>
      <c r="N1094" s="174"/>
      <c r="O1094" s="174"/>
      <c r="P1094" s="174"/>
      <c r="Q1094" s="174"/>
      <c r="R1094" s="174"/>
      <c r="S1094" s="174"/>
      <c r="T1094" s="174"/>
      <c r="U1094" s="174"/>
      <c r="V1094" s="174"/>
      <c r="W1094" s="174"/>
      <c r="X1094" s="174"/>
      <c r="Y1094" s="174"/>
      <c r="Z1094" s="174"/>
      <c r="AA1094" s="174"/>
    </row>
    <row r="1095">
      <c r="A1095" s="174"/>
      <c r="B1095" s="174"/>
      <c r="C1095" s="174"/>
      <c r="D1095" s="174"/>
      <c r="E1095" s="174"/>
      <c r="F1095" s="175"/>
      <c r="G1095" s="175"/>
      <c r="H1095" s="174"/>
      <c r="I1095" s="174"/>
      <c r="J1095" s="174"/>
      <c r="K1095" s="174"/>
      <c r="L1095" s="174"/>
      <c r="M1095" s="174"/>
      <c r="N1095" s="174"/>
      <c r="O1095" s="174"/>
      <c r="P1095" s="174"/>
      <c r="Q1095" s="174"/>
      <c r="R1095" s="174"/>
      <c r="S1095" s="174"/>
      <c r="T1095" s="174"/>
      <c r="U1095" s="174"/>
      <c r="V1095" s="174"/>
      <c r="W1095" s="174"/>
      <c r="X1095" s="174"/>
      <c r="Y1095" s="174"/>
      <c r="Z1095" s="174"/>
      <c r="AA1095" s="174"/>
    </row>
    <row r="1096">
      <c r="A1096" s="174"/>
      <c r="B1096" s="174"/>
      <c r="C1096" s="174"/>
      <c r="D1096" s="174"/>
      <c r="E1096" s="174"/>
      <c r="F1096" s="175"/>
      <c r="G1096" s="175"/>
      <c r="H1096" s="174"/>
      <c r="I1096" s="174"/>
      <c r="J1096" s="174"/>
      <c r="K1096" s="174"/>
      <c r="L1096" s="174"/>
      <c r="M1096" s="174"/>
      <c r="N1096" s="174"/>
      <c r="O1096" s="174"/>
      <c r="P1096" s="174"/>
      <c r="Q1096" s="174"/>
      <c r="R1096" s="174"/>
      <c r="S1096" s="174"/>
      <c r="T1096" s="174"/>
      <c r="U1096" s="174"/>
      <c r="V1096" s="174"/>
      <c r="W1096" s="174"/>
      <c r="X1096" s="174"/>
      <c r="Y1096" s="174"/>
      <c r="Z1096" s="174"/>
      <c r="AA1096" s="174"/>
    </row>
    <row r="1097">
      <c r="A1097" s="174"/>
      <c r="B1097" s="174"/>
      <c r="C1097" s="174"/>
      <c r="D1097" s="174"/>
      <c r="E1097" s="174"/>
      <c r="F1097" s="175"/>
      <c r="G1097" s="175"/>
      <c r="H1097" s="174"/>
      <c r="I1097" s="174"/>
      <c r="J1097" s="174"/>
      <c r="K1097" s="174"/>
      <c r="L1097" s="174"/>
      <c r="M1097" s="174"/>
      <c r="N1097" s="174"/>
      <c r="O1097" s="174"/>
      <c r="P1097" s="174"/>
      <c r="Q1097" s="174"/>
      <c r="R1097" s="174"/>
      <c r="S1097" s="174"/>
      <c r="T1097" s="174"/>
      <c r="U1097" s="174"/>
      <c r="V1097" s="174"/>
      <c r="W1097" s="174"/>
      <c r="X1097" s="174"/>
      <c r="Y1097" s="174"/>
      <c r="Z1097" s="174"/>
      <c r="AA1097" s="174"/>
    </row>
    <row r="1098">
      <c r="A1098" s="174"/>
      <c r="B1098" s="174"/>
      <c r="C1098" s="174"/>
      <c r="D1098" s="174"/>
      <c r="E1098" s="174"/>
      <c r="F1098" s="175"/>
      <c r="G1098" s="175"/>
      <c r="H1098" s="174"/>
      <c r="I1098" s="174"/>
      <c r="J1098" s="174"/>
      <c r="K1098" s="174"/>
      <c r="L1098" s="174"/>
      <c r="M1098" s="174"/>
      <c r="N1098" s="174"/>
      <c r="O1098" s="174"/>
      <c r="P1098" s="174"/>
      <c r="Q1098" s="174"/>
      <c r="R1098" s="174"/>
      <c r="S1098" s="174"/>
      <c r="T1098" s="174"/>
      <c r="U1098" s="174"/>
      <c r="V1098" s="174"/>
      <c r="W1098" s="174"/>
      <c r="X1098" s="174"/>
      <c r="Y1098" s="174"/>
      <c r="Z1098" s="174"/>
      <c r="AA1098" s="174"/>
    </row>
    <row r="1099">
      <c r="A1099" s="174"/>
      <c r="B1099" s="174"/>
      <c r="C1099" s="174"/>
      <c r="D1099" s="174"/>
      <c r="E1099" s="174"/>
      <c r="F1099" s="175"/>
      <c r="G1099" s="175"/>
      <c r="H1099" s="174"/>
      <c r="I1099" s="174"/>
      <c r="J1099" s="174"/>
      <c r="K1099" s="174"/>
      <c r="L1099" s="174"/>
      <c r="M1099" s="174"/>
      <c r="N1099" s="174"/>
      <c r="O1099" s="174"/>
      <c r="P1099" s="174"/>
      <c r="Q1099" s="174"/>
      <c r="R1099" s="174"/>
      <c r="S1099" s="174"/>
      <c r="T1099" s="174"/>
      <c r="U1099" s="174"/>
      <c r="V1099" s="174"/>
      <c r="W1099" s="174"/>
      <c r="X1099" s="174"/>
      <c r="Y1099" s="174"/>
      <c r="Z1099" s="174"/>
      <c r="AA1099" s="174"/>
    </row>
    <row r="1100">
      <c r="A1100" s="174"/>
      <c r="B1100" s="174"/>
      <c r="C1100" s="174"/>
      <c r="D1100" s="174"/>
      <c r="E1100" s="174"/>
      <c r="F1100" s="175"/>
      <c r="G1100" s="175"/>
      <c r="H1100" s="174"/>
      <c r="I1100" s="174"/>
      <c r="J1100" s="174"/>
      <c r="K1100" s="174"/>
      <c r="L1100" s="174"/>
      <c r="M1100" s="174"/>
      <c r="N1100" s="174"/>
      <c r="O1100" s="174"/>
      <c r="P1100" s="174"/>
      <c r="Q1100" s="174"/>
      <c r="R1100" s="174"/>
      <c r="S1100" s="174"/>
      <c r="T1100" s="174"/>
      <c r="U1100" s="174"/>
      <c r="V1100" s="174"/>
      <c r="W1100" s="174"/>
      <c r="X1100" s="174"/>
      <c r="Y1100" s="174"/>
      <c r="Z1100" s="174"/>
      <c r="AA1100" s="174"/>
    </row>
    <row r="1101">
      <c r="A1101" s="174"/>
      <c r="B1101" s="174"/>
      <c r="C1101" s="174"/>
      <c r="D1101" s="174"/>
      <c r="E1101" s="174"/>
      <c r="F1101" s="175"/>
      <c r="G1101" s="175"/>
      <c r="H1101" s="174"/>
      <c r="I1101" s="174"/>
      <c r="J1101" s="174"/>
      <c r="K1101" s="174"/>
      <c r="L1101" s="174"/>
      <c r="M1101" s="174"/>
      <c r="N1101" s="174"/>
      <c r="O1101" s="174"/>
      <c r="P1101" s="174"/>
      <c r="Q1101" s="174"/>
      <c r="R1101" s="174"/>
      <c r="S1101" s="174"/>
      <c r="T1101" s="174"/>
      <c r="U1101" s="174"/>
      <c r="V1101" s="174"/>
      <c r="W1101" s="174"/>
      <c r="X1101" s="174"/>
      <c r="Y1101" s="174"/>
      <c r="Z1101" s="174"/>
      <c r="AA1101" s="174"/>
    </row>
    <row r="1102">
      <c r="A1102" s="174"/>
      <c r="B1102" s="174"/>
      <c r="C1102" s="174"/>
      <c r="D1102" s="174"/>
      <c r="E1102" s="174"/>
      <c r="F1102" s="175"/>
      <c r="G1102" s="175"/>
      <c r="H1102" s="174"/>
      <c r="I1102" s="174"/>
      <c r="J1102" s="174"/>
      <c r="K1102" s="174"/>
      <c r="L1102" s="174"/>
      <c r="M1102" s="174"/>
      <c r="N1102" s="174"/>
      <c r="O1102" s="174"/>
      <c r="P1102" s="174"/>
      <c r="Q1102" s="174"/>
      <c r="R1102" s="174"/>
      <c r="S1102" s="174"/>
      <c r="T1102" s="174"/>
      <c r="U1102" s="174"/>
      <c r="V1102" s="174"/>
      <c r="W1102" s="174"/>
      <c r="X1102" s="174"/>
      <c r="Y1102" s="174"/>
      <c r="Z1102" s="174"/>
      <c r="AA1102" s="174"/>
    </row>
    <row r="1103">
      <c r="A1103" s="174"/>
      <c r="B1103" s="174"/>
      <c r="C1103" s="174"/>
      <c r="D1103" s="174"/>
      <c r="E1103" s="174"/>
      <c r="F1103" s="175"/>
      <c r="G1103" s="175"/>
      <c r="H1103" s="174"/>
      <c r="I1103" s="174"/>
      <c r="J1103" s="174"/>
      <c r="K1103" s="174"/>
      <c r="L1103" s="174"/>
      <c r="M1103" s="174"/>
      <c r="N1103" s="174"/>
      <c r="O1103" s="174"/>
      <c r="P1103" s="174"/>
      <c r="Q1103" s="174"/>
      <c r="R1103" s="174"/>
      <c r="S1103" s="174"/>
      <c r="T1103" s="174"/>
      <c r="U1103" s="174"/>
      <c r="V1103" s="174"/>
      <c r="W1103" s="174"/>
      <c r="X1103" s="174"/>
      <c r="Y1103" s="174"/>
      <c r="Z1103" s="174"/>
      <c r="AA1103" s="174"/>
    </row>
    <row r="1104">
      <c r="A1104" s="174"/>
      <c r="B1104" s="174"/>
      <c r="C1104" s="174"/>
      <c r="D1104" s="174"/>
      <c r="E1104" s="174"/>
      <c r="F1104" s="175"/>
      <c r="G1104" s="175"/>
      <c r="H1104" s="174"/>
      <c r="I1104" s="174"/>
      <c r="J1104" s="174"/>
      <c r="K1104" s="174"/>
      <c r="L1104" s="174"/>
      <c r="M1104" s="174"/>
      <c r="N1104" s="174"/>
      <c r="O1104" s="174"/>
      <c r="P1104" s="174"/>
      <c r="Q1104" s="174"/>
      <c r="R1104" s="174"/>
      <c r="S1104" s="174"/>
      <c r="T1104" s="174"/>
      <c r="U1104" s="174"/>
      <c r="V1104" s="174"/>
      <c r="W1104" s="174"/>
      <c r="X1104" s="174"/>
      <c r="Y1104" s="174"/>
      <c r="Z1104" s="174"/>
      <c r="AA1104" s="174"/>
    </row>
    <row r="1105">
      <c r="A1105" s="174"/>
      <c r="B1105" s="174"/>
      <c r="C1105" s="174"/>
      <c r="D1105" s="174"/>
      <c r="E1105" s="174"/>
      <c r="F1105" s="175"/>
      <c r="G1105" s="175"/>
      <c r="H1105" s="174"/>
      <c r="I1105" s="174"/>
      <c r="J1105" s="174"/>
      <c r="K1105" s="174"/>
      <c r="L1105" s="174"/>
      <c r="M1105" s="174"/>
      <c r="N1105" s="174"/>
      <c r="O1105" s="174"/>
      <c r="P1105" s="174"/>
      <c r="Q1105" s="174"/>
      <c r="R1105" s="174"/>
      <c r="S1105" s="174"/>
      <c r="T1105" s="174"/>
      <c r="U1105" s="174"/>
      <c r="V1105" s="174"/>
      <c r="W1105" s="174"/>
      <c r="X1105" s="174"/>
      <c r="Y1105" s="174"/>
      <c r="Z1105" s="174"/>
      <c r="AA1105" s="174"/>
    </row>
    <row r="1106">
      <c r="A1106" s="174"/>
      <c r="B1106" s="174"/>
      <c r="C1106" s="174"/>
      <c r="D1106" s="174"/>
      <c r="E1106" s="174"/>
      <c r="F1106" s="175"/>
      <c r="G1106" s="175"/>
      <c r="H1106" s="174"/>
      <c r="I1106" s="174"/>
      <c r="J1106" s="174"/>
      <c r="K1106" s="174"/>
      <c r="L1106" s="174"/>
      <c r="M1106" s="174"/>
      <c r="N1106" s="174"/>
      <c r="O1106" s="174"/>
      <c r="P1106" s="174"/>
      <c r="Q1106" s="174"/>
      <c r="R1106" s="174"/>
      <c r="S1106" s="174"/>
      <c r="T1106" s="174"/>
      <c r="U1106" s="174"/>
      <c r="V1106" s="174"/>
      <c r="W1106" s="174"/>
      <c r="X1106" s="174"/>
      <c r="Y1106" s="174"/>
      <c r="Z1106" s="174"/>
      <c r="AA1106" s="174"/>
    </row>
    <row r="1107">
      <c r="A1107" s="174"/>
      <c r="B1107" s="174"/>
      <c r="C1107" s="174"/>
      <c r="D1107" s="174"/>
      <c r="E1107" s="174"/>
      <c r="F1107" s="175"/>
      <c r="G1107" s="175"/>
      <c r="H1107" s="174"/>
      <c r="I1107" s="174"/>
      <c r="J1107" s="174"/>
      <c r="K1107" s="174"/>
      <c r="L1107" s="174"/>
      <c r="M1107" s="174"/>
      <c r="N1107" s="174"/>
      <c r="O1107" s="174"/>
      <c r="P1107" s="174"/>
      <c r="Q1107" s="174"/>
      <c r="R1107" s="174"/>
      <c r="S1107" s="174"/>
      <c r="T1107" s="174"/>
      <c r="U1107" s="174"/>
      <c r="V1107" s="174"/>
      <c r="W1107" s="174"/>
      <c r="X1107" s="174"/>
      <c r="Y1107" s="174"/>
      <c r="Z1107" s="174"/>
      <c r="AA1107" s="174"/>
    </row>
    <row r="1108">
      <c r="A1108" s="174"/>
      <c r="B1108" s="174"/>
      <c r="C1108" s="174"/>
      <c r="D1108" s="174"/>
      <c r="E1108" s="174"/>
      <c r="F1108" s="175"/>
      <c r="G1108" s="175"/>
      <c r="H1108" s="174"/>
      <c r="I1108" s="174"/>
      <c r="J1108" s="174"/>
      <c r="K1108" s="174"/>
      <c r="L1108" s="174"/>
      <c r="M1108" s="174"/>
      <c r="N1108" s="174"/>
      <c r="O1108" s="174"/>
      <c r="P1108" s="174"/>
      <c r="Q1108" s="174"/>
      <c r="R1108" s="174"/>
      <c r="S1108" s="174"/>
      <c r="T1108" s="174"/>
      <c r="U1108" s="174"/>
      <c r="V1108" s="174"/>
      <c r="W1108" s="174"/>
      <c r="X1108" s="174"/>
      <c r="Y1108" s="174"/>
      <c r="Z1108" s="174"/>
      <c r="AA1108" s="174"/>
    </row>
    <row r="1109">
      <c r="A1109" s="174"/>
      <c r="B1109" s="174"/>
      <c r="C1109" s="174"/>
      <c r="D1109" s="174"/>
      <c r="E1109" s="174"/>
      <c r="F1109" s="175"/>
      <c r="G1109" s="175"/>
      <c r="H1109" s="174"/>
      <c r="I1109" s="174"/>
      <c r="J1109" s="174"/>
      <c r="K1109" s="174"/>
      <c r="L1109" s="174"/>
      <c r="M1109" s="174"/>
      <c r="N1109" s="174"/>
      <c r="O1109" s="174"/>
      <c r="P1109" s="174"/>
      <c r="Q1109" s="174"/>
      <c r="R1109" s="174"/>
      <c r="S1109" s="174"/>
      <c r="T1109" s="174"/>
      <c r="U1109" s="174"/>
      <c r="V1109" s="174"/>
      <c r="W1109" s="174"/>
      <c r="X1109" s="174"/>
      <c r="Y1109" s="174"/>
      <c r="Z1109" s="174"/>
      <c r="AA1109" s="174"/>
    </row>
    <row r="1110">
      <c r="A1110" s="174"/>
      <c r="B1110" s="174"/>
      <c r="C1110" s="174"/>
      <c r="D1110" s="174"/>
      <c r="E1110" s="174"/>
      <c r="F1110" s="175"/>
      <c r="G1110" s="175"/>
      <c r="H1110" s="174"/>
      <c r="I1110" s="174"/>
      <c r="J1110" s="174"/>
      <c r="K1110" s="174"/>
      <c r="L1110" s="174"/>
      <c r="M1110" s="174"/>
      <c r="N1110" s="174"/>
      <c r="O1110" s="174"/>
      <c r="P1110" s="174"/>
      <c r="Q1110" s="174"/>
      <c r="R1110" s="174"/>
      <c r="S1110" s="174"/>
      <c r="T1110" s="174"/>
      <c r="U1110" s="174"/>
      <c r="V1110" s="174"/>
      <c r="W1110" s="174"/>
      <c r="X1110" s="174"/>
      <c r="Y1110" s="174"/>
      <c r="Z1110" s="174"/>
      <c r="AA1110" s="174"/>
    </row>
    <row r="1111">
      <c r="A1111" s="174"/>
      <c r="B1111" s="174"/>
      <c r="C1111" s="174"/>
      <c r="D1111" s="174"/>
      <c r="E1111" s="174"/>
      <c r="F1111" s="175"/>
      <c r="G1111" s="175"/>
      <c r="H1111" s="174"/>
      <c r="I1111" s="174"/>
      <c r="J1111" s="174"/>
      <c r="K1111" s="174"/>
      <c r="L1111" s="174"/>
      <c r="M1111" s="174"/>
      <c r="N1111" s="174"/>
      <c r="O1111" s="174"/>
      <c r="P1111" s="174"/>
      <c r="Q1111" s="174"/>
      <c r="R1111" s="174"/>
      <c r="S1111" s="174"/>
      <c r="T1111" s="174"/>
      <c r="U1111" s="174"/>
      <c r="V1111" s="174"/>
      <c r="W1111" s="174"/>
      <c r="X1111" s="174"/>
      <c r="Y1111" s="174"/>
      <c r="Z1111" s="174"/>
      <c r="AA1111" s="174"/>
    </row>
    <row r="1112">
      <c r="A1112" s="174"/>
      <c r="B1112" s="174"/>
      <c r="C1112" s="174"/>
      <c r="D1112" s="174"/>
      <c r="E1112" s="174"/>
      <c r="F1112" s="175"/>
      <c r="G1112" s="175"/>
      <c r="H1112" s="174"/>
      <c r="I1112" s="174"/>
      <c r="J1112" s="174"/>
      <c r="K1112" s="174"/>
      <c r="L1112" s="174"/>
      <c r="M1112" s="174"/>
      <c r="N1112" s="174"/>
      <c r="O1112" s="174"/>
      <c r="P1112" s="174"/>
      <c r="Q1112" s="174"/>
      <c r="R1112" s="174"/>
      <c r="S1112" s="174"/>
      <c r="T1112" s="174"/>
      <c r="U1112" s="174"/>
      <c r="V1112" s="174"/>
      <c r="W1112" s="174"/>
      <c r="X1112" s="174"/>
      <c r="Y1112" s="174"/>
      <c r="Z1112" s="174"/>
      <c r="AA1112" s="174"/>
    </row>
    <row r="1113">
      <c r="A1113" s="174"/>
      <c r="B1113" s="174"/>
      <c r="C1113" s="174"/>
      <c r="D1113" s="174"/>
      <c r="E1113" s="174"/>
      <c r="F1113" s="175"/>
      <c r="G1113" s="175"/>
      <c r="H1113" s="174"/>
      <c r="I1113" s="174"/>
      <c r="J1113" s="174"/>
      <c r="K1113" s="174"/>
      <c r="L1113" s="174"/>
      <c r="M1113" s="174"/>
      <c r="N1113" s="174"/>
      <c r="O1113" s="174"/>
      <c r="P1113" s="174"/>
      <c r="Q1113" s="174"/>
      <c r="R1113" s="174"/>
      <c r="S1113" s="174"/>
      <c r="T1113" s="174"/>
      <c r="U1113" s="174"/>
      <c r="V1113" s="174"/>
      <c r="W1113" s="174"/>
      <c r="X1113" s="174"/>
      <c r="Y1113" s="174"/>
      <c r="Z1113" s="174"/>
      <c r="AA1113" s="174"/>
    </row>
    <row r="1114">
      <c r="A1114" s="174"/>
      <c r="B1114" s="174"/>
      <c r="C1114" s="174"/>
      <c r="D1114" s="174"/>
      <c r="E1114" s="174"/>
      <c r="F1114" s="175"/>
      <c r="G1114" s="175"/>
      <c r="H1114" s="174"/>
      <c r="I1114" s="174"/>
      <c r="J1114" s="174"/>
      <c r="K1114" s="174"/>
      <c r="L1114" s="174"/>
      <c r="M1114" s="174"/>
      <c r="N1114" s="174"/>
      <c r="O1114" s="174"/>
      <c r="P1114" s="174"/>
      <c r="Q1114" s="174"/>
      <c r="R1114" s="174"/>
      <c r="S1114" s="174"/>
      <c r="T1114" s="174"/>
      <c r="U1114" s="174"/>
      <c r="V1114" s="174"/>
      <c r="W1114" s="174"/>
      <c r="X1114" s="174"/>
      <c r="Y1114" s="174"/>
      <c r="Z1114" s="174"/>
      <c r="AA1114" s="174"/>
    </row>
    <row r="1115">
      <c r="A1115" s="174"/>
      <c r="B1115" s="174"/>
      <c r="C1115" s="174"/>
      <c r="D1115" s="174"/>
      <c r="E1115" s="174"/>
      <c r="F1115" s="175"/>
      <c r="G1115" s="175"/>
      <c r="H1115" s="174"/>
      <c r="I1115" s="174"/>
      <c r="J1115" s="174"/>
      <c r="K1115" s="174"/>
      <c r="L1115" s="174"/>
      <c r="M1115" s="174"/>
      <c r="N1115" s="174"/>
      <c r="O1115" s="174"/>
      <c r="P1115" s="174"/>
      <c r="Q1115" s="174"/>
      <c r="R1115" s="174"/>
      <c r="S1115" s="174"/>
      <c r="T1115" s="174"/>
      <c r="U1115" s="174"/>
      <c r="V1115" s="174"/>
      <c r="W1115" s="174"/>
      <c r="X1115" s="174"/>
      <c r="Y1115" s="174"/>
      <c r="Z1115" s="174"/>
      <c r="AA1115" s="174"/>
    </row>
    <row r="1116">
      <c r="A1116" s="174"/>
      <c r="B1116" s="174"/>
      <c r="C1116" s="174"/>
      <c r="D1116" s="174"/>
      <c r="E1116" s="174"/>
      <c r="F1116" s="175"/>
      <c r="G1116" s="175"/>
      <c r="H1116" s="174"/>
      <c r="I1116" s="174"/>
      <c r="J1116" s="174"/>
      <c r="K1116" s="174"/>
      <c r="L1116" s="174"/>
      <c r="M1116" s="174"/>
      <c r="N1116" s="174"/>
      <c r="O1116" s="174"/>
      <c r="P1116" s="174"/>
      <c r="Q1116" s="174"/>
      <c r="R1116" s="174"/>
      <c r="S1116" s="174"/>
      <c r="T1116" s="174"/>
      <c r="U1116" s="174"/>
      <c r="V1116" s="174"/>
      <c r="W1116" s="174"/>
      <c r="X1116" s="174"/>
      <c r="Y1116" s="174"/>
      <c r="Z1116" s="174"/>
      <c r="AA1116" s="174"/>
    </row>
    <row r="1117">
      <c r="A1117" s="174"/>
      <c r="B1117" s="174"/>
      <c r="C1117" s="174"/>
      <c r="D1117" s="174"/>
      <c r="E1117" s="174"/>
      <c r="F1117" s="175"/>
      <c r="G1117" s="175"/>
      <c r="H1117" s="174"/>
      <c r="I1117" s="174"/>
      <c r="J1117" s="174"/>
      <c r="K1117" s="174"/>
      <c r="L1117" s="174"/>
      <c r="M1117" s="174"/>
      <c r="N1117" s="174"/>
      <c r="O1117" s="174"/>
      <c r="P1117" s="174"/>
      <c r="Q1117" s="174"/>
      <c r="R1117" s="174"/>
      <c r="S1117" s="174"/>
      <c r="T1117" s="174"/>
      <c r="U1117" s="174"/>
      <c r="V1117" s="174"/>
      <c r="W1117" s="174"/>
      <c r="X1117" s="174"/>
      <c r="Y1117" s="174"/>
      <c r="Z1117" s="174"/>
      <c r="AA1117" s="174"/>
    </row>
    <row r="1118">
      <c r="A1118" s="174"/>
      <c r="B1118" s="174"/>
      <c r="C1118" s="174"/>
      <c r="D1118" s="174"/>
      <c r="E1118" s="174"/>
      <c r="F1118" s="175"/>
      <c r="G1118" s="175"/>
      <c r="H1118" s="174"/>
      <c r="I1118" s="174"/>
      <c r="J1118" s="174"/>
      <c r="K1118" s="174"/>
      <c r="L1118" s="174"/>
      <c r="M1118" s="174"/>
      <c r="N1118" s="174"/>
      <c r="O1118" s="174"/>
      <c r="P1118" s="174"/>
      <c r="Q1118" s="174"/>
      <c r="R1118" s="174"/>
      <c r="S1118" s="174"/>
      <c r="T1118" s="174"/>
      <c r="U1118" s="174"/>
      <c r="V1118" s="174"/>
      <c r="W1118" s="174"/>
      <c r="X1118" s="174"/>
      <c r="Y1118" s="174"/>
      <c r="Z1118" s="174"/>
      <c r="AA1118" s="174"/>
    </row>
    <row r="1119">
      <c r="A1119" s="174"/>
      <c r="B1119" s="174"/>
      <c r="C1119" s="174"/>
      <c r="D1119" s="174"/>
      <c r="E1119" s="174"/>
      <c r="F1119" s="175"/>
      <c r="G1119" s="175"/>
      <c r="H1119" s="174"/>
      <c r="I1119" s="174"/>
      <c r="J1119" s="174"/>
      <c r="K1119" s="174"/>
      <c r="L1119" s="174"/>
      <c r="M1119" s="174"/>
      <c r="N1119" s="174"/>
      <c r="O1119" s="174"/>
      <c r="P1119" s="174"/>
      <c r="Q1119" s="174"/>
      <c r="R1119" s="174"/>
      <c r="S1119" s="174"/>
      <c r="T1119" s="174"/>
      <c r="U1119" s="174"/>
      <c r="V1119" s="174"/>
      <c r="W1119" s="174"/>
      <c r="X1119" s="174"/>
      <c r="Y1119" s="174"/>
      <c r="Z1119" s="174"/>
      <c r="AA1119" s="174"/>
    </row>
    <row r="1120">
      <c r="A1120" s="174"/>
      <c r="B1120" s="174"/>
      <c r="C1120" s="174"/>
      <c r="D1120" s="174"/>
      <c r="E1120" s="174"/>
      <c r="F1120" s="175"/>
      <c r="G1120" s="175"/>
      <c r="H1120" s="174"/>
      <c r="I1120" s="174"/>
      <c r="J1120" s="174"/>
      <c r="K1120" s="174"/>
      <c r="L1120" s="174"/>
      <c r="M1120" s="174"/>
      <c r="N1120" s="174"/>
      <c r="O1120" s="174"/>
      <c r="P1120" s="174"/>
      <c r="Q1120" s="174"/>
      <c r="R1120" s="174"/>
      <c r="S1120" s="174"/>
      <c r="T1120" s="174"/>
      <c r="U1120" s="174"/>
      <c r="V1120" s="174"/>
      <c r="W1120" s="174"/>
      <c r="X1120" s="174"/>
      <c r="Y1120" s="174"/>
      <c r="Z1120" s="174"/>
      <c r="AA1120" s="174"/>
    </row>
    <row r="1121">
      <c r="A1121" s="174"/>
      <c r="B1121" s="174"/>
      <c r="C1121" s="174"/>
      <c r="D1121" s="174"/>
      <c r="E1121" s="174"/>
      <c r="F1121" s="175"/>
      <c r="G1121" s="175"/>
      <c r="H1121" s="174"/>
      <c r="I1121" s="174"/>
      <c r="J1121" s="174"/>
      <c r="K1121" s="174"/>
      <c r="L1121" s="174"/>
      <c r="M1121" s="174"/>
      <c r="N1121" s="174"/>
      <c r="O1121" s="174"/>
      <c r="P1121" s="174"/>
      <c r="Q1121" s="174"/>
      <c r="R1121" s="174"/>
      <c r="S1121" s="174"/>
      <c r="T1121" s="174"/>
      <c r="U1121" s="174"/>
      <c r="V1121" s="174"/>
      <c r="W1121" s="174"/>
      <c r="X1121" s="174"/>
      <c r="Y1121" s="174"/>
      <c r="Z1121" s="174"/>
      <c r="AA1121" s="174"/>
    </row>
    <row r="1122">
      <c r="A1122" s="174"/>
      <c r="B1122" s="174"/>
      <c r="C1122" s="174"/>
      <c r="D1122" s="174"/>
      <c r="E1122" s="174"/>
      <c r="F1122" s="175"/>
      <c r="G1122" s="175"/>
      <c r="H1122" s="174"/>
      <c r="I1122" s="174"/>
      <c r="J1122" s="174"/>
      <c r="K1122" s="174"/>
      <c r="L1122" s="174"/>
      <c r="M1122" s="174"/>
      <c r="N1122" s="174"/>
      <c r="O1122" s="174"/>
      <c r="P1122" s="174"/>
      <c r="Q1122" s="174"/>
      <c r="R1122" s="174"/>
      <c r="S1122" s="174"/>
      <c r="T1122" s="174"/>
      <c r="U1122" s="174"/>
      <c r="V1122" s="174"/>
      <c r="W1122" s="174"/>
      <c r="X1122" s="174"/>
      <c r="Y1122" s="174"/>
      <c r="Z1122" s="174"/>
      <c r="AA1122" s="174"/>
    </row>
    <row r="1123">
      <c r="A1123" s="174"/>
      <c r="B1123" s="174"/>
      <c r="C1123" s="174"/>
      <c r="D1123" s="174"/>
      <c r="E1123" s="174"/>
      <c r="F1123" s="175"/>
      <c r="G1123" s="175"/>
      <c r="H1123" s="174"/>
      <c r="I1123" s="174"/>
      <c r="J1123" s="174"/>
      <c r="K1123" s="174"/>
      <c r="L1123" s="174"/>
      <c r="M1123" s="174"/>
      <c r="N1123" s="174"/>
      <c r="O1123" s="174"/>
      <c r="P1123" s="174"/>
      <c r="Q1123" s="174"/>
      <c r="R1123" s="174"/>
      <c r="S1123" s="174"/>
      <c r="T1123" s="174"/>
      <c r="U1123" s="174"/>
      <c r="V1123" s="174"/>
      <c r="W1123" s="174"/>
      <c r="X1123" s="174"/>
      <c r="Y1123" s="174"/>
      <c r="Z1123" s="174"/>
      <c r="AA1123" s="174"/>
    </row>
    <row r="1124">
      <c r="A1124" s="174"/>
      <c r="B1124" s="174"/>
      <c r="C1124" s="174"/>
      <c r="D1124" s="174"/>
      <c r="E1124" s="174"/>
      <c r="F1124" s="175"/>
      <c r="G1124" s="175"/>
      <c r="H1124" s="174"/>
      <c r="I1124" s="174"/>
      <c r="J1124" s="174"/>
      <c r="K1124" s="174"/>
      <c r="L1124" s="174"/>
      <c r="M1124" s="174"/>
      <c r="N1124" s="174"/>
      <c r="O1124" s="174"/>
      <c r="P1124" s="174"/>
      <c r="Q1124" s="174"/>
      <c r="R1124" s="174"/>
      <c r="S1124" s="174"/>
      <c r="T1124" s="174"/>
      <c r="U1124" s="174"/>
      <c r="V1124" s="174"/>
      <c r="W1124" s="174"/>
      <c r="X1124" s="174"/>
      <c r="Y1124" s="174"/>
      <c r="Z1124" s="174"/>
      <c r="AA1124" s="174"/>
    </row>
    <row r="1125">
      <c r="A1125" s="174"/>
      <c r="B1125" s="174"/>
      <c r="C1125" s="174"/>
      <c r="D1125" s="174"/>
      <c r="E1125" s="174"/>
      <c r="F1125" s="175"/>
      <c r="G1125" s="175"/>
      <c r="H1125" s="174"/>
      <c r="I1125" s="174"/>
      <c r="J1125" s="174"/>
      <c r="K1125" s="174"/>
      <c r="L1125" s="174"/>
      <c r="M1125" s="174"/>
      <c r="N1125" s="174"/>
      <c r="O1125" s="174"/>
      <c r="P1125" s="174"/>
      <c r="Q1125" s="174"/>
      <c r="R1125" s="174"/>
      <c r="S1125" s="174"/>
      <c r="T1125" s="174"/>
      <c r="U1125" s="174"/>
      <c r="V1125" s="174"/>
      <c r="W1125" s="174"/>
      <c r="X1125" s="174"/>
      <c r="Y1125" s="174"/>
      <c r="Z1125" s="174"/>
      <c r="AA1125" s="174"/>
    </row>
    <row r="1126">
      <c r="A1126" s="174"/>
      <c r="B1126" s="174"/>
      <c r="C1126" s="174"/>
      <c r="D1126" s="174"/>
      <c r="E1126" s="174"/>
      <c r="F1126" s="175"/>
      <c r="G1126" s="175"/>
      <c r="H1126" s="174"/>
      <c r="I1126" s="174"/>
      <c r="J1126" s="174"/>
      <c r="K1126" s="174"/>
      <c r="L1126" s="174"/>
      <c r="M1126" s="174"/>
      <c r="N1126" s="174"/>
      <c r="O1126" s="174"/>
      <c r="P1126" s="174"/>
      <c r="Q1126" s="174"/>
      <c r="R1126" s="174"/>
      <c r="S1126" s="174"/>
      <c r="T1126" s="174"/>
      <c r="U1126" s="174"/>
      <c r="V1126" s="174"/>
      <c r="W1126" s="174"/>
      <c r="X1126" s="174"/>
      <c r="Y1126" s="174"/>
      <c r="Z1126" s="174"/>
      <c r="AA1126" s="174"/>
    </row>
    <row r="1127">
      <c r="A1127" s="174"/>
      <c r="B1127" s="174"/>
      <c r="C1127" s="174"/>
      <c r="D1127" s="174"/>
      <c r="E1127" s="174"/>
      <c r="F1127" s="175"/>
      <c r="G1127" s="175"/>
      <c r="H1127" s="174"/>
      <c r="I1127" s="174"/>
      <c r="J1127" s="174"/>
      <c r="K1127" s="174"/>
      <c r="L1127" s="174"/>
      <c r="M1127" s="174"/>
      <c r="N1127" s="174"/>
      <c r="O1127" s="174"/>
      <c r="P1127" s="174"/>
      <c r="Q1127" s="174"/>
      <c r="R1127" s="174"/>
      <c r="S1127" s="174"/>
      <c r="T1127" s="174"/>
      <c r="U1127" s="174"/>
      <c r="V1127" s="174"/>
      <c r="W1127" s="174"/>
      <c r="X1127" s="174"/>
      <c r="Y1127" s="174"/>
      <c r="Z1127" s="174"/>
      <c r="AA1127" s="174"/>
    </row>
    <row r="1128">
      <c r="A1128" s="174"/>
      <c r="B1128" s="174"/>
      <c r="C1128" s="174"/>
      <c r="D1128" s="174"/>
      <c r="E1128" s="174"/>
      <c r="F1128" s="175"/>
      <c r="G1128" s="175"/>
      <c r="H1128" s="174"/>
      <c r="I1128" s="174"/>
      <c r="J1128" s="174"/>
      <c r="K1128" s="174"/>
      <c r="L1128" s="174"/>
      <c r="M1128" s="174"/>
      <c r="N1128" s="174"/>
      <c r="O1128" s="174"/>
      <c r="P1128" s="174"/>
      <c r="Q1128" s="174"/>
      <c r="R1128" s="174"/>
      <c r="S1128" s="174"/>
      <c r="T1128" s="174"/>
      <c r="U1128" s="174"/>
      <c r="V1128" s="174"/>
      <c r="W1128" s="174"/>
      <c r="X1128" s="174"/>
      <c r="Y1128" s="174"/>
      <c r="Z1128" s="174"/>
      <c r="AA1128" s="174"/>
    </row>
    <row r="1129">
      <c r="A1129" s="174"/>
      <c r="B1129" s="174"/>
      <c r="C1129" s="174"/>
      <c r="D1129" s="174"/>
      <c r="E1129" s="174"/>
      <c r="F1129" s="175"/>
      <c r="G1129" s="175"/>
      <c r="H1129" s="174"/>
      <c r="I1129" s="174"/>
      <c r="J1129" s="174"/>
      <c r="K1129" s="174"/>
      <c r="L1129" s="174"/>
      <c r="M1129" s="174"/>
      <c r="N1129" s="174"/>
      <c r="O1129" s="174"/>
      <c r="P1129" s="174"/>
      <c r="Q1129" s="174"/>
      <c r="R1129" s="174"/>
      <c r="S1129" s="174"/>
      <c r="T1129" s="174"/>
      <c r="U1129" s="174"/>
      <c r="V1129" s="174"/>
      <c r="W1129" s="174"/>
      <c r="X1129" s="174"/>
      <c r="Y1129" s="174"/>
      <c r="Z1129" s="174"/>
      <c r="AA1129" s="174"/>
    </row>
    <row r="1130">
      <c r="A1130" s="174"/>
      <c r="B1130" s="174"/>
      <c r="C1130" s="174"/>
      <c r="D1130" s="174"/>
      <c r="E1130" s="174"/>
      <c r="F1130" s="175"/>
      <c r="G1130" s="175"/>
      <c r="H1130" s="174"/>
      <c r="I1130" s="174"/>
      <c r="J1130" s="174"/>
      <c r="K1130" s="174"/>
      <c r="L1130" s="174"/>
      <c r="M1130" s="174"/>
      <c r="N1130" s="174"/>
      <c r="O1130" s="174"/>
      <c r="P1130" s="174"/>
      <c r="Q1130" s="174"/>
      <c r="R1130" s="174"/>
      <c r="S1130" s="174"/>
      <c r="T1130" s="174"/>
      <c r="U1130" s="174"/>
      <c r="V1130" s="174"/>
      <c r="W1130" s="174"/>
      <c r="X1130" s="174"/>
      <c r="Y1130" s="174"/>
      <c r="Z1130" s="174"/>
      <c r="AA1130" s="174"/>
    </row>
    <row r="1131">
      <c r="A1131" s="174"/>
      <c r="B1131" s="174"/>
      <c r="C1131" s="174"/>
      <c r="D1131" s="174"/>
      <c r="E1131" s="174"/>
      <c r="F1131" s="175"/>
      <c r="G1131" s="175"/>
      <c r="H1131" s="174"/>
      <c r="I1131" s="174"/>
      <c r="J1131" s="174"/>
      <c r="K1131" s="174"/>
      <c r="L1131" s="174"/>
      <c r="M1131" s="174"/>
      <c r="N1131" s="174"/>
      <c r="O1131" s="174"/>
      <c r="P1131" s="174"/>
      <c r="Q1131" s="174"/>
      <c r="R1131" s="174"/>
      <c r="S1131" s="174"/>
      <c r="T1131" s="174"/>
      <c r="U1131" s="174"/>
      <c r="V1131" s="174"/>
      <c r="W1131" s="174"/>
      <c r="X1131" s="174"/>
      <c r="Y1131" s="174"/>
      <c r="Z1131" s="174"/>
      <c r="AA1131" s="174"/>
    </row>
    <row r="1132">
      <c r="A1132" s="174"/>
      <c r="B1132" s="174"/>
      <c r="C1132" s="174"/>
      <c r="D1132" s="174"/>
      <c r="E1132" s="174"/>
      <c r="F1132" s="175"/>
      <c r="G1132" s="175"/>
      <c r="H1132" s="174"/>
      <c r="I1132" s="174"/>
      <c r="J1132" s="174"/>
      <c r="K1132" s="174"/>
      <c r="L1132" s="174"/>
      <c r="M1132" s="174"/>
      <c r="N1132" s="174"/>
      <c r="O1132" s="174"/>
      <c r="P1132" s="174"/>
      <c r="Q1132" s="174"/>
      <c r="R1132" s="174"/>
      <c r="S1132" s="174"/>
      <c r="T1132" s="174"/>
      <c r="U1132" s="174"/>
      <c r="V1132" s="174"/>
      <c r="W1132" s="174"/>
      <c r="X1132" s="174"/>
      <c r="Y1132" s="174"/>
      <c r="Z1132" s="174"/>
      <c r="AA1132" s="174"/>
    </row>
    <row r="1133">
      <c r="A1133" s="174"/>
      <c r="B1133" s="174"/>
      <c r="C1133" s="174"/>
      <c r="D1133" s="174"/>
      <c r="E1133" s="174"/>
      <c r="F1133" s="175"/>
      <c r="G1133" s="175"/>
      <c r="H1133" s="174"/>
      <c r="I1133" s="174"/>
      <c r="J1133" s="174"/>
      <c r="K1133" s="174"/>
      <c r="L1133" s="174"/>
      <c r="M1133" s="174"/>
      <c r="N1133" s="174"/>
      <c r="O1133" s="174"/>
      <c r="P1133" s="174"/>
      <c r="Q1133" s="174"/>
      <c r="R1133" s="174"/>
      <c r="S1133" s="174"/>
      <c r="T1133" s="174"/>
      <c r="U1133" s="174"/>
      <c r="V1133" s="174"/>
      <c r="W1133" s="174"/>
      <c r="X1133" s="174"/>
      <c r="Y1133" s="174"/>
      <c r="Z1133" s="174"/>
      <c r="AA1133" s="174"/>
    </row>
    <row r="1134">
      <c r="A1134" s="174"/>
      <c r="B1134" s="174"/>
      <c r="C1134" s="174"/>
      <c r="D1134" s="174"/>
      <c r="E1134" s="174"/>
      <c r="F1134" s="175"/>
      <c r="G1134" s="175"/>
      <c r="H1134" s="174"/>
      <c r="I1134" s="174"/>
      <c r="J1134" s="174"/>
      <c r="K1134" s="174"/>
      <c r="L1134" s="174"/>
      <c r="M1134" s="174"/>
      <c r="N1134" s="174"/>
      <c r="O1134" s="174"/>
      <c r="P1134" s="174"/>
      <c r="Q1134" s="174"/>
      <c r="R1134" s="174"/>
      <c r="S1134" s="174"/>
      <c r="T1134" s="174"/>
      <c r="U1134" s="174"/>
      <c r="V1134" s="174"/>
      <c r="W1134" s="174"/>
      <c r="X1134" s="174"/>
      <c r="Y1134" s="174"/>
      <c r="Z1134" s="174"/>
      <c r="AA1134" s="174"/>
    </row>
    <row r="1135">
      <c r="A1135" s="174"/>
      <c r="B1135" s="174"/>
      <c r="C1135" s="174"/>
      <c r="D1135" s="174"/>
      <c r="E1135" s="174"/>
      <c r="F1135" s="175"/>
      <c r="G1135" s="175"/>
      <c r="H1135" s="174"/>
      <c r="I1135" s="174"/>
      <c r="J1135" s="174"/>
      <c r="K1135" s="174"/>
      <c r="L1135" s="174"/>
      <c r="M1135" s="174"/>
      <c r="N1135" s="174"/>
      <c r="O1135" s="174"/>
      <c r="P1135" s="174"/>
      <c r="Q1135" s="174"/>
      <c r="R1135" s="174"/>
      <c r="S1135" s="174"/>
      <c r="T1135" s="174"/>
      <c r="U1135" s="174"/>
      <c r="V1135" s="174"/>
      <c r="W1135" s="174"/>
      <c r="X1135" s="174"/>
      <c r="Y1135" s="174"/>
      <c r="Z1135" s="174"/>
      <c r="AA1135" s="174"/>
    </row>
    <row r="1136">
      <c r="A1136" s="174"/>
      <c r="B1136" s="174"/>
      <c r="C1136" s="174"/>
      <c r="D1136" s="174"/>
      <c r="E1136" s="174"/>
      <c r="F1136" s="175"/>
      <c r="G1136" s="175"/>
      <c r="H1136" s="174"/>
      <c r="I1136" s="174"/>
      <c r="J1136" s="174"/>
      <c r="K1136" s="174"/>
      <c r="L1136" s="174"/>
      <c r="M1136" s="174"/>
      <c r="N1136" s="174"/>
      <c r="O1136" s="174"/>
      <c r="P1136" s="174"/>
      <c r="Q1136" s="174"/>
      <c r="R1136" s="174"/>
      <c r="S1136" s="174"/>
      <c r="T1136" s="174"/>
      <c r="U1136" s="174"/>
      <c r="V1136" s="174"/>
      <c r="W1136" s="174"/>
      <c r="X1136" s="174"/>
      <c r="Y1136" s="174"/>
      <c r="Z1136" s="174"/>
      <c r="AA1136" s="174"/>
    </row>
    <row r="1137">
      <c r="A1137" s="174"/>
      <c r="B1137" s="174"/>
      <c r="C1137" s="174"/>
      <c r="D1137" s="174"/>
      <c r="E1137" s="174"/>
      <c r="F1137" s="175"/>
      <c r="G1137" s="175"/>
      <c r="H1137" s="174"/>
      <c r="I1137" s="174"/>
      <c r="J1137" s="174"/>
      <c r="K1137" s="174"/>
      <c r="L1137" s="174"/>
      <c r="M1137" s="174"/>
      <c r="N1137" s="174"/>
      <c r="O1137" s="174"/>
      <c r="P1137" s="174"/>
      <c r="Q1137" s="174"/>
      <c r="R1137" s="174"/>
      <c r="S1137" s="174"/>
      <c r="T1137" s="174"/>
      <c r="U1137" s="174"/>
      <c r="V1137" s="174"/>
      <c r="W1137" s="174"/>
      <c r="X1137" s="174"/>
      <c r="Y1137" s="174"/>
      <c r="Z1137" s="174"/>
      <c r="AA1137" s="174"/>
    </row>
    <row r="1138">
      <c r="A1138" s="174"/>
      <c r="B1138" s="174"/>
      <c r="C1138" s="174"/>
      <c r="D1138" s="174"/>
      <c r="E1138" s="174"/>
      <c r="F1138" s="175"/>
      <c r="G1138" s="175"/>
      <c r="H1138" s="174"/>
      <c r="I1138" s="174"/>
      <c r="J1138" s="174"/>
      <c r="K1138" s="174"/>
      <c r="L1138" s="174"/>
      <c r="M1138" s="174"/>
      <c r="N1138" s="174"/>
      <c r="O1138" s="174"/>
      <c r="P1138" s="174"/>
      <c r="Q1138" s="174"/>
      <c r="R1138" s="174"/>
      <c r="S1138" s="174"/>
      <c r="T1138" s="174"/>
      <c r="U1138" s="174"/>
      <c r="V1138" s="174"/>
      <c r="W1138" s="174"/>
      <c r="X1138" s="174"/>
      <c r="Y1138" s="174"/>
      <c r="Z1138" s="174"/>
      <c r="AA1138" s="174"/>
    </row>
    <row r="1139">
      <c r="A1139" s="174"/>
      <c r="B1139" s="174"/>
      <c r="C1139" s="174"/>
      <c r="D1139" s="174"/>
      <c r="E1139" s="174"/>
      <c r="F1139" s="175"/>
      <c r="G1139" s="175"/>
      <c r="H1139" s="174"/>
      <c r="I1139" s="174"/>
      <c r="J1139" s="174"/>
      <c r="K1139" s="174"/>
      <c r="L1139" s="174"/>
      <c r="M1139" s="174"/>
      <c r="N1139" s="174"/>
      <c r="O1139" s="174"/>
      <c r="P1139" s="174"/>
      <c r="Q1139" s="174"/>
      <c r="R1139" s="174"/>
      <c r="S1139" s="174"/>
      <c r="T1139" s="174"/>
      <c r="U1139" s="174"/>
      <c r="V1139" s="174"/>
      <c r="W1139" s="174"/>
      <c r="X1139" s="174"/>
      <c r="Y1139" s="174"/>
      <c r="Z1139" s="174"/>
      <c r="AA1139" s="174"/>
    </row>
    <row r="1140">
      <c r="A1140" s="174"/>
      <c r="B1140" s="174"/>
      <c r="C1140" s="174"/>
      <c r="D1140" s="174"/>
      <c r="E1140" s="174"/>
      <c r="F1140" s="175"/>
      <c r="G1140" s="175"/>
      <c r="H1140" s="174"/>
      <c r="I1140" s="174"/>
      <c r="J1140" s="174"/>
      <c r="K1140" s="174"/>
      <c r="L1140" s="174"/>
      <c r="M1140" s="174"/>
      <c r="N1140" s="174"/>
      <c r="O1140" s="174"/>
      <c r="P1140" s="174"/>
      <c r="Q1140" s="174"/>
      <c r="R1140" s="174"/>
      <c r="S1140" s="174"/>
      <c r="T1140" s="174"/>
      <c r="U1140" s="174"/>
      <c r="V1140" s="174"/>
      <c r="W1140" s="174"/>
      <c r="X1140" s="174"/>
      <c r="Y1140" s="174"/>
      <c r="Z1140" s="174"/>
      <c r="AA1140" s="174"/>
    </row>
    <row r="1141">
      <c r="A1141" s="174"/>
      <c r="B1141" s="174"/>
      <c r="C1141" s="174"/>
      <c r="D1141" s="174"/>
      <c r="E1141" s="174"/>
      <c r="F1141" s="175"/>
      <c r="G1141" s="175"/>
      <c r="H1141" s="174"/>
      <c r="I1141" s="174"/>
      <c r="J1141" s="174"/>
      <c r="K1141" s="174"/>
      <c r="L1141" s="174"/>
      <c r="M1141" s="174"/>
      <c r="N1141" s="174"/>
      <c r="O1141" s="174"/>
      <c r="P1141" s="174"/>
      <c r="Q1141" s="174"/>
      <c r="R1141" s="174"/>
      <c r="S1141" s="174"/>
      <c r="T1141" s="174"/>
      <c r="U1141" s="174"/>
      <c r="V1141" s="174"/>
      <c r="W1141" s="174"/>
      <c r="X1141" s="174"/>
      <c r="Y1141" s="174"/>
      <c r="Z1141" s="174"/>
      <c r="AA1141" s="174"/>
    </row>
    <row r="1142">
      <c r="A1142" s="174"/>
      <c r="B1142" s="174"/>
      <c r="C1142" s="174"/>
      <c r="D1142" s="174"/>
      <c r="E1142" s="174"/>
      <c r="F1142" s="175"/>
      <c r="G1142" s="175"/>
      <c r="H1142" s="174"/>
      <c r="I1142" s="174"/>
      <c r="J1142" s="174"/>
      <c r="K1142" s="174"/>
      <c r="L1142" s="174"/>
      <c r="M1142" s="174"/>
      <c r="N1142" s="174"/>
      <c r="O1142" s="174"/>
      <c r="P1142" s="174"/>
      <c r="Q1142" s="174"/>
      <c r="R1142" s="174"/>
      <c r="S1142" s="174"/>
      <c r="T1142" s="174"/>
      <c r="U1142" s="174"/>
      <c r="V1142" s="174"/>
      <c r="W1142" s="174"/>
      <c r="X1142" s="174"/>
      <c r="Y1142" s="174"/>
      <c r="Z1142" s="174"/>
      <c r="AA1142" s="174"/>
    </row>
    <row r="1143">
      <c r="A1143" s="174"/>
      <c r="B1143" s="174"/>
      <c r="C1143" s="174"/>
      <c r="D1143" s="174"/>
      <c r="E1143" s="174"/>
      <c r="F1143" s="175"/>
      <c r="G1143" s="175"/>
      <c r="H1143" s="174"/>
      <c r="I1143" s="174"/>
      <c r="J1143" s="174"/>
      <c r="K1143" s="174"/>
      <c r="L1143" s="174"/>
      <c r="M1143" s="174"/>
      <c r="N1143" s="174"/>
      <c r="O1143" s="174"/>
      <c r="P1143" s="174"/>
      <c r="Q1143" s="174"/>
      <c r="R1143" s="174"/>
      <c r="S1143" s="174"/>
      <c r="T1143" s="174"/>
      <c r="U1143" s="174"/>
      <c r="V1143" s="174"/>
      <c r="W1143" s="174"/>
      <c r="X1143" s="174"/>
      <c r="Y1143" s="174"/>
      <c r="Z1143" s="174"/>
      <c r="AA1143" s="174"/>
    </row>
    <row r="1144">
      <c r="A1144" s="174"/>
      <c r="B1144" s="174"/>
      <c r="C1144" s="174"/>
      <c r="D1144" s="174"/>
      <c r="E1144" s="174"/>
      <c r="F1144" s="175"/>
      <c r="G1144" s="175"/>
      <c r="H1144" s="174"/>
      <c r="I1144" s="174"/>
      <c r="J1144" s="174"/>
      <c r="K1144" s="174"/>
      <c r="L1144" s="174"/>
      <c r="M1144" s="174"/>
      <c r="N1144" s="174"/>
      <c r="O1144" s="174"/>
      <c r="P1144" s="174"/>
      <c r="Q1144" s="174"/>
      <c r="R1144" s="174"/>
      <c r="S1144" s="174"/>
      <c r="T1144" s="174"/>
      <c r="U1144" s="174"/>
      <c r="V1144" s="174"/>
      <c r="W1144" s="174"/>
      <c r="X1144" s="174"/>
      <c r="Y1144" s="174"/>
      <c r="Z1144" s="174"/>
      <c r="AA1144" s="174"/>
    </row>
    <row r="1145">
      <c r="A1145" s="174"/>
      <c r="B1145" s="174"/>
      <c r="C1145" s="174"/>
      <c r="D1145" s="174"/>
      <c r="E1145" s="174"/>
      <c r="F1145" s="175"/>
      <c r="G1145" s="175"/>
      <c r="H1145" s="174"/>
      <c r="I1145" s="174"/>
      <c r="J1145" s="174"/>
      <c r="K1145" s="174"/>
      <c r="L1145" s="174"/>
      <c r="M1145" s="174"/>
      <c r="N1145" s="174"/>
      <c r="O1145" s="174"/>
      <c r="P1145" s="174"/>
      <c r="Q1145" s="174"/>
      <c r="R1145" s="174"/>
      <c r="S1145" s="174"/>
      <c r="T1145" s="174"/>
      <c r="U1145" s="174"/>
      <c r="V1145" s="174"/>
      <c r="W1145" s="174"/>
      <c r="X1145" s="174"/>
      <c r="Y1145" s="174"/>
      <c r="Z1145" s="174"/>
      <c r="AA1145" s="174"/>
    </row>
    <row r="1146">
      <c r="A1146" s="174"/>
      <c r="B1146" s="174"/>
      <c r="C1146" s="174"/>
      <c r="D1146" s="174"/>
      <c r="E1146" s="174"/>
      <c r="F1146" s="175"/>
      <c r="G1146" s="175"/>
      <c r="H1146" s="174"/>
      <c r="I1146" s="174"/>
      <c r="J1146" s="174"/>
      <c r="K1146" s="174"/>
      <c r="L1146" s="174"/>
      <c r="M1146" s="174"/>
      <c r="N1146" s="174"/>
      <c r="O1146" s="174"/>
      <c r="P1146" s="174"/>
      <c r="Q1146" s="174"/>
      <c r="R1146" s="174"/>
      <c r="S1146" s="174"/>
      <c r="T1146" s="174"/>
      <c r="U1146" s="174"/>
      <c r="V1146" s="174"/>
      <c r="W1146" s="174"/>
      <c r="X1146" s="174"/>
      <c r="Y1146" s="174"/>
      <c r="Z1146" s="174"/>
      <c r="AA1146" s="174"/>
    </row>
    <row r="1147">
      <c r="A1147" s="174"/>
      <c r="B1147" s="174"/>
      <c r="C1147" s="174"/>
      <c r="D1147" s="174"/>
      <c r="E1147" s="174"/>
      <c r="F1147" s="175"/>
      <c r="G1147" s="175"/>
      <c r="H1147" s="174"/>
      <c r="I1147" s="174"/>
      <c r="J1147" s="174"/>
      <c r="K1147" s="174"/>
      <c r="L1147" s="174"/>
      <c r="M1147" s="174"/>
      <c r="N1147" s="174"/>
      <c r="O1147" s="174"/>
      <c r="P1147" s="174"/>
      <c r="Q1147" s="174"/>
      <c r="R1147" s="174"/>
      <c r="S1147" s="174"/>
      <c r="T1147" s="174"/>
      <c r="U1147" s="174"/>
      <c r="V1147" s="174"/>
      <c r="W1147" s="174"/>
      <c r="X1147" s="174"/>
      <c r="Y1147" s="174"/>
      <c r="Z1147" s="174"/>
      <c r="AA1147" s="174"/>
    </row>
    <row r="1148">
      <c r="A1148" s="174"/>
      <c r="B1148" s="174"/>
      <c r="C1148" s="174"/>
      <c r="D1148" s="174"/>
      <c r="E1148" s="174"/>
      <c r="F1148" s="175"/>
      <c r="G1148" s="175"/>
      <c r="H1148" s="174"/>
      <c r="I1148" s="174"/>
      <c r="J1148" s="174"/>
      <c r="K1148" s="174"/>
      <c r="L1148" s="174"/>
      <c r="M1148" s="174"/>
      <c r="N1148" s="174"/>
      <c r="O1148" s="174"/>
      <c r="P1148" s="174"/>
      <c r="Q1148" s="174"/>
      <c r="R1148" s="174"/>
      <c r="S1148" s="174"/>
      <c r="T1148" s="174"/>
      <c r="U1148" s="174"/>
      <c r="V1148" s="174"/>
      <c r="W1148" s="174"/>
      <c r="X1148" s="174"/>
      <c r="Y1148" s="174"/>
      <c r="Z1148" s="174"/>
      <c r="AA1148" s="174"/>
    </row>
    <row r="1149">
      <c r="A1149" s="174"/>
      <c r="B1149" s="174"/>
      <c r="C1149" s="174"/>
      <c r="D1149" s="174"/>
      <c r="E1149" s="174"/>
      <c r="F1149" s="175"/>
      <c r="G1149" s="175"/>
      <c r="H1149" s="174"/>
      <c r="I1149" s="174"/>
      <c r="J1149" s="174"/>
      <c r="K1149" s="174"/>
      <c r="L1149" s="174"/>
      <c r="M1149" s="174"/>
      <c r="N1149" s="174"/>
      <c r="O1149" s="174"/>
      <c r="P1149" s="174"/>
      <c r="Q1149" s="174"/>
      <c r="R1149" s="174"/>
      <c r="S1149" s="174"/>
      <c r="T1149" s="174"/>
      <c r="U1149" s="174"/>
      <c r="V1149" s="174"/>
      <c r="W1149" s="174"/>
      <c r="X1149" s="174"/>
      <c r="Y1149" s="174"/>
      <c r="Z1149" s="174"/>
      <c r="AA1149" s="174"/>
    </row>
    <row r="1150">
      <c r="A1150" s="174"/>
      <c r="B1150" s="174"/>
      <c r="C1150" s="174"/>
      <c r="D1150" s="174"/>
      <c r="E1150" s="174"/>
      <c r="F1150" s="175"/>
      <c r="G1150" s="175"/>
      <c r="H1150" s="174"/>
      <c r="I1150" s="174"/>
      <c r="J1150" s="174"/>
      <c r="K1150" s="174"/>
      <c r="L1150" s="174"/>
      <c r="M1150" s="174"/>
      <c r="N1150" s="174"/>
      <c r="O1150" s="174"/>
      <c r="P1150" s="174"/>
      <c r="Q1150" s="174"/>
      <c r="R1150" s="174"/>
      <c r="S1150" s="174"/>
      <c r="T1150" s="174"/>
      <c r="U1150" s="174"/>
      <c r="V1150" s="174"/>
      <c r="W1150" s="174"/>
      <c r="X1150" s="174"/>
      <c r="Y1150" s="174"/>
      <c r="Z1150" s="174"/>
      <c r="AA1150" s="174"/>
    </row>
    <row r="1151">
      <c r="A1151" s="174"/>
      <c r="B1151" s="174"/>
      <c r="C1151" s="174"/>
      <c r="D1151" s="174"/>
      <c r="E1151" s="174"/>
      <c r="F1151" s="175"/>
      <c r="G1151" s="175"/>
      <c r="H1151" s="174"/>
      <c r="I1151" s="174"/>
      <c r="J1151" s="174"/>
      <c r="K1151" s="174"/>
      <c r="L1151" s="174"/>
      <c r="M1151" s="174"/>
      <c r="N1151" s="174"/>
      <c r="O1151" s="174"/>
      <c r="P1151" s="174"/>
      <c r="Q1151" s="174"/>
      <c r="R1151" s="174"/>
      <c r="S1151" s="174"/>
      <c r="T1151" s="174"/>
      <c r="U1151" s="174"/>
      <c r="V1151" s="174"/>
      <c r="W1151" s="174"/>
      <c r="X1151" s="174"/>
      <c r="Y1151" s="174"/>
      <c r="Z1151" s="174"/>
      <c r="AA1151" s="174"/>
    </row>
    <row r="1152">
      <c r="A1152" s="174"/>
      <c r="B1152" s="174"/>
      <c r="C1152" s="174"/>
      <c r="D1152" s="174"/>
      <c r="E1152" s="174"/>
      <c r="F1152" s="175"/>
      <c r="G1152" s="175"/>
      <c r="H1152" s="174"/>
      <c r="I1152" s="174"/>
      <c r="J1152" s="174"/>
      <c r="K1152" s="174"/>
      <c r="L1152" s="174"/>
      <c r="M1152" s="174"/>
      <c r="N1152" s="174"/>
      <c r="O1152" s="174"/>
      <c r="P1152" s="174"/>
      <c r="Q1152" s="174"/>
      <c r="R1152" s="174"/>
      <c r="S1152" s="174"/>
      <c r="T1152" s="174"/>
      <c r="U1152" s="174"/>
      <c r="V1152" s="174"/>
      <c r="W1152" s="174"/>
      <c r="X1152" s="174"/>
      <c r="Y1152" s="174"/>
      <c r="Z1152" s="174"/>
      <c r="AA1152" s="174"/>
    </row>
    <row r="1153">
      <c r="A1153" s="174"/>
      <c r="B1153" s="174"/>
      <c r="C1153" s="174"/>
      <c r="D1153" s="174"/>
      <c r="E1153" s="174"/>
      <c r="F1153" s="175"/>
      <c r="G1153" s="175"/>
      <c r="H1153" s="174"/>
      <c r="I1153" s="174"/>
      <c r="J1153" s="174"/>
      <c r="K1153" s="174"/>
      <c r="L1153" s="174"/>
      <c r="M1153" s="174"/>
      <c r="N1153" s="174"/>
      <c r="O1153" s="174"/>
      <c r="P1153" s="174"/>
      <c r="Q1153" s="174"/>
      <c r="R1153" s="174"/>
      <c r="S1153" s="174"/>
      <c r="T1153" s="174"/>
      <c r="U1153" s="174"/>
      <c r="V1153" s="174"/>
      <c r="W1153" s="174"/>
      <c r="X1153" s="174"/>
      <c r="Y1153" s="174"/>
      <c r="Z1153" s="174"/>
      <c r="AA1153" s="174"/>
    </row>
    <row r="1154">
      <c r="A1154" s="174"/>
      <c r="B1154" s="174"/>
      <c r="C1154" s="174"/>
      <c r="D1154" s="174"/>
      <c r="E1154" s="174"/>
      <c r="F1154" s="175"/>
      <c r="G1154" s="175"/>
      <c r="H1154" s="174"/>
      <c r="I1154" s="174"/>
      <c r="J1154" s="174"/>
      <c r="K1154" s="174"/>
      <c r="L1154" s="174"/>
      <c r="M1154" s="174"/>
      <c r="N1154" s="174"/>
      <c r="O1154" s="174"/>
      <c r="P1154" s="174"/>
      <c r="Q1154" s="174"/>
      <c r="R1154" s="174"/>
      <c r="S1154" s="174"/>
      <c r="T1154" s="174"/>
      <c r="U1154" s="174"/>
      <c r="V1154" s="174"/>
      <c r="W1154" s="174"/>
      <c r="X1154" s="174"/>
      <c r="Y1154" s="174"/>
      <c r="Z1154" s="174"/>
      <c r="AA1154" s="174"/>
    </row>
    <row r="1155">
      <c r="A1155" s="174"/>
      <c r="B1155" s="174"/>
      <c r="C1155" s="174"/>
      <c r="D1155" s="174"/>
      <c r="E1155" s="174"/>
      <c r="F1155" s="175"/>
      <c r="G1155" s="175"/>
      <c r="H1155" s="174"/>
      <c r="I1155" s="174"/>
      <c r="J1155" s="174"/>
      <c r="K1155" s="174"/>
      <c r="L1155" s="174"/>
      <c r="M1155" s="174"/>
      <c r="N1155" s="174"/>
      <c r="O1155" s="174"/>
      <c r="P1155" s="174"/>
      <c r="Q1155" s="174"/>
      <c r="R1155" s="174"/>
      <c r="S1155" s="174"/>
      <c r="T1155" s="174"/>
      <c r="U1155" s="174"/>
      <c r="V1155" s="174"/>
      <c r="W1155" s="174"/>
      <c r="X1155" s="174"/>
      <c r="Y1155" s="174"/>
      <c r="Z1155" s="174"/>
      <c r="AA1155" s="174"/>
    </row>
    <row r="1156">
      <c r="A1156" s="174"/>
      <c r="B1156" s="174"/>
      <c r="C1156" s="174"/>
      <c r="D1156" s="174"/>
      <c r="E1156" s="174"/>
      <c r="F1156" s="175"/>
      <c r="G1156" s="175"/>
      <c r="H1156" s="174"/>
      <c r="I1156" s="174"/>
      <c r="J1156" s="174"/>
      <c r="K1156" s="174"/>
      <c r="L1156" s="174"/>
      <c r="M1156" s="174"/>
      <c r="N1156" s="174"/>
      <c r="O1156" s="174"/>
      <c r="P1156" s="174"/>
      <c r="Q1156" s="174"/>
      <c r="R1156" s="174"/>
      <c r="S1156" s="174"/>
      <c r="T1156" s="174"/>
      <c r="U1156" s="174"/>
      <c r="V1156" s="174"/>
      <c r="W1156" s="174"/>
      <c r="X1156" s="174"/>
      <c r="Y1156" s="174"/>
      <c r="Z1156" s="174"/>
      <c r="AA1156" s="174"/>
    </row>
    <row r="1157">
      <c r="A1157" s="174"/>
      <c r="B1157" s="174"/>
      <c r="C1157" s="174"/>
      <c r="D1157" s="174"/>
      <c r="E1157" s="174"/>
      <c r="F1157" s="175"/>
      <c r="G1157" s="175"/>
      <c r="H1157" s="174"/>
      <c r="I1157" s="174"/>
      <c r="J1157" s="174"/>
      <c r="K1157" s="174"/>
      <c r="L1157" s="174"/>
      <c r="M1157" s="174"/>
      <c r="N1157" s="174"/>
      <c r="O1157" s="174"/>
      <c r="P1157" s="174"/>
      <c r="Q1157" s="174"/>
      <c r="R1157" s="174"/>
      <c r="S1157" s="174"/>
      <c r="T1157" s="174"/>
      <c r="U1157" s="174"/>
      <c r="V1157" s="174"/>
      <c r="W1157" s="174"/>
      <c r="X1157" s="174"/>
      <c r="Y1157" s="174"/>
      <c r="Z1157" s="174"/>
      <c r="AA1157" s="174"/>
    </row>
    <row r="1158">
      <c r="A1158" s="174"/>
      <c r="B1158" s="174"/>
      <c r="C1158" s="174"/>
      <c r="D1158" s="174"/>
      <c r="E1158" s="174"/>
      <c r="F1158" s="175"/>
      <c r="G1158" s="175"/>
      <c r="H1158" s="174"/>
      <c r="I1158" s="174"/>
      <c r="J1158" s="174"/>
      <c r="K1158" s="174"/>
      <c r="L1158" s="174"/>
      <c r="M1158" s="174"/>
      <c r="N1158" s="174"/>
      <c r="O1158" s="174"/>
      <c r="P1158" s="174"/>
      <c r="Q1158" s="174"/>
      <c r="R1158" s="174"/>
      <c r="S1158" s="174"/>
      <c r="T1158" s="174"/>
      <c r="U1158" s="174"/>
      <c r="V1158" s="174"/>
      <c r="W1158" s="174"/>
      <c r="X1158" s="174"/>
      <c r="Y1158" s="174"/>
      <c r="Z1158" s="174"/>
      <c r="AA1158" s="174"/>
    </row>
    <row r="1159">
      <c r="A1159" s="174"/>
      <c r="B1159" s="174"/>
      <c r="C1159" s="174"/>
      <c r="D1159" s="174"/>
      <c r="E1159" s="174"/>
      <c r="F1159" s="175"/>
      <c r="G1159" s="175"/>
      <c r="H1159" s="174"/>
      <c r="I1159" s="174"/>
      <c r="J1159" s="174"/>
      <c r="K1159" s="174"/>
      <c r="L1159" s="174"/>
      <c r="M1159" s="174"/>
      <c r="N1159" s="174"/>
      <c r="O1159" s="174"/>
      <c r="P1159" s="174"/>
      <c r="Q1159" s="174"/>
      <c r="R1159" s="174"/>
      <c r="S1159" s="174"/>
      <c r="T1159" s="174"/>
      <c r="U1159" s="174"/>
      <c r="V1159" s="174"/>
      <c r="W1159" s="174"/>
      <c r="X1159" s="174"/>
      <c r="Y1159" s="174"/>
      <c r="Z1159" s="174"/>
      <c r="AA1159" s="174"/>
    </row>
    <row r="1160">
      <c r="A1160" s="174"/>
      <c r="B1160" s="174"/>
      <c r="C1160" s="174"/>
      <c r="D1160" s="174"/>
      <c r="E1160" s="174"/>
      <c r="F1160" s="175"/>
      <c r="G1160" s="175"/>
      <c r="H1160" s="174"/>
      <c r="I1160" s="174"/>
      <c r="J1160" s="174"/>
      <c r="K1160" s="174"/>
      <c r="L1160" s="174"/>
      <c r="M1160" s="174"/>
      <c r="N1160" s="174"/>
      <c r="O1160" s="174"/>
      <c r="P1160" s="174"/>
      <c r="Q1160" s="174"/>
      <c r="R1160" s="174"/>
      <c r="S1160" s="174"/>
      <c r="T1160" s="174"/>
      <c r="U1160" s="174"/>
      <c r="V1160" s="174"/>
      <c r="W1160" s="174"/>
      <c r="X1160" s="174"/>
      <c r="Y1160" s="174"/>
      <c r="Z1160" s="174"/>
      <c r="AA1160" s="174"/>
    </row>
    <row r="1161">
      <c r="A1161" s="174"/>
      <c r="B1161" s="174"/>
      <c r="C1161" s="174"/>
      <c r="D1161" s="174"/>
      <c r="E1161" s="174"/>
      <c r="F1161" s="175"/>
      <c r="G1161" s="175"/>
      <c r="H1161" s="174"/>
      <c r="I1161" s="174"/>
      <c r="J1161" s="174"/>
      <c r="K1161" s="174"/>
      <c r="L1161" s="174"/>
      <c r="M1161" s="174"/>
      <c r="N1161" s="174"/>
      <c r="O1161" s="174"/>
      <c r="P1161" s="174"/>
      <c r="Q1161" s="174"/>
      <c r="R1161" s="174"/>
      <c r="S1161" s="174"/>
      <c r="T1161" s="174"/>
      <c r="U1161" s="174"/>
      <c r="V1161" s="174"/>
      <c r="W1161" s="174"/>
      <c r="X1161" s="174"/>
      <c r="Y1161" s="174"/>
      <c r="Z1161" s="174"/>
      <c r="AA1161" s="174"/>
    </row>
    <row r="1162">
      <c r="A1162" s="174"/>
      <c r="B1162" s="174"/>
      <c r="C1162" s="174"/>
      <c r="D1162" s="174"/>
      <c r="E1162" s="174"/>
      <c r="F1162" s="175"/>
      <c r="G1162" s="175"/>
      <c r="H1162" s="174"/>
      <c r="I1162" s="174"/>
      <c r="J1162" s="174"/>
      <c r="K1162" s="174"/>
      <c r="L1162" s="174"/>
      <c r="M1162" s="174"/>
      <c r="N1162" s="174"/>
      <c r="O1162" s="174"/>
      <c r="P1162" s="174"/>
      <c r="Q1162" s="174"/>
      <c r="R1162" s="174"/>
      <c r="S1162" s="174"/>
      <c r="T1162" s="174"/>
      <c r="U1162" s="174"/>
      <c r="V1162" s="174"/>
      <c r="W1162" s="174"/>
      <c r="X1162" s="174"/>
      <c r="Y1162" s="174"/>
      <c r="Z1162" s="174"/>
      <c r="AA1162" s="174"/>
    </row>
    <row r="1163">
      <c r="A1163" s="174"/>
      <c r="B1163" s="174"/>
      <c r="C1163" s="174"/>
      <c r="D1163" s="174"/>
      <c r="E1163" s="174"/>
      <c r="F1163" s="175"/>
      <c r="G1163" s="175"/>
      <c r="H1163" s="174"/>
      <c r="I1163" s="174"/>
      <c r="J1163" s="174"/>
      <c r="K1163" s="174"/>
      <c r="L1163" s="174"/>
      <c r="M1163" s="174"/>
      <c r="N1163" s="174"/>
      <c r="O1163" s="174"/>
      <c r="P1163" s="174"/>
      <c r="Q1163" s="174"/>
      <c r="R1163" s="174"/>
      <c r="S1163" s="174"/>
      <c r="T1163" s="174"/>
      <c r="U1163" s="174"/>
      <c r="V1163" s="174"/>
      <c r="W1163" s="174"/>
      <c r="X1163" s="174"/>
      <c r="Y1163" s="174"/>
      <c r="Z1163" s="174"/>
      <c r="AA1163" s="174"/>
    </row>
    <row r="1164">
      <c r="A1164" s="174"/>
      <c r="B1164" s="174"/>
      <c r="C1164" s="174"/>
      <c r="D1164" s="174"/>
      <c r="E1164" s="174"/>
      <c r="F1164" s="175"/>
      <c r="G1164" s="175"/>
      <c r="H1164" s="174"/>
      <c r="I1164" s="174"/>
      <c r="J1164" s="174"/>
      <c r="K1164" s="174"/>
      <c r="L1164" s="174"/>
      <c r="M1164" s="174"/>
      <c r="N1164" s="174"/>
      <c r="O1164" s="174"/>
      <c r="P1164" s="174"/>
      <c r="Q1164" s="174"/>
      <c r="R1164" s="174"/>
      <c r="S1164" s="174"/>
      <c r="T1164" s="174"/>
      <c r="U1164" s="174"/>
      <c r="V1164" s="174"/>
      <c r="W1164" s="174"/>
      <c r="X1164" s="174"/>
      <c r="Y1164" s="174"/>
      <c r="Z1164" s="174"/>
      <c r="AA1164" s="174"/>
    </row>
    <row r="1165">
      <c r="A1165" s="174"/>
      <c r="B1165" s="174"/>
      <c r="C1165" s="174"/>
      <c r="D1165" s="174"/>
      <c r="E1165" s="174"/>
      <c r="F1165" s="175"/>
      <c r="G1165" s="175"/>
      <c r="H1165" s="174"/>
      <c r="I1165" s="174"/>
      <c r="J1165" s="174"/>
      <c r="K1165" s="174"/>
      <c r="L1165" s="174"/>
      <c r="M1165" s="174"/>
      <c r="N1165" s="174"/>
      <c r="O1165" s="174"/>
      <c r="P1165" s="174"/>
      <c r="Q1165" s="174"/>
      <c r="R1165" s="174"/>
      <c r="S1165" s="174"/>
      <c r="T1165" s="174"/>
      <c r="U1165" s="174"/>
      <c r="V1165" s="174"/>
      <c r="W1165" s="174"/>
      <c r="X1165" s="174"/>
      <c r="Y1165" s="174"/>
      <c r="Z1165" s="174"/>
      <c r="AA1165" s="174"/>
    </row>
    <row r="1166">
      <c r="A1166" s="174"/>
      <c r="B1166" s="174"/>
      <c r="C1166" s="174"/>
      <c r="D1166" s="174"/>
      <c r="E1166" s="174"/>
      <c r="F1166" s="175"/>
      <c r="G1166" s="175"/>
      <c r="H1166" s="174"/>
      <c r="I1166" s="174"/>
      <c r="J1166" s="174"/>
      <c r="K1166" s="174"/>
      <c r="L1166" s="174"/>
      <c r="M1166" s="174"/>
      <c r="N1166" s="174"/>
      <c r="O1166" s="174"/>
      <c r="P1166" s="174"/>
      <c r="Q1166" s="174"/>
      <c r="R1166" s="174"/>
      <c r="S1166" s="174"/>
      <c r="T1166" s="174"/>
      <c r="U1166" s="174"/>
      <c r="V1166" s="174"/>
      <c r="W1166" s="174"/>
      <c r="X1166" s="174"/>
      <c r="Y1166" s="174"/>
      <c r="Z1166" s="174"/>
      <c r="AA1166" s="174"/>
    </row>
    <row r="1167">
      <c r="A1167" s="174"/>
      <c r="B1167" s="174"/>
      <c r="C1167" s="174"/>
      <c r="D1167" s="174"/>
      <c r="E1167" s="174"/>
      <c r="F1167" s="175"/>
      <c r="G1167" s="175"/>
      <c r="H1167" s="174"/>
      <c r="I1167" s="174"/>
      <c r="J1167" s="174"/>
      <c r="K1167" s="174"/>
      <c r="L1167" s="174"/>
      <c r="M1167" s="174"/>
      <c r="N1167" s="174"/>
      <c r="O1167" s="174"/>
      <c r="P1167" s="174"/>
      <c r="Q1167" s="174"/>
      <c r="R1167" s="174"/>
      <c r="S1167" s="174"/>
      <c r="T1167" s="174"/>
      <c r="U1167" s="174"/>
      <c r="V1167" s="174"/>
      <c r="W1167" s="174"/>
      <c r="X1167" s="174"/>
      <c r="Y1167" s="174"/>
      <c r="Z1167" s="174"/>
      <c r="AA1167" s="174"/>
    </row>
    <row r="1168">
      <c r="A1168" s="174"/>
      <c r="B1168" s="174"/>
      <c r="C1168" s="174"/>
      <c r="D1168" s="174"/>
      <c r="E1168" s="174"/>
      <c r="F1168" s="175"/>
      <c r="G1168" s="175"/>
      <c r="H1168" s="174"/>
      <c r="I1168" s="174"/>
      <c r="J1168" s="174"/>
      <c r="K1168" s="174"/>
      <c r="L1168" s="174"/>
      <c r="M1168" s="174"/>
      <c r="N1168" s="174"/>
      <c r="O1168" s="174"/>
      <c r="P1168" s="174"/>
      <c r="Q1168" s="174"/>
      <c r="R1168" s="174"/>
      <c r="S1168" s="174"/>
      <c r="T1168" s="174"/>
      <c r="U1168" s="174"/>
      <c r="V1168" s="174"/>
      <c r="W1168" s="174"/>
      <c r="X1168" s="174"/>
      <c r="Y1168" s="174"/>
      <c r="Z1168" s="174"/>
      <c r="AA1168" s="174"/>
    </row>
    <row r="1169">
      <c r="A1169" s="174"/>
      <c r="B1169" s="174"/>
      <c r="C1169" s="174"/>
      <c r="D1169" s="174"/>
      <c r="E1169" s="174"/>
      <c r="F1169" s="175"/>
      <c r="G1169" s="175"/>
      <c r="H1169" s="174"/>
      <c r="I1169" s="174"/>
      <c r="J1169" s="174"/>
      <c r="K1169" s="174"/>
      <c r="L1169" s="174"/>
      <c r="M1169" s="174"/>
      <c r="N1169" s="174"/>
      <c r="O1169" s="174"/>
      <c r="P1169" s="174"/>
      <c r="Q1169" s="174"/>
      <c r="R1169" s="174"/>
      <c r="S1169" s="174"/>
      <c r="T1169" s="174"/>
      <c r="U1169" s="174"/>
      <c r="V1169" s="174"/>
      <c r="W1169" s="174"/>
      <c r="X1169" s="174"/>
      <c r="Y1169" s="174"/>
      <c r="Z1169" s="174"/>
      <c r="AA1169" s="174"/>
    </row>
    <row r="1170">
      <c r="A1170" s="174"/>
      <c r="B1170" s="174"/>
      <c r="C1170" s="174"/>
      <c r="D1170" s="174"/>
      <c r="E1170" s="174"/>
      <c r="F1170" s="175"/>
      <c r="G1170" s="175"/>
      <c r="H1170" s="174"/>
      <c r="I1170" s="174"/>
      <c r="J1170" s="174"/>
      <c r="K1170" s="174"/>
      <c r="L1170" s="174"/>
      <c r="M1170" s="174"/>
      <c r="N1170" s="174"/>
      <c r="O1170" s="174"/>
      <c r="P1170" s="174"/>
      <c r="Q1170" s="174"/>
      <c r="R1170" s="174"/>
      <c r="S1170" s="174"/>
      <c r="T1170" s="174"/>
      <c r="U1170" s="174"/>
      <c r="V1170" s="174"/>
      <c r="W1170" s="174"/>
      <c r="X1170" s="174"/>
      <c r="Y1170" s="174"/>
      <c r="Z1170" s="174"/>
      <c r="AA1170" s="174"/>
    </row>
    <row r="1171">
      <c r="A1171" s="174"/>
      <c r="B1171" s="174"/>
      <c r="C1171" s="174"/>
      <c r="D1171" s="174"/>
      <c r="E1171" s="174"/>
      <c r="F1171" s="175"/>
      <c r="G1171" s="175"/>
      <c r="H1171" s="174"/>
      <c r="I1171" s="174"/>
      <c r="J1171" s="174"/>
      <c r="K1171" s="174"/>
      <c r="L1171" s="174"/>
      <c r="M1171" s="174"/>
      <c r="N1171" s="174"/>
      <c r="O1171" s="174"/>
      <c r="P1171" s="174"/>
      <c r="Q1171" s="174"/>
      <c r="R1171" s="174"/>
      <c r="S1171" s="174"/>
      <c r="T1171" s="174"/>
      <c r="U1171" s="174"/>
      <c r="V1171" s="174"/>
      <c r="W1171" s="174"/>
      <c r="X1171" s="174"/>
      <c r="Y1171" s="174"/>
      <c r="Z1171" s="174"/>
      <c r="AA1171" s="174"/>
    </row>
    <row r="1172">
      <c r="A1172" s="174"/>
      <c r="B1172" s="174"/>
      <c r="C1172" s="174"/>
      <c r="D1172" s="174"/>
      <c r="E1172" s="174"/>
      <c r="F1172" s="175"/>
      <c r="G1172" s="175"/>
      <c r="H1172" s="174"/>
      <c r="I1172" s="174"/>
      <c r="J1172" s="174"/>
      <c r="K1172" s="174"/>
      <c r="L1172" s="174"/>
      <c r="M1172" s="174"/>
      <c r="N1172" s="174"/>
      <c r="O1172" s="174"/>
      <c r="P1172" s="174"/>
      <c r="Q1172" s="174"/>
      <c r="R1172" s="174"/>
      <c r="S1172" s="174"/>
      <c r="T1172" s="174"/>
      <c r="U1172" s="174"/>
      <c r="V1172" s="174"/>
      <c r="W1172" s="174"/>
      <c r="X1172" s="174"/>
      <c r="Y1172" s="174"/>
      <c r="Z1172" s="174"/>
      <c r="AA1172" s="174"/>
    </row>
    <row r="1173">
      <c r="A1173" s="174"/>
      <c r="B1173" s="174"/>
      <c r="C1173" s="174"/>
      <c r="D1173" s="174"/>
      <c r="E1173" s="174"/>
      <c r="F1173" s="175"/>
      <c r="G1173" s="175"/>
      <c r="H1173" s="174"/>
      <c r="I1173" s="174"/>
      <c r="J1173" s="174"/>
      <c r="K1173" s="174"/>
      <c r="L1173" s="174"/>
      <c r="M1173" s="174"/>
      <c r="N1173" s="174"/>
      <c r="O1173" s="174"/>
      <c r="P1173" s="174"/>
      <c r="Q1173" s="174"/>
      <c r="R1173" s="174"/>
      <c r="S1173" s="174"/>
      <c r="T1173" s="174"/>
      <c r="U1173" s="174"/>
      <c r="V1173" s="174"/>
      <c r="W1173" s="174"/>
      <c r="X1173" s="174"/>
      <c r="Y1173" s="174"/>
      <c r="Z1173" s="174"/>
      <c r="AA1173" s="174"/>
    </row>
    <row r="1174">
      <c r="A1174" s="174"/>
      <c r="B1174" s="174"/>
      <c r="C1174" s="174"/>
      <c r="D1174" s="174"/>
      <c r="E1174" s="174"/>
      <c r="F1174" s="175"/>
      <c r="G1174" s="175"/>
      <c r="H1174" s="174"/>
      <c r="I1174" s="174"/>
      <c r="J1174" s="174"/>
      <c r="K1174" s="174"/>
      <c r="L1174" s="174"/>
      <c r="M1174" s="174"/>
      <c r="N1174" s="174"/>
      <c r="O1174" s="174"/>
      <c r="P1174" s="174"/>
      <c r="Q1174" s="174"/>
      <c r="R1174" s="174"/>
      <c r="S1174" s="174"/>
      <c r="T1174" s="174"/>
      <c r="U1174" s="174"/>
      <c r="V1174" s="174"/>
      <c r="W1174" s="174"/>
      <c r="X1174" s="174"/>
      <c r="Y1174" s="174"/>
      <c r="Z1174" s="174"/>
      <c r="AA1174" s="174"/>
    </row>
    <row r="1175">
      <c r="A1175" s="174"/>
      <c r="B1175" s="174"/>
      <c r="C1175" s="174"/>
      <c r="D1175" s="174"/>
      <c r="E1175" s="174"/>
      <c r="F1175" s="175"/>
      <c r="G1175" s="175"/>
      <c r="H1175" s="174"/>
      <c r="I1175" s="174"/>
      <c r="J1175" s="174"/>
      <c r="K1175" s="174"/>
      <c r="L1175" s="174"/>
      <c r="M1175" s="174"/>
      <c r="N1175" s="174"/>
      <c r="O1175" s="174"/>
      <c r="P1175" s="174"/>
      <c r="Q1175" s="174"/>
      <c r="R1175" s="174"/>
      <c r="S1175" s="174"/>
      <c r="T1175" s="174"/>
      <c r="U1175" s="174"/>
      <c r="V1175" s="174"/>
      <c r="W1175" s="174"/>
      <c r="X1175" s="174"/>
      <c r="Y1175" s="174"/>
      <c r="Z1175" s="174"/>
      <c r="AA1175" s="174"/>
    </row>
    <row r="1176">
      <c r="A1176" s="174"/>
      <c r="B1176" s="174"/>
      <c r="C1176" s="174"/>
      <c r="D1176" s="174"/>
      <c r="E1176" s="174"/>
      <c r="F1176" s="175"/>
      <c r="G1176" s="175"/>
      <c r="H1176" s="174"/>
      <c r="I1176" s="174"/>
      <c r="J1176" s="174"/>
      <c r="K1176" s="174"/>
      <c r="L1176" s="174"/>
      <c r="M1176" s="174"/>
      <c r="N1176" s="174"/>
      <c r="O1176" s="174"/>
      <c r="P1176" s="174"/>
      <c r="Q1176" s="174"/>
      <c r="R1176" s="174"/>
      <c r="S1176" s="174"/>
      <c r="T1176" s="174"/>
      <c r="U1176" s="174"/>
      <c r="V1176" s="174"/>
      <c r="W1176" s="174"/>
      <c r="X1176" s="174"/>
      <c r="Y1176" s="174"/>
      <c r="Z1176" s="174"/>
      <c r="AA1176" s="174"/>
    </row>
    <row r="1177">
      <c r="A1177" s="174"/>
      <c r="B1177" s="174"/>
      <c r="C1177" s="174"/>
      <c r="D1177" s="174"/>
      <c r="E1177" s="174"/>
      <c r="F1177" s="175"/>
      <c r="G1177" s="175"/>
      <c r="H1177" s="174"/>
      <c r="I1177" s="174"/>
      <c r="J1177" s="174"/>
      <c r="K1177" s="174"/>
      <c r="L1177" s="174"/>
      <c r="M1177" s="174"/>
      <c r="N1177" s="174"/>
      <c r="O1177" s="174"/>
      <c r="P1177" s="174"/>
      <c r="Q1177" s="174"/>
      <c r="R1177" s="174"/>
      <c r="S1177" s="174"/>
      <c r="T1177" s="174"/>
      <c r="U1177" s="174"/>
      <c r="V1177" s="174"/>
      <c r="W1177" s="174"/>
      <c r="X1177" s="174"/>
      <c r="Y1177" s="174"/>
      <c r="Z1177" s="174"/>
      <c r="AA1177" s="174"/>
    </row>
    <row r="1178">
      <c r="A1178" s="174"/>
      <c r="B1178" s="174"/>
      <c r="C1178" s="174"/>
      <c r="D1178" s="174"/>
      <c r="E1178" s="174"/>
      <c r="F1178" s="175"/>
      <c r="G1178" s="175"/>
      <c r="H1178" s="174"/>
      <c r="I1178" s="174"/>
      <c r="J1178" s="174"/>
      <c r="K1178" s="174"/>
      <c r="L1178" s="174"/>
      <c r="M1178" s="174"/>
      <c r="N1178" s="174"/>
      <c r="O1178" s="174"/>
      <c r="P1178" s="174"/>
      <c r="Q1178" s="174"/>
      <c r="R1178" s="174"/>
      <c r="S1178" s="174"/>
      <c r="T1178" s="174"/>
      <c r="U1178" s="174"/>
      <c r="V1178" s="174"/>
      <c r="W1178" s="174"/>
      <c r="X1178" s="174"/>
      <c r="Y1178" s="174"/>
      <c r="Z1178" s="174"/>
      <c r="AA1178" s="174"/>
    </row>
    <row r="1179">
      <c r="A1179" s="174"/>
      <c r="B1179" s="174"/>
      <c r="C1179" s="174"/>
      <c r="D1179" s="174"/>
      <c r="E1179" s="174"/>
      <c r="F1179" s="175"/>
      <c r="G1179" s="175"/>
      <c r="H1179" s="174"/>
      <c r="I1179" s="174"/>
      <c r="J1179" s="174"/>
      <c r="K1179" s="174"/>
      <c r="L1179" s="174"/>
      <c r="M1179" s="174"/>
      <c r="N1179" s="174"/>
      <c r="O1179" s="174"/>
      <c r="P1179" s="174"/>
      <c r="Q1179" s="174"/>
      <c r="R1179" s="174"/>
      <c r="S1179" s="174"/>
      <c r="T1179" s="174"/>
      <c r="U1179" s="174"/>
      <c r="V1179" s="174"/>
      <c r="W1179" s="174"/>
      <c r="X1179" s="174"/>
      <c r="Y1179" s="174"/>
      <c r="Z1179" s="174"/>
      <c r="AA1179" s="174"/>
    </row>
    <row r="1180">
      <c r="A1180" s="174"/>
      <c r="B1180" s="174"/>
      <c r="C1180" s="174"/>
      <c r="D1180" s="174"/>
      <c r="E1180" s="174"/>
      <c r="F1180" s="175"/>
      <c r="G1180" s="175"/>
      <c r="H1180" s="174"/>
      <c r="I1180" s="174"/>
      <c r="J1180" s="174"/>
      <c r="K1180" s="174"/>
      <c r="L1180" s="174"/>
      <c r="M1180" s="174"/>
      <c r="N1180" s="174"/>
      <c r="O1180" s="174"/>
      <c r="P1180" s="174"/>
      <c r="Q1180" s="174"/>
      <c r="R1180" s="174"/>
      <c r="S1180" s="174"/>
      <c r="T1180" s="174"/>
      <c r="U1180" s="174"/>
      <c r="V1180" s="174"/>
      <c r="W1180" s="174"/>
      <c r="X1180" s="174"/>
      <c r="Y1180" s="174"/>
      <c r="Z1180" s="174"/>
      <c r="AA1180" s="174"/>
    </row>
    <row r="1181">
      <c r="A1181" s="174"/>
      <c r="B1181" s="174"/>
      <c r="C1181" s="174"/>
      <c r="D1181" s="174"/>
      <c r="E1181" s="174"/>
      <c r="F1181" s="175"/>
      <c r="G1181" s="175"/>
      <c r="H1181" s="174"/>
      <c r="I1181" s="174"/>
      <c r="J1181" s="174"/>
      <c r="K1181" s="174"/>
      <c r="L1181" s="174"/>
      <c r="M1181" s="174"/>
      <c r="N1181" s="174"/>
      <c r="O1181" s="174"/>
      <c r="P1181" s="174"/>
      <c r="Q1181" s="174"/>
      <c r="R1181" s="174"/>
      <c r="S1181" s="174"/>
      <c r="T1181" s="174"/>
      <c r="U1181" s="174"/>
      <c r="V1181" s="174"/>
      <c r="W1181" s="174"/>
      <c r="X1181" s="174"/>
      <c r="Y1181" s="174"/>
      <c r="Z1181" s="174"/>
      <c r="AA1181" s="174"/>
    </row>
    <row r="1182">
      <c r="A1182" s="174"/>
      <c r="B1182" s="174"/>
      <c r="C1182" s="174"/>
      <c r="D1182" s="174"/>
      <c r="E1182" s="174"/>
      <c r="F1182" s="175"/>
      <c r="G1182" s="175"/>
      <c r="H1182" s="174"/>
      <c r="I1182" s="174"/>
      <c r="J1182" s="174"/>
      <c r="K1182" s="174"/>
      <c r="L1182" s="174"/>
      <c r="M1182" s="174"/>
      <c r="N1182" s="174"/>
      <c r="O1182" s="174"/>
      <c r="P1182" s="174"/>
      <c r="Q1182" s="174"/>
      <c r="R1182" s="174"/>
      <c r="S1182" s="174"/>
      <c r="T1182" s="174"/>
      <c r="U1182" s="174"/>
      <c r="V1182" s="174"/>
      <c r="W1182" s="174"/>
      <c r="X1182" s="174"/>
      <c r="Y1182" s="174"/>
      <c r="Z1182" s="174"/>
      <c r="AA1182" s="174"/>
    </row>
    <row r="1183">
      <c r="A1183" s="174"/>
      <c r="B1183" s="174"/>
      <c r="C1183" s="174"/>
      <c r="D1183" s="174"/>
      <c r="E1183" s="174"/>
      <c r="F1183" s="175"/>
      <c r="G1183" s="175"/>
      <c r="H1183" s="174"/>
      <c r="I1183" s="174"/>
      <c r="J1183" s="174"/>
      <c r="K1183" s="174"/>
      <c r="L1183" s="174"/>
      <c r="M1183" s="174"/>
      <c r="N1183" s="174"/>
      <c r="O1183" s="174"/>
      <c r="P1183" s="174"/>
      <c r="Q1183" s="174"/>
      <c r="R1183" s="174"/>
      <c r="S1183" s="174"/>
      <c r="T1183" s="174"/>
      <c r="U1183" s="174"/>
      <c r="V1183" s="174"/>
      <c r="W1183" s="174"/>
      <c r="X1183" s="174"/>
      <c r="Y1183" s="174"/>
      <c r="Z1183" s="174"/>
      <c r="AA1183" s="174"/>
    </row>
    <row r="1184">
      <c r="A1184" s="174"/>
      <c r="B1184" s="174"/>
      <c r="C1184" s="174"/>
      <c r="D1184" s="174"/>
      <c r="E1184" s="174"/>
      <c r="F1184" s="175"/>
      <c r="G1184" s="175"/>
      <c r="H1184" s="174"/>
      <c r="I1184" s="174"/>
      <c r="J1184" s="174"/>
      <c r="K1184" s="174"/>
      <c r="L1184" s="174"/>
      <c r="M1184" s="174"/>
      <c r="N1184" s="174"/>
      <c r="O1184" s="174"/>
      <c r="P1184" s="174"/>
      <c r="Q1184" s="174"/>
      <c r="R1184" s="174"/>
      <c r="S1184" s="174"/>
      <c r="T1184" s="174"/>
      <c r="U1184" s="174"/>
      <c r="V1184" s="174"/>
      <c r="W1184" s="174"/>
      <c r="X1184" s="174"/>
      <c r="Y1184" s="174"/>
      <c r="Z1184" s="174"/>
      <c r="AA1184" s="174"/>
    </row>
    <row r="1185">
      <c r="A1185" s="174"/>
      <c r="B1185" s="174"/>
      <c r="C1185" s="174"/>
      <c r="D1185" s="174"/>
      <c r="E1185" s="174"/>
      <c r="F1185" s="175"/>
      <c r="G1185" s="175"/>
      <c r="H1185" s="174"/>
      <c r="I1185" s="174"/>
      <c r="J1185" s="174"/>
      <c r="K1185" s="174"/>
      <c r="L1185" s="174"/>
      <c r="M1185" s="174"/>
      <c r="N1185" s="174"/>
      <c r="O1185" s="174"/>
      <c r="P1185" s="174"/>
      <c r="Q1185" s="174"/>
      <c r="R1185" s="174"/>
      <c r="S1185" s="174"/>
      <c r="T1185" s="174"/>
      <c r="U1185" s="174"/>
      <c r="V1185" s="174"/>
      <c r="W1185" s="174"/>
      <c r="X1185" s="174"/>
      <c r="Y1185" s="174"/>
      <c r="Z1185" s="174"/>
      <c r="AA1185" s="174"/>
    </row>
    <row r="1186">
      <c r="A1186" s="174"/>
      <c r="B1186" s="174"/>
      <c r="C1186" s="174"/>
      <c r="D1186" s="174"/>
      <c r="E1186" s="174"/>
      <c r="F1186" s="175"/>
      <c r="G1186" s="175"/>
      <c r="H1186" s="174"/>
      <c r="I1186" s="174"/>
      <c r="J1186" s="174"/>
      <c r="K1186" s="174"/>
      <c r="L1186" s="174"/>
      <c r="M1186" s="174"/>
      <c r="N1186" s="174"/>
      <c r="O1186" s="174"/>
      <c r="P1186" s="174"/>
      <c r="Q1186" s="174"/>
      <c r="R1186" s="174"/>
      <c r="S1186" s="174"/>
      <c r="T1186" s="174"/>
      <c r="U1186" s="174"/>
      <c r="V1186" s="174"/>
      <c r="W1186" s="174"/>
      <c r="X1186" s="174"/>
      <c r="Y1186" s="174"/>
      <c r="Z1186" s="174"/>
      <c r="AA1186" s="174"/>
    </row>
    <row r="1187">
      <c r="A1187" s="174"/>
      <c r="B1187" s="174"/>
      <c r="C1187" s="174"/>
      <c r="D1187" s="174"/>
      <c r="E1187" s="174"/>
      <c r="F1187" s="175"/>
      <c r="G1187" s="175"/>
      <c r="H1187" s="174"/>
      <c r="I1187" s="174"/>
      <c r="J1187" s="174"/>
      <c r="K1187" s="174"/>
      <c r="L1187" s="174"/>
      <c r="M1187" s="174"/>
      <c r="N1187" s="174"/>
      <c r="O1187" s="174"/>
      <c r="P1187" s="174"/>
      <c r="Q1187" s="174"/>
      <c r="R1187" s="174"/>
      <c r="S1187" s="174"/>
      <c r="T1187" s="174"/>
      <c r="U1187" s="174"/>
      <c r="V1187" s="174"/>
      <c r="W1187" s="174"/>
      <c r="X1187" s="174"/>
      <c r="Y1187" s="174"/>
      <c r="Z1187" s="174"/>
      <c r="AA1187" s="174"/>
    </row>
    <row r="1188">
      <c r="A1188" s="174"/>
      <c r="B1188" s="174"/>
      <c r="C1188" s="174"/>
      <c r="D1188" s="174"/>
      <c r="E1188" s="174"/>
      <c r="F1188" s="175"/>
      <c r="G1188" s="175"/>
      <c r="H1188" s="174"/>
      <c r="I1188" s="174"/>
      <c r="J1188" s="174"/>
      <c r="K1188" s="174"/>
      <c r="L1188" s="174"/>
      <c r="M1188" s="174"/>
      <c r="N1188" s="174"/>
      <c r="O1188" s="174"/>
      <c r="P1188" s="174"/>
      <c r="Q1188" s="174"/>
      <c r="R1188" s="174"/>
      <c r="S1188" s="174"/>
      <c r="T1188" s="174"/>
      <c r="U1188" s="174"/>
      <c r="V1188" s="174"/>
      <c r="W1188" s="174"/>
      <c r="X1188" s="174"/>
      <c r="Y1188" s="174"/>
      <c r="Z1188" s="174"/>
      <c r="AA1188" s="174"/>
    </row>
    <row r="1189">
      <c r="A1189" s="174"/>
      <c r="B1189" s="174"/>
      <c r="C1189" s="174"/>
      <c r="D1189" s="174"/>
      <c r="E1189" s="174"/>
      <c r="F1189" s="175"/>
      <c r="G1189" s="175"/>
      <c r="H1189" s="174"/>
      <c r="I1189" s="174"/>
      <c r="J1189" s="174"/>
      <c r="K1189" s="174"/>
      <c r="L1189" s="174"/>
      <c r="M1189" s="174"/>
      <c r="N1189" s="174"/>
      <c r="O1189" s="174"/>
      <c r="P1189" s="174"/>
      <c r="Q1189" s="174"/>
      <c r="R1189" s="174"/>
      <c r="S1189" s="174"/>
      <c r="T1189" s="174"/>
      <c r="U1189" s="174"/>
      <c r="V1189" s="174"/>
      <c r="W1189" s="174"/>
      <c r="X1189" s="174"/>
      <c r="Y1189" s="174"/>
      <c r="Z1189" s="174"/>
      <c r="AA1189" s="174"/>
    </row>
    <row r="1190">
      <c r="A1190" s="174"/>
      <c r="B1190" s="174"/>
      <c r="C1190" s="174"/>
      <c r="D1190" s="174"/>
      <c r="E1190" s="174"/>
      <c r="F1190" s="175"/>
      <c r="G1190" s="175"/>
      <c r="H1190" s="174"/>
      <c r="I1190" s="174"/>
      <c r="J1190" s="174"/>
      <c r="K1190" s="174"/>
      <c r="L1190" s="174"/>
      <c r="M1190" s="174"/>
      <c r="N1190" s="174"/>
      <c r="O1190" s="174"/>
      <c r="P1190" s="174"/>
      <c r="Q1190" s="174"/>
      <c r="R1190" s="174"/>
      <c r="S1190" s="174"/>
      <c r="T1190" s="174"/>
      <c r="U1190" s="174"/>
      <c r="V1190" s="174"/>
      <c r="W1190" s="174"/>
      <c r="X1190" s="174"/>
      <c r="Y1190" s="174"/>
      <c r="Z1190" s="174"/>
      <c r="AA1190" s="174"/>
    </row>
    <row r="1191">
      <c r="A1191" s="174"/>
      <c r="B1191" s="174"/>
      <c r="C1191" s="174"/>
      <c r="D1191" s="174"/>
      <c r="E1191" s="174"/>
      <c r="F1191" s="175"/>
      <c r="G1191" s="175"/>
      <c r="H1191" s="174"/>
      <c r="I1191" s="174"/>
      <c r="J1191" s="174"/>
      <c r="K1191" s="174"/>
      <c r="L1191" s="174"/>
      <c r="M1191" s="174"/>
      <c r="N1191" s="174"/>
      <c r="O1191" s="174"/>
      <c r="P1191" s="174"/>
      <c r="Q1191" s="174"/>
      <c r="R1191" s="174"/>
      <c r="S1191" s="174"/>
      <c r="T1191" s="174"/>
      <c r="U1191" s="174"/>
      <c r="V1191" s="174"/>
      <c r="W1191" s="174"/>
      <c r="X1191" s="174"/>
      <c r="Y1191" s="174"/>
      <c r="Z1191" s="174"/>
      <c r="AA1191" s="174"/>
    </row>
    <row r="1192">
      <c r="A1192" s="174"/>
      <c r="B1192" s="174"/>
      <c r="C1192" s="174"/>
      <c r="D1192" s="174"/>
      <c r="E1192" s="174"/>
      <c r="F1192" s="175"/>
      <c r="G1192" s="175"/>
      <c r="H1192" s="174"/>
      <c r="I1192" s="174"/>
      <c r="J1192" s="174"/>
      <c r="K1192" s="174"/>
      <c r="L1192" s="174"/>
      <c r="M1192" s="174"/>
      <c r="N1192" s="174"/>
      <c r="O1192" s="174"/>
      <c r="P1192" s="174"/>
      <c r="Q1192" s="174"/>
      <c r="R1192" s="174"/>
      <c r="S1192" s="174"/>
      <c r="T1192" s="174"/>
      <c r="U1192" s="174"/>
      <c r="V1192" s="174"/>
      <c r="W1192" s="174"/>
      <c r="X1192" s="174"/>
      <c r="Y1192" s="174"/>
      <c r="Z1192" s="174"/>
      <c r="AA1192" s="174"/>
    </row>
    <row r="1193">
      <c r="A1193" s="174"/>
      <c r="B1193" s="174"/>
      <c r="C1193" s="174"/>
      <c r="D1193" s="174"/>
      <c r="E1193" s="174"/>
      <c r="F1193" s="175"/>
      <c r="G1193" s="175"/>
      <c r="H1193" s="174"/>
      <c r="I1193" s="174"/>
      <c r="J1193" s="174"/>
      <c r="K1193" s="174"/>
      <c r="L1193" s="174"/>
      <c r="M1193" s="174"/>
      <c r="N1193" s="174"/>
      <c r="O1193" s="174"/>
      <c r="P1193" s="174"/>
      <c r="Q1193" s="174"/>
      <c r="R1193" s="174"/>
      <c r="S1193" s="174"/>
      <c r="T1193" s="174"/>
      <c r="U1193" s="174"/>
      <c r="V1193" s="174"/>
      <c r="W1193" s="174"/>
      <c r="X1193" s="174"/>
      <c r="Y1193" s="174"/>
      <c r="Z1193" s="174"/>
      <c r="AA1193" s="174"/>
    </row>
    <row r="1194">
      <c r="A1194" s="174"/>
      <c r="B1194" s="174"/>
      <c r="C1194" s="174"/>
      <c r="D1194" s="174"/>
      <c r="E1194" s="174"/>
      <c r="F1194" s="175"/>
      <c r="G1194" s="175"/>
      <c r="H1194" s="174"/>
      <c r="I1194" s="174"/>
      <c r="J1194" s="174"/>
      <c r="K1194" s="174"/>
      <c r="L1194" s="174"/>
      <c r="M1194" s="174"/>
      <c r="N1194" s="174"/>
      <c r="O1194" s="174"/>
      <c r="P1194" s="174"/>
      <c r="Q1194" s="174"/>
      <c r="R1194" s="174"/>
      <c r="S1194" s="174"/>
      <c r="T1194" s="174"/>
      <c r="U1194" s="174"/>
      <c r="V1194" s="174"/>
      <c r="W1194" s="174"/>
      <c r="X1194" s="174"/>
      <c r="Y1194" s="174"/>
      <c r="Z1194" s="174"/>
      <c r="AA1194" s="174"/>
    </row>
    <row r="1195">
      <c r="A1195" s="174"/>
      <c r="B1195" s="174"/>
      <c r="C1195" s="174"/>
      <c r="D1195" s="174"/>
      <c r="E1195" s="174"/>
      <c r="F1195" s="175"/>
      <c r="G1195" s="175"/>
      <c r="H1195" s="174"/>
      <c r="I1195" s="174"/>
      <c r="J1195" s="174"/>
      <c r="K1195" s="174"/>
      <c r="L1195" s="174"/>
      <c r="M1195" s="174"/>
      <c r="N1195" s="174"/>
      <c r="O1195" s="174"/>
      <c r="P1195" s="174"/>
      <c r="Q1195" s="174"/>
      <c r="R1195" s="174"/>
      <c r="S1195" s="174"/>
      <c r="T1195" s="174"/>
      <c r="U1195" s="174"/>
      <c r="V1195" s="174"/>
      <c r="W1195" s="174"/>
      <c r="X1195" s="174"/>
      <c r="Y1195" s="174"/>
      <c r="Z1195" s="174"/>
      <c r="AA1195" s="174"/>
    </row>
    <row r="1196">
      <c r="A1196" s="174"/>
      <c r="B1196" s="174"/>
      <c r="C1196" s="174"/>
      <c r="D1196" s="174"/>
      <c r="E1196" s="174"/>
      <c r="F1196" s="175"/>
      <c r="G1196" s="175"/>
      <c r="H1196" s="174"/>
      <c r="I1196" s="174"/>
      <c r="J1196" s="174"/>
      <c r="K1196" s="174"/>
      <c r="L1196" s="174"/>
      <c r="M1196" s="174"/>
      <c r="N1196" s="174"/>
      <c r="O1196" s="174"/>
      <c r="P1196" s="174"/>
      <c r="Q1196" s="174"/>
      <c r="R1196" s="174"/>
      <c r="S1196" s="174"/>
      <c r="T1196" s="174"/>
      <c r="U1196" s="174"/>
      <c r="V1196" s="174"/>
      <c r="W1196" s="174"/>
      <c r="X1196" s="174"/>
      <c r="Y1196" s="174"/>
      <c r="Z1196" s="174"/>
      <c r="AA1196" s="174"/>
    </row>
    <row r="1197">
      <c r="A1197" s="174"/>
      <c r="B1197" s="174"/>
      <c r="C1197" s="174"/>
      <c r="D1197" s="174"/>
      <c r="E1197" s="174"/>
      <c r="F1197" s="175"/>
      <c r="G1197" s="175"/>
      <c r="H1197" s="174"/>
      <c r="I1197" s="174"/>
      <c r="J1197" s="174"/>
      <c r="K1197" s="174"/>
      <c r="L1197" s="174"/>
      <c r="M1197" s="174"/>
      <c r="N1197" s="174"/>
      <c r="O1197" s="174"/>
      <c r="P1197" s="174"/>
      <c r="Q1197" s="174"/>
      <c r="R1197" s="174"/>
      <c r="S1197" s="174"/>
      <c r="T1197" s="174"/>
      <c r="U1197" s="174"/>
      <c r="V1197" s="174"/>
      <c r="W1197" s="174"/>
      <c r="X1197" s="174"/>
      <c r="Y1197" s="174"/>
      <c r="Z1197" s="174"/>
      <c r="AA1197" s="174"/>
    </row>
    <row r="1198">
      <c r="A1198" s="174"/>
      <c r="B1198" s="174"/>
      <c r="C1198" s="174"/>
      <c r="D1198" s="174"/>
      <c r="E1198" s="174"/>
      <c r="F1198" s="175"/>
      <c r="G1198" s="175"/>
      <c r="H1198" s="174"/>
      <c r="I1198" s="174"/>
      <c r="J1198" s="174"/>
      <c r="K1198" s="174"/>
      <c r="L1198" s="174"/>
      <c r="M1198" s="174"/>
      <c r="N1198" s="174"/>
      <c r="O1198" s="174"/>
      <c r="P1198" s="174"/>
      <c r="Q1198" s="174"/>
      <c r="R1198" s="174"/>
      <c r="S1198" s="174"/>
      <c r="T1198" s="174"/>
      <c r="U1198" s="174"/>
      <c r="V1198" s="174"/>
      <c r="W1198" s="174"/>
      <c r="X1198" s="174"/>
      <c r="Y1198" s="174"/>
      <c r="Z1198" s="174"/>
      <c r="AA1198" s="174"/>
    </row>
    <row r="1199">
      <c r="A1199" s="174"/>
      <c r="B1199" s="174"/>
      <c r="C1199" s="174"/>
      <c r="D1199" s="174"/>
      <c r="E1199" s="174"/>
      <c r="F1199" s="175"/>
      <c r="G1199" s="175"/>
      <c r="H1199" s="174"/>
      <c r="I1199" s="174"/>
      <c r="J1199" s="174"/>
      <c r="K1199" s="174"/>
      <c r="L1199" s="174"/>
      <c r="M1199" s="174"/>
      <c r="N1199" s="174"/>
      <c r="O1199" s="174"/>
      <c r="P1199" s="174"/>
      <c r="Q1199" s="174"/>
      <c r="R1199" s="174"/>
      <c r="S1199" s="174"/>
      <c r="T1199" s="174"/>
      <c r="U1199" s="174"/>
      <c r="V1199" s="174"/>
      <c r="W1199" s="174"/>
      <c r="X1199" s="174"/>
      <c r="Y1199" s="174"/>
      <c r="Z1199" s="174"/>
      <c r="AA1199" s="174"/>
    </row>
    <row r="1200">
      <c r="A1200" s="174"/>
      <c r="B1200" s="174"/>
      <c r="C1200" s="174"/>
      <c r="D1200" s="174"/>
      <c r="E1200" s="174"/>
      <c r="F1200" s="175"/>
      <c r="G1200" s="175"/>
      <c r="H1200" s="174"/>
      <c r="I1200" s="174"/>
      <c r="J1200" s="174"/>
      <c r="K1200" s="174"/>
      <c r="L1200" s="174"/>
      <c r="M1200" s="174"/>
      <c r="N1200" s="174"/>
      <c r="O1200" s="174"/>
      <c r="P1200" s="174"/>
      <c r="Q1200" s="174"/>
      <c r="R1200" s="174"/>
      <c r="S1200" s="174"/>
      <c r="T1200" s="174"/>
      <c r="U1200" s="174"/>
      <c r="V1200" s="174"/>
      <c r="W1200" s="174"/>
      <c r="X1200" s="174"/>
      <c r="Y1200" s="174"/>
      <c r="Z1200" s="174"/>
      <c r="AA1200" s="174"/>
    </row>
    <row r="1201">
      <c r="A1201" s="174"/>
      <c r="B1201" s="174"/>
      <c r="C1201" s="174"/>
      <c r="D1201" s="174"/>
      <c r="E1201" s="174"/>
      <c r="F1201" s="175"/>
      <c r="G1201" s="175"/>
      <c r="H1201" s="174"/>
      <c r="I1201" s="174"/>
      <c r="J1201" s="174"/>
      <c r="K1201" s="174"/>
      <c r="L1201" s="174"/>
      <c r="M1201" s="174"/>
      <c r="N1201" s="174"/>
      <c r="O1201" s="174"/>
      <c r="P1201" s="174"/>
      <c r="Q1201" s="174"/>
      <c r="R1201" s="174"/>
      <c r="S1201" s="174"/>
      <c r="T1201" s="174"/>
      <c r="U1201" s="174"/>
      <c r="V1201" s="174"/>
      <c r="W1201" s="174"/>
      <c r="X1201" s="174"/>
      <c r="Y1201" s="174"/>
      <c r="Z1201" s="174"/>
      <c r="AA1201" s="174"/>
    </row>
    <row r="1202">
      <c r="A1202" s="174"/>
      <c r="B1202" s="174"/>
      <c r="C1202" s="174"/>
      <c r="D1202" s="174"/>
      <c r="E1202" s="174"/>
      <c r="F1202" s="175"/>
      <c r="G1202" s="175"/>
      <c r="H1202" s="174"/>
      <c r="I1202" s="174"/>
      <c r="J1202" s="174"/>
      <c r="K1202" s="174"/>
      <c r="L1202" s="174"/>
      <c r="M1202" s="174"/>
      <c r="N1202" s="174"/>
      <c r="O1202" s="174"/>
      <c r="P1202" s="174"/>
      <c r="Q1202" s="174"/>
      <c r="R1202" s="174"/>
      <c r="S1202" s="174"/>
      <c r="T1202" s="174"/>
      <c r="U1202" s="174"/>
      <c r="V1202" s="174"/>
      <c r="W1202" s="174"/>
      <c r="X1202" s="174"/>
      <c r="Y1202" s="174"/>
      <c r="Z1202" s="174"/>
      <c r="AA1202" s="174"/>
    </row>
    <row r="1203">
      <c r="A1203" s="174"/>
      <c r="B1203" s="174"/>
      <c r="C1203" s="174"/>
      <c r="D1203" s="174"/>
      <c r="E1203" s="174"/>
      <c r="F1203" s="175"/>
      <c r="G1203" s="175"/>
      <c r="H1203" s="174"/>
      <c r="I1203" s="174"/>
      <c r="J1203" s="174"/>
      <c r="K1203" s="174"/>
      <c r="L1203" s="174"/>
      <c r="M1203" s="174"/>
      <c r="N1203" s="174"/>
      <c r="O1203" s="174"/>
      <c r="P1203" s="174"/>
      <c r="Q1203" s="174"/>
      <c r="R1203" s="174"/>
      <c r="S1203" s="174"/>
      <c r="T1203" s="174"/>
      <c r="U1203" s="174"/>
      <c r="V1203" s="174"/>
      <c r="W1203" s="174"/>
      <c r="X1203" s="174"/>
      <c r="Y1203" s="174"/>
      <c r="Z1203" s="174"/>
      <c r="AA1203" s="174"/>
    </row>
    <row r="1204">
      <c r="A1204" s="174"/>
      <c r="B1204" s="174"/>
      <c r="C1204" s="174"/>
      <c r="D1204" s="174"/>
      <c r="E1204" s="174"/>
      <c r="F1204" s="175"/>
      <c r="G1204" s="175"/>
      <c r="H1204" s="174"/>
      <c r="I1204" s="174"/>
      <c r="J1204" s="174"/>
      <c r="K1204" s="174"/>
      <c r="L1204" s="174"/>
      <c r="M1204" s="174"/>
      <c r="N1204" s="174"/>
      <c r="O1204" s="174"/>
      <c r="P1204" s="174"/>
      <c r="Q1204" s="174"/>
      <c r="R1204" s="174"/>
      <c r="S1204" s="174"/>
      <c r="T1204" s="174"/>
      <c r="U1204" s="174"/>
      <c r="V1204" s="174"/>
      <c r="W1204" s="174"/>
      <c r="X1204" s="174"/>
      <c r="Y1204" s="174"/>
      <c r="Z1204" s="174"/>
      <c r="AA1204" s="174"/>
    </row>
    <row r="1205">
      <c r="A1205" s="174"/>
      <c r="B1205" s="174"/>
      <c r="C1205" s="174"/>
      <c r="D1205" s="174"/>
      <c r="E1205" s="174"/>
      <c r="F1205" s="175"/>
      <c r="G1205" s="175"/>
      <c r="H1205" s="174"/>
      <c r="I1205" s="174"/>
      <c r="J1205" s="174"/>
      <c r="K1205" s="174"/>
      <c r="L1205" s="174"/>
      <c r="M1205" s="174"/>
      <c r="N1205" s="174"/>
      <c r="O1205" s="174"/>
      <c r="P1205" s="174"/>
      <c r="Q1205" s="174"/>
      <c r="R1205" s="174"/>
      <c r="S1205" s="174"/>
      <c r="T1205" s="174"/>
      <c r="U1205" s="174"/>
      <c r="V1205" s="174"/>
      <c r="W1205" s="174"/>
      <c r="X1205" s="174"/>
      <c r="Y1205" s="174"/>
      <c r="Z1205" s="174"/>
      <c r="AA1205" s="174"/>
    </row>
    <row r="1206">
      <c r="A1206" s="174"/>
      <c r="B1206" s="174"/>
      <c r="C1206" s="174"/>
      <c r="D1206" s="174"/>
      <c r="E1206" s="174"/>
      <c r="F1206" s="175"/>
      <c r="G1206" s="175"/>
      <c r="H1206" s="174"/>
      <c r="I1206" s="174"/>
      <c r="J1206" s="174"/>
      <c r="K1206" s="174"/>
      <c r="L1206" s="174"/>
      <c r="M1206" s="174"/>
      <c r="N1206" s="174"/>
      <c r="O1206" s="174"/>
      <c r="P1206" s="174"/>
      <c r="Q1206" s="174"/>
      <c r="R1206" s="174"/>
      <c r="S1206" s="174"/>
      <c r="T1206" s="174"/>
      <c r="U1206" s="174"/>
      <c r="V1206" s="174"/>
      <c r="W1206" s="174"/>
      <c r="X1206" s="174"/>
      <c r="Y1206" s="174"/>
      <c r="Z1206" s="174"/>
      <c r="AA1206" s="174"/>
    </row>
    <row r="1207">
      <c r="A1207" s="174"/>
      <c r="B1207" s="174"/>
      <c r="C1207" s="174"/>
      <c r="D1207" s="174"/>
      <c r="E1207" s="174"/>
      <c r="F1207" s="175"/>
      <c r="G1207" s="175"/>
      <c r="H1207" s="174"/>
      <c r="I1207" s="174"/>
      <c r="J1207" s="174"/>
      <c r="K1207" s="174"/>
      <c r="L1207" s="174"/>
      <c r="M1207" s="174"/>
      <c r="N1207" s="174"/>
      <c r="O1207" s="174"/>
      <c r="P1207" s="174"/>
      <c r="Q1207" s="174"/>
      <c r="R1207" s="174"/>
      <c r="S1207" s="174"/>
      <c r="T1207" s="174"/>
      <c r="U1207" s="174"/>
      <c r="V1207" s="174"/>
      <c r="W1207" s="174"/>
      <c r="X1207" s="174"/>
      <c r="Y1207" s="174"/>
      <c r="Z1207" s="174"/>
      <c r="AA1207" s="174"/>
    </row>
    <row r="1208">
      <c r="A1208" s="174"/>
      <c r="B1208" s="174"/>
      <c r="C1208" s="174"/>
      <c r="D1208" s="174"/>
      <c r="E1208" s="174"/>
      <c r="F1208" s="175"/>
      <c r="G1208" s="175"/>
      <c r="H1208" s="174"/>
      <c r="I1208" s="174"/>
      <c r="J1208" s="174"/>
      <c r="K1208" s="174"/>
      <c r="L1208" s="174"/>
      <c r="M1208" s="174"/>
      <c r="N1208" s="174"/>
      <c r="O1208" s="174"/>
      <c r="P1208" s="174"/>
      <c r="Q1208" s="174"/>
      <c r="R1208" s="174"/>
      <c r="S1208" s="174"/>
      <c r="T1208" s="174"/>
      <c r="U1208" s="174"/>
      <c r="V1208" s="174"/>
      <c r="W1208" s="174"/>
      <c r="X1208" s="174"/>
      <c r="Y1208" s="174"/>
      <c r="Z1208" s="174"/>
      <c r="AA1208" s="174"/>
    </row>
    <row r="1209">
      <c r="A1209" s="174"/>
      <c r="B1209" s="174"/>
      <c r="C1209" s="174"/>
      <c r="D1209" s="174"/>
      <c r="E1209" s="174"/>
      <c r="F1209" s="175"/>
      <c r="G1209" s="175"/>
      <c r="H1209" s="174"/>
      <c r="I1209" s="174"/>
      <c r="J1209" s="174"/>
      <c r="K1209" s="174"/>
      <c r="L1209" s="174"/>
      <c r="M1209" s="174"/>
      <c r="N1209" s="174"/>
      <c r="O1209" s="174"/>
      <c r="P1209" s="174"/>
      <c r="Q1209" s="174"/>
      <c r="R1209" s="174"/>
      <c r="S1209" s="174"/>
      <c r="T1209" s="174"/>
      <c r="U1209" s="174"/>
      <c r="V1209" s="174"/>
      <c r="W1209" s="174"/>
      <c r="X1209" s="174"/>
      <c r="Y1209" s="174"/>
      <c r="Z1209" s="174"/>
      <c r="AA1209" s="174"/>
    </row>
    <row r="1210">
      <c r="A1210" s="174"/>
      <c r="B1210" s="174"/>
      <c r="C1210" s="174"/>
      <c r="D1210" s="174"/>
      <c r="E1210" s="174"/>
      <c r="F1210" s="175"/>
      <c r="G1210" s="175"/>
      <c r="H1210" s="174"/>
      <c r="I1210" s="174"/>
      <c r="J1210" s="174"/>
      <c r="K1210" s="174"/>
      <c r="L1210" s="174"/>
      <c r="M1210" s="174"/>
      <c r="N1210" s="174"/>
      <c r="O1210" s="174"/>
      <c r="P1210" s="174"/>
      <c r="Q1210" s="174"/>
      <c r="R1210" s="174"/>
      <c r="S1210" s="174"/>
      <c r="T1210" s="174"/>
      <c r="U1210" s="174"/>
      <c r="V1210" s="174"/>
      <c r="W1210" s="174"/>
      <c r="X1210" s="174"/>
      <c r="Y1210" s="174"/>
      <c r="Z1210" s="174"/>
      <c r="AA1210" s="174"/>
    </row>
    <row r="1211">
      <c r="A1211" s="174"/>
      <c r="B1211" s="174"/>
      <c r="C1211" s="174"/>
      <c r="D1211" s="174"/>
      <c r="E1211" s="174"/>
      <c r="F1211" s="175"/>
      <c r="G1211" s="175"/>
      <c r="H1211" s="174"/>
      <c r="I1211" s="174"/>
      <c r="J1211" s="174"/>
      <c r="K1211" s="174"/>
      <c r="L1211" s="174"/>
      <c r="M1211" s="174"/>
      <c r="N1211" s="174"/>
      <c r="O1211" s="174"/>
      <c r="P1211" s="174"/>
      <c r="Q1211" s="174"/>
      <c r="R1211" s="174"/>
      <c r="S1211" s="174"/>
      <c r="T1211" s="174"/>
      <c r="U1211" s="174"/>
      <c r="V1211" s="174"/>
      <c r="W1211" s="174"/>
      <c r="X1211" s="174"/>
      <c r="Y1211" s="174"/>
      <c r="Z1211" s="174"/>
      <c r="AA1211" s="174"/>
    </row>
    <row r="1212">
      <c r="A1212" s="174"/>
      <c r="B1212" s="174"/>
      <c r="C1212" s="174"/>
      <c r="D1212" s="174"/>
      <c r="E1212" s="174"/>
      <c r="F1212" s="175"/>
      <c r="G1212" s="175"/>
      <c r="H1212" s="174"/>
      <c r="I1212" s="174"/>
      <c r="J1212" s="174"/>
      <c r="K1212" s="174"/>
      <c r="L1212" s="174"/>
      <c r="M1212" s="174"/>
      <c r="N1212" s="174"/>
      <c r="O1212" s="174"/>
      <c r="P1212" s="174"/>
      <c r="Q1212" s="174"/>
      <c r="R1212" s="174"/>
      <c r="S1212" s="174"/>
      <c r="T1212" s="174"/>
      <c r="U1212" s="174"/>
      <c r="V1212" s="174"/>
      <c r="W1212" s="174"/>
      <c r="X1212" s="174"/>
      <c r="Y1212" s="174"/>
      <c r="Z1212" s="174"/>
      <c r="AA1212" s="174"/>
    </row>
    <row r="1213">
      <c r="A1213" s="174"/>
      <c r="B1213" s="174"/>
      <c r="C1213" s="174"/>
      <c r="D1213" s="174"/>
      <c r="E1213" s="174"/>
      <c r="F1213" s="175"/>
      <c r="G1213" s="175"/>
      <c r="H1213" s="174"/>
      <c r="I1213" s="174"/>
      <c r="J1213" s="174"/>
      <c r="K1213" s="174"/>
      <c r="L1213" s="174"/>
      <c r="M1213" s="174"/>
      <c r="N1213" s="174"/>
      <c r="O1213" s="174"/>
      <c r="P1213" s="174"/>
      <c r="Q1213" s="174"/>
      <c r="R1213" s="174"/>
      <c r="S1213" s="174"/>
      <c r="T1213" s="174"/>
      <c r="U1213" s="174"/>
      <c r="V1213" s="174"/>
      <c r="W1213" s="174"/>
      <c r="X1213" s="174"/>
      <c r="Y1213" s="174"/>
      <c r="Z1213" s="174"/>
      <c r="AA1213" s="174"/>
    </row>
    <row r="1214">
      <c r="A1214" s="174"/>
      <c r="B1214" s="174"/>
      <c r="C1214" s="174"/>
      <c r="D1214" s="174"/>
      <c r="E1214" s="174"/>
      <c r="F1214" s="175"/>
      <c r="G1214" s="175"/>
      <c r="H1214" s="174"/>
      <c r="I1214" s="174"/>
      <c r="J1214" s="174"/>
      <c r="K1214" s="174"/>
      <c r="L1214" s="174"/>
      <c r="M1214" s="174"/>
      <c r="N1214" s="174"/>
      <c r="O1214" s="174"/>
      <c r="P1214" s="174"/>
      <c r="Q1214" s="174"/>
      <c r="R1214" s="174"/>
      <c r="S1214" s="174"/>
      <c r="T1214" s="174"/>
      <c r="U1214" s="174"/>
      <c r="V1214" s="174"/>
      <c r="W1214" s="174"/>
      <c r="X1214" s="174"/>
      <c r="Y1214" s="174"/>
      <c r="Z1214" s="174"/>
      <c r="AA1214" s="174"/>
    </row>
    <row r="1215">
      <c r="A1215" s="174"/>
      <c r="B1215" s="174"/>
      <c r="C1215" s="174"/>
      <c r="D1215" s="174"/>
      <c r="E1215" s="174"/>
      <c r="F1215" s="175"/>
      <c r="G1215" s="175"/>
      <c r="H1215" s="174"/>
      <c r="I1215" s="174"/>
      <c r="J1215" s="174"/>
      <c r="K1215" s="174"/>
      <c r="L1215" s="174"/>
      <c r="M1215" s="174"/>
      <c r="N1215" s="174"/>
      <c r="O1215" s="174"/>
      <c r="P1215" s="174"/>
      <c r="Q1215" s="174"/>
      <c r="R1215" s="174"/>
      <c r="S1215" s="174"/>
      <c r="T1215" s="174"/>
      <c r="U1215" s="174"/>
      <c r="V1215" s="174"/>
      <c r="W1215" s="174"/>
      <c r="X1215" s="174"/>
      <c r="Y1215" s="174"/>
      <c r="Z1215" s="174"/>
      <c r="AA1215" s="174"/>
    </row>
    <row r="1216">
      <c r="A1216" s="174"/>
      <c r="B1216" s="174"/>
      <c r="C1216" s="174"/>
      <c r="D1216" s="174"/>
      <c r="E1216" s="174"/>
      <c r="F1216" s="175"/>
      <c r="G1216" s="175"/>
      <c r="H1216" s="174"/>
      <c r="I1216" s="174"/>
      <c r="J1216" s="174"/>
      <c r="K1216" s="174"/>
      <c r="L1216" s="174"/>
      <c r="M1216" s="174"/>
      <c r="N1216" s="174"/>
      <c r="O1216" s="174"/>
      <c r="P1216" s="174"/>
      <c r="Q1216" s="174"/>
      <c r="R1216" s="174"/>
      <c r="S1216" s="174"/>
      <c r="T1216" s="174"/>
      <c r="U1216" s="174"/>
      <c r="V1216" s="174"/>
      <c r="W1216" s="174"/>
      <c r="X1216" s="174"/>
      <c r="Y1216" s="174"/>
      <c r="Z1216" s="174"/>
      <c r="AA1216" s="174"/>
    </row>
    <row r="1217">
      <c r="A1217" s="174"/>
      <c r="B1217" s="174"/>
      <c r="C1217" s="174"/>
      <c r="D1217" s="174"/>
      <c r="E1217" s="174"/>
      <c r="F1217" s="175"/>
      <c r="G1217" s="175"/>
      <c r="H1217" s="174"/>
      <c r="I1217" s="174"/>
      <c r="J1217" s="174"/>
      <c r="K1217" s="174"/>
      <c r="L1217" s="174"/>
      <c r="M1217" s="174"/>
      <c r="N1217" s="174"/>
      <c r="O1217" s="174"/>
      <c r="P1217" s="174"/>
      <c r="Q1217" s="174"/>
      <c r="R1217" s="174"/>
      <c r="S1217" s="174"/>
      <c r="T1217" s="174"/>
      <c r="U1217" s="174"/>
      <c r="V1217" s="174"/>
      <c r="W1217" s="174"/>
      <c r="X1217" s="174"/>
      <c r="Y1217" s="174"/>
      <c r="Z1217" s="174"/>
      <c r="AA1217" s="174"/>
    </row>
    <row r="1218">
      <c r="A1218" s="174"/>
      <c r="B1218" s="174"/>
      <c r="C1218" s="174"/>
      <c r="D1218" s="174"/>
      <c r="E1218" s="174"/>
      <c r="F1218" s="175"/>
      <c r="G1218" s="175"/>
      <c r="H1218" s="174"/>
      <c r="I1218" s="174"/>
      <c r="J1218" s="174"/>
      <c r="K1218" s="174"/>
      <c r="L1218" s="174"/>
      <c r="M1218" s="174"/>
      <c r="N1218" s="174"/>
      <c r="O1218" s="174"/>
      <c r="P1218" s="174"/>
      <c r="Q1218" s="174"/>
      <c r="R1218" s="174"/>
      <c r="S1218" s="174"/>
      <c r="T1218" s="174"/>
      <c r="U1218" s="174"/>
      <c r="V1218" s="174"/>
      <c r="W1218" s="174"/>
      <c r="X1218" s="174"/>
      <c r="Y1218" s="174"/>
      <c r="Z1218" s="174"/>
      <c r="AA1218" s="174"/>
    </row>
    <row r="1219">
      <c r="A1219" s="174"/>
      <c r="B1219" s="174"/>
      <c r="C1219" s="174"/>
      <c r="D1219" s="174"/>
      <c r="E1219" s="174"/>
      <c r="F1219" s="175"/>
      <c r="G1219" s="175"/>
      <c r="H1219" s="174"/>
      <c r="I1219" s="174"/>
      <c r="J1219" s="174"/>
      <c r="K1219" s="174"/>
      <c r="L1219" s="174"/>
      <c r="M1219" s="174"/>
      <c r="N1219" s="174"/>
      <c r="O1219" s="174"/>
      <c r="P1219" s="174"/>
      <c r="Q1219" s="174"/>
      <c r="R1219" s="174"/>
      <c r="S1219" s="174"/>
      <c r="T1219" s="174"/>
      <c r="U1219" s="174"/>
      <c r="V1219" s="174"/>
      <c r="W1219" s="174"/>
      <c r="X1219" s="174"/>
      <c r="Y1219" s="174"/>
      <c r="Z1219" s="174"/>
      <c r="AA1219" s="174"/>
    </row>
    <row r="1220">
      <c r="A1220" s="174"/>
      <c r="B1220" s="174"/>
      <c r="C1220" s="174"/>
      <c r="D1220" s="174"/>
      <c r="E1220" s="174"/>
      <c r="F1220" s="175"/>
      <c r="G1220" s="175"/>
      <c r="H1220" s="174"/>
      <c r="I1220" s="174"/>
      <c r="J1220" s="174"/>
      <c r="K1220" s="174"/>
      <c r="L1220" s="174"/>
      <c r="M1220" s="174"/>
      <c r="N1220" s="174"/>
      <c r="O1220" s="174"/>
      <c r="P1220" s="174"/>
      <c r="Q1220" s="174"/>
      <c r="R1220" s="174"/>
      <c r="S1220" s="174"/>
      <c r="T1220" s="174"/>
      <c r="U1220" s="174"/>
      <c r="V1220" s="174"/>
      <c r="W1220" s="174"/>
      <c r="X1220" s="174"/>
      <c r="Y1220" s="174"/>
      <c r="Z1220" s="174"/>
      <c r="AA1220" s="174"/>
    </row>
    <row r="1221">
      <c r="A1221" s="174"/>
      <c r="B1221" s="174"/>
      <c r="C1221" s="174"/>
      <c r="D1221" s="174"/>
      <c r="E1221" s="174"/>
      <c r="F1221" s="175"/>
      <c r="G1221" s="175"/>
      <c r="H1221" s="174"/>
      <c r="I1221" s="174"/>
      <c r="J1221" s="174"/>
      <c r="K1221" s="174"/>
      <c r="L1221" s="174"/>
      <c r="M1221" s="174"/>
      <c r="N1221" s="174"/>
      <c r="O1221" s="174"/>
      <c r="P1221" s="174"/>
      <c r="Q1221" s="174"/>
      <c r="R1221" s="174"/>
      <c r="S1221" s="174"/>
      <c r="T1221" s="174"/>
      <c r="U1221" s="174"/>
      <c r="V1221" s="174"/>
      <c r="W1221" s="174"/>
      <c r="X1221" s="174"/>
      <c r="Y1221" s="174"/>
      <c r="Z1221" s="174"/>
      <c r="AA1221" s="174"/>
    </row>
    <row r="1222">
      <c r="A1222" s="174"/>
      <c r="B1222" s="174"/>
      <c r="C1222" s="174"/>
      <c r="D1222" s="174"/>
      <c r="E1222" s="174"/>
      <c r="F1222" s="175"/>
      <c r="G1222" s="175"/>
      <c r="H1222" s="174"/>
      <c r="I1222" s="174"/>
      <c r="J1222" s="174"/>
      <c r="K1222" s="174"/>
      <c r="L1222" s="174"/>
      <c r="M1222" s="174"/>
      <c r="N1222" s="174"/>
      <c r="O1222" s="174"/>
      <c r="P1222" s="174"/>
      <c r="Q1222" s="174"/>
      <c r="R1222" s="174"/>
      <c r="S1222" s="174"/>
      <c r="T1222" s="174"/>
      <c r="U1222" s="174"/>
      <c r="V1222" s="174"/>
      <c r="W1222" s="174"/>
      <c r="X1222" s="174"/>
      <c r="Y1222" s="174"/>
      <c r="Z1222" s="174"/>
      <c r="AA1222" s="174"/>
    </row>
    <row r="1223">
      <c r="A1223" s="174"/>
      <c r="B1223" s="174"/>
      <c r="C1223" s="174"/>
      <c r="D1223" s="174"/>
      <c r="E1223" s="174"/>
      <c r="F1223" s="175"/>
      <c r="G1223" s="175"/>
      <c r="H1223" s="174"/>
      <c r="I1223" s="174"/>
      <c r="J1223" s="174"/>
      <c r="K1223" s="174"/>
      <c r="L1223" s="174"/>
      <c r="M1223" s="174"/>
      <c r="N1223" s="174"/>
      <c r="O1223" s="174"/>
      <c r="P1223" s="174"/>
      <c r="Q1223" s="174"/>
      <c r="R1223" s="174"/>
      <c r="S1223" s="174"/>
      <c r="T1223" s="174"/>
      <c r="U1223" s="174"/>
      <c r="V1223" s="174"/>
      <c r="W1223" s="174"/>
      <c r="X1223" s="174"/>
      <c r="Y1223" s="174"/>
      <c r="Z1223" s="174"/>
      <c r="AA1223" s="174"/>
    </row>
    <row r="1224">
      <c r="A1224" s="174"/>
      <c r="B1224" s="174"/>
      <c r="C1224" s="174"/>
      <c r="D1224" s="174"/>
      <c r="E1224" s="174"/>
      <c r="F1224" s="175"/>
      <c r="G1224" s="175"/>
      <c r="H1224" s="174"/>
      <c r="I1224" s="174"/>
      <c r="J1224" s="174"/>
      <c r="K1224" s="174"/>
      <c r="L1224" s="174"/>
      <c r="M1224" s="174"/>
      <c r="N1224" s="174"/>
      <c r="O1224" s="174"/>
      <c r="P1224" s="174"/>
      <c r="Q1224" s="174"/>
      <c r="R1224" s="174"/>
      <c r="S1224" s="174"/>
      <c r="T1224" s="174"/>
      <c r="U1224" s="174"/>
      <c r="V1224" s="174"/>
      <c r="W1224" s="174"/>
      <c r="X1224" s="174"/>
      <c r="Y1224" s="174"/>
      <c r="Z1224" s="174"/>
      <c r="AA1224" s="174"/>
    </row>
    <row r="1225">
      <c r="A1225" s="174"/>
      <c r="B1225" s="174"/>
      <c r="C1225" s="174"/>
      <c r="D1225" s="174"/>
      <c r="E1225" s="174"/>
      <c r="F1225" s="175"/>
      <c r="G1225" s="175"/>
      <c r="H1225" s="174"/>
      <c r="I1225" s="174"/>
      <c r="J1225" s="174"/>
      <c r="K1225" s="174"/>
      <c r="L1225" s="174"/>
      <c r="M1225" s="174"/>
      <c r="N1225" s="174"/>
      <c r="O1225" s="174"/>
      <c r="P1225" s="174"/>
      <c r="Q1225" s="174"/>
      <c r="R1225" s="174"/>
      <c r="S1225" s="174"/>
      <c r="T1225" s="174"/>
      <c r="U1225" s="174"/>
      <c r="V1225" s="174"/>
      <c r="W1225" s="174"/>
      <c r="X1225" s="174"/>
      <c r="Y1225" s="174"/>
      <c r="Z1225" s="174"/>
      <c r="AA1225" s="174"/>
    </row>
    <row r="1226">
      <c r="A1226" s="174"/>
      <c r="B1226" s="174"/>
      <c r="C1226" s="174"/>
      <c r="D1226" s="174"/>
      <c r="E1226" s="174"/>
      <c r="F1226" s="175"/>
      <c r="G1226" s="175"/>
      <c r="H1226" s="174"/>
      <c r="I1226" s="174"/>
      <c r="J1226" s="174"/>
      <c r="K1226" s="174"/>
      <c r="L1226" s="174"/>
      <c r="M1226" s="174"/>
      <c r="N1226" s="174"/>
      <c r="O1226" s="174"/>
      <c r="P1226" s="174"/>
      <c r="Q1226" s="174"/>
      <c r="R1226" s="174"/>
      <c r="S1226" s="174"/>
      <c r="T1226" s="174"/>
      <c r="U1226" s="174"/>
      <c r="V1226" s="174"/>
      <c r="W1226" s="174"/>
      <c r="X1226" s="174"/>
      <c r="Y1226" s="174"/>
      <c r="Z1226" s="174"/>
      <c r="AA1226" s="174"/>
    </row>
    <row r="1227">
      <c r="A1227" s="174"/>
      <c r="B1227" s="174"/>
      <c r="C1227" s="174"/>
      <c r="D1227" s="174"/>
      <c r="E1227" s="174"/>
      <c r="F1227" s="175"/>
      <c r="G1227" s="175"/>
      <c r="H1227" s="174"/>
      <c r="I1227" s="174"/>
      <c r="J1227" s="174"/>
      <c r="K1227" s="174"/>
      <c r="L1227" s="174"/>
      <c r="M1227" s="174"/>
      <c r="N1227" s="174"/>
      <c r="O1227" s="174"/>
      <c r="P1227" s="174"/>
      <c r="Q1227" s="174"/>
      <c r="R1227" s="174"/>
      <c r="S1227" s="174"/>
      <c r="T1227" s="174"/>
      <c r="U1227" s="174"/>
      <c r="V1227" s="174"/>
      <c r="W1227" s="174"/>
      <c r="X1227" s="174"/>
      <c r="Y1227" s="174"/>
      <c r="Z1227" s="174"/>
      <c r="AA1227" s="174"/>
    </row>
    <row r="1228">
      <c r="A1228" s="174"/>
      <c r="B1228" s="174"/>
      <c r="C1228" s="174"/>
      <c r="D1228" s="174"/>
      <c r="E1228" s="174"/>
      <c r="F1228" s="175"/>
      <c r="G1228" s="175"/>
      <c r="H1228" s="174"/>
      <c r="I1228" s="174"/>
      <c r="J1228" s="174"/>
      <c r="K1228" s="174"/>
      <c r="L1228" s="174"/>
      <c r="M1228" s="174"/>
      <c r="N1228" s="174"/>
      <c r="O1228" s="174"/>
      <c r="P1228" s="174"/>
      <c r="Q1228" s="174"/>
      <c r="R1228" s="174"/>
      <c r="S1228" s="174"/>
      <c r="T1228" s="174"/>
      <c r="U1228" s="174"/>
      <c r="V1228" s="174"/>
      <c r="W1228" s="174"/>
      <c r="X1228" s="174"/>
      <c r="Y1228" s="174"/>
      <c r="Z1228" s="174"/>
      <c r="AA1228" s="174"/>
    </row>
    <row r="1229">
      <c r="A1229" s="174"/>
      <c r="B1229" s="174"/>
      <c r="C1229" s="174"/>
      <c r="D1229" s="174"/>
      <c r="E1229" s="174"/>
      <c r="F1229" s="175"/>
      <c r="G1229" s="175"/>
      <c r="H1229" s="174"/>
      <c r="I1229" s="174"/>
      <c r="J1229" s="174"/>
      <c r="K1229" s="174"/>
      <c r="L1229" s="174"/>
      <c r="M1229" s="174"/>
      <c r="N1229" s="174"/>
      <c r="O1229" s="174"/>
      <c r="P1229" s="174"/>
      <c r="Q1229" s="174"/>
      <c r="R1229" s="174"/>
      <c r="S1229" s="174"/>
      <c r="T1229" s="174"/>
      <c r="U1229" s="174"/>
      <c r="V1229" s="174"/>
      <c r="W1229" s="174"/>
      <c r="X1229" s="174"/>
      <c r="Y1229" s="174"/>
      <c r="Z1229" s="174"/>
      <c r="AA1229" s="174"/>
    </row>
    <row r="1230">
      <c r="A1230" s="174"/>
      <c r="B1230" s="174"/>
      <c r="C1230" s="174"/>
      <c r="D1230" s="174"/>
      <c r="E1230" s="174"/>
      <c r="F1230" s="175"/>
      <c r="G1230" s="175"/>
      <c r="H1230" s="174"/>
      <c r="I1230" s="174"/>
      <c r="J1230" s="174"/>
      <c r="K1230" s="174"/>
      <c r="L1230" s="174"/>
      <c r="M1230" s="174"/>
      <c r="N1230" s="174"/>
      <c r="O1230" s="174"/>
      <c r="P1230" s="174"/>
      <c r="Q1230" s="174"/>
      <c r="R1230" s="174"/>
      <c r="S1230" s="174"/>
      <c r="T1230" s="174"/>
      <c r="U1230" s="174"/>
      <c r="V1230" s="174"/>
      <c r="W1230" s="174"/>
      <c r="X1230" s="174"/>
      <c r="Y1230" s="174"/>
      <c r="Z1230" s="174"/>
      <c r="AA1230" s="174"/>
    </row>
    <row r="1231">
      <c r="A1231" s="174"/>
      <c r="B1231" s="174"/>
      <c r="C1231" s="174"/>
      <c r="D1231" s="174"/>
      <c r="E1231" s="174"/>
      <c r="F1231" s="175"/>
      <c r="G1231" s="175"/>
      <c r="H1231" s="174"/>
      <c r="I1231" s="174"/>
      <c r="J1231" s="174"/>
      <c r="K1231" s="174"/>
      <c r="L1231" s="174"/>
      <c r="M1231" s="174"/>
      <c r="N1231" s="174"/>
      <c r="O1231" s="174"/>
      <c r="P1231" s="174"/>
      <c r="Q1231" s="174"/>
      <c r="R1231" s="174"/>
      <c r="S1231" s="174"/>
      <c r="T1231" s="174"/>
      <c r="U1231" s="174"/>
      <c r="V1231" s="174"/>
      <c r="W1231" s="174"/>
      <c r="X1231" s="174"/>
      <c r="Y1231" s="174"/>
      <c r="Z1231" s="174"/>
      <c r="AA1231" s="174"/>
    </row>
    <row r="1232">
      <c r="A1232" s="174"/>
      <c r="B1232" s="174"/>
      <c r="C1232" s="174"/>
      <c r="D1232" s="174"/>
      <c r="E1232" s="174"/>
      <c r="F1232" s="175"/>
      <c r="G1232" s="175"/>
      <c r="H1232" s="174"/>
      <c r="I1232" s="174"/>
      <c r="J1232" s="174"/>
      <c r="K1232" s="174"/>
      <c r="L1232" s="174"/>
      <c r="M1232" s="174"/>
      <c r="N1232" s="174"/>
      <c r="O1232" s="174"/>
      <c r="P1232" s="174"/>
      <c r="Q1232" s="174"/>
      <c r="R1232" s="174"/>
      <c r="S1232" s="174"/>
      <c r="T1232" s="174"/>
      <c r="U1232" s="174"/>
      <c r="V1232" s="174"/>
      <c r="W1232" s="174"/>
      <c r="X1232" s="174"/>
      <c r="Y1232" s="174"/>
      <c r="Z1232" s="174"/>
      <c r="AA1232" s="174"/>
    </row>
    <row r="1233">
      <c r="A1233" s="174"/>
      <c r="B1233" s="174"/>
      <c r="C1233" s="174"/>
      <c r="D1233" s="174"/>
      <c r="E1233" s="174"/>
      <c r="F1233" s="175"/>
      <c r="G1233" s="175"/>
      <c r="H1233" s="174"/>
      <c r="I1233" s="174"/>
      <c r="J1233" s="174"/>
      <c r="K1233" s="174"/>
      <c r="L1233" s="174"/>
      <c r="M1233" s="174"/>
      <c r="N1233" s="174"/>
      <c r="O1233" s="174"/>
      <c r="P1233" s="174"/>
      <c r="Q1233" s="174"/>
      <c r="R1233" s="174"/>
      <c r="S1233" s="174"/>
      <c r="T1233" s="174"/>
      <c r="U1233" s="174"/>
      <c r="V1233" s="174"/>
      <c r="W1233" s="174"/>
      <c r="X1233" s="174"/>
      <c r="Y1233" s="174"/>
      <c r="Z1233" s="174"/>
      <c r="AA1233" s="174"/>
    </row>
    <row r="1234">
      <c r="A1234" s="174"/>
      <c r="B1234" s="174"/>
      <c r="C1234" s="174"/>
      <c r="D1234" s="174"/>
      <c r="E1234" s="174"/>
      <c r="F1234" s="175"/>
      <c r="G1234" s="175"/>
      <c r="H1234" s="174"/>
      <c r="I1234" s="174"/>
      <c r="J1234" s="174"/>
      <c r="K1234" s="174"/>
      <c r="L1234" s="174"/>
      <c r="M1234" s="174"/>
      <c r="N1234" s="174"/>
      <c r="O1234" s="174"/>
      <c r="P1234" s="174"/>
      <c r="Q1234" s="174"/>
      <c r="R1234" s="174"/>
      <c r="S1234" s="174"/>
      <c r="T1234" s="174"/>
      <c r="U1234" s="174"/>
      <c r="V1234" s="174"/>
      <c r="W1234" s="174"/>
      <c r="X1234" s="174"/>
      <c r="Y1234" s="174"/>
      <c r="Z1234" s="174"/>
      <c r="AA1234" s="174"/>
    </row>
    <row r="1235">
      <c r="A1235" s="174"/>
      <c r="B1235" s="174"/>
      <c r="C1235" s="174"/>
      <c r="D1235" s="174"/>
      <c r="E1235" s="174"/>
      <c r="F1235" s="175"/>
      <c r="G1235" s="175"/>
      <c r="H1235" s="174"/>
      <c r="I1235" s="174"/>
      <c r="J1235" s="174"/>
      <c r="K1235" s="174"/>
      <c r="L1235" s="174"/>
      <c r="M1235" s="174"/>
      <c r="N1235" s="174"/>
      <c r="O1235" s="174"/>
      <c r="P1235" s="174"/>
      <c r="Q1235" s="174"/>
      <c r="R1235" s="174"/>
      <c r="S1235" s="174"/>
      <c r="T1235" s="174"/>
      <c r="U1235" s="174"/>
      <c r="V1235" s="174"/>
      <c r="W1235" s="174"/>
      <c r="X1235" s="174"/>
      <c r="Y1235" s="174"/>
      <c r="Z1235" s="174"/>
      <c r="AA1235" s="174"/>
    </row>
    <row r="1236">
      <c r="A1236" s="174"/>
      <c r="B1236" s="174"/>
      <c r="C1236" s="174"/>
      <c r="D1236" s="174"/>
      <c r="E1236" s="174"/>
      <c r="F1236" s="175"/>
      <c r="G1236" s="175"/>
      <c r="H1236" s="174"/>
      <c r="I1236" s="174"/>
      <c r="J1236" s="174"/>
      <c r="K1236" s="174"/>
      <c r="L1236" s="174"/>
      <c r="M1236" s="174"/>
      <c r="N1236" s="174"/>
      <c r="O1236" s="174"/>
      <c r="P1236" s="174"/>
      <c r="Q1236" s="174"/>
      <c r="R1236" s="174"/>
      <c r="S1236" s="174"/>
      <c r="T1236" s="174"/>
      <c r="U1236" s="174"/>
      <c r="V1236" s="174"/>
      <c r="W1236" s="174"/>
      <c r="X1236" s="174"/>
      <c r="Y1236" s="174"/>
      <c r="Z1236" s="174"/>
      <c r="AA1236" s="174"/>
    </row>
    <row r="1237">
      <c r="A1237" s="174"/>
      <c r="B1237" s="174"/>
      <c r="C1237" s="174"/>
      <c r="D1237" s="174"/>
      <c r="E1237" s="174"/>
      <c r="F1237" s="175"/>
      <c r="G1237" s="175"/>
      <c r="H1237" s="174"/>
      <c r="I1237" s="174"/>
      <c r="J1237" s="174"/>
      <c r="K1237" s="174"/>
      <c r="L1237" s="174"/>
      <c r="M1237" s="174"/>
      <c r="N1237" s="174"/>
      <c r="O1237" s="174"/>
      <c r="P1237" s="174"/>
      <c r="Q1237" s="174"/>
      <c r="R1237" s="174"/>
      <c r="S1237" s="174"/>
      <c r="T1237" s="174"/>
      <c r="U1237" s="174"/>
      <c r="V1237" s="174"/>
      <c r="W1237" s="174"/>
      <c r="X1237" s="174"/>
      <c r="Y1237" s="174"/>
      <c r="Z1237" s="174"/>
      <c r="AA1237" s="174"/>
    </row>
    <row r="1238">
      <c r="A1238" s="174"/>
      <c r="B1238" s="174"/>
      <c r="C1238" s="174"/>
      <c r="D1238" s="174"/>
      <c r="E1238" s="174"/>
      <c r="F1238" s="175"/>
      <c r="G1238" s="175"/>
      <c r="H1238" s="174"/>
      <c r="I1238" s="174"/>
      <c r="J1238" s="174"/>
      <c r="K1238" s="174"/>
      <c r="L1238" s="174"/>
      <c r="M1238" s="174"/>
      <c r="N1238" s="174"/>
      <c r="O1238" s="174"/>
      <c r="P1238" s="174"/>
      <c r="Q1238" s="174"/>
      <c r="R1238" s="174"/>
      <c r="S1238" s="174"/>
      <c r="T1238" s="174"/>
      <c r="U1238" s="174"/>
      <c r="V1238" s="174"/>
      <c r="W1238" s="174"/>
      <c r="X1238" s="174"/>
      <c r="Y1238" s="174"/>
      <c r="Z1238" s="174"/>
      <c r="AA1238" s="174"/>
    </row>
    <row r="1239">
      <c r="A1239" s="174"/>
      <c r="B1239" s="174"/>
      <c r="C1239" s="174"/>
      <c r="D1239" s="174"/>
      <c r="E1239" s="174"/>
      <c r="F1239" s="175"/>
      <c r="G1239" s="175"/>
      <c r="H1239" s="174"/>
      <c r="I1239" s="174"/>
      <c r="J1239" s="174"/>
      <c r="K1239" s="174"/>
      <c r="L1239" s="174"/>
      <c r="M1239" s="174"/>
      <c r="N1239" s="174"/>
      <c r="O1239" s="174"/>
      <c r="P1239" s="174"/>
      <c r="Q1239" s="174"/>
      <c r="R1239" s="174"/>
      <c r="S1239" s="174"/>
      <c r="T1239" s="174"/>
      <c r="U1239" s="174"/>
      <c r="V1239" s="174"/>
      <c r="W1239" s="174"/>
      <c r="X1239" s="174"/>
      <c r="Y1239" s="174"/>
      <c r="Z1239" s="174"/>
      <c r="AA1239" s="174"/>
    </row>
    <row r="1240">
      <c r="A1240" s="174"/>
      <c r="B1240" s="174"/>
      <c r="C1240" s="174"/>
      <c r="D1240" s="174"/>
      <c r="E1240" s="174"/>
      <c r="F1240" s="175"/>
      <c r="G1240" s="175"/>
      <c r="H1240" s="174"/>
      <c r="I1240" s="174"/>
      <c r="J1240" s="174"/>
      <c r="K1240" s="174"/>
      <c r="L1240" s="174"/>
      <c r="M1240" s="174"/>
      <c r="N1240" s="174"/>
      <c r="O1240" s="174"/>
      <c r="P1240" s="174"/>
      <c r="Q1240" s="174"/>
      <c r="R1240" s="174"/>
      <c r="S1240" s="174"/>
      <c r="T1240" s="174"/>
      <c r="U1240" s="174"/>
      <c r="V1240" s="174"/>
      <c r="W1240" s="174"/>
      <c r="X1240" s="174"/>
      <c r="Y1240" s="174"/>
      <c r="Z1240" s="174"/>
      <c r="AA1240" s="174"/>
    </row>
    <row r="1241">
      <c r="A1241" s="174"/>
      <c r="B1241" s="174"/>
      <c r="C1241" s="174"/>
      <c r="D1241" s="174"/>
      <c r="E1241" s="174"/>
      <c r="F1241" s="175"/>
      <c r="G1241" s="175"/>
      <c r="H1241" s="174"/>
      <c r="I1241" s="174"/>
      <c r="J1241" s="174"/>
      <c r="K1241" s="174"/>
      <c r="L1241" s="174"/>
      <c r="M1241" s="174"/>
      <c r="N1241" s="174"/>
      <c r="O1241" s="174"/>
      <c r="P1241" s="174"/>
      <c r="Q1241" s="174"/>
      <c r="R1241" s="174"/>
      <c r="S1241" s="174"/>
      <c r="T1241" s="174"/>
      <c r="U1241" s="174"/>
      <c r="V1241" s="174"/>
      <c r="W1241" s="174"/>
      <c r="X1241" s="174"/>
      <c r="Y1241" s="174"/>
      <c r="Z1241" s="174"/>
      <c r="AA1241" s="174"/>
    </row>
    <row r="1242">
      <c r="A1242" s="174"/>
      <c r="B1242" s="174"/>
      <c r="C1242" s="174"/>
      <c r="D1242" s="174"/>
      <c r="E1242" s="174"/>
      <c r="F1242" s="175"/>
      <c r="G1242" s="175"/>
      <c r="H1242" s="174"/>
      <c r="I1242" s="174"/>
      <c r="J1242" s="174"/>
      <c r="K1242" s="174"/>
      <c r="L1242" s="174"/>
      <c r="M1242" s="174"/>
      <c r="N1242" s="174"/>
      <c r="O1242" s="174"/>
      <c r="P1242" s="174"/>
      <c r="Q1242" s="174"/>
      <c r="R1242" s="174"/>
      <c r="S1242" s="174"/>
      <c r="T1242" s="174"/>
      <c r="U1242" s="174"/>
      <c r="V1242" s="174"/>
      <c r="W1242" s="174"/>
      <c r="X1242" s="174"/>
      <c r="Y1242" s="174"/>
      <c r="Z1242" s="174"/>
      <c r="AA1242" s="174"/>
    </row>
    <row r="1243">
      <c r="A1243" s="174"/>
      <c r="B1243" s="174"/>
      <c r="C1243" s="174"/>
      <c r="D1243" s="174"/>
      <c r="E1243" s="174"/>
      <c r="F1243" s="175"/>
      <c r="G1243" s="175"/>
      <c r="H1243" s="174"/>
      <c r="I1243" s="174"/>
      <c r="J1243" s="174"/>
      <c r="K1243" s="174"/>
      <c r="L1243" s="174"/>
      <c r="M1243" s="174"/>
      <c r="N1243" s="174"/>
      <c r="O1243" s="174"/>
      <c r="P1243" s="174"/>
      <c r="Q1243" s="174"/>
      <c r="R1243" s="174"/>
      <c r="S1243" s="174"/>
      <c r="T1243" s="174"/>
      <c r="U1243" s="174"/>
      <c r="V1243" s="174"/>
      <c r="W1243" s="174"/>
      <c r="X1243" s="174"/>
      <c r="Y1243" s="174"/>
      <c r="Z1243" s="174"/>
      <c r="AA1243" s="174"/>
    </row>
    <row r="1244">
      <c r="A1244" s="174"/>
      <c r="B1244" s="174"/>
      <c r="C1244" s="174"/>
      <c r="D1244" s="174"/>
      <c r="E1244" s="174"/>
      <c r="F1244" s="175"/>
      <c r="G1244" s="175"/>
      <c r="H1244" s="174"/>
      <c r="I1244" s="174"/>
      <c r="J1244" s="174"/>
      <c r="K1244" s="174"/>
      <c r="L1244" s="174"/>
      <c r="M1244" s="174"/>
      <c r="N1244" s="174"/>
      <c r="O1244" s="174"/>
      <c r="P1244" s="174"/>
      <c r="Q1244" s="174"/>
      <c r="R1244" s="174"/>
      <c r="S1244" s="174"/>
      <c r="T1244" s="174"/>
      <c r="U1244" s="174"/>
      <c r="V1244" s="174"/>
      <c r="W1244" s="174"/>
      <c r="X1244" s="174"/>
      <c r="Y1244" s="174"/>
      <c r="Z1244" s="174"/>
      <c r="AA1244" s="174"/>
    </row>
    <row r="1245">
      <c r="A1245" s="174"/>
      <c r="B1245" s="174"/>
      <c r="C1245" s="174"/>
      <c r="D1245" s="174"/>
      <c r="E1245" s="174"/>
      <c r="F1245" s="175"/>
      <c r="G1245" s="175"/>
      <c r="H1245" s="174"/>
      <c r="I1245" s="174"/>
      <c r="J1245" s="174"/>
      <c r="K1245" s="174"/>
      <c r="L1245" s="174"/>
      <c r="M1245" s="174"/>
      <c r="N1245" s="174"/>
      <c r="O1245" s="174"/>
      <c r="P1245" s="174"/>
      <c r="Q1245" s="174"/>
      <c r="R1245" s="174"/>
      <c r="S1245" s="174"/>
      <c r="T1245" s="174"/>
      <c r="U1245" s="174"/>
      <c r="V1245" s="174"/>
      <c r="W1245" s="174"/>
      <c r="X1245" s="174"/>
      <c r="Y1245" s="174"/>
      <c r="Z1245" s="174"/>
      <c r="AA1245" s="174"/>
    </row>
    <row r="1246">
      <c r="A1246" s="174"/>
      <c r="B1246" s="174"/>
      <c r="C1246" s="174"/>
      <c r="D1246" s="174"/>
      <c r="E1246" s="174"/>
      <c r="F1246" s="175"/>
      <c r="G1246" s="175"/>
      <c r="H1246" s="174"/>
      <c r="I1246" s="174"/>
      <c r="J1246" s="174"/>
      <c r="K1246" s="174"/>
      <c r="L1246" s="174"/>
      <c r="M1246" s="174"/>
      <c r="N1246" s="174"/>
      <c r="O1246" s="174"/>
      <c r="P1246" s="174"/>
      <c r="Q1246" s="174"/>
      <c r="R1246" s="174"/>
      <c r="S1246" s="174"/>
      <c r="T1246" s="174"/>
      <c r="U1246" s="174"/>
      <c r="V1246" s="174"/>
      <c r="W1246" s="174"/>
      <c r="X1246" s="174"/>
      <c r="Y1246" s="174"/>
      <c r="Z1246" s="174"/>
      <c r="AA1246" s="174"/>
    </row>
    <row r="1247">
      <c r="A1247" s="174"/>
      <c r="B1247" s="174"/>
      <c r="C1247" s="174"/>
      <c r="D1247" s="174"/>
      <c r="E1247" s="174"/>
      <c r="F1247" s="175"/>
      <c r="G1247" s="175"/>
      <c r="H1247" s="174"/>
      <c r="I1247" s="174"/>
      <c r="J1247" s="174"/>
      <c r="K1247" s="174"/>
      <c r="L1247" s="174"/>
      <c r="M1247" s="174"/>
      <c r="N1247" s="174"/>
      <c r="O1247" s="174"/>
      <c r="P1247" s="174"/>
      <c r="Q1247" s="174"/>
      <c r="R1247" s="174"/>
      <c r="S1247" s="174"/>
      <c r="T1247" s="174"/>
      <c r="U1247" s="174"/>
      <c r="V1247" s="174"/>
      <c r="W1247" s="174"/>
      <c r="X1247" s="174"/>
      <c r="Y1247" s="174"/>
      <c r="Z1247" s="174"/>
      <c r="AA1247" s="174"/>
    </row>
    <row r="1248">
      <c r="A1248" s="174"/>
      <c r="B1248" s="174"/>
      <c r="C1248" s="174"/>
      <c r="D1248" s="174"/>
      <c r="E1248" s="174"/>
      <c r="F1248" s="175"/>
      <c r="G1248" s="175"/>
      <c r="H1248" s="174"/>
      <c r="I1248" s="174"/>
      <c r="J1248" s="174"/>
      <c r="K1248" s="174"/>
      <c r="L1248" s="174"/>
      <c r="M1248" s="174"/>
      <c r="N1248" s="174"/>
      <c r="O1248" s="174"/>
      <c r="P1248" s="174"/>
      <c r="Q1248" s="174"/>
      <c r="R1248" s="174"/>
      <c r="S1248" s="174"/>
      <c r="T1248" s="174"/>
      <c r="U1248" s="174"/>
      <c r="V1248" s="174"/>
      <c r="W1248" s="174"/>
      <c r="X1248" s="174"/>
      <c r="Y1248" s="174"/>
      <c r="Z1248" s="174"/>
      <c r="AA1248" s="174"/>
    </row>
    <row r="1249">
      <c r="A1249" s="174"/>
      <c r="B1249" s="174"/>
      <c r="C1249" s="174"/>
      <c r="D1249" s="174"/>
      <c r="E1249" s="174"/>
      <c r="F1249" s="175"/>
      <c r="G1249" s="175"/>
      <c r="H1249" s="174"/>
      <c r="I1249" s="174"/>
      <c r="J1249" s="174"/>
      <c r="K1249" s="174"/>
      <c r="L1249" s="174"/>
      <c r="M1249" s="174"/>
      <c r="N1249" s="174"/>
      <c r="O1249" s="174"/>
      <c r="P1249" s="174"/>
      <c r="Q1249" s="174"/>
      <c r="R1249" s="174"/>
      <c r="S1249" s="174"/>
      <c r="T1249" s="174"/>
      <c r="U1249" s="174"/>
      <c r="V1249" s="174"/>
      <c r="W1249" s="174"/>
      <c r="X1249" s="174"/>
      <c r="Y1249" s="174"/>
      <c r="Z1249" s="174"/>
      <c r="AA1249" s="174"/>
    </row>
    <row r="1250">
      <c r="A1250" s="174"/>
      <c r="B1250" s="174"/>
      <c r="C1250" s="174"/>
      <c r="D1250" s="174"/>
      <c r="E1250" s="174"/>
      <c r="F1250" s="175"/>
      <c r="G1250" s="175"/>
      <c r="H1250" s="174"/>
      <c r="I1250" s="174"/>
      <c r="J1250" s="174"/>
      <c r="K1250" s="174"/>
      <c r="L1250" s="174"/>
      <c r="M1250" s="174"/>
      <c r="N1250" s="174"/>
      <c r="O1250" s="174"/>
      <c r="P1250" s="174"/>
      <c r="Q1250" s="174"/>
      <c r="R1250" s="174"/>
      <c r="S1250" s="174"/>
      <c r="T1250" s="174"/>
      <c r="U1250" s="174"/>
      <c r="V1250" s="174"/>
      <c r="W1250" s="174"/>
      <c r="X1250" s="174"/>
      <c r="Y1250" s="174"/>
      <c r="Z1250" s="174"/>
      <c r="AA1250" s="174"/>
    </row>
    <row r="1251">
      <c r="A1251" s="174"/>
      <c r="B1251" s="174"/>
      <c r="C1251" s="174"/>
      <c r="D1251" s="174"/>
      <c r="E1251" s="174"/>
      <c r="F1251" s="175"/>
      <c r="G1251" s="175"/>
      <c r="H1251" s="174"/>
      <c r="I1251" s="174"/>
      <c r="J1251" s="174"/>
      <c r="K1251" s="174"/>
      <c r="L1251" s="174"/>
      <c r="M1251" s="174"/>
      <c r="N1251" s="174"/>
      <c r="O1251" s="174"/>
      <c r="P1251" s="174"/>
      <c r="Q1251" s="174"/>
      <c r="R1251" s="174"/>
      <c r="S1251" s="174"/>
      <c r="T1251" s="174"/>
      <c r="U1251" s="174"/>
      <c r="V1251" s="174"/>
      <c r="W1251" s="174"/>
      <c r="X1251" s="174"/>
      <c r="Y1251" s="174"/>
      <c r="Z1251" s="174"/>
      <c r="AA1251" s="174"/>
    </row>
    <row r="1252">
      <c r="A1252" s="174"/>
      <c r="B1252" s="174"/>
      <c r="C1252" s="174"/>
      <c r="D1252" s="174"/>
      <c r="E1252" s="174"/>
      <c r="F1252" s="175"/>
      <c r="G1252" s="175"/>
      <c r="H1252" s="174"/>
      <c r="I1252" s="174"/>
      <c r="J1252" s="174"/>
      <c r="K1252" s="174"/>
      <c r="L1252" s="174"/>
      <c r="M1252" s="174"/>
      <c r="N1252" s="174"/>
      <c r="O1252" s="174"/>
      <c r="P1252" s="174"/>
      <c r="Q1252" s="174"/>
      <c r="R1252" s="174"/>
      <c r="S1252" s="174"/>
      <c r="T1252" s="174"/>
      <c r="U1252" s="174"/>
      <c r="V1252" s="174"/>
      <c r="W1252" s="174"/>
      <c r="X1252" s="174"/>
      <c r="Y1252" s="174"/>
      <c r="Z1252" s="174"/>
      <c r="AA1252" s="174"/>
    </row>
    <row r="1253">
      <c r="A1253" s="174"/>
      <c r="B1253" s="174"/>
      <c r="C1253" s="174"/>
      <c r="D1253" s="174"/>
      <c r="E1253" s="174"/>
      <c r="F1253" s="175"/>
      <c r="G1253" s="175"/>
      <c r="H1253" s="174"/>
      <c r="I1253" s="174"/>
      <c r="J1253" s="174"/>
      <c r="K1253" s="174"/>
      <c r="L1253" s="174"/>
      <c r="M1253" s="174"/>
      <c r="N1253" s="174"/>
      <c r="O1253" s="174"/>
      <c r="P1253" s="174"/>
      <c r="Q1253" s="174"/>
      <c r="R1253" s="174"/>
      <c r="S1253" s="174"/>
      <c r="T1253" s="174"/>
      <c r="U1253" s="174"/>
      <c r="V1253" s="174"/>
      <c r="W1253" s="174"/>
      <c r="X1253" s="174"/>
      <c r="Y1253" s="174"/>
      <c r="Z1253" s="174"/>
      <c r="AA1253" s="174"/>
    </row>
    <row r="1254">
      <c r="A1254" s="174"/>
      <c r="B1254" s="174"/>
      <c r="C1254" s="174"/>
      <c r="D1254" s="174"/>
      <c r="E1254" s="174"/>
      <c r="F1254" s="175"/>
      <c r="G1254" s="175"/>
      <c r="H1254" s="174"/>
      <c r="I1254" s="174"/>
      <c r="J1254" s="174"/>
      <c r="K1254" s="174"/>
      <c r="L1254" s="174"/>
      <c r="M1254" s="174"/>
      <c r="N1254" s="174"/>
      <c r="O1254" s="174"/>
      <c r="P1254" s="174"/>
      <c r="Q1254" s="174"/>
      <c r="R1254" s="174"/>
      <c r="S1254" s="174"/>
      <c r="T1254" s="174"/>
      <c r="U1254" s="174"/>
      <c r="V1254" s="174"/>
      <c r="W1254" s="174"/>
      <c r="X1254" s="174"/>
      <c r="Y1254" s="174"/>
      <c r="Z1254" s="174"/>
      <c r="AA1254" s="174"/>
    </row>
    <row r="1255">
      <c r="A1255" s="174"/>
      <c r="B1255" s="174"/>
      <c r="C1255" s="174"/>
      <c r="D1255" s="174"/>
      <c r="E1255" s="174"/>
      <c r="F1255" s="175"/>
      <c r="G1255" s="175"/>
      <c r="H1255" s="174"/>
      <c r="I1255" s="174"/>
      <c r="J1255" s="174"/>
      <c r="K1255" s="174"/>
      <c r="L1255" s="174"/>
      <c r="M1255" s="174"/>
      <c r="N1255" s="174"/>
      <c r="O1255" s="174"/>
      <c r="P1255" s="174"/>
      <c r="Q1255" s="174"/>
      <c r="R1255" s="174"/>
      <c r="S1255" s="174"/>
      <c r="T1255" s="174"/>
      <c r="U1255" s="174"/>
      <c r="V1255" s="174"/>
      <c r="W1255" s="174"/>
      <c r="X1255" s="174"/>
      <c r="Y1255" s="174"/>
      <c r="Z1255" s="174"/>
      <c r="AA1255" s="174"/>
    </row>
    <row r="1256">
      <c r="A1256" s="174"/>
      <c r="B1256" s="174"/>
      <c r="C1256" s="174"/>
      <c r="D1256" s="174"/>
      <c r="E1256" s="174"/>
      <c r="F1256" s="175"/>
      <c r="G1256" s="175"/>
      <c r="H1256" s="174"/>
      <c r="I1256" s="174"/>
      <c r="J1256" s="174"/>
      <c r="K1256" s="174"/>
      <c r="L1256" s="174"/>
      <c r="M1256" s="174"/>
      <c r="N1256" s="174"/>
      <c r="O1256" s="174"/>
      <c r="P1256" s="174"/>
      <c r="Q1256" s="174"/>
      <c r="R1256" s="174"/>
      <c r="S1256" s="174"/>
      <c r="T1256" s="174"/>
      <c r="U1256" s="174"/>
      <c r="V1256" s="174"/>
      <c r="W1256" s="174"/>
      <c r="X1256" s="174"/>
      <c r="Y1256" s="174"/>
      <c r="Z1256" s="174"/>
      <c r="AA1256" s="174"/>
    </row>
    <row r="1257">
      <c r="A1257" s="174"/>
      <c r="B1257" s="174"/>
      <c r="C1257" s="174"/>
      <c r="D1257" s="174"/>
      <c r="E1257" s="174"/>
      <c r="F1257" s="175"/>
      <c r="G1257" s="175"/>
      <c r="H1257" s="174"/>
      <c r="I1257" s="174"/>
      <c r="J1257" s="174"/>
      <c r="K1257" s="174"/>
      <c r="L1257" s="174"/>
      <c r="M1257" s="174"/>
      <c r="N1257" s="174"/>
      <c r="O1257" s="174"/>
      <c r="P1257" s="174"/>
      <c r="Q1257" s="174"/>
      <c r="R1257" s="174"/>
      <c r="S1257" s="174"/>
      <c r="T1257" s="174"/>
      <c r="U1257" s="174"/>
      <c r="V1257" s="174"/>
      <c r="W1257" s="174"/>
      <c r="X1257" s="174"/>
      <c r="Y1257" s="174"/>
      <c r="Z1257" s="174"/>
      <c r="AA1257" s="174"/>
    </row>
    <row r="1258">
      <c r="A1258" s="174"/>
      <c r="B1258" s="174"/>
      <c r="C1258" s="174"/>
      <c r="D1258" s="174"/>
      <c r="E1258" s="174"/>
      <c r="F1258" s="175"/>
      <c r="G1258" s="175"/>
      <c r="H1258" s="174"/>
      <c r="I1258" s="174"/>
      <c r="J1258" s="174"/>
      <c r="K1258" s="174"/>
      <c r="L1258" s="174"/>
      <c r="M1258" s="174"/>
      <c r="N1258" s="174"/>
      <c r="O1258" s="174"/>
      <c r="P1258" s="174"/>
      <c r="Q1258" s="174"/>
      <c r="R1258" s="174"/>
      <c r="S1258" s="174"/>
      <c r="T1258" s="174"/>
      <c r="U1258" s="174"/>
      <c r="V1258" s="174"/>
      <c r="W1258" s="174"/>
      <c r="X1258" s="174"/>
      <c r="Y1258" s="174"/>
      <c r="Z1258" s="174"/>
      <c r="AA1258" s="174"/>
    </row>
    <row r="1259">
      <c r="A1259" s="174"/>
      <c r="B1259" s="174"/>
      <c r="C1259" s="174"/>
      <c r="D1259" s="174"/>
      <c r="E1259" s="174"/>
      <c r="F1259" s="175"/>
      <c r="G1259" s="175"/>
      <c r="H1259" s="174"/>
      <c r="I1259" s="174"/>
      <c r="J1259" s="174"/>
      <c r="K1259" s="174"/>
      <c r="L1259" s="174"/>
      <c r="M1259" s="174"/>
      <c r="N1259" s="174"/>
      <c r="O1259" s="174"/>
      <c r="P1259" s="174"/>
      <c r="Q1259" s="174"/>
      <c r="R1259" s="174"/>
      <c r="S1259" s="174"/>
      <c r="T1259" s="174"/>
      <c r="U1259" s="174"/>
      <c r="V1259" s="174"/>
      <c r="W1259" s="174"/>
      <c r="X1259" s="174"/>
      <c r="Y1259" s="174"/>
      <c r="Z1259" s="174"/>
      <c r="AA1259" s="174"/>
    </row>
    <row r="1260">
      <c r="A1260" s="174"/>
      <c r="B1260" s="174"/>
      <c r="C1260" s="174"/>
      <c r="D1260" s="174"/>
      <c r="E1260" s="174"/>
      <c r="F1260" s="175"/>
      <c r="G1260" s="175"/>
      <c r="H1260" s="174"/>
      <c r="I1260" s="174"/>
      <c r="J1260" s="174"/>
      <c r="K1260" s="174"/>
      <c r="L1260" s="174"/>
      <c r="M1260" s="174"/>
      <c r="N1260" s="174"/>
      <c r="O1260" s="174"/>
      <c r="P1260" s="174"/>
      <c r="Q1260" s="174"/>
      <c r="R1260" s="174"/>
      <c r="S1260" s="174"/>
      <c r="T1260" s="174"/>
      <c r="U1260" s="174"/>
      <c r="V1260" s="174"/>
      <c r="W1260" s="174"/>
      <c r="X1260" s="174"/>
      <c r="Y1260" s="174"/>
      <c r="Z1260" s="174"/>
      <c r="AA1260" s="174"/>
    </row>
    <row r="1261">
      <c r="A1261" s="174"/>
      <c r="B1261" s="174"/>
      <c r="C1261" s="174"/>
      <c r="D1261" s="174"/>
      <c r="E1261" s="174"/>
      <c r="F1261" s="175"/>
      <c r="G1261" s="175"/>
      <c r="H1261" s="174"/>
      <c r="I1261" s="174"/>
      <c r="J1261" s="174"/>
      <c r="K1261" s="174"/>
      <c r="L1261" s="174"/>
      <c r="M1261" s="174"/>
      <c r="N1261" s="174"/>
      <c r="O1261" s="174"/>
      <c r="P1261" s="174"/>
      <c r="Q1261" s="174"/>
      <c r="R1261" s="174"/>
      <c r="S1261" s="174"/>
      <c r="T1261" s="174"/>
      <c r="U1261" s="174"/>
      <c r="V1261" s="174"/>
      <c r="W1261" s="174"/>
      <c r="X1261" s="174"/>
      <c r="Y1261" s="174"/>
      <c r="Z1261" s="174"/>
      <c r="AA1261" s="174"/>
    </row>
    <row r="1262">
      <c r="A1262" s="174"/>
      <c r="B1262" s="174"/>
      <c r="C1262" s="174"/>
      <c r="D1262" s="174"/>
      <c r="E1262" s="174"/>
      <c r="F1262" s="175"/>
      <c r="G1262" s="175"/>
      <c r="H1262" s="174"/>
      <c r="I1262" s="174"/>
      <c r="J1262" s="174"/>
      <c r="K1262" s="174"/>
      <c r="L1262" s="174"/>
      <c r="M1262" s="174"/>
      <c r="N1262" s="174"/>
      <c r="O1262" s="174"/>
      <c r="P1262" s="174"/>
      <c r="Q1262" s="174"/>
      <c r="R1262" s="174"/>
      <c r="S1262" s="174"/>
      <c r="T1262" s="174"/>
      <c r="U1262" s="174"/>
      <c r="V1262" s="174"/>
      <c r="W1262" s="174"/>
      <c r="X1262" s="174"/>
      <c r="Y1262" s="174"/>
      <c r="Z1262" s="174"/>
      <c r="AA1262" s="174"/>
    </row>
    <row r="1263">
      <c r="A1263" s="174"/>
      <c r="B1263" s="174"/>
      <c r="C1263" s="174"/>
      <c r="D1263" s="174"/>
      <c r="E1263" s="174"/>
      <c r="F1263" s="175"/>
      <c r="G1263" s="175"/>
      <c r="H1263" s="174"/>
      <c r="I1263" s="174"/>
      <c r="J1263" s="174"/>
      <c r="K1263" s="174"/>
      <c r="L1263" s="174"/>
      <c r="M1263" s="174"/>
      <c r="N1263" s="174"/>
      <c r="O1263" s="174"/>
      <c r="P1263" s="174"/>
      <c r="Q1263" s="174"/>
      <c r="R1263" s="174"/>
      <c r="S1263" s="174"/>
      <c r="T1263" s="174"/>
      <c r="U1263" s="174"/>
      <c r="V1263" s="174"/>
      <c r="W1263" s="174"/>
      <c r="X1263" s="174"/>
      <c r="Y1263" s="174"/>
      <c r="Z1263" s="174"/>
      <c r="AA1263" s="174"/>
    </row>
    <row r="1264">
      <c r="A1264" s="174"/>
      <c r="B1264" s="174"/>
      <c r="C1264" s="174"/>
      <c r="D1264" s="174"/>
      <c r="E1264" s="174"/>
      <c r="F1264" s="175"/>
      <c r="G1264" s="175"/>
      <c r="H1264" s="174"/>
      <c r="I1264" s="174"/>
      <c r="J1264" s="174"/>
      <c r="K1264" s="174"/>
      <c r="L1264" s="174"/>
      <c r="M1264" s="174"/>
      <c r="N1264" s="174"/>
      <c r="O1264" s="174"/>
      <c r="P1264" s="174"/>
      <c r="Q1264" s="174"/>
      <c r="R1264" s="174"/>
      <c r="S1264" s="174"/>
      <c r="T1264" s="174"/>
      <c r="U1264" s="174"/>
      <c r="V1264" s="174"/>
      <c r="W1264" s="174"/>
      <c r="X1264" s="174"/>
      <c r="Y1264" s="174"/>
      <c r="Z1264" s="174"/>
      <c r="AA1264" s="174"/>
    </row>
    <row r="1265">
      <c r="A1265" s="174"/>
      <c r="B1265" s="174"/>
      <c r="C1265" s="174"/>
      <c r="D1265" s="174"/>
      <c r="E1265" s="174"/>
      <c r="F1265" s="175"/>
      <c r="G1265" s="175"/>
      <c r="H1265" s="174"/>
      <c r="I1265" s="174"/>
      <c r="J1265" s="174"/>
      <c r="K1265" s="174"/>
      <c r="L1265" s="174"/>
      <c r="M1265" s="174"/>
      <c r="N1265" s="174"/>
      <c r="O1265" s="174"/>
      <c r="P1265" s="174"/>
      <c r="Q1265" s="174"/>
      <c r="R1265" s="174"/>
      <c r="S1265" s="174"/>
      <c r="T1265" s="174"/>
      <c r="U1265" s="174"/>
      <c r="V1265" s="174"/>
      <c r="W1265" s="174"/>
      <c r="X1265" s="174"/>
      <c r="Y1265" s="174"/>
      <c r="Z1265" s="174"/>
      <c r="AA1265" s="174"/>
    </row>
    <row r="1266">
      <c r="A1266" s="174"/>
      <c r="B1266" s="174"/>
      <c r="C1266" s="174"/>
      <c r="D1266" s="174"/>
      <c r="E1266" s="174"/>
      <c r="F1266" s="175"/>
      <c r="G1266" s="175"/>
      <c r="H1266" s="174"/>
      <c r="I1266" s="174"/>
      <c r="J1266" s="174"/>
      <c r="K1266" s="174"/>
      <c r="L1266" s="174"/>
      <c r="M1266" s="174"/>
      <c r="N1266" s="174"/>
      <c r="O1266" s="174"/>
      <c r="P1266" s="174"/>
      <c r="Q1266" s="174"/>
      <c r="R1266" s="174"/>
      <c r="S1266" s="174"/>
      <c r="T1266" s="174"/>
      <c r="U1266" s="174"/>
      <c r="V1266" s="174"/>
      <c r="W1266" s="174"/>
      <c r="X1266" s="174"/>
      <c r="Y1266" s="174"/>
      <c r="Z1266" s="174"/>
      <c r="AA1266" s="174"/>
    </row>
    <row r="1267">
      <c r="A1267" s="174"/>
      <c r="B1267" s="174"/>
      <c r="C1267" s="174"/>
      <c r="D1267" s="174"/>
      <c r="E1267" s="174"/>
      <c r="F1267" s="175"/>
      <c r="G1267" s="175"/>
      <c r="H1267" s="174"/>
      <c r="I1267" s="174"/>
      <c r="J1267" s="174"/>
      <c r="K1267" s="174"/>
      <c r="L1267" s="174"/>
      <c r="M1267" s="174"/>
      <c r="N1267" s="174"/>
      <c r="O1267" s="174"/>
      <c r="P1267" s="174"/>
      <c r="Q1267" s="174"/>
      <c r="R1267" s="174"/>
      <c r="S1267" s="174"/>
      <c r="T1267" s="174"/>
      <c r="U1267" s="174"/>
      <c r="V1267" s="174"/>
      <c r="W1267" s="174"/>
      <c r="X1267" s="174"/>
      <c r="Y1267" s="174"/>
      <c r="Z1267" s="174"/>
      <c r="AA1267" s="174"/>
    </row>
    <row r="1268">
      <c r="A1268" s="174"/>
      <c r="B1268" s="174"/>
      <c r="C1268" s="174"/>
      <c r="D1268" s="174"/>
      <c r="E1268" s="174"/>
      <c r="F1268" s="175"/>
      <c r="G1268" s="175"/>
      <c r="H1268" s="174"/>
      <c r="I1268" s="174"/>
      <c r="J1268" s="174"/>
      <c r="K1268" s="174"/>
      <c r="L1268" s="174"/>
      <c r="M1268" s="174"/>
      <c r="N1268" s="174"/>
      <c r="O1268" s="174"/>
      <c r="P1268" s="174"/>
      <c r="Q1268" s="174"/>
      <c r="R1268" s="174"/>
      <c r="S1268" s="174"/>
      <c r="T1268" s="174"/>
      <c r="U1268" s="174"/>
      <c r="V1268" s="174"/>
      <c r="W1268" s="174"/>
      <c r="X1268" s="174"/>
      <c r="Y1268" s="174"/>
      <c r="Z1268" s="174"/>
      <c r="AA1268" s="174"/>
    </row>
    <row r="1269">
      <c r="A1269" s="174"/>
      <c r="B1269" s="174"/>
      <c r="C1269" s="174"/>
      <c r="D1269" s="174"/>
      <c r="E1269" s="174"/>
      <c r="F1269" s="175"/>
      <c r="G1269" s="175"/>
      <c r="H1269" s="174"/>
      <c r="I1269" s="174"/>
      <c r="J1269" s="174"/>
      <c r="K1269" s="174"/>
      <c r="L1269" s="174"/>
      <c r="M1269" s="174"/>
      <c r="N1269" s="174"/>
      <c r="O1269" s="174"/>
      <c r="P1269" s="174"/>
      <c r="Q1269" s="174"/>
      <c r="R1269" s="174"/>
      <c r="S1269" s="174"/>
      <c r="T1269" s="174"/>
      <c r="U1269" s="174"/>
      <c r="V1269" s="174"/>
      <c r="W1269" s="174"/>
      <c r="X1269" s="174"/>
      <c r="Y1269" s="174"/>
      <c r="Z1269" s="174"/>
      <c r="AA1269" s="174"/>
    </row>
    <row r="1270">
      <c r="A1270" s="174"/>
      <c r="B1270" s="174"/>
      <c r="C1270" s="174"/>
      <c r="D1270" s="174"/>
      <c r="E1270" s="174"/>
      <c r="F1270" s="175"/>
      <c r="G1270" s="175"/>
      <c r="H1270" s="174"/>
      <c r="I1270" s="174"/>
      <c r="J1270" s="174"/>
      <c r="K1270" s="174"/>
      <c r="L1270" s="174"/>
      <c r="M1270" s="174"/>
      <c r="N1270" s="174"/>
      <c r="O1270" s="174"/>
      <c r="P1270" s="174"/>
      <c r="Q1270" s="174"/>
      <c r="R1270" s="174"/>
      <c r="S1270" s="174"/>
      <c r="T1270" s="174"/>
      <c r="U1270" s="174"/>
      <c r="V1270" s="174"/>
      <c r="W1270" s="174"/>
      <c r="X1270" s="174"/>
      <c r="Y1270" s="174"/>
      <c r="Z1270" s="174"/>
      <c r="AA1270" s="174"/>
    </row>
    <row r="1271">
      <c r="A1271" s="174"/>
      <c r="B1271" s="174"/>
      <c r="C1271" s="174"/>
      <c r="D1271" s="174"/>
      <c r="E1271" s="174"/>
      <c r="F1271" s="175"/>
      <c r="G1271" s="175"/>
      <c r="H1271" s="174"/>
      <c r="I1271" s="174"/>
      <c r="J1271" s="174"/>
      <c r="K1271" s="174"/>
      <c r="L1271" s="174"/>
      <c r="M1271" s="174"/>
      <c r="N1271" s="174"/>
      <c r="O1271" s="174"/>
      <c r="P1271" s="174"/>
      <c r="Q1271" s="174"/>
      <c r="R1271" s="174"/>
      <c r="S1271" s="174"/>
      <c r="T1271" s="174"/>
      <c r="U1271" s="174"/>
      <c r="V1271" s="174"/>
      <c r="W1271" s="174"/>
      <c r="X1271" s="174"/>
      <c r="Y1271" s="174"/>
      <c r="Z1271" s="174"/>
      <c r="AA1271" s="174"/>
    </row>
    <row r="1272">
      <c r="A1272" s="174"/>
      <c r="B1272" s="174"/>
      <c r="C1272" s="174"/>
      <c r="D1272" s="174"/>
      <c r="E1272" s="174"/>
      <c r="F1272" s="175"/>
      <c r="G1272" s="175"/>
      <c r="H1272" s="174"/>
      <c r="I1272" s="174"/>
      <c r="J1272" s="174"/>
      <c r="K1272" s="174"/>
      <c r="L1272" s="174"/>
      <c r="M1272" s="174"/>
      <c r="N1272" s="174"/>
      <c r="O1272" s="174"/>
      <c r="P1272" s="174"/>
      <c r="Q1272" s="174"/>
      <c r="R1272" s="174"/>
      <c r="S1272" s="174"/>
      <c r="T1272" s="174"/>
      <c r="U1272" s="174"/>
      <c r="V1272" s="174"/>
      <c r="W1272" s="174"/>
      <c r="X1272" s="174"/>
      <c r="Y1272" s="174"/>
      <c r="Z1272" s="174"/>
      <c r="AA1272" s="174"/>
    </row>
    <row r="1273">
      <c r="A1273" s="174"/>
      <c r="B1273" s="174"/>
      <c r="C1273" s="174"/>
      <c r="D1273" s="174"/>
      <c r="E1273" s="174"/>
      <c r="F1273" s="175"/>
      <c r="G1273" s="175"/>
      <c r="H1273" s="174"/>
      <c r="I1273" s="174"/>
      <c r="J1273" s="174"/>
      <c r="K1273" s="174"/>
      <c r="L1273" s="174"/>
      <c r="M1273" s="174"/>
      <c r="N1273" s="174"/>
      <c r="O1273" s="174"/>
      <c r="P1273" s="174"/>
      <c r="Q1273" s="174"/>
      <c r="R1273" s="174"/>
      <c r="S1273" s="174"/>
      <c r="T1273" s="174"/>
      <c r="U1273" s="174"/>
      <c r="V1273" s="174"/>
      <c r="W1273" s="174"/>
      <c r="X1273" s="174"/>
      <c r="Y1273" s="174"/>
      <c r="Z1273" s="174"/>
      <c r="AA1273" s="174"/>
    </row>
    <row r="1274">
      <c r="A1274" s="174"/>
      <c r="B1274" s="174"/>
      <c r="C1274" s="174"/>
      <c r="D1274" s="174"/>
      <c r="E1274" s="174"/>
      <c r="F1274" s="175"/>
      <c r="G1274" s="175"/>
      <c r="H1274" s="174"/>
      <c r="I1274" s="174"/>
      <c r="J1274" s="174"/>
      <c r="K1274" s="174"/>
      <c r="L1274" s="174"/>
      <c r="M1274" s="174"/>
      <c r="N1274" s="174"/>
      <c r="O1274" s="174"/>
      <c r="P1274" s="174"/>
      <c r="Q1274" s="174"/>
      <c r="R1274" s="174"/>
      <c r="S1274" s="174"/>
      <c r="T1274" s="174"/>
      <c r="U1274" s="174"/>
      <c r="V1274" s="174"/>
      <c r="W1274" s="174"/>
      <c r="X1274" s="174"/>
      <c r="Y1274" s="174"/>
      <c r="Z1274" s="174"/>
      <c r="AA1274" s="174"/>
    </row>
    <row r="1275">
      <c r="A1275" s="174"/>
      <c r="B1275" s="174"/>
      <c r="C1275" s="174"/>
      <c r="D1275" s="174"/>
      <c r="E1275" s="174"/>
      <c r="F1275" s="175"/>
      <c r="G1275" s="175"/>
      <c r="H1275" s="174"/>
      <c r="I1275" s="174"/>
      <c r="J1275" s="174"/>
      <c r="K1275" s="174"/>
      <c r="L1275" s="174"/>
      <c r="M1275" s="174"/>
      <c r="N1275" s="174"/>
      <c r="O1275" s="174"/>
      <c r="P1275" s="174"/>
      <c r="Q1275" s="174"/>
      <c r="R1275" s="174"/>
      <c r="S1275" s="174"/>
      <c r="T1275" s="174"/>
      <c r="U1275" s="174"/>
      <c r="V1275" s="174"/>
      <c r="W1275" s="174"/>
      <c r="X1275" s="174"/>
      <c r="Y1275" s="174"/>
      <c r="Z1275" s="174"/>
      <c r="AA1275" s="174"/>
    </row>
    <row r="1276">
      <c r="A1276" s="174"/>
      <c r="B1276" s="174"/>
      <c r="C1276" s="174"/>
      <c r="D1276" s="174"/>
      <c r="E1276" s="174"/>
      <c r="F1276" s="175"/>
      <c r="G1276" s="175"/>
      <c r="H1276" s="174"/>
      <c r="I1276" s="174"/>
      <c r="J1276" s="174"/>
      <c r="K1276" s="174"/>
      <c r="L1276" s="174"/>
      <c r="M1276" s="174"/>
      <c r="N1276" s="174"/>
      <c r="O1276" s="174"/>
      <c r="P1276" s="174"/>
      <c r="Q1276" s="174"/>
      <c r="R1276" s="174"/>
      <c r="S1276" s="174"/>
      <c r="T1276" s="174"/>
      <c r="U1276" s="174"/>
      <c r="V1276" s="174"/>
      <c r="W1276" s="174"/>
      <c r="X1276" s="174"/>
      <c r="Y1276" s="174"/>
      <c r="Z1276" s="174"/>
      <c r="AA1276" s="174"/>
    </row>
    <row r="1277">
      <c r="A1277" s="174"/>
      <c r="B1277" s="174"/>
      <c r="C1277" s="174"/>
      <c r="D1277" s="174"/>
      <c r="E1277" s="174"/>
      <c r="F1277" s="175"/>
      <c r="G1277" s="175"/>
      <c r="H1277" s="174"/>
      <c r="I1277" s="174"/>
      <c r="J1277" s="174"/>
      <c r="K1277" s="174"/>
      <c r="L1277" s="174"/>
      <c r="M1277" s="174"/>
      <c r="N1277" s="174"/>
      <c r="O1277" s="174"/>
      <c r="P1277" s="174"/>
      <c r="Q1277" s="174"/>
      <c r="R1277" s="174"/>
      <c r="S1277" s="174"/>
      <c r="T1277" s="174"/>
      <c r="U1277" s="174"/>
      <c r="V1277" s="174"/>
      <c r="W1277" s="174"/>
      <c r="X1277" s="174"/>
      <c r="Y1277" s="174"/>
      <c r="Z1277" s="174"/>
      <c r="AA1277" s="174"/>
    </row>
    <row r="1278">
      <c r="A1278" s="174"/>
      <c r="B1278" s="174"/>
      <c r="C1278" s="174"/>
      <c r="D1278" s="174"/>
      <c r="E1278" s="174"/>
      <c r="F1278" s="175"/>
      <c r="G1278" s="175"/>
      <c r="H1278" s="174"/>
      <c r="I1278" s="174"/>
      <c r="J1278" s="174"/>
      <c r="K1278" s="174"/>
      <c r="L1278" s="174"/>
      <c r="M1278" s="174"/>
      <c r="N1278" s="174"/>
      <c r="O1278" s="174"/>
      <c r="P1278" s="174"/>
      <c r="Q1278" s="174"/>
      <c r="R1278" s="174"/>
      <c r="S1278" s="174"/>
      <c r="T1278" s="174"/>
      <c r="U1278" s="174"/>
      <c r="V1278" s="174"/>
      <c r="W1278" s="174"/>
      <c r="X1278" s="174"/>
      <c r="Y1278" s="174"/>
      <c r="Z1278" s="174"/>
      <c r="AA1278" s="174"/>
    </row>
    <row r="1279">
      <c r="A1279" s="174"/>
      <c r="B1279" s="174"/>
      <c r="C1279" s="174"/>
      <c r="D1279" s="174"/>
      <c r="E1279" s="174"/>
      <c r="F1279" s="175"/>
      <c r="G1279" s="175"/>
      <c r="H1279" s="174"/>
      <c r="I1279" s="174"/>
      <c r="J1279" s="174"/>
      <c r="K1279" s="174"/>
      <c r="L1279" s="174"/>
      <c r="M1279" s="174"/>
      <c r="N1279" s="174"/>
      <c r="O1279" s="174"/>
      <c r="P1279" s="174"/>
      <c r="Q1279" s="174"/>
      <c r="R1279" s="174"/>
      <c r="S1279" s="174"/>
      <c r="T1279" s="174"/>
      <c r="U1279" s="174"/>
      <c r="V1279" s="174"/>
      <c r="W1279" s="174"/>
      <c r="X1279" s="174"/>
      <c r="Y1279" s="174"/>
      <c r="Z1279" s="174"/>
      <c r="AA1279" s="174"/>
    </row>
    <row r="1280">
      <c r="A1280" s="174"/>
      <c r="B1280" s="174"/>
      <c r="C1280" s="174"/>
      <c r="D1280" s="174"/>
      <c r="E1280" s="174"/>
      <c r="F1280" s="175"/>
      <c r="G1280" s="175"/>
      <c r="H1280" s="174"/>
      <c r="I1280" s="174"/>
      <c r="J1280" s="174"/>
      <c r="K1280" s="174"/>
      <c r="L1280" s="174"/>
      <c r="M1280" s="174"/>
      <c r="N1280" s="174"/>
      <c r="O1280" s="174"/>
      <c r="P1280" s="174"/>
      <c r="Q1280" s="174"/>
      <c r="R1280" s="174"/>
      <c r="S1280" s="174"/>
      <c r="T1280" s="174"/>
      <c r="U1280" s="174"/>
      <c r="V1280" s="174"/>
      <c r="W1280" s="174"/>
      <c r="X1280" s="174"/>
      <c r="Y1280" s="174"/>
      <c r="Z1280" s="174"/>
      <c r="AA1280" s="174"/>
    </row>
    <row r="1281">
      <c r="A1281" s="174"/>
      <c r="B1281" s="174"/>
      <c r="C1281" s="174"/>
      <c r="D1281" s="174"/>
      <c r="E1281" s="174"/>
      <c r="F1281" s="175"/>
      <c r="G1281" s="175"/>
      <c r="H1281" s="174"/>
      <c r="I1281" s="174"/>
      <c r="J1281" s="174"/>
      <c r="K1281" s="174"/>
      <c r="L1281" s="174"/>
      <c r="M1281" s="174"/>
      <c r="N1281" s="174"/>
      <c r="O1281" s="174"/>
      <c r="P1281" s="174"/>
      <c r="Q1281" s="174"/>
      <c r="R1281" s="174"/>
      <c r="S1281" s="174"/>
      <c r="T1281" s="174"/>
      <c r="U1281" s="174"/>
      <c r="V1281" s="174"/>
      <c r="W1281" s="174"/>
      <c r="X1281" s="174"/>
      <c r="Y1281" s="174"/>
      <c r="Z1281" s="174"/>
      <c r="AA1281" s="174"/>
    </row>
    <row r="1282">
      <c r="A1282" s="174"/>
      <c r="B1282" s="174"/>
      <c r="C1282" s="174"/>
      <c r="D1282" s="174"/>
      <c r="E1282" s="174"/>
      <c r="F1282" s="175"/>
      <c r="G1282" s="175"/>
      <c r="H1282" s="174"/>
      <c r="I1282" s="174"/>
      <c r="J1282" s="174"/>
      <c r="K1282" s="174"/>
      <c r="L1282" s="174"/>
      <c r="M1282" s="174"/>
      <c r="N1282" s="174"/>
      <c r="O1282" s="174"/>
      <c r="P1282" s="174"/>
      <c r="Q1282" s="174"/>
      <c r="R1282" s="174"/>
      <c r="S1282" s="174"/>
      <c r="T1282" s="174"/>
      <c r="U1282" s="174"/>
      <c r="V1282" s="174"/>
      <c r="W1282" s="174"/>
      <c r="X1282" s="174"/>
      <c r="Y1282" s="174"/>
      <c r="Z1282" s="174"/>
      <c r="AA1282" s="174"/>
    </row>
    <row r="1283">
      <c r="A1283" s="174"/>
      <c r="B1283" s="174"/>
      <c r="C1283" s="174"/>
      <c r="D1283" s="174"/>
      <c r="E1283" s="174"/>
      <c r="F1283" s="175"/>
      <c r="G1283" s="175"/>
      <c r="H1283" s="174"/>
      <c r="I1283" s="174"/>
      <c r="J1283" s="174"/>
      <c r="K1283" s="174"/>
      <c r="L1283" s="174"/>
      <c r="M1283" s="174"/>
      <c r="N1283" s="174"/>
      <c r="O1283" s="174"/>
      <c r="P1283" s="174"/>
      <c r="Q1283" s="174"/>
      <c r="R1283" s="174"/>
      <c r="S1283" s="174"/>
      <c r="T1283" s="174"/>
      <c r="U1283" s="174"/>
      <c r="V1283" s="174"/>
      <c r="W1283" s="174"/>
      <c r="X1283" s="174"/>
      <c r="Y1283" s="174"/>
      <c r="Z1283" s="174"/>
      <c r="AA1283" s="174"/>
    </row>
    <row r="1284">
      <c r="A1284" s="174"/>
      <c r="B1284" s="174"/>
      <c r="C1284" s="174"/>
      <c r="D1284" s="174"/>
      <c r="E1284" s="174"/>
      <c r="F1284" s="175"/>
      <c r="G1284" s="175"/>
      <c r="H1284" s="174"/>
      <c r="I1284" s="174"/>
      <c r="J1284" s="174"/>
      <c r="K1284" s="174"/>
      <c r="L1284" s="174"/>
      <c r="M1284" s="174"/>
      <c r="N1284" s="174"/>
      <c r="O1284" s="174"/>
      <c r="P1284" s="174"/>
      <c r="Q1284" s="174"/>
      <c r="R1284" s="174"/>
      <c r="S1284" s="174"/>
      <c r="T1284" s="174"/>
      <c r="U1284" s="174"/>
      <c r="V1284" s="174"/>
      <c r="W1284" s="174"/>
      <c r="X1284" s="174"/>
      <c r="Y1284" s="174"/>
      <c r="Z1284" s="174"/>
      <c r="AA1284" s="174"/>
    </row>
    <row r="1285">
      <c r="A1285" s="174"/>
      <c r="B1285" s="174"/>
      <c r="C1285" s="174"/>
      <c r="D1285" s="174"/>
      <c r="E1285" s="174"/>
      <c r="F1285" s="175"/>
      <c r="G1285" s="175"/>
      <c r="H1285" s="174"/>
      <c r="I1285" s="174"/>
      <c r="J1285" s="174"/>
      <c r="K1285" s="174"/>
      <c r="L1285" s="174"/>
      <c r="M1285" s="174"/>
      <c r="N1285" s="174"/>
      <c r="O1285" s="174"/>
      <c r="P1285" s="174"/>
      <c r="Q1285" s="174"/>
      <c r="R1285" s="174"/>
      <c r="S1285" s="174"/>
      <c r="T1285" s="174"/>
      <c r="U1285" s="174"/>
      <c r="V1285" s="174"/>
      <c r="W1285" s="174"/>
      <c r="X1285" s="174"/>
      <c r="Y1285" s="174"/>
      <c r="Z1285" s="174"/>
      <c r="AA1285" s="174"/>
    </row>
    <row r="1286">
      <c r="A1286" s="174"/>
      <c r="B1286" s="174"/>
      <c r="C1286" s="174"/>
      <c r="D1286" s="174"/>
      <c r="E1286" s="174"/>
      <c r="F1286" s="175"/>
      <c r="G1286" s="175"/>
      <c r="H1286" s="174"/>
      <c r="I1286" s="174"/>
      <c r="J1286" s="174"/>
      <c r="K1286" s="174"/>
      <c r="L1286" s="174"/>
      <c r="M1286" s="174"/>
      <c r="N1286" s="174"/>
      <c r="O1286" s="174"/>
      <c r="P1286" s="174"/>
      <c r="Q1286" s="174"/>
      <c r="R1286" s="174"/>
      <c r="S1286" s="174"/>
      <c r="T1286" s="174"/>
      <c r="U1286" s="174"/>
      <c r="V1286" s="174"/>
      <c r="W1286" s="174"/>
      <c r="X1286" s="174"/>
      <c r="Y1286" s="174"/>
      <c r="Z1286" s="174"/>
      <c r="AA1286" s="174"/>
    </row>
    <row r="1287">
      <c r="A1287" s="174"/>
      <c r="B1287" s="174"/>
      <c r="C1287" s="174"/>
      <c r="D1287" s="174"/>
      <c r="E1287" s="174"/>
      <c r="F1287" s="175"/>
      <c r="G1287" s="175"/>
      <c r="H1287" s="174"/>
      <c r="I1287" s="174"/>
      <c r="J1287" s="174"/>
      <c r="K1287" s="174"/>
      <c r="L1287" s="174"/>
      <c r="M1287" s="174"/>
      <c r="N1287" s="174"/>
      <c r="O1287" s="174"/>
      <c r="P1287" s="174"/>
      <c r="Q1287" s="174"/>
      <c r="R1287" s="174"/>
      <c r="S1287" s="174"/>
      <c r="T1287" s="174"/>
      <c r="U1287" s="174"/>
      <c r="V1287" s="174"/>
      <c r="W1287" s="174"/>
      <c r="X1287" s="174"/>
      <c r="Y1287" s="174"/>
      <c r="Z1287" s="174"/>
      <c r="AA1287" s="174"/>
    </row>
    <row r="1288">
      <c r="A1288" s="174"/>
      <c r="B1288" s="174"/>
      <c r="C1288" s="174"/>
      <c r="D1288" s="174"/>
      <c r="E1288" s="174"/>
      <c r="F1288" s="175"/>
      <c r="G1288" s="175"/>
      <c r="H1288" s="174"/>
      <c r="I1288" s="174"/>
      <c r="J1288" s="174"/>
      <c r="K1288" s="174"/>
      <c r="L1288" s="174"/>
      <c r="M1288" s="174"/>
      <c r="N1288" s="174"/>
      <c r="O1288" s="174"/>
      <c r="P1288" s="174"/>
      <c r="Q1288" s="174"/>
      <c r="R1288" s="174"/>
      <c r="S1288" s="174"/>
      <c r="T1288" s="174"/>
      <c r="U1288" s="174"/>
      <c r="V1288" s="174"/>
      <c r="W1288" s="174"/>
      <c r="X1288" s="174"/>
      <c r="Y1288" s="174"/>
      <c r="Z1288" s="174"/>
      <c r="AA1288" s="174"/>
    </row>
    <row r="1289">
      <c r="A1289" s="174"/>
      <c r="B1289" s="174"/>
      <c r="C1289" s="174"/>
      <c r="D1289" s="174"/>
      <c r="E1289" s="174"/>
      <c r="F1289" s="175"/>
      <c r="G1289" s="175"/>
      <c r="H1289" s="174"/>
      <c r="I1289" s="174"/>
      <c r="J1289" s="174"/>
      <c r="K1289" s="174"/>
      <c r="L1289" s="174"/>
      <c r="M1289" s="174"/>
      <c r="N1289" s="174"/>
      <c r="O1289" s="174"/>
      <c r="P1289" s="174"/>
      <c r="Q1289" s="174"/>
      <c r="R1289" s="174"/>
      <c r="S1289" s="174"/>
      <c r="T1289" s="174"/>
      <c r="U1289" s="174"/>
      <c r="V1289" s="174"/>
      <c r="W1289" s="174"/>
      <c r="X1289" s="174"/>
      <c r="Y1289" s="174"/>
      <c r="Z1289" s="174"/>
      <c r="AA1289" s="174"/>
    </row>
    <row r="1290">
      <c r="A1290" s="174"/>
      <c r="B1290" s="174"/>
      <c r="C1290" s="174"/>
      <c r="D1290" s="174"/>
      <c r="E1290" s="174"/>
      <c r="F1290" s="175"/>
      <c r="G1290" s="175"/>
      <c r="H1290" s="174"/>
      <c r="I1290" s="174"/>
      <c r="J1290" s="174"/>
      <c r="K1290" s="174"/>
      <c r="L1290" s="174"/>
      <c r="M1290" s="174"/>
      <c r="N1290" s="174"/>
      <c r="O1290" s="174"/>
      <c r="P1290" s="174"/>
      <c r="Q1290" s="174"/>
      <c r="R1290" s="174"/>
      <c r="S1290" s="174"/>
      <c r="T1290" s="174"/>
      <c r="U1290" s="174"/>
      <c r="V1290" s="174"/>
      <c r="W1290" s="174"/>
      <c r="X1290" s="174"/>
      <c r="Y1290" s="174"/>
      <c r="Z1290" s="174"/>
      <c r="AA1290" s="174"/>
    </row>
    <row r="1291">
      <c r="A1291" s="174"/>
      <c r="B1291" s="174"/>
      <c r="C1291" s="174"/>
      <c r="D1291" s="174"/>
      <c r="E1291" s="174"/>
      <c r="F1291" s="175"/>
      <c r="G1291" s="175"/>
      <c r="H1291" s="174"/>
      <c r="I1291" s="174"/>
      <c r="J1291" s="174"/>
      <c r="K1291" s="174"/>
      <c r="L1291" s="174"/>
      <c r="M1291" s="174"/>
      <c r="N1291" s="174"/>
      <c r="O1291" s="174"/>
      <c r="P1291" s="174"/>
      <c r="Q1291" s="174"/>
      <c r="R1291" s="174"/>
      <c r="S1291" s="174"/>
      <c r="T1291" s="174"/>
      <c r="U1291" s="174"/>
      <c r="V1291" s="174"/>
      <c r="W1291" s="174"/>
      <c r="X1291" s="174"/>
      <c r="Y1291" s="174"/>
      <c r="Z1291" s="174"/>
      <c r="AA1291" s="174"/>
    </row>
    <row r="1292">
      <c r="A1292" s="174"/>
      <c r="B1292" s="174"/>
      <c r="C1292" s="174"/>
      <c r="D1292" s="174"/>
      <c r="E1292" s="174"/>
      <c r="F1292" s="175"/>
      <c r="G1292" s="175"/>
      <c r="H1292" s="174"/>
      <c r="I1292" s="174"/>
      <c r="J1292" s="174"/>
      <c r="K1292" s="174"/>
      <c r="L1292" s="174"/>
      <c r="M1292" s="174"/>
      <c r="N1292" s="174"/>
      <c r="O1292" s="174"/>
      <c r="P1292" s="174"/>
      <c r="Q1292" s="174"/>
      <c r="R1292" s="174"/>
      <c r="S1292" s="174"/>
      <c r="T1292" s="174"/>
      <c r="U1292" s="174"/>
      <c r="V1292" s="174"/>
      <c r="W1292" s="174"/>
      <c r="X1292" s="174"/>
      <c r="Y1292" s="174"/>
      <c r="Z1292" s="174"/>
      <c r="AA1292" s="174"/>
    </row>
    <row r="1293">
      <c r="A1293" s="174"/>
      <c r="B1293" s="174"/>
      <c r="C1293" s="174"/>
      <c r="D1293" s="174"/>
      <c r="E1293" s="174"/>
      <c r="F1293" s="175"/>
      <c r="G1293" s="175"/>
      <c r="H1293" s="174"/>
      <c r="I1293" s="174"/>
      <c r="J1293" s="174"/>
      <c r="K1293" s="174"/>
      <c r="L1293" s="174"/>
      <c r="M1293" s="174"/>
      <c r="N1293" s="174"/>
      <c r="O1293" s="174"/>
      <c r="P1293" s="174"/>
      <c r="Q1293" s="174"/>
      <c r="R1293" s="174"/>
      <c r="S1293" s="174"/>
      <c r="T1293" s="174"/>
      <c r="U1293" s="174"/>
      <c r="V1293" s="174"/>
      <c r="W1293" s="174"/>
      <c r="X1293" s="174"/>
      <c r="Y1293" s="174"/>
      <c r="Z1293" s="174"/>
      <c r="AA1293" s="174"/>
    </row>
    <row r="1294">
      <c r="A1294" s="174"/>
      <c r="B1294" s="174"/>
      <c r="C1294" s="174"/>
      <c r="D1294" s="174"/>
      <c r="E1294" s="174"/>
      <c r="F1294" s="175"/>
      <c r="G1294" s="175"/>
      <c r="H1294" s="174"/>
      <c r="I1294" s="174"/>
      <c r="J1294" s="174"/>
      <c r="K1294" s="174"/>
      <c r="L1294" s="174"/>
      <c r="M1294" s="174"/>
      <c r="N1294" s="174"/>
      <c r="O1294" s="174"/>
      <c r="P1294" s="174"/>
      <c r="Q1294" s="174"/>
      <c r="R1294" s="174"/>
      <c r="S1294" s="174"/>
      <c r="T1294" s="174"/>
      <c r="U1294" s="174"/>
      <c r="V1294" s="174"/>
      <c r="W1294" s="174"/>
      <c r="X1294" s="174"/>
      <c r="Y1294" s="174"/>
      <c r="Z1294" s="174"/>
      <c r="AA1294" s="174"/>
    </row>
    <row r="1295">
      <c r="A1295" s="174"/>
      <c r="B1295" s="174"/>
      <c r="C1295" s="174"/>
      <c r="D1295" s="174"/>
      <c r="E1295" s="174"/>
      <c r="F1295" s="175"/>
      <c r="G1295" s="175"/>
      <c r="H1295" s="174"/>
      <c r="I1295" s="174"/>
      <c r="J1295" s="174"/>
      <c r="K1295" s="174"/>
      <c r="L1295" s="174"/>
      <c r="M1295" s="174"/>
      <c r="N1295" s="174"/>
      <c r="O1295" s="174"/>
      <c r="P1295" s="174"/>
      <c r="Q1295" s="174"/>
      <c r="R1295" s="174"/>
      <c r="S1295" s="174"/>
      <c r="T1295" s="174"/>
      <c r="U1295" s="174"/>
      <c r="V1295" s="174"/>
      <c r="W1295" s="174"/>
      <c r="X1295" s="174"/>
      <c r="Y1295" s="174"/>
      <c r="Z1295" s="174"/>
      <c r="AA1295" s="174"/>
    </row>
    <row r="1296">
      <c r="A1296" s="174"/>
      <c r="B1296" s="174"/>
      <c r="C1296" s="174"/>
      <c r="D1296" s="174"/>
      <c r="E1296" s="174"/>
      <c r="F1296" s="175"/>
      <c r="G1296" s="175"/>
      <c r="H1296" s="174"/>
      <c r="I1296" s="174"/>
      <c r="J1296" s="174"/>
      <c r="K1296" s="174"/>
      <c r="L1296" s="174"/>
      <c r="M1296" s="174"/>
      <c r="N1296" s="174"/>
      <c r="O1296" s="174"/>
      <c r="P1296" s="174"/>
      <c r="Q1296" s="174"/>
      <c r="R1296" s="174"/>
      <c r="S1296" s="174"/>
      <c r="T1296" s="174"/>
      <c r="U1296" s="174"/>
      <c r="V1296" s="174"/>
      <c r="W1296" s="174"/>
      <c r="X1296" s="174"/>
      <c r="Y1296" s="174"/>
      <c r="Z1296" s="174"/>
      <c r="AA1296" s="174"/>
    </row>
    <row r="1297">
      <c r="A1297" s="174"/>
      <c r="B1297" s="174"/>
      <c r="C1297" s="174"/>
      <c r="D1297" s="174"/>
      <c r="E1297" s="174"/>
      <c r="F1297" s="175"/>
      <c r="G1297" s="175"/>
      <c r="H1297" s="174"/>
      <c r="I1297" s="174"/>
      <c r="J1297" s="174"/>
      <c r="K1297" s="174"/>
      <c r="L1297" s="174"/>
      <c r="M1297" s="174"/>
      <c r="N1297" s="174"/>
      <c r="O1297" s="174"/>
      <c r="P1297" s="174"/>
      <c r="Q1297" s="174"/>
      <c r="R1297" s="174"/>
      <c r="S1297" s="174"/>
      <c r="T1297" s="174"/>
      <c r="U1297" s="174"/>
      <c r="V1297" s="174"/>
      <c r="W1297" s="174"/>
      <c r="X1297" s="174"/>
      <c r="Y1297" s="174"/>
      <c r="Z1297" s="174"/>
      <c r="AA1297" s="174"/>
    </row>
    <row r="1298">
      <c r="A1298" s="174"/>
      <c r="B1298" s="174"/>
      <c r="C1298" s="174"/>
      <c r="D1298" s="174"/>
      <c r="E1298" s="174"/>
      <c r="F1298" s="175"/>
      <c r="G1298" s="175"/>
      <c r="H1298" s="174"/>
      <c r="I1298" s="174"/>
      <c r="J1298" s="174"/>
      <c r="K1298" s="174"/>
      <c r="L1298" s="174"/>
      <c r="M1298" s="174"/>
      <c r="N1298" s="174"/>
      <c r="O1298" s="174"/>
      <c r="P1298" s="174"/>
      <c r="Q1298" s="174"/>
      <c r="R1298" s="174"/>
      <c r="S1298" s="174"/>
      <c r="T1298" s="174"/>
      <c r="U1298" s="174"/>
      <c r="V1298" s="174"/>
      <c r="W1298" s="174"/>
      <c r="X1298" s="174"/>
      <c r="Y1298" s="174"/>
      <c r="Z1298" s="174"/>
      <c r="AA1298" s="174"/>
    </row>
    <row r="1299">
      <c r="A1299" s="174"/>
      <c r="B1299" s="174"/>
      <c r="C1299" s="174"/>
      <c r="D1299" s="174"/>
      <c r="E1299" s="174"/>
      <c r="F1299" s="175"/>
      <c r="G1299" s="175"/>
      <c r="H1299" s="174"/>
      <c r="I1299" s="174"/>
      <c r="J1299" s="174"/>
      <c r="K1299" s="174"/>
      <c r="L1299" s="174"/>
      <c r="M1299" s="174"/>
      <c r="N1299" s="174"/>
      <c r="O1299" s="174"/>
      <c r="P1299" s="174"/>
      <c r="Q1299" s="174"/>
      <c r="R1299" s="174"/>
      <c r="S1299" s="174"/>
      <c r="T1299" s="174"/>
      <c r="U1299" s="174"/>
      <c r="V1299" s="174"/>
      <c r="W1299" s="174"/>
      <c r="X1299" s="174"/>
      <c r="Y1299" s="174"/>
      <c r="Z1299" s="174"/>
      <c r="AA1299" s="174"/>
    </row>
    <row r="1300">
      <c r="A1300" s="174"/>
      <c r="B1300" s="174"/>
      <c r="C1300" s="174"/>
      <c r="D1300" s="174"/>
      <c r="E1300" s="174"/>
      <c r="F1300" s="175"/>
      <c r="G1300" s="175"/>
      <c r="H1300" s="174"/>
      <c r="I1300" s="174"/>
      <c r="J1300" s="174"/>
      <c r="K1300" s="174"/>
      <c r="L1300" s="174"/>
      <c r="M1300" s="174"/>
      <c r="N1300" s="174"/>
      <c r="O1300" s="174"/>
      <c r="P1300" s="174"/>
      <c r="Q1300" s="174"/>
      <c r="R1300" s="174"/>
      <c r="S1300" s="174"/>
      <c r="T1300" s="174"/>
      <c r="U1300" s="174"/>
      <c r="V1300" s="174"/>
      <c r="W1300" s="174"/>
      <c r="X1300" s="174"/>
      <c r="Y1300" s="174"/>
      <c r="Z1300" s="174"/>
      <c r="AA1300" s="174"/>
    </row>
    <row r="1301">
      <c r="A1301" s="174"/>
      <c r="B1301" s="174"/>
      <c r="C1301" s="174"/>
      <c r="D1301" s="174"/>
      <c r="E1301" s="174"/>
      <c r="F1301" s="175"/>
      <c r="G1301" s="175"/>
      <c r="H1301" s="174"/>
      <c r="I1301" s="174"/>
      <c r="J1301" s="174"/>
      <c r="K1301" s="174"/>
      <c r="L1301" s="174"/>
      <c r="M1301" s="174"/>
      <c r="N1301" s="174"/>
      <c r="O1301" s="174"/>
      <c r="P1301" s="174"/>
      <c r="Q1301" s="174"/>
      <c r="R1301" s="174"/>
      <c r="S1301" s="174"/>
      <c r="T1301" s="174"/>
      <c r="U1301" s="174"/>
      <c r="V1301" s="174"/>
      <c r="W1301" s="174"/>
      <c r="X1301" s="174"/>
      <c r="Y1301" s="174"/>
      <c r="Z1301" s="174"/>
      <c r="AA1301" s="174"/>
    </row>
    <row r="1302">
      <c r="A1302" s="174"/>
      <c r="B1302" s="174"/>
      <c r="C1302" s="174"/>
      <c r="D1302" s="174"/>
      <c r="E1302" s="174"/>
      <c r="F1302" s="175"/>
      <c r="G1302" s="175"/>
      <c r="H1302" s="174"/>
      <c r="I1302" s="174"/>
      <c r="J1302" s="174"/>
      <c r="K1302" s="174"/>
      <c r="L1302" s="174"/>
      <c r="M1302" s="174"/>
      <c r="N1302" s="174"/>
      <c r="O1302" s="174"/>
      <c r="P1302" s="174"/>
      <c r="Q1302" s="174"/>
      <c r="R1302" s="174"/>
      <c r="S1302" s="174"/>
      <c r="T1302" s="174"/>
      <c r="U1302" s="174"/>
      <c r="V1302" s="174"/>
      <c r="W1302" s="174"/>
      <c r="X1302" s="174"/>
      <c r="Y1302" s="174"/>
      <c r="Z1302" s="174"/>
      <c r="AA1302" s="174"/>
    </row>
    <row r="1303">
      <c r="A1303" s="174"/>
      <c r="B1303" s="174"/>
      <c r="C1303" s="174"/>
      <c r="D1303" s="174"/>
      <c r="E1303" s="174"/>
      <c r="F1303" s="175"/>
      <c r="G1303" s="175"/>
      <c r="H1303" s="174"/>
      <c r="I1303" s="174"/>
      <c r="J1303" s="174"/>
      <c r="K1303" s="174"/>
      <c r="L1303" s="174"/>
      <c r="M1303" s="174"/>
      <c r="N1303" s="174"/>
      <c r="O1303" s="174"/>
      <c r="P1303" s="174"/>
      <c r="Q1303" s="174"/>
      <c r="R1303" s="174"/>
      <c r="S1303" s="174"/>
      <c r="T1303" s="174"/>
      <c r="U1303" s="174"/>
      <c r="V1303" s="174"/>
      <c r="W1303" s="174"/>
      <c r="X1303" s="174"/>
      <c r="Y1303" s="174"/>
      <c r="Z1303" s="174"/>
      <c r="AA1303" s="174"/>
    </row>
    <row r="1304">
      <c r="A1304" s="174"/>
      <c r="B1304" s="174"/>
      <c r="C1304" s="174"/>
      <c r="D1304" s="174"/>
      <c r="E1304" s="174"/>
      <c r="F1304" s="175"/>
      <c r="G1304" s="175"/>
      <c r="H1304" s="174"/>
      <c r="I1304" s="174"/>
      <c r="J1304" s="174"/>
      <c r="K1304" s="174"/>
      <c r="L1304" s="174"/>
      <c r="M1304" s="174"/>
      <c r="N1304" s="174"/>
      <c r="O1304" s="174"/>
      <c r="P1304" s="174"/>
      <c r="Q1304" s="174"/>
      <c r="R1304" s="174"/>
      <c r="S1304" s="174"/>
      <c r="T1304" s="174"/>
      <c r="U1304" s="174"/>
      <c r="V1304" s="174"/>
      <c r="W1304" s="174"/>
      <c r="X1304" s="174"/>
      <c r="Y1304" s="174"/>
      <c r="Z1304" s="174"/>
      <c r="AA1304" s="174"/>
    </row>
    <row r="1305">
      <c r="A1305" s="174"/>
      <c r="B1305" s="174"/>
      <c r="C1305" s="174"/>
      <c r="D1305" s="174"/>
      <c r="E1305" s="174"/>
      <c r="F1305" s="175"/>
      <c r="G1305" s="175"/>
      <c r="H1305" s="174"/>
      <c r="I1305" s="174"/>
      <c r="J1305" s="174"/>
      <c r="K1305" s="174"/>
      <c r="L1305" s="174"/>
      <c r="M1305" s="174"/>
      <c r="N1305" s="174"/>
      <c r="O1305" s="174"/>
      <c r="P1305" s="174"/>
      <c r="Q1305" s="174"/>
      <c r="R1305" s="174"/>
      <c r="S1305" s="174"/>
      <c r="T1305" s="174"/>
      <c r="U1305" s="174"/>
      <c r="V1305" s="174"/>
      <c r="W1305" s="174"/>
      <c r="X1305" s="174"/>
      <c r="Y1305" s="174"/>
      <c r="Z1305" s="174"/>
      <c r="AA1305" s="174"/>
    </row>
    <row r="1306">
      <c r="A1306" s="174"/>
      <c r="B1306" s="174"/>
      <c r="C1306" s="174"/>
      <c r="D1306" s="174"/>
      <c r="E1306" s="174"/>
      <c r="F1306" s="175"/>
      <c r="G1306" s="175"/>
      <c r="H1306" s="174"/>
      <c r="I1306" s="174"/>
      <c r="J1306" s="174"/>
      <c r="K1306" s="174"/>
      <c r="L1306" s="174"/>
      <c r="M1306" s="174"/>
      <c r="N1306" s="174"/>
      <c r="O1306" s="174"/>
      <c r="P1306" s="174"/>
      <c r="Q1306" s="174"/>
      <c r="R1306" s="174"/>
      <c r="S1306" s="174"/>
      <c r="T1306" s="174"/>
      <c r="U1306" s="174"/>
      <c r="V1306" s="174"/>
      <c r="W1306" s="174"/>
      <c r="X1306" s="174"/>
      <c r="Y1306" s="174"/>
      <c r="Z1306" s="174"/>
      <c r="AA1306" s="174"/>
    </row>
    <row r="1307">
      <c r="A1307" s="174"/>
      <c r="B1307" s="174"/>
      <c r="C1307" s="174"/>
      <c r="D1307" s="174"/>
      <c r="E1307" s="174"/>
      <c r="F1307" s="175"/>
      <c r="G1307" s="175"/>
      <c r="H1307" s="174"/>
      <c r="I1307" s="174"/>
      <c r="J1307" s="174"/>
      <c r="K1307" s="174"/>
      <c r="L1307" s="174"/>
      <c r="M1307" s="174"/>
      <c r="N1307" s="174"/>
      <c r="O1307" s="174"/>
      <c r="P1307" s="174"/>
      <c r="Q1307" s="174"/>
      <c r="R1307" s="174"/>
      <c r="S1307" s="174"/>
      <c r="T1307" s="174"/>
      <c r="U1307" s="174"/>
      <c r="V1307" s="174"/>
      <c r="W1307" s="174"/>
      <c r="X1307" s="174"/>
      <c r="Y1307" s="174"/>
      <c r="Z1307" s="174"/>
      <c r="AA1307" s="174"/>
    </row>
    <row r="1308">
      <c r="A1308" s="174"/>
      <c r="B1308" s="174"/>
      <c r="C1308" s="174"/>
      <c r="D1308" s="174"/>
      <c r="E1308" s="174"/>
      <c r="F1308" s="175"/>
      <c r="G1308" s="175"/>
      <c r="H1308" s="174"/>
      <c r="I1308" s="174"/>
      <c r="J1308" s="174"/>
      <c r="K1308" s="174"/>
      <c r="L1308" s="174"/>
      <c r="M1308" s="174"/>
      <c r="N1308" s="174"/>
      <c r="O1308" s="174"/>
      <c r="P1308" s="174"/>
      <c r="Q1308" s="174"/>
      <c r="R1308" s="174"/>
      <c r="S1308" s="174"/>
      <c r="T1308" s="174"/>
      <c r="U1308" s="174"/>
      <c r="V1308" s="174"/>
      <c r="W1308" s="174"/>
      <c r="X1308" s="174"/>
      <c r="Y1308" s="174"/>
      <c r="Z1308" s="174"/>
      <c r="AA1308" s="174"/>
    </row>
    <row r="1309">
      <c r="A1309" s="174"/>
      <c r="B1309" s="174"/>
      <c r="C1309" s="174"/>
      <c r="D1309" s="174"/>
      <c r="E1309" s="174"/>
      <c r="F1309" s="175"/>
      <c r="G1309" s="175"/>
      <c r="H1309" s="174"/>
      <c r="I1309" s="174"/>
      <c r="J1309" s="174"/>
      <c r="K1309" s="174"/>
      <c r="L1309" s="174"/>
      <c r="M1309" s="174"/>
      <c r="N1309" s="174"/>
      <c r="O1309" s="174"/>
      <c r="P1309" s="174"/>
      <c r="Q1309" s="174"/>
      <c r="R1309" s="174"/>
      <c r="S1309" s="174"/>
      <c r="T1309" s="174"/>
      <c r="U1309" s="174"/>
      <c r="V1309" s="174"/>
      <c r="W1309" s="174"/>
      <c r="X1309" s="174"/>
      <c r="Y1309" s="174"/>
      <c r="Z1309" s="174"/>
      <c r="AA1309" s="174"/>
    </row>
    <row r="1310">
      <c r="A1310" s="174"/>
      <c r="B1310" s="174"/>
      <c r="C1310" s="174"/>
      <c r="D1310" s="174"/>
      <c r="E1310" s="174"/>
      <c r="F1310" s="175"/>
      <c r="G1310" s="175"/>
      <c r="H1310" s="174"/>
      <c r="I1310" s="174"/>
      <c r="J1310" s="174"/>
      <c r="K1310" s="174"/>
      <c r="L1310" s="174"/>
      <c r="M1310" s="174"/>
      <c r="N1310" s="174"/>
      <c r="O1310" s="174"/>
      <c r="P1310" s="174"/>
      <c r="Q1310" s="174"/>
      <c r="R1310" s="174"/>
      <c r="S1310" s="174"/>
      <c r="T1310" s="174"/>
      <c r="U1310" s="174"/>
      <c r="V1310" s="174"/>
      <c r="W1310" s="174"/>
      <c r="X1310" s="174"/>
      <c r="Y1310" s="174"/>
      <c r="Z1310" s="174"/>
      <c r="AA1310" s="174"/>
    </row>
    <row r="1311">
      <c r="A1311" s="174"/>
      <c r="B1311" s="174"/>
      <c r="C1311" s="174"/>
      <c r="D1311" s="174"/>
      <c r="E1311" s="174"/>
      <c r="F1311" s="175"/>
      <c r="G1311" s="175"/>
      <c r="H1311" s="174"/>
      <c r="I1311" s="174"/>
      <c r="J1311" s="174"/>
      <c r="K1311" s="174"/>
      <c r="L1311" s="174"/>
      <c r="M1311" s="174"/>
      <c r="N1311" s="174"/>
      <c r="O1311" s="174"/>
      <c r="P1311" s="174"/>
      <c r="Q1311" s="174"/>
      <c r="R1311" s="174"/>
      <c r="S1311" s="174"/>
      <c r="T1311" s="174"/>
      <c r="U1311" s="174"/>
      <c r="V1311" s="174"/>
      <c r="W1311" s="174"/>
      <c r="X1311" s="174"/>
      <c r="Y1311" s="174"/>
      <c r="Z1311" s="174"/>
      <c r="AA1311" s="174"/>
    </row>
    <row r="1312">
      <c r="A1312" s="174"/>
      <c r="B1312" s="174"/>
      <c r="C1312" s="174"/>
      <c r="D1312" s="174"/>
      <c r="E1312" s="174"/>
      <c r="F1312" s="175"/>
      <c r="G1312" s="175"/>
      <c r="H1312" s="174"/>
      <c r="I1312" s="174"/>
      <c r="J1312" s="174"/>
      <c r="K1312" s="174"/>
      <c r="L1312" s="174"/>
      <c r="M1312" s="174"/>
      <c r="N1312" s="174"/>
      <c r="O1312" s="174"/>
      <c r="P1312" s="174"/>
      <c r="Q1312" s="174"/>
      <c r="R1312" s="174"/>
      <c r="S1312" s="174"/>
      <c r="T1312" s="174"/>
      <c r="U1312" s="174"/>
      <c r="V1312" s="174"/>
      <c r="W1312" s="174"/>
      <c r="X1312" s="174"/>
      <c r="Y1312" s="174"/>
      <c r="Z1312" s="174"/>
      <c r="AA1312" s="174"/>
    </row>
    <row r="1313">
      <c r="A1313" s="174"/>
      <c r="B1313" s="174"/>
      <c r="C1313" s="174"/>
      <c r="D1313" s="174"/>
      <c r="E1313" s="174"/>
      <c r="F1313" s="175"/>
      <c r="G1313" s="175"/>
      <c r="H1313" s="174"/>
      <c r="I1313" s="174"/>
      <c r="J1313" s="174"/>
      <c r="K1313" s="174"/>
      <c r="L1313" s="174"/>
      <c r="M1313" s="174"/>
      <c r="N1313" s="174"/>
      <c r="O1313" s="174"/>
      <c r="P1313" s="174"/>
      <c r="Q1313" s="174"/>
      <c r="R1313" s="174"/>
      <c r="S1313" s="174"/>
      <c r="T1313" s="174"/>
      <c r="U1313" s="174"/>
      <c r="V1313" s="174"/>
      <c r="W1313" s="174"/>
      <c r="X1313" s="174"/>
      <c r="Y1313" s="174"/>
      <c r="Z1313" s="174"/>
      <c r="AA1313" s="174"/>
    </row>
    <row r="1314">
      <c r="A1314" s="174"/>
      <c r="B1314" s="174"/>
      <c r="C1314" s="174"/>
      <c r="D1314" s="174"/>
      <c r="E1314" s="174"/>
      <c r="F1314" s="175"/>
      <c r="G1314" s="175"/>
      <c r="H1314" s="174"/>
      <c r="I1314" s="174"/>
      <c r="J1314" s="174"/>
      <c r="K1314" s="174"/>
      <c r="L1314" s="174"/>
      <c r="M1314" s="174"/>
      <c r="N1314" s="174"/>
      <c r="O1314" s="174"/>
      <c r="P1314" s="174"/>
      <c r="Q1314" s="174"/>
      <c r="R1314" s="174"/>
      <c r="S1314" s="174"/>
      <c r="T1314" s="174"/>
      <c r="U1314" s="174"/>
      <c r="V1314" s="174"/>
      <c r="W1314" s="174"/>
      <c r="X1314" s="174"/>
      <c r="Y1314" s="174"/>
      <c r="Z1314" s="174"/>
      <c r="AA1314" s="174"/>
    </row>
    <row r="1315">
      <c r="A1315" s="174"/>
      <c r="B1315" s="174"/>
      <c r="C1315" s="174"/>
      <c r="D1315" s="174"/>
      <c r="E1315" s="174"/>
      <c r="F1315" s="175"/>
      <c r="G1315" s="175"/>
      <c r="H1315" s="174"/>
      <c r="I1315" s="174"/>
      <c r="J1315" s="174"/>
      <c r="K1315" s="174"/>
      <c r="L1315" s="174"/>
      <c r="M1315" s="174"/>
      <c r="N1315" s="174"/>
      <c r="O1315" s="174"/>
      <c r="P1315" s="174"/>
      <c r="Q1315" s="174"/>
      <c r="R1315" s="174"/>
      <c r="S1315" s="174"/>
      <c r="T1315" s="174"/>
      <c r="U1315" s="174"/>
      <c r="V1315" s="174"/>
      <c r="W1315" s="174"/>
      <c r="X1315" s="174"/>
      <c r="Y1315" s="174"/>
      <c r="Z1315" s="174"/>
      <c r="AA1315" s="174"/>
    </row>
    <row r="1316">
      <c r="A1316" s="174"/>
      <c r="B1316" s="174"/>
      <c r="C1316" s="174"/>
      <c r="D1316" s="174"/>
      <c r="E1316" s="174"/>
      <c r="F1316" s="175"/>
      <c r="G1316" s="175"/>
      <c r="H1316" s="174"/>
      <c r="I1316" s="174"/>
      <c r="J1316" s="174"/>
      <c r="K1316" s="174"/>
      <c r="L1316" s="174"/>
      <c r="M1316" s="174"/>
      <c r="N1316" s="174"/>
      <c r="O1316" s="174"/>
      <c r="P1316" s="174"/>
      <c r="Q1316" s="174"/>
      <c r="R1316" s="174"/>
      <c r="S1316" s="174"/>
      <c r="T1316" s="174"/>
      <c r="U1316" s="174"/>
      <c r="V1316" s="174"/>
      <c r="W1316" s="174"/>
      <c r="X1316" s="174"/>
      <c r="Y1316" s="174"/>
      <c r="Z1316" s="174"/>
      <c r="AA1316" s="174"/>
    </row>
    <row r="1317">
      <c r="A1317" s="174"/>
      <c r="B1317" s="174"/>
      <c r="C1317" s="174"/>
      <c r="D1317" s="174"/>
      <c r="E1317" s="174"/>
      <c r="F1317" s="175"/>
      <c r="G1317" s="175"/>
      <c r="H1317" s="174"/>
      <c r="I1317" s="174"/>
      <c r="J1317" s="174"/>
      <c r="K1317" s="174"/>
      <c r="L1317" s="174"/>
      <c r="M1317" s="174"/>
      <c r="N1317" s="174"/>
      <c r="O1317" s="174"/>
      <c r="P1317" s="174"/>
      <c r="Q1317" s="174"/>
      <c r="R1317" s="174"/>
      <c r="S1317" s="174"/>
      <c r="T1317" s="174"/>
      <c r="U1317" s="174"/>
      <c r="V1317" s="174"/>
      <c r="W1317" s="174"/>
      <c r="X1317" s="174"/>
      <c r="Y1317" s="174"/>
      <c r="Z1317" s="174"/>
      <c r="AA1317" s="174"/>
    </row>
    <row r="1318">
      <c r="A1318" s="174"/>
      <c r="B1318" s="174"/>
      <c r="C1318" s="174"/>
      <c r="D1318" s="174"/>
      <c r="E1318" s="174"/>
      <c r="F1318" s="175"/>
      <c r="G1318" s="175"/>
      <c r="H1318" s="174"/>
      <c r="I1318" s="174"/>
      <c r="J1318" s="174"/>
      <c r="K1318" s="174"/>
      <c r="L1318" s="174"/>
      <c r="M1318" s="174"/>
      <c r="N1318" s="174"/>
      <c r="O1318" s="174"/>
      <c r="P1318" s="174"/>
      <c r="Q1318" s="174"/>
      <c r="R1318" s="174"/>
      <c r="S1318" s="174"/>
      <c r="T1318" s="174"/>
      <c r="U1318" s="174"/>
      <c r="V1318" s="174"/>
      <c r="W1318" s="174"/>
      <c r="X1318" s="174"/>
      <c r="Y1318" s="174"/>
      <c r="Z1318" s="174"/>
      <c r="AA1318" s="174"/>
    </row>
    <row r="1319">
      <c r="A1319" s="174"/>
      <c r="B1319" s="174"/>
      <c r="C1319" s="174"/>
      <c r="D1319" s="174"/>
      <c r="E1319" s="174"/>
      <c r="F1319" s="175"/>
      <c r="G1319" s="175"/>
      <c r="H1319" s="174"/>
      <c r="I1319" s="174"/>
      <c r="J1319" s="174"/>
      <c r="K1319" s="174"/>
      <c r="L1319" s="174"/>
      <c r="M1319" s="174"/>
      <c r="N1319" s="174"/>
      <c r="O1319" s="174"/>
      <c r="P1319" s="174"/>
      <c r="Q1319" s="174"/>
      <c r="R1319" s="174"/>
      <c r="S1319" s="174"/>
      <c r="T1319" s="174"/>
      <c r="U1319" s="174"/>
      <c r="V1319" s="174"/>
      <c r="W1319" s="174"/>
      <c r="X1319" s="174"/>
      <c r="Y1319" s="174"/>
      <c r="Z1319" s="174"/>
      <c r="AA1319" s="174"/>
    </row>
    <row r="1320">
      <c r="A1320" s="174"/>
      <c r="B1320" s="174"/>
      <c r="C1320" s="174"/>
      <c r="D1320" s="174"/>
      <c r="E1320" s="174"/>
      <c r="F1320" s="175"/>
      <c r="G1320" s="175"/>
      <c r="H1320" s="174"/>
      <c r="I1320" s="174"/>
      <c r="J1320" s="174"/>
      <c r="K1320" s="174"/>
      <c r="L1320" s="174"/>
      <c r="M1320" s="174"/>
      <c r="N1320" s="174"/>
      <c r="O1320" s="174"/>
      <c r="P1320" s="174"/>
      <c r="Q1320" s="174"/>
      <c r="R1320" s="174"/>
      <c r="S1320" s="174"/>
      <c r="T1320" s="174"/>
      <c r="U1320" s="174"/>
      <c r="V1320" s="174"/>
      <c r="W1320" s="174"/>
      <c r="X1320" s="174"/>
      <c r="Y1320" s="174"/>
      <c r="Z1320" s="174"/>
      <c r="AA1320" s="174"/>
    </row>
    <row r="1321">
      <c r="A1321" s="174"/>
      <c r="B1321" s="174"/>
      <c r="C1321" s="174"/>
      <c r="D1321" s="174"/>
      <c r="E1321" s="174"/>
      <c r="F1321" s="175"/>
      <c r="G1321" s="175"/>
      <c r="H1321" s="174"/>
      <c r="I1321" s="174"/>
      <c r="J1321" s="174"/>
      <c r="K1321" s="174"/>
      <c r="L1321" s="174"/>
      <c r="M1321" s="174"/>
      <c r="N1321" s="174"/>
      <c r="O1321" s="174"/>
      <c r="P1321" s="174"/>
      <c r="Q1321" s="174"/>
      <c r="R1321" s="174"/>
      <c r="S1321" s="174"/>
      <c r="T1321" s="174"/>
      <c r="U1321" s="174"/>
      <c r="V1321" s="174"/>
      <c r="W1321" s="174"/>
      <c r="X1321" s="174"/>
      <c r="Y1321" s="174"/>
      <c r="Z1321" s="174"/>
      <c r="AA1321" s="174"/>
    </row>
    <row r="1322">
      <c r="A1322" s="174"/>
      <c r="B1322" s="174"/>
      <c r="C1322" s="174"/>
      <c r="D1322" s="174"/>
      <c r="E1322" s="174"/>
      <c r="F1322" s="175"/>
      <c r="G1322" s="175"/>
      <c r="H1322" s="174"/>
      <c r="I1322" s="174"/>
      <c r="J1322" s="174"/>
      <c r="K1322" s="174"/>
      <c r="L1322" s="174"/>
      <c r="M1322" s="174"/>
      <c r="N1322" s="174"/>
      <c r="O1322" s="174"/>
      <c r="P1322" s="174"/>
      <c r="Q1322" s="174"/>
      <c r="R1322" s="174"/>
      <c r="S1322" s="174"/>
      <c r="T1322" s="174"/>
      <c r="U1322" s="174"/>
      <c r="V1322" s="174"/>
      <c r="W1322" s="174"/>
      <c r="X1322" s="174"/>
      <c r="Y1322" s="174"/>
      <c r="Z1322" s="174"/>
      <c r="AA1322" s="174"/>
    </row>
    <row r="1323">
      <c r="A1323" s="174"/>
      <c r="B1323" s="174"/>
      <c r="C1323" s="174"/>
      <c r="D1323" s="174"/>
      <c r="E1323" s="174"/>
      <c r="F1323" s="175"/>
      <c r="G1323" s="175"/>
      <c r="H1323" s="174"/>
      <c r="I1323" s="174"/>
      <c r="J1323" s="174"/>
      <c r="K1323" s="174"/>
      <c r="L1323" s="174"/>
      <c r="M1323" s="174"/>
      <c r="N1323" s="174"/>
      <c r="O1323" s="174"/>
      <c r="P1323" s="174"/>
      <c r="Q1323" s="174"/>
      <c r="R1323" s="174"/>
      <c r="S1323" s="174"/>
      <c r="T1323" s="174"/>
      <c r="U1323" s="174"/>
      <c r="V1323" s="174"/>
      <c r="W1323" s="174"/>
      <c r="X1323" s="174"/>
      <c r="Y1323" s="174"/>
      <c r="Z1323" s="174"/>
      <c r="AA1323" s="174"/>
    </row>
    <row r="1324">
      <c r="A1324" s="174"/>
      <c r="B1324" s="174"/>
      <c r="C1324" s="174"/>
      <c r="D1324" s="174"/>
      <c r="E1324" s="174"/>
      <c r="F1324" s="175"/>
      <c r="G1324" s="175"/>
      <c r="H1324" s="174"/>
      <c r="I1324" s="174"/>
      <c r="J1324" s="174"/>
      <c r="K1324" s="174"/>
      <c r="L1324" s="174"/>
      <c r="M1324" s="174"/>
      <c r="N1324" s="174"/>
      <c r="O1324" s="174"/>
      <c r="P1324" s="174"/>
      <c r="Q1324" s="174"/>
      <c r="R1324" s="174"/>
      <c r="S1324" s="174"/>
      <c r="T1324" s="174"/>
      <c r="U1324" s="174"/>
      <c r="V1324" s="174"/>
      <c r="W1324" s="174"/>
      <c r="X1324" s="174"/>
      <c r="Y1324" s="174"/>
      <c r="Z1324" s="174"/>
      <c r="AA1324" s="174"/>
    </row>
    <row r="1325">
      <c r="A1325" s="174"/>
      <c r="B1325" s="174"/>
      <c r="C1325" s="174"/>
      <c r="D1325" s="174"/>
      <c r="E1325" s="174"/>
      <c r="F1325" s="175"/>
      <c r="G1325" s="175"/>
      <c r="H1325" s="174"/>
      <c r="I1325" s="174"/>
      <c r="J1325" s="174"/>
      <c r="K1325" s="174"/>
      <c r="L1325" s="174"/>
      <c r="M1325" s="174"/>
      <c r="N1325" s="174"/>
      <c r="O1325" s="174"/>
      <c r="P1325" s="174"/>
      <c r="Q1325" s="174"/>
      <c r="R1325" s="174"/>
      <c r="S1325" s="174"/>
      <c r="T1325" s="174"/>
      <c r="U1325" s="174"/>
      <c r="V1325" s="174"/>
      <c r="W1325" s="174"/>
      <c r="X1325" s="174"/>
      <c r="Y1325" s="174"/>
      <c r="Z1325" s="174"/>
      <c r="AA1325" s="174"/>
    </row>
    <row r="1326">
      <c r="A1326" s="174"/>
      <c r="B1326" s="174"/>
      <c r="C1326" s="174"/>
      <c r="D1326" s="174"/>
      <c r="E1326" s="174"/>
      <c r="F1326" s="175"/>
      <c r="G1326" s="175"/>
      <c r="H1326" s="174"/>
      <c r="I1326" s="174"/>
      <c r="J1326" s="174"/>
      <c r="K1326" s="174"/>
      <c r="L1326" s="174"/>
      <c r="M1326" s="174"/>
      <c r="N1326" s="174"/>
      <c r="O1326" s="174"/>
      <c r="P1326" s="174"/>
      <c r="Q1326" s="174"/>
      <c r="R1326" s="174"/>
      <c r="S1326" s="174"/>
      <c r="T1326" s="174"/>
      <c r="U1326" s="174"/>
      <c r="V1326" s="174"/>
      <c r="W1326" s="174"/>
      <c r="X1326" s="174"/>
      <c r="Y1326" s="174"/>
      <c r="Z1326" s="174"/>
      <c r="AA1326" s="174"/>
    </row>
    <row r="1327">
      <c r="A1327" s="174"/>
      <c r="B1327" s="174"/>
      <c r="C1327" s="174"/>
      <c r="D1327" s="174"/>
      <c r="E1327" s="174"/>
      <c r="F1327" s="175"/>
      <c r="G1327" s="175"/>
      <c r="H1327" s="174"/>
      <c r="I1327" s="174"/>
      <c r="J1327" s="174"/>
      <c r="K1327" s="174"/>
      <c r="L1327" s="174"/>
      <c r="M1327" s="174"/>
      <c r="N1327" s="174"/>
      <c r="O1327" s="174"/>
      <c r="P1327" s="174"/>
      <c r="Q1327" s="174"/>
      <c r="R1327" s="174"/>
      <c r="S1327" s="174"/>
      <c r="T1327" s="174"/>
      <c r="U1327" s="174"/>
      <c r="V1327" s="174"/>
      <c r="W1327" s="174"/>
      <c r="X1327" s="174"/>
      <c r="Y1327" s="174"/>
      <c r="Z1327" s="174"/>
      <c r="AA1327" s="174"/>
    </row>
    <row r="1328">
      <c r="A1328" s="174"/>
      <c r="B1328" s="174"/>
      <c r="C1328" s="174"/>
      <c r="D1328" s="174"/>
      <c r="E1328" s="174"/>
      <c r="F1328" s="175"/>
      <c r="G1328" s="175"/>
      <c r="H1328" s="174"/>
      <c r="I1328" s="174"/>
      <c r="J1328" s="174"/>
      <c r="K1328" s="174"/>
      <c r="L1328" s="174"/>
      <c r="M1328" s="174"/>
      <c r="N1328" s="174"/>
      <c r="O1328" s="174"/>
      <c r="P1328" s="174"/>
      <c r="Q1328" s="174"/>
      <c r="R1328" s="174"/>
      <c r="S1328" s="174"/>
      <c r="T1328" s="174"/>
      <c r="U1328" s="174"/>
      <c r="V1328" s="174"/>
      <c r="W1328" s="174"/>
      <c r="X1328" s="174"/>
      <c r="Y1328" s="174"/>
      <c r="Z1328" s="174"/>
      <c r="AA1328" s="174"/>
    </row>
    <row r="1329">
      <c r="A1329" s="174"/>
      <c r="B1329" s="174"/>
      <c r="C1329" s="174"/>
      <c r="D1329" s="174"/>
      <c r="E1329" s="174"/>
      <c r="F1329" s="175"/>
      <c r="G1329" s="175"/>
      <c r="H1329" s="174"/>
      <c r="I1329" s="174"/>
      <c r="J1329" s="174"/>
      <c r="K1329" s="174"/>
      <c r="L1329" s="174"/>
      <c r="M1329" s="174"/>
      <c r="N1329" s="174"/>
      <c r="O1329" s="174"/>
      <c r="P1329" s="174"/>
      <c r="Q1329" s="174"/>
      <c r="R1329" s="174"/>
      <c r="S1329" s="174"/>
      <c r="T1329" s="174"/>
      <c r="U1329" s="174"/>
      <c r="V1329" s="174"/>
      <c r="W1329" s="174"/>
      <c r="X1329" s="174"/>
      <c r="Y1329" s="174"/>
      <c r="Z1329" s="174"/>
      <c r="AA1329" s="174"/>
    </row>
    <row r="1330">
      <c r="A1330" s="174"/>
      <c r="B1330" s="174"/>
      <c r="C1330" s="174"/>
      <c r="D1330" s="174"/>
      <c r="E1330" s="174"/>
      <c r="F1330" s="175"/>
      <c r="G1330" s="175"/>
      <c r="H1330" s="174"/>
      <c r="I1330" s="174"/>
      <c r="J1330" s="174"/>
      <c r="K1330" s="174"/>
      <c r="L1330" s="174"/>
      <c r="M1330" s="174"/>
      <c r="N1330" s="174"/>
      <c r="O1330" s="174"/>
      <c r="P1330" s="174"/>
      <c r="Q1330" s="174"/>
      <c r="R1330" s="174"/>
      <c r="S1330" s="174"/>
      <c r="T1330" s="174"/>
      <c r="U1330" s="174"/>
      <c r="V1330" s="174"/>
      <c r="W1330" s="174"/>
      <c r="X1330" s="174"/>
      <c r="Y1330" s="174"/>
      <c r="Z1330" s="174"/>
      <c r="AA1330" s="174"/>
    </row>
    <row r="1331">
      <c r="A1331" s="174"/>
      <c r="B1331" s="174"/>
      <c r="C1331" s="174"/>
      <c r="D1331" s="174"/>
      <c r="E1331" s="174"/>
      <c r="F1331" s="175"/>
      <c r="G1331" s="175"/>
      <c r="H1331" s="174"/>
      <c r="I1331" s="174"/>
      <c r="J1331" s="174"/>
      <c r="K1331" s="174"/>
      <c r="L1331" s="174"/>
      <c r="M1331" s="174"/>
      <c r="N1331" s="174"/>
      <c r="O1331" s="174"/>
      <c r="P1331" s="174"/>
      <c r="Q1331" s="174"/>
      <c r="R1331" s="174"/>
      <c r="S1331" s="174"/>
      <c r="T1331" s="174"/>
      <c r="U1331" s="174"/>
      <c r="V1331" s="174"/>
      <c r="W1331" s="174"/>
      <c r="X1331" s="174"/>
      <c r="Y1331" s="174"/>
      <c r="Z1331" s="174"/>
      <c r="AA1331" s="174"/>
    </row>
    <row r="1332">
      <c r="A1332" s="174"/>
      <c r="B1332" s="174"/>
      <c r="C1332" s="174"/>
      <c r="D1332" s="174"/>
      <c r="E1332" s="174"/>
      <c r="F1332" s="175"/>
      <c r="G1332" s="175"/>
      <c r="H1332" s="174"/>
      <c r="I1332" s="174"/>
      <c r="J1332" s="174"/>
      <c r="K1332" s="174"/>
      <c r="L1332" s="174"/>
      <c r="M1332" s="174"/>
      <c r="N1332" s="174"/>
      <c r="O1332" s="174"/>
      <c r="P1332" s="174"/>
      <c r="Q1332" s="174"/>
      <c r="R1332" s="174"/>
      <c r="S1332" s="174"/>
      <c r="T1332" s="174"/>
      <c r="U1332" s="174"/>
      <c r="V1332" s="174"/>
      <c r="W1332" s="174"/>
      <c r="X1332" s="174"/>
      <c r="Y1332" s="174"/>
      <c r="Z1332" s="174"/>
      <c r="AA1332" s="174"/>
    </row>
    <row r="1333">
      <c r="A1333" s="174"/>
      <c r="B1333" s="174"/>
      <c r="C1333" s="174"/>
      <c r="D1333" s="174"/>
      <c r="E1333" s="174"/>
      <c r="F1333" s="175"/>
      <c r="G1333" s="175"/>
      <c r="H1333" s="174"/>
      <c r="I1333" s="174"/>
      <c r="J1333" s="174"/>
      <c r="K1333" s="174"/>
      <c r="L1333" s="174"/>
      <c r="M1333" s="174"/>
      <c r="N1333" s="174"/>
      <c r="O1333" s="174"/>
      <c r="P1333" s="174"/>
      <c r="Q1333" s="174"/>
      <c r="R1333" s="174"/>
      <c r="S1333" s="174"/>
      <c r="T1333" s="174"/>
      <c r="U1333" s="174"/>
      <c r="V1333" s="174"/>
      <c r="W1333" s="174"/>
      <c r="X1333" s="174"/>
      <c r="Y1333" s="174"/>
      <c r="Z1333" s="174"/>
      <c r="AA1333" s="174"/>
    </row>
    <row r="1334">
      <c r="A1334" s="174"/>
      <c r="B1334" s="174"/>
      <c r="C1334" s="174"/>
      <c r="D1334" s="174"/>
      <c r="E1334" s="174"/>
      <c r="F1334" s="175"/>
      <c r="G1334" s="175"/>
      <c r="H1334" s="174"/>
      <c r="I1334" s="174"/>
      <c r="J1334" s="174"/>
      <c r="K1334" s="174"/>
      <c r="L1334" s="174"/>
      <c r="M1334" s="174"/>
      <c r="N1334" s="174"/>
      <c r="O1334" s="174"/>
      <c r="P1334" s="174"/>
      <c r="Q1334" s="174"/>
      <c r="R1334" s="174"/>
      <c r="S1334" s="174"/>
      <c r="T1334" s="174"/>
      <c r="U1334" s="174"/>
      <c r="V1334" s="174"/>
      <c r="W1334" s="174"/>
      <c r="X1334" s="174"/>
      <c r="Y1334" s="174"/>
      <c r="Z1334" s="174"/>
      <c r="AA1334" s="174"/>
    </row>
    <row r="1335">
      <c r="A1335" s="174"/>
      <c r="B1335" s="174"/>
      <c r="C1335" s="174"/>
      <c r="D1335" s="174"/>
      <c r="E1335" s="174"/>
      <c r="F1335" s="175"/>
      <c r="G1335" s="175"/>
      <c r="H1335" s="174"/>
      <c r="I1335" s="174"/>
      <c r="J1335" s="174"/>
      <c r="K1335" s="174"/>
      <c r="L1335" s="174"/>
      <c r="M1335" s="174"/>
      <c r="N1335" s="174"/>
      <c r="O1335" s="174"/>
      <c r="P1335" s="174"/>
      <c r="Q1335" s="174"/>
      <c r="R1335" s="174"/>
      <c r="S1335" s="174"/>
      <c r="T1335" s="174"/>
      <c r="U1335" s="174"/>
      <c r="V1335" s="174"/>
      <c r="W1335" s="174"/>
      <c r="X1335" s="174"/>
      <c r="Y1335" s="174"/>
      <c r="Z1335" s="174"/>
      <c r="AA1335" s="174"/>
    </row>
    <row r="1336">
      <c r="A1336" s="174"/>
      <c r="B1336" s="174"/>
      <c r="C1336" s="174"/>
      <c r="D1336" s="174"/>
      <c r="E1336" s="174"/>
      <c r="F1336" s="175"/>
      <c r="G1336" s="175"/>
      <c r="H1336" s="174"/>
      <c r="I1336" s="174"/>
      <c r="J1336" s="174"/>
      <c r="K1336" s="174"/>
      <c r="L1336" s="174"/>
      <c r="M1336" s="174"/>
      <c r="N1336" s="174"/>
      <c r="O1336" s="174"/>
      <c r="P1336" s="174"/>
      <c r="Q1336" s="174"/>
      <c r="R1336" s="174"/>
      <c r="S1336" s="174"/>
      <c r="T1336" s="174"/>
      <c r="U1336" s="174"/>
      <c r="V1336" s="174"/>
      <c r="W1336" s="174"/>
      <c r="X1336" s="174"/>
      <c r="Y1336" s="174"/>
      <c r="Z1336" s="174"/>
      <c r="AA1336" s="174"/>
    </row>
    <row r="1337">
      <c r="A1337" s="174"/>
      <c r="B1337" s="174"/>
      <c r="C1337" s="174"/>
      <c r="D1337" s="174"/>
      <c r="E1337" s="174"/>
      <c r="F1337" s="175"/>
      <c r="G1337" s="175"/>
      <c r="H1337" s="174"/>
      <c r="I1337" s="174"/>
      <c r="J1337" s="174"/>
      <c r="K1337" s="174"/>
      <c r="L1337" s="174"/>
      <c r="M1337" s="174"/>
      <c r="N1337" s="174"/>
      <c r="O1337" s="174"/>
      <c r="P1337" s="174"/>
      <c r="Q1337" s="174"/>
      <c r="R1337" s="174"/>
      <c r="S1337" s="174"/>
      <c r="T1337" s="174"/>
      <c r="U1337" s="174"/>
      <c r="V1337" s="174"/>
      <c r="W1337" s="174"/>
      <c r="X1337" s="174"/>
      <c r="Y1337" s="174"/>
      <c r="Z1337" s="174"/>
      <c r="AA1337" s="174"/>
    </row>
    <row r="1338">
      <c r="A1338" s="174"/>
      <c r="B1338" s="174"/>
      <c r="C1338" s="174"/>
      <c r="D1338" s="174"/>
      <c r="E1338" s="174"/>
      <c r="F1338" s="175"/>
      <c r="G1338" s="175"/>
      <c r="H1338" s="174"/>
      <c r="I1338" s="174"/>
      <c r="J1338" s="174"/>
      <c r="K1338" s="174"/>
      <c r="L1338" s="174"/>
      <c r="M1338" s="174"/>
      <c r="N1338" s="174"/>
      <c r="O1338" s="174"/>
      <c r="P1338" s="174"/>
      <c r="Q1338" s="174"/>
      <c r="R1338" s="174"/>
      <c r="S1338" s="174"/>
      <c r="T1338" s="174"/>
      <c r="U1338" s="174"/>
      <c r="V1338" s="174"/>
      <c r="W1338" s="174"/>
      <c r="X1338" s="174"/>
      <c r="Y1338" s="174"/>
      <c r="Z1338" s="174"/>
      <c r="AA1338" s="174"/>
    </row>
    <row r="1339">
      <c r="A1339" s="174"/>
      <c r="B1339" s="174"/>
      <c r="C1339" s="174"/>
      <c r="D1339" s="174"/>
      <c r="E1339" s="174"/>
      <c r="F1339" s="175"/>
      <c r="G1339" s="175"/>
      <c r="H1339" s="174"/>
      <c r="I1339" s="174"/>
      <c r="J1339" s="174"/>
      <c r="K1339" s="174"/>
      <c r="L1339" s="174"/>
      <c r="M1339" s="174"/>
      <c r="N1339" s="174"/>
      <c r="O1339" s="174"/>
      <c r="P1339" s="174"/>
      <c r="Q1339" s="174"/>
      <c r="R1339" s="174"/>
      <c r="S1339" s="174"/>
      <c r="T1339" s="174"/>
      <c r="U1339" s="174"/>
      <c r="V1339" s="174"/>
      <c r="W1339" s="174"/>
      <c r="X1339" s="174"/>
      <c r="Y1339" s="174"/>
      <c r="Z1339" s="174"/>
      <c r="AA1339" s="174"/>
    </row>
    <row r="1340">
      <c r="A1340" s="174"/>
      <c r="B1340" s="174"/>
      <c r="C1340" s="174"/>
      <c r="D1340" s="174"/>
      <c r="E1340" s="174"/>
      <c r="F1340" s="175"/>
      <c r="G1340" s="175"/>
      <c r="H1340" s="174"/>
      <c r="I1340" s="174"/>
      <c r="J1340" s="174"/>
      <c r="K1340" s="174"/>
      <c r="L1340" s="174"/>
      <c r="M1340" s="174"/>
      <c r="N1340" s="174"/>
      <c r="O1340" s="174"/>
      <c r="P1340" s="174"/>
      <c r="Q1340" s="174"/>
      <c r="R1340" s="174"/>
      <c r="S1340" s="174"/>
      <c r="T1340" s="174"/>
      <c r="U1340" s="174"/>
      <c r="V1340" s="174"/>
      <c r="W1340" s="174"/>
      <c r="X1340" s="174"/>
      <c r="Y1340" s="174"/>
      <c r="Z1340" s="174"/>
      <c r="AA1340" s="174"/>
    </row>
    <row r="1341">
      <c r="A1341" s="174"/>
      <c r="B1341" s="174"/>
      <c r="C1341" s="174"/>
      <c r="D1341" s="174"/>
      <c r="E1341" s="174"/>
      <c r="F1341" s="175"/>
      <c r="G1341" s="175"/>
      <c r="H1341" s="174"/>
      <c r="I1341" s="174"/>
      <c r="J1341" s="174"/>
      <c r="K1341" s="174"/>
      <c r="L1341" s="174"/>
      <c r="M1341" s="174"/>
      <c r="N1341" s="174"/>
      <c r="O1341" s="174"/>
      <c r="P1341" s="174"/>
      <c r="Q1341" s="174"/>
      <c r="R1341" s="174"/>
      <c r="S1341" s="174"/>
      <c r="T1341" s="174"/>
      <c r="U1341" s="174"/>
      <c r="V1341" s="174"/>
      <c r="W1341" s="174"/>
      <c r="X1341" s="174"/>
      <c r="Y1341" s="174"/>
      <c r="Z1341" s="174"/>
      <c r="AA1341" s="174"/>
    </row>
    <row r="1342">
      <c r="A1342" s="174"/>
      <c r="B1342" s="174"/>
      <c r="C1342" s="174"/>
      <c r="D1342" s="174"/>
      <c r="E1342" s="174"/>
      <c r="F1342" s="175"/>
      <c r="G1342" s="175"/>
      <c r="H1342" s="174"/>
      <c r="I1342" s="174"/>
      <c r="J1342" s="174"/>
      <c r="K1342" s="174"/>
      <c r="L1342" s="174"/>
      <c r="M1342" s="174"/>
      <c r="N1342" s="174"/>
      <c r="O1342" s="174"/>
      <c r="P1342" s="174"/>
      <c r="Q1342" s="174"/>
      <c r="R1342" s="174"/>
      <c r="S1342" s="174"/>
      <c r="T1342" s="174"/>
      <c r="U1342" s="174"/>
      <c r="V1342" s="174"/>
      <c r="W1342" s="174"/>
      <c r="X1342" s="174"/>
      <c r="Y1342" s="174"/>
      <c r="Z1342" s="174"/>
      <c r="AA1342" s="174"/>
    </row>
    <row r="1343">
      <c r="A1343" s="174"/>
      <c r="B1343" s="174"/>
      <c r="C1343" s="174"/>
      <c r="D1343" s="174"/>
      <c r="E1343" s="174"/>
      <c r="F1343" s="175"/>
      <c r="G1343" s="175"/>
      <c r="H1343" s="174"/>
      <c r="I1343" s="174"/>
      <c r="J1343" s="174"/>
      <c r="K1343" s="174"/>
      <c r="L1343" s="174"/>
      <c r="M1343" s="174"/>
      <c r="N1343" s="174"/>
      <c r="O1343" s="174"/>
      <c r="P1343" s="174"/>
      <c r="Q1343" s="174"/>
      <c r="R1343" s="174"/>
      <c r="S1343" s="174"/>
      <c r="T1343" s="174"/>
      <c r="U1343" s="174"/>
      <c r="V1343" s="174"/>
      <c r="W1343" s="174"/>
      <c r="X1343" s="174"/>
      <c r="Y1343" s="174"/>
      <c r="Z1343" s="174"/>
      <c r="AA1343" s="174"/>
    </row>
    <row r="1344">
      <c r="A1344" s="174"/>
      <c r="B1344" s="174"/>
      <c r="C1344" s="174"/>
      <c r="D1344" s="174"/>
      <c r="E1344" s="174"/>
      <c r="F1344" s="175"/>
      <c r="G1344" s="175"/>
      <c r="H1344" s="174"/>
      <c r="I1344" s="174"/>
      <c r="J1344" s="174"/>
      <c r="K1344" s="174"/>
      <c r="L1344" s="174"/>
      <c r="M1344" s="174"/>
      <c r="N1344" s="174"/>
      <c r="O1344" s="174"/>
      <c r="P1344" s="174"/>
      <c r="Q1344" s="174"/>
      <c r="R1344" s="174"/>
      <c r="S1344" s="174"/>
      <c r="T1344" s="174"/>
      <c r="U1344" s="174"/>
      <c r="V1344" s="174"/>
      <c r="W1344" s="174"/>
      <c r="X1344" s="174"/>
      <c r="Y1344" s="174"/>
      <c r="Z1344" s="174"/>
      <c r="AA1344" s="174"/>
    </row>
    <row r="1345">
      <c r="A1345" s="174"/>
      <c r="B1345" s="174"/>
      <c r="C1345" s="174"/>
      <c r="D1345" s="174"/>
      <c r="E1345" s="174"/>
      <c r="F1345" s="175"/>
      <c r="G1345" s="175"/>
      <c r="H1345" s="174"/>
      <c r="I1345" s="174"/>
      <c r="J1345" s="174"/>
      <c r="K1345" s="174"/>
      <c r="L1345" s="174"/>
      <c r="M1345" s="174"/>
      <c r="N1345" s="174"/>
      <c r="O1345" s="174"/>
      <c r="P1345" s="174"/>
      <c r="Q1345" s="174"/>
      <c r="R1345" s="174"/>
      <c r="S1345" s="174"/>
      <c r="T1345" s="174"/>
      <c r="U1345" s="174"/>
      <c r="V1345" s="174"/>
      <c r="W1345" s="174"/>
      <c r="X1345" s="174"/>
      <c r="Y1345" s="174"/>
      <c r="Z1345" s="174"/>
      <c r="AA1345" s="174"/>
    </row>
    <row r="1346">
      <c r="A1346" s="174"/>
      <c r="B1346" s="174"/>
      <c r="C1346" s="174"/>
      <c r="D1346" s="174"/>
      <c r="E1346" s="174"/>
      <c r="F1346" s="175"/>
      <c r="G1346" s="175"/>
      <c r="H1346" s="174"/>
      <c r="I1346" s="174"/>
      <c r="J1346" s="174"/>
      <c r="K1346" s="174"/>
      <c r="L1346" s="174"/>
      <c r="M1346" s="174"/>
      <c r="N1346" s="174"/>
      <c r="O1346" s="174"/>
      <c r="P1346" s="174"/>
      <c r="Q1346" s="174"/>
      <c r="R1346" s="174"/>
      <c r="S1346" s="174"/>
      <c r="T1346" s="174"/>
      <c r="U1346" s="174"/>
      <c r="V1346" s="174"/>
      <c r="W1346" s="174"/>
      <c r="X1346" s="174"/>
      <c r="Y1346" s="174"/>
      <c r="Z1346" s="174"/>
      <c r="AA1346" s="174"/>
    </row>
    <row r="1347">
      <c r="A1347" s="174"/>
      <c r="B1347" s="174"/>
      <c r="C1347" s="174"/>
      <c r="D1347" s="174"/>
      <c r="E1347" s="174"/>
      <c r="F1347" s="175"/>
      <c r="G1347" s="175"/>
      <c r="H1347" s="174"/>
      <c r="I1347" s="174"/>
      <c r="J1347" s="174"/>
      <c r="K1347" s="174"/>
      <c r="L1347" s="174"/>
      <c r="M1347" s="174"/>
      <c r="N1347" s="174"/>
      <c r="O1347" s="174"/>
      <c r="P1347" s="174"/>
      <c r="Q1347" s="174"/>
      <c r="R1347" s="174"/>
      <c r="S1347" s="174"/>
      <c r="T1347" s="174"/>
      <c r="U1347" s="174"/>
      <c r="V1347" s="174"/>
      <c r="W1347" s="174"/>
      <c r="X1347" s="174"/>
      <c r="Y1347" s="174"/>
      <c r="Z1347" s="174"/>
      <c r="AA1347" s="174"/>
    </row>
    <row r="1348">
      <c r="A1348" s="174"/>
      <c r="B1348" s="174"/>
      <c r="C1348" s="174"/>
      <c r="D1348" s="174"/>
      <c r="E1348" s="174"/>
      <c r="F1348" s="175"/>
      <c r="G1348" s="175"/>
      <c r="H1348" s="174"/>
      <c r="I1348" s="174"/>
      <c r="J1348" s="174"/>
      <c r="K1348" s="174"/>
      <c r="L1348" s="174"/>
      <c r="M1348" s="174"/>
      <c r="N1348" s="174"/>
      <c r="O1348" s="174"/>
      <c r="P1348" s="174"/>
      <c r="Q1348" s="174"/>
      <c r="R1348" s="174"/>
      <c r="S1348" s="174"/>
      <c r="T1348" s="174"/>
      <c r="U1348" s="174"/>
      <c r="V1348" s="174"/>
      <c r="W1348" s="174"/>
      <c r="X1348" s="174"/>
      <c r="Y1348" s="174"/>
      <c r="Z1348" s="174"/>
      <c r="AA1348" s="174"/>
    </row>
    <row r="1349">
      <c r="A1349" s="174"/>
      <c r="B1349" s="174"/>
      <c r="C1349" s="174"/>
      <c r="D1349" s="174"/>
      <c r="E1349" s="174"/>
      <c r="F1349" s="175"/>
      <c r="G1349" s="175"/>
      <c r="H1349" s="174"/>
      <c r="I1349" s="174"/>
      <c r="J1349" s="174"/>
      <c r="K1349" s="174"/>
      <c r="L1349" s="174"/>
      <c r="M1349" s="174"/>
      <c r="N1349" s="174"/>
      <c r="O1349" s="174"/>
      <c r="P1349" s="174"/>
      <c r="Q1349" s="174"/>
      <c r="R1349" s="174"/>
      <c r="S1349" s="174"/>
      <c r="T1349" s="174"/>
      <c r="U1349" s="174"/>
      <c r="V1349" s="174"/>
      <c r="W1349" s="174"/>
      <c r="X1349" s="174"/>
      <c r="Y1349" s="174"/>
      <c r="Z1349" s="174"/>
      <c r="AA1349" s="174"/>
    </row>
    <row r="1350">
      <c r="A1350" s="174"/>
      <c r="B1350" s="174"/>
      <c r="C1350" s="174"/>
      <c r="D1350" s="174"/>
      <c r="E1350" s="174"/>
      <c r="F1350" s="175"/>
      <c r="G1350" s="175"/>
      <c r="H1350" s="174"/>
      <c r="I1350" s="174"/>
      <c r="J1350" s="174"/>
      <c r="K1350" s="174"/>
      <c r="L1350" s="174"/>
      <c r="M1350" s="174"/>
      <c r="N1350" s="174"/>
      <c r="O1350" s="174"/>
      <c r="P1350" s="174"/>
      <c r="Q1350" s="174"/>
      <c r="R1350" s="174"/>
      <c r="S1350" s="174"/>
      <c r="T1350" s="174"/>
      <c r="U1350" s="174"/>
      <c r="V1350" s="174"/>
      <c r="W1350" s="174"/>
      <c r="X1350" s="174"/>
      <c r="Y1350" s="174"/>
      <c r="Z1350" s="174"/>
      <c r="AA1350" s="174"/>
    </row>
    <row r="1351">
      <c r="A1351" s="174"/>
      <c r="B1351" s="174"/>
      <c r="C1351" s="174"/>
      <c r="D1351" s="174"/>
      <c r="E1351" s="174"/>
      <c r="F1351" s="175"/>
      <c r="G1351" s="175"/>
      <c r="H1351" s="174"/>
      <c r="I1351" s="174"/>
      <c r="J1351" s="174"/>
      <c r="K1351" s="174"/>
      <c r="L1351" s="174"/>
      <c r="M1351" s="174"/>
      <c r="N1351" s="174"/>
      <c r="O1351" s="174"/>
      <c r="P1351" s="174"/>
      <c r="Q1351" s="174"/>
      <c r="R1351" s="174"/>
      <c r="S1351" s="174"/>
      <c r="T1351" s="174"/>
      <c r="U1351" s="174"/>
      <c r="V1351" s="174"/>
      <c r="W1351" s="174"/>
      <c r="X1351" s="174"/>
      <c r="Y1351" s="174"/>
      <c r="Z1351" s="174"/>
      <c r="AA1351" s="174"/>
    </row>
    <row r="1352">
      <c r="A1352" s="174"/>
      <c r="B1352" s="174"/>
      <c r="C1352" s="174"/>
      <c r="D1352" s="174"/>
      <c r="E1352" s="174"/>
      <c r="F1352" s="175"/>
      <c r="G1352" s="175"/>
      <c r="H1352" s="174"/>
      <c r="I1352" s="174"/>
      <c r="J1352" s="174"/>
      <c r="K1352" s="174"/>
      <c r="L1352" s="174"/>
      <c r="M1352" s="174"/>
      <c r="N1352" s="174"/>
      <c r="O1352" s="174"/>
      <c r="P1352" s="174"/>
      <c r="Q1352" s="174"/>
      <c r="R1352" s="174"/>
      <c r="S1352" s="174"/>
      <c r="T1352" s="174"/>
      <c r="U1352" s="174"/>
      <c r="V1352" s="174"/>
      <c r="W1352" s="174"/>
      <c r="X1352" s="174"/>
      <c r="Y1352" s="174"/>
      <c r="Z1352" s="174"/>
      <c r="AA1352" s="174"/>
    </row>
    <row r="1353">
      <c r="A1353" s="174"/>
      <c r="B1353" s="174"/>
      <c r="C1353" s="174"/>
      <c r="D1353" s="174"/>
      <c r="E1353" s="174"/>
      <c r="F1353" s="175"/>
      <c r="G1353" s="175"/>
      <c r="H1353" s="174"/>
      <c r="I1353" s="174"/>
      <c r="J1353" s="174"/>
      <c r="K1353" s="174"/>
      <c r="L1353" s="174"/>
      <c r="M1353" s="174"/>
      <c r="N1353" s="174"/>
      <c r="O1353" s="174"/>
      <c r="P1353" s="174"/>
      <c r="Q1353" s="174"/>
      <c r="R1353" s="174"/>
      <c r="S1353" s="174"/>
      <c r="T1353" s="174"/>
      <c r="U1353" s="174"/>
      <c r="V1353" s="174"/>
      <c r="W1353" s="174"/>
      <c r="X1353" s="174"/>
      <c r="Y1353" s="174"/>
      <c r="Z1353" s="174"/>
      <c r="AA1353" s="174"/>
    </row>
    <row r="1354">
      <c r="A1354" s="174"/>
      <c r="B1354" s="174"/>
      <c r="C1354" s="174"/>
      <c r="D1354" s="174"/>
      <c r="E1354" s="174"/>
      <c r="F1354" s="175"/>
      <c r="G1354" s="175"/>
      <c r="H1354" s="174"/>
      <c r="I1354" s="174"/>
      <c r="J1354" s="174"/>
      <c r="K1354" s="174"/>
      <c r="L1354" s="174"/>
      <c r="M1354" s="174"/>
      <c r="N1354" s="174"/>
      <c r="O1354" s="174"/>
      <c r="P1354" s="174"/>
      <c r="Q1354" s="174"/>
      <c r="R1354" s="174"/>
      <c r="S1354" s="174"/>
      <c r="T1354" s="174"/>
      <c r="U1354" s="174"/>
      <c r="V1354" s="174"/>
      <c r="W1354" s="174"/>
      <c r="X1354" s="174"/>
      <c r="Y1354" s="174"/>
      <c r="Z1354" s="174"/>
      <c r="AA1354" s="174"/>
    </row>
    <row r="1355">
      <c r="A1355" s="174"/>
      <c r="B1355" s="174"/>
      <c r="C1355" s="174"/>
      <c r="D1355" s="174"/>
      <c r="E1355" s="174"/>
      <c r="F1355" s="175"/>
      <c r="G1355" s="175"/>
      <c r="H1355" s="174"/>
      <c r="I1355" s="174"/>
      <c r="J1355" s="174"/>
      <c r="K1355" s="174"/>
      <c r="L1355" s="174"/>
      <c r="M1355" s="174"/>
      <c r="N1355" s="174"/>
      <c r="O1355" s="174"/>
      <c r="P1355" s="174"/>
      <c r="Q1355" s="174"/>
      <c r="R1355" s="174"/>
      <c r="S1355" s="174"/>
      <c r="T1355" s="174"/>
      <c r="U1355" s="174"/>
      <c r="V1355" s="174"/>
      <c r="W1355" s="174"/>
      <c r="X1355" s="174"/>
      <c r="Y1355" s="174"/>
      <c r="Z1355" s="174"/>
      <c r="AA1355" s="174"/>
    </row>
    <row r="1356">
      <c r="A1356" s="174"/>
      <c r="B1356" s="174"/>
      <c r="C1356" s="174"/>
      <c r="D1356" s="174"/>
      <c r="E1356" s="174"/>
      <c r="F1356" s="175"/>
      <c r="G1356" s="175"/>
      <c r="H1356" s="174"/>
      <c r="I1356" s="174"/>
      <c r="J1356" s="174"/>
      <c r="K1356" s="174"/>
      <c r="L1356" s="174"/>
      <c r="M1356" s="174"/>
      <c r="N1356" s="174"/>
      <c r="O1356" s="174"/>
      <c r="P1356" s="174"/>
      <c r="Q1356" s="174"/>
      <c r="R1356" s="174"/>
      <c r="S1356" s="174"/>
      <c r="T1356" s="174"/>
      <c r="U1356" s="174"/>
      <c r="V1356" s="174"/>
      <c r="W1356" s="174"/>
      <c r="X1356" s="174"/>
      <c r="Y1356" s="174"/>
      <c r="Z1356" s="174"/>
      <c r="AA1356" s="174"/>
    </row>
    <row r="1357">
      <c r="A1357" s="174"/>
      <c r="B1357" s="174"/>
      <c r="C1357" s="174"/>
      <c r="D1357" s="174"/>
      <c r="E1357" s="174"/>
      <c r="F1357" s="175"/>
      <c r="G1357" s="175"/>
      <c r="H1357" s="174"/>
      <c r="I1357" s="174"/>
      <c r="J1357" s="174"/>
      <c r="K1357" s="174"/>
      <c r="L1357" s="174"/>
      <c r="M1357" s="174"/>
      <c r="N1357" s="174"/>
      <c r="O1357" s="174"/>
      <c r="P1357" s="174"/>
      <c r="Q1357" s="174"/>
      <c r="R1357" s="174"/>
      <c r="S1357" s="174"/>
      <c r="T1357" s="174"/>
      <c r="U1357" s="174"/>
      <c r="V1357" s="174"/>
      <c r="W1357" s="174"/>
      <c r="X1357" s="174"/>
      <c r="Y1357" s="174"/>
      <c r="Z1357" s="174"/>
      <c r="AA1357" s="174"/>
    </row>
    <row r="1358">
      <c r="A1358" s="174"/>
      <c r="B1358" s="174"/>
      <c r="C1358" s="174"/>
      <c r="D1358" s="174"/>
      <c r="E1358" s="174"/>
      <c r="F1358" s="175"/>
      <c r="G1358" s="175"/>
      <c r="H1358" s="174"/>
      <c r="I1358" s="174"/>
      <c r="J1358" s="174"/>
      <c r="K1358" s="174"/>
      <c r="L1358" s="174"/>
      <c r="M1358" s="174"/>
      <c r="N1358" s="174"/>
      <c r="O1358" s="174"/>
      <c r="P1358" s="174"/>
      <c r="Q1358" s="174"/>
      <c r="R1358" s="174"/>
      <c r="S1358" s="174"/>
      <c r="T1358" s="174"/>
      <c r="U1358" s="174"/>
      <c r="V1358" s="174"/>
      <c r="W1358" s="174"/>
      <c r="X1358" s="174"/>
      <c r="Y1358" s="174"/>
      <c r="Z1358" s="174"/>
      <c r="AA1358" s="174"/>
    </row>
    <row r="1359">
      <c r="A1359" s="174"/>
      <c r="B1359" s="174"/>
      <c r="C1359" s="174"/>
      <c r="D1359" s="174"/>
      <c r="E1359" s="174"/>
      <c r="F1359" s="175"/>
      <c r="G1359" s="175"/>
      <c r="H1359" s="174"/>
      <c r="I1359" s="174"/>
      <c r="J1359" s="174"/>
      <c r="K1359" s="174"/>
      <c r="L1359" s="174"/>
      <c r="M1359" s="174"/>
      <c r="N1359" s="174"/>
      <c r="O1359" s="174"/>
      <c r="P1359" s="174"/>
      <c r="Q1359" s="174"/>
      <c r="R1359" s="174"/>
      <c r="S1359" s="174"/>
      <c r="T1359" s="174"/>
      <c r="U1359" s="174"/>
      <c r="V1359" s="174"/>
      <c r="W1359" s="174"/>
      <c r="X1359" s="174"/>
      <c r="Y1359" s="174"/>
      <c r="Z1359" s="174"/>
      <c r="AA1359" s="174"/>
    </row>
    <row r="1360">
      <c r="A1360" s="174"/>
      <c r="B1360" s="174"/>
      <c r="C1360" s="174"/>
      <c r="D1360" s="174"/>
      <c r="E1360" s="174"/>
      <c r="F1360" s="175"/>
      <c r="G1360" s="175"/>
      <c r="H1360" s="174"/>
      <c r="I1360" s="174"/>
      <c r="J1360" s="174"/>
      <c r="K1360" s="174"/>
      <c r="L1360" s="174"/>
      <c r="M1360" s="174"/>
      <c r="N1360" s="174"/>
      <c r="O1360" s="174"/>
      <c r="P1360" s="174"/>
      <c r="Q1360" s="174"/>
      <c r="R1360" s="174"/>
      <c r="S1360" s="174"/>
      <c r="T1360" s="174"/>
      <c r="U1360" s="174"/>
      <c r="V1360" s="174"/>
      <c r="W1360" s="174"/>
      <c r="X1360" s="174"/>
      <c r="Y1360" s="174"/>
      <c r="Z1360" s="174"/>
      <c r="AA1360" s="174"/>
    </row>
    <row r="1361">
      <c r="A1361" s="174"/>
      <c r="B1361" s="174"/>
      <c r="C1361" s="174"/>
      <c r="D1361" s="174"/>
      <c r="E1361" s="174"/>
      <c r="F1361" s="175"/>
      <c r="G1361" s="175"/>
      <c r="H1361" s="174"/>
      <c r="I1361" s="174"/>
      <c r="J1361" s="174"/>
      <c r="K1361" s="174"/>
      <c r="L1361" s="174"/>
      <c r="M1361" s="174"/>
      <c r="N1361" s="174"/>
      <c r="O1361" s="174"/>
      <c r="P1361" s="174"/>
      <c r="Q1361" s="174"/>
      <c r="R1361" s="174"/>
      <c r="S1361" s="174"/>
      <c r="T1361" s="174"/>
      <c r="U1361" s="174"/>
      <c r="V1361" s="174"/>
      <c r="W1361" s="174"/>
      <c r="X1361" s="174"/>
      <c r="Y1361" s="174"/>
      <c r="Z1361" s="174"/>
      <c r="AA1361" s="174"/>
    </row>
    <row r="1362">
      <c r="A1362" s="174"/>
      <c r="B1362" s="174"/>
      <c r="C1362" s="174"/>
      <c r="D1362" s="174"/>
      <c r="E1362" s="174"/>
      <c r="F1362" s="175"/>
      <c r="G1362" s="175"/>
      <c r="H1362" s="174"/>
      <c r="I1362" s="174"/>
      <c r="J1362" s="174"/>
      <c r="K1362" s="174"/>
      <c r="L1362" s="174"/>
      <c r="M1362" s="174"/>
      <c r="N1362" s="174"/>
      <c r="O1362" s="174"/>
      <c r="P1362" s="174"/>
      <c r="Q1362" s="174"/>
      <c r="R1362" s="174"/>
      <c r="S1362" s="174"/>
      <c r="T1362" s="174"/>
      <c r="U1362" s="174"/>
      <c r="V1362" s="174"/>
      <c r="W1362" s="174"/>
      <c r="X1362" s="174"/>
      <c r="Y1362" s="174"/>
      <c r="Z1362" s="174"/>
      <c r="AA1362" s="174"/>
    </row>
    <row r="1363">
      <c r="A1363" s="174"/>
      <c r="B1363" s="174"/>
      <c r="C1363" s="174"/>
      <c r="D1363" s="174"/>
      <c r="E1363" s="174"/>
      <c r="F1363" s="175"/>
      <c r="G1363" s="175"/>
      <c r="H1363" s="174"/>
      <c r="I1363" s="174"/>
      <c r="J1363" s="174"/>
      <c r="K1363" s="174"/>
      <c r="L1363" s="174"/>
      <c r="M1363" s="174"/>
      <c r="N1363" s="174"/>
      <c r="O1363" s="174"/>
      <c r="P1363" s="174"/>
      <c r="Q1363" s="174"/>
      <c r="R1363" s="174"/>
      <c r="S1363" s="174"/>
      <c r="T1363" s="174"/>
      <c r="U1363" s="174"/>
      <c r="V1363" s="174"/>
      <c r="W1363" s="174"/>
      <c r="X1363" s="174"/>
      <c r="Y1363" s="174"/>
      <c r="Z1363" s="174"/>
      <c r="AA1363" s="174"/>
    </row>
    <row r="1364">
      <c r="A1364" s="174"/>
      <c r="B1364" s="174"/>
      <c r="C1364" s="174"/>
      <c r="D1364" s="174"/>
      <c r="E1364" s="174"/>
      <c r="F1364" s="175"/>
      <c r="G1364" s="175"/>
      <c r="H1364" s="174"/>
      <c r="I1364" s="174"/>
      <c r="J1364" s="174"/>
      <c r="K1364" s="174"/>
      <c r="L1364" s="174"/>
      <c r="M1364" s="174"/>
      <c r="N1364" s="174"/>
      <c r="O1364" s="174"/>
      <c r="P1364" s="174"/>
      <c r="Q1364" s="174"/>
      <c r="R1364" s="174"/>
      <c r="S1364" s="174"/>
      <c r="T1364" s="174"/>
      <c r="U1364" s="174"/>
      <c r="V1364" s="174"/>
      <c r="W1364" s="174"/>
      <c r="X1364" s="174"/>
      <c r="Y1364" s="174"/>
      <c r="Z1364" s="174"/>
      <c r="AA1364" s="174"/>
    </row>
    <row r="1365">
      <c r="A1365" s="174"/>
      <c r="B1365" s="174"/>
      <c r="C1365" s="174"/>
      <c r="D1365" s="174"/>
      <c r="E1365" s="174"/>
      <c r="F1365" s="175"/>
      <c r="G1365" s="175"/>
      <c r="H1365" s="174"/>
      <c r="I1365" s="174"/>
      <c r="J1365" s="174"/>
      <c r="K1365" s="174"/>
      <c r="L1365" s="174"/>
      <c r="M1365" s="174"/>
      <c r="N1365" s="174"/>
      <c r="O1365" s="174"/>
      <c r="P1365" s="174"/>
      <c r="Q1365" s="174"/>
      <c r="R1365" s="174"/>
      <c r="S1365" s="174"/>
      <c r="T1365" s="174"/>
      <c r="U1365" s="174"/>
      <c r="V1365" s="174"/>
      <c r="W1365" s="174"/>
      <c r="X1365" s="174"/>
      <c r="Y1365" s="174"/>
      <c r="Z1365" s="174"/>
      <c r="AA1365" s="174"/>
    </row>
    <row r="1366">
      <c r="A1366" s="174"/>
      <c r="B1366" s="174"/>
      <c r="C1366" s="174"/>
      <c r="D1366" s="174"/>
      <c r="E1366" s="174"/>
      <c r="F1366" s="175"/>
      <c r="G1366" s="175"/>
      <c r="H1366" s="174"/>
      <c r="I1366" s="174"/>
      <c r="J1366" s="174"/>
      <c r="K1366" s="174"/>
      <c r="L1366" s="174"/>
      <c r="M1366" s="174"/>
      <c r="N1366" s="174"/>
      <c r="O1366" s="174"/>
      <c r="P1366" s="174"/>
      <c r="Q1366" s="174"/>
      <c r="R1366" s="174"/>
      <c r="S1366" s="174"/>
      <c r="T1366" s="174"/>
      <c r="U1366" s="174"/>
      <c r="V1366" s="174"/>
      <c r="W1366" s="174"/>
      <c r="X1366" s="174"/>
      <c r="Y1366" s="174"/>
      <c r="Z1366" s="174"/>
      <c r="AA1366" s="174"/>
    </row>
    <row r="1367">
      <c r="A1367" s="174"/>
      <c r="B1367" s="174"/>
      <c r="C1367" s="174"/>
      <c r="D1367" s="174"/>
      <c r="E1367" s="174"/>
      <c r="F1367" s="175"/>
      <c r="G1367" s="175"/>
      <c r="H1367" s="174"/>
      <c r="I1367" s="174"/>
      <c r="J1367" s="174"/>
      <c r="K1367" s="174"/>
      <c r="L1367" s="174"/>
      <c r="M1367" s="174"/>
      <c r="N1367" s="174"/>
      <c r="O1367" s="174"/>
      <c r="P1367" s="174"/>
      <c r="Q1367" s="174"/>
      <c r="R1367" s="174"/>
      <c r="S1367" s="174"/>
      <c r="T1367" s="174"/>
      <c r="U1367" s="174"/>
      <c r="V1367" s="174"/>
      <c r="W1367" s="174"/>
      <c r="X1367" s="174"/>
      <c r="Y1367" s="174"/>
      <c r="Z1367" s="174"/>
      <c r="AA1367" s="174"/>
    </row>
    <row r="1368">
      <c r="A1368" s="174"/>
      <c r="B1368" s="174"/>
      <c r="C1368" s="174"/>
      <c r="D1368" s="174"/>
      <c r="E1368" s="174"/>
      <c r="F1368" s="175"/>
      <c r="G1368" s="175"/>
      <c r="H1368" s="174"/>
      <c r="I1368" s="174"/>
      <c r="J1368" s="174"/>
      <c r="K1368" s="174"/>
      <c r="L1368" s="174"/>
      <c r="M1368" s="174"/>
      <c r="N1368" s="174"/>
      <c r="O1368" s="174"/>
      <c r="P1368" s="174"/>
      <c r="Q1368" s="174"/>
      <c r="R1368" s="174"/>
      <c r="S1368" s="174"/>
      <c r="T1368" s="174"/>
      <c r="U1368" s="174"/>
      <c r="V1368" s="174"/>
      <c r="W1368" s="174"/>
      <c r="X1368" s="174"/>
      <c r="Y1368" s="174"/>
      <c r="Z1368" s="174"/>
      <c r="AA1368" s="174"/>
    </row>
    <row r="1369">
      <c r="A1369" s="174"/>
      <c r="B1369" s="174"/>
      <c r="C1369" s="174"/>
      <c r="D1369" s="174"/>
      <c r="E1369" s="174"/>
      <c r="F1369" s="175"/>
      <c r="G1369" s="175"/>
      <c r="H1369" s="174"/>
      <c r="I1369" s="174"/>
      <c r="J1369" s="174"/>
      <c r="K1369" s="174"/>
      <c r="L1369" s="174"/>
      <c r="M1369" s="174"/>
      <c r="N1369" s="174"/>
      <c r="O1369" s="174"/>
      <c r="P1369" s="174"/>
      <c r="Q1369" s="174"/>
      <c r="R1369" s="174"/>
      <c r="S1369" s="174"/>
      <c r="T1369" s="174"/>
      <c r="U1369" s="174"/>
      <c r="V1369" s="174"/>
      <c r="W1369" s="174"/>
      <c r="X1369" s="174"/>
      <c r="Y1369" s="174"/>
      <c r="Z1369" s="174"/>
      <c r="AA1369" s="174"/>
    </row>
    <row r="1370">
      <c r="A1370" s="174"/>
      <c r="B1370" s="174"/>
      <c r="C1370" s="174"/>
      <c r="D1370" s="174"/>
      <c r="E1370" s="174"/>
      <c r="F1370" s="175"/>
      <c r="G1370" s="175"/>
      <c r="H1370" s="174"/>
      <c r="I1370" s="174"/>
      <c r="J1370" s="174"/>
      <c r="K1370" s="174"/>
      <c r="L1370" s="174"/>
      <c r="M1370" s="174"/>
      <c r="N1370" s="174"/>
      <c r="O1370" s="174"/>
      <c r="P1370" s="174"/>
      <c r="Q1370" s="174"/>
      <c r="R1370" s="174"/>
      <c r="S1370" s="174"/>
      <c r="T1370" s="174"/>
      <c r="U1370" s="174"/>
      <c r="V1370" s="174"/>
      <c r="W1370" s="174"/>
      <c r="X1370" s="174"/>
      <c r="Y1370" s="174"/>
      <c r="Z1370" s="174"/>
      <c r="AA1370" s="174"/>
    </row>
    <row r="1371">
      <c r="A1371" s="174"/>
      <c r="B1371" s="174"/>
      <c r="C1371" s="174"/>
      <c r="D1371" s="174"/>
      <c r="E1371" s="174"/>
      <c r="F1371" s="175"/>
      <c r="G1371" s="175"/>
      <c r="H1371" s="174"/>
      <c r="I1371" s="174"/>
      <c r="J1371" s="174"/>
      <c r="K1371" s="174"/>
      <c r="L1371" s="174"/>
      <c r="M1371" s="174"/>
      <c r="N1371" s="174"/>
      <c r="O1371" s="174"/>
      <c r="P1371" s="174"/>
      <c r="Q1371" s="174"/>
      <c r="R1371" s="174"/>
      <c r="S1371" s="174"/>
      <c r="T1371" s="174"/>
      <c r="U1371" s="174"/>
      <c r="V1371" s="174"/>
      <c r="W1371" s="174"/>
      <c r="X1371" s="174"/>
      <c r="Y1371" s="174"/>
      <c r="Z1371" s="174"/>
      <c r="AA1371" s="174"/>
    </row>
    <row r="1372">
      <c r="A1372" s="174"/>
      <c r="B1372" s="174"/>
      <c r="C1372" s="174"/>
      <c r="D1372" s="174"/>
      <c r="E1372" s="174"/>
      <c r="F1372" s="175"/>
      <c r="G1372" s="175"/>
      <c r="H1372" s="174"/>
      <c r="I1372" s="174"/>
      <c r="J1372" s="174"/>
      <c r="K1372" s="174"/>
      <c r="L1372" s="174"/>
      <c r="M1372" s="174"/>
      <c r="N1372" s="174"/>
      <c r="O1372" s="174"/>
      <c r="P1372" s="174"/>
      <c r="Q1372" s="174"/>
      <c r="R1372" s="174"/>
      <c r="S1372" s="174"/>
      <c r="T1372" s="174"/>
      <c r="U1372" s="174"/>
      <c r="V1372" s="174"/>
      <c r="W1372" s="174"/>
      <c r="X1372" s="174"/>
      <c r="Y1372" s="174"/>
      <c r="Z1372" s="174"/>
      <c r="AA1372" s="174"/>
    </row>
    <row r="1373">
      <c r="A1373" s="174"/>
      <c r="B1373" s="174"/>
      <c r="C1373" s="174"/>
      <c r="D1373" s="174"/>
      <c r="E1373" s="174"/>
      <c r="F1373" s="175"/>
      <c r="G1373" s="175"/>
      <c r="H1373" s="174"/>
      <c r="I1373" s="174"/>
      <c r="J1373" s="174"/>
      <c r="K1373" s="174"/>
      <c r="L1373" s="174"/>
      <c r="M1373" s="174"/>
      <c r="N1373" s="174"/>
      <c r="O1373" s="174"/>
      <c r="P1373" s="174"/>
      <c r="Q1373" s="174"/>
      <c r="R1373" s="174"/>
      <c r="S1373" s="174"/>
      <c r="T1373" s="174"/>
      <c r="U1373" s="174"/>
      <c r="V1373" s="174"/>
      <c r="W1373" s="174"/>
      <c r="X1373" s="174"/>
      <c r="Y1373" s="174"/>
      <c r="Z1373" s="174"/>
      <c r="AA1373" s="174"/>
    </row>
    <row r="1374">
      <c r="A1374" s="174"/>
      <c r="B1374" s="174"/>
      <c r="C1374" s="174"/>
      <c r="D1374" s="174"/>
      <c r="E1374" s="174"/>
      <c r="F1374" s="175"/>
      <c r="G1374" s="175"/>
      <c r="H1374" s="174"/>
      <c r="I1374" s="174"/>
      <c r="J1374" s="174"/>
      <c r="K1374" s="174"/>
      <c r="L1374" s="174"/>
      <c r="M1374" s="174"/>
      <c r="N1374" s="174"/>
      <c r="O1374" s="174"/>
      <c r="P1374" s="174"/>
      <c r="Q1374" s="174"/>
      <c r="R1374" s="174"/>
      <c r="S1374" s="174"/>
      <c r="T1374" s="174"/>
      <c r="U1374" s="174"/>
      <c r="V1374" s="174"/>
      <c r="W1374" s="174"/>
      <c r="X1374" s="174"/>
      <c r="Y1374" s="174"/>
      <c r="Z1374" s="174"/>
      <c r="AA1374" s="174"/>
    </row>
    <row r="1375">
      <c r="A1375" s="174"/>
      <c r="B1375" s="174"/>
      <c r="C1375" s="174"/>
      <c r="D1375" s="174"/>
      <c r="E1375" s="174"/>
      <c r="F1375" s="175"/>
      <c r="G1375" s="175"/>
      <c r="H1375" s="174"/>
      <c r="I1375" s="174"/>
      <c r="J1375" s="174"/>
      <c r="K1375" s="174"/>
      <c r="L1375" s="174"/>
      <c r="M1375" s="174"/>
      <c r="N1375" s="174"/>
      <c r="O1375" s="174"/>
      <c r="P1375" s="174"/>
      <c r="Q1375" s="174"/>
      <c r="R1375" s="174"/>
      <c r="S1375" s="174"/>
      <c r="T1375" s="174"/>
      <c r="U1375" s="174"/>
      <c r="V1375" s="174"/>
      <c r="W1375" s="174"/>
      <c r="X1375" s="174"/>
      <c r="Y1375" s="174"/>
      <c r="Z1375" s="174"/>
      <c r="AA1375" s="174"/>
    </row>
    <row r="1376">
      <c r="A1376" s="174"/>
      <c r="B1376" s="174"/>
      <c r="C1376" s="174"/>
      <c r="D1376" s="174"/>
      <c r="E1376" s="174"/>
      <c r="F1376" s="175"/>
      <c r="G1376" s="175"/>
      <c r="H1376" s="174"/>
      <c r="I1376" s="174"/>
      <c r="J1376" s="174"/>
      <c r="K1376" s="174"/>
      <c r="L1376" s="174"/>
      <c r="M1376" s="174"/>
      <c r="N1376" s="174"/>
      <c r="O1376" s="174"/>
      <c r="P1376" s="174"/>
      <c r="Q1376" s="174"/>
      <c r="R1376" s="174"/>
      <c r="S1376" s="174"/>
      <c r="T1376" s="174"/>
      <c r="U1376" s="174"/>
      <c r="V1376" s="174"/>
      <c r="W1376" s="174"/>
      <c r="X1376" s="174"/>
      <c r="Y1376" s="174"/>
      <c r="Z1376" s="174"/>
      <c r="AA1376" s="174"/>
    </row>
    <row r="1377">
      <c r="A1377" s="174"/>
      <c r="B1377" s="174"/>
      <c r="C1377" s="174"/>
      <c r="D1377" s="174"/>
      <c r="E1377" s="174"/>
      <c r="F1377" s="175"/>
      <c r="G1377" s="175"/>
      <c r="H1377" s="174"/>
      <c r="I1377" s="174"/>
      <c r="J1377" s="174"/>
      <c r="K1377" s="174"/>
      <c r="L1377" s="174"/>
      <c r="M1377" s="174"/>
      <c r="N1377" s="174"/>
      <c r="O1377" s="174"/>
      <c r="P1377" s="174"/>
      <c r="Q1377" s="174"/>
      <c r="R1377" s="174"/>
      <c r="S1377" s="174"/>
      <c r="T1377" s="174"/>
      <c r="U1377" s="174"/>
      <c r="V1377" s="174"/>
      <c r="W1377" s="174"/>
      <c r="X1377" s="174"/>
      <c r="Y1377" s="174"/>
      <c r="Z1377" s="174"/>
      <c r="AA1377" s="174"/>
    </row>
    <row r="1378">
      <c r="A1378" s="174"/>
      <c r="B1378" s="174"/>
      <c r="C1378" s="174"/>
      <c r="D1378" s="174"/>
      <c r="E1378" s="174"/>
      <c r="F1378" s="175"/>
      <c r="G1378" s="175"/>
      <c r="H1378" s="174"/>
      <c r="I1378" s="174"/>
      <c r="J1378" s="174"/>
      <c r="K1378" s="174"/>
      <c r="L1378" s="174"/>
      <c r="M1378" s="174"/>
      <c r="N1378" s="174"/>
      <c r="O1378" s="174"/>
      <c r="P1378" s="174"/>
      <c r="Q1378" s="174"/>
      <c r="R1378" s="174"/>
      <c r="S1378" s="174"/>
      <c r="T1378" s="174"/>
      <c r="U1378" s="174"/>
      <c r="V1378" s="174"/>
      <c r="W1378" s="174"/>
      <c r="X1378" s="174"/>
      <c r="Y1378" s="174"/>
      <c r="Z1378" s="174"/>
      <c r="AA1378" s="174"/>
    </row>
    <row r="1379">
      <c r="A1379" s="174"/>
      <c r="B1379" s="174"/>
      <c r="C1379" s="174"/>
      <c r="D1379" s="174"/>
      <c r="E1379" s="174"/>
      <c r="F1379" s="175"/>
      <c r="G1379" s="175"/>
      <c r="H1379" s="174"/>
      <c r="I1379" s="174"/>
      <c r="J1379" s="174"/>
      <c r="K1379" s="174"/>
      <c r="L1379" s="174"/>
      <c r="M1379" s="174"/>
      <c r="N1379" s="174"/>
      <c r="O1379" s="174"/>
      <c r="P1379" s="174"/>
      <c r="Q1379" s="174"/>
      <c r="R1379" s="174"/>
      <c r="S1379" s="174"/>
      <c r="T1379" s="174"/>
      <c r="U1379" s="174"/>
      <c r="V1379" s="174"/>
      <c r="W1379" s="174"/>
      <c r="X1379" s="174"/>
      <c r="Y1379" s="174"/>
      <c r="Z1379" s="174"/>
      <c r="AA1379" s="174"/>
    </row>
    <row r="1380">
      <c r="A1380" s="174"/>
      <c r="B1380" s="174"/>
      <c r="C1380" s="174"/>
      <c r="D1380" s="174"/>
      <c r="E1380" s="174"/>
      <c r="F1380" s="175"/>
      <c r="G1380" s="175"/>
      <c r="H1380" s="174"/>
      <c r="I1380" s="174"/>
      <c r="J1380" s="174"/>
      <c r="K1380" s="174"/>
      <c r="L1380" s="174"/>
      <c r="M1380" s="174"/>
      <c r="N1380" s="174"/>
      <c r="O1380" s="174"/>
      <c r="P1380" s="174"/>
      <c r="Q1380" s="174"/>
      <c r="R1380" s="174"/>
      <c r="S1380" s="174"/>
      <c r="T1380" s="174"/>
      <c r="U1380" s="174"/>
      <c r="V1380" s="174"/>
      <c r="W1380" s="174"/>
      <c r="X1380" s="174"/>
      <c r="Y1380" s="174"/>
      <c r="Z1380" s="174"/>
      <c r="AA1380" s="174"/>
    </row>
    <row r="1381">
      <c r="A1381" s="174"/>
      <c r="B1381" s="174"/>
      <c r="C1381" s="174"/>
      <c r="D1381" s="174"/>
      <c r="E1381" s="174"/>
      <c r="F1381" s="175"/>
      <c r="G1381" s="175"/>
      <c r="H1381" s="174"/>
      <c r="I1381" s="174"/>
      <c r="J1381" s="174"/>
      <c r="K1381" s="174"/>
      <c r="L1381" s="174"/>
      <c r="M1381" s="174"/>
      <c r="N1381" s="174"/>
      <c r="O1381" s="174"/>
      <c r="P1381" s="174"/>
      <c r="Q1381" s="174"/>
      <c r="R1381" s="174"/>
      <c r="S1381" s="174"/>
      <c r="T1381" s="174"/>
      <c r="U1381" s="174"/>
      <c r="V1381" s="174"/>
      <c r="W1381" s="174"/>
      <c r="X1381" s="174"/>
      <c r="Y1381" s="174"/>
      <c r="Z1381" s="174"/>
      <c r="AA1381" s="174"/>
    </row>
    <row r="1382">
      <c r="A1382" s="174"/>
      <c r="B1382" s="174"/>
      <c r="C1382" s="174"/>
      <c r="D1382" s="174"/>
      <c r="E1382" s="174"/>
      <c r="F1382" s="175"/>
      <c r="G1382" s="175"/>
      <c r="H1382" s="174"/>
      <c r="I1382" s="174"/>
      <c r="J1382" s="174"/>
      <c r="K1382" s="174"/>
      <c r="L1382" s="174"/>
      <c r="M1382" s="174"/>
      <c r="N1382" s="174"/>
      <c r="O1382" s="174"/>
      <c r="P1382" s="174"/>
      <c r="Q1382" s="174"/>
      <c r="R1382" s="174"/>
      <c r="S1382" s="174"/>
      <c r="T1382" s="174"/>
      <c r="U1382" s="174"/>
      <c r="V1382" s="174"/>
      <c r="W1382" s="174"/>
      <c r="X1382" s="174"/>
      <c r="Y1382" s="174"/>
      <c r="Z1382" s="174"/>
      <c r="AA1382" s="174"/>
    </row>
    <row r="1383">
      <c r="A1383" s="174"/>
      <c r="B1383" s="174"/>
      <c r="C1383" s="174"/>
      <c r="D1383" s="174"/>
      <c r="E1383" s="174"/>
      <c r="F1383" s="175"/>
      <c r="G1383" s="175"/>
      <c r="H1383" s="174"/>
      <c r="I1383" s="174"/>
      <c r="J1383" s="174"/>
      <c r="K1383" s="174"/>
      <c r="L1383" s="174"/>
      <c r="M1383" s="174"/>
      <c r="N1383" s="174"/>
      <c r="O1383" s="174"/>
      <c r="P1383" s="174"/>
      <c r="Q1383" s="174"/>
      <c r="R1383" s="174"/>
      <c r="S1383" s="174"/>
      <c r="T1383" s="174"/>
      <c r="U1383" s="174"/>
      <c r="V1383" s="174"/>
      <c r="W1383" s="174"/>
      <c r="X1383" s="174"/>
      <c r="Y1383" s="174"/>
      <c r="Z1383" s="174"/>
      <c r="AA1383" s="174"/>
    </row>
    <row r="1384">
      <c r="A1384" s="174"/>
      <c r="B1384" s="174"/>
      <c r="C1384" s="174"/>
      <c r="D1384" s="174"/>
      <c r="E1384" s="174"/>
      <c r="F1384" s="175"/>
      <c r="G1384" s="175"/>
      <c r="H1384" s="174"/>
      <c r="I1384" s="174"/>
      <c r="J1384" s="174"/>
      <c r="K1384" s="174"/>
      <c r="L1384" s="174"/>
      <c r="M1384" s="174"/>
      <c r="N1384" s="174"/>
      <c r="O1384" s="174"/>
      <c r="P1384" s="174"/>
      <c r="Q1384" s="174"/>
      <c r="R1384" s="174"/>
      <c r="S1384" s="174"/>
      <c r="T1384" s="174"/>
      <c r="U1384" s="174"/>
      <c r="V1384" s="174"/>
      <c r="W1384" s="174"/>
      <c r="X1384" s="174"/>
      <c r="Y1384" s="174"/>
      <c r="Z1384" s="174"/>
      <c r="AA1384" s="174"/>
    </row>
    <row r="1385">
      <c r="A1385" s="174"/>
      <c r="B1385" s="174"/>
      <c r="C1385" s="174"/>
      <c r="D1385" s="174"/>
      <c r="E1385" s="174"/>
      <c r="F1385" s="175"/>
      <c r="G1385" s="175"/>
      <c r="H1385" s="174"/>
      <c r="I1385" s="174"/>
      <c r="J1385" s="174"/>
      <c r="K1385" s="174"/>
      <c r="L1385" s="174"/>
      <c r="M1385" s="174"/>
      <c r="N1385" s="174"/>
      <c r="O1385" s="174"/>
      <c r="P1385" s="174"/>
      <c r="Q1385" s="174"/>
      <c r="R1385" s="174"/>
      <c r="S1385" s="174"/>
      <c r="T1385" s="174"/>
      <c r="U1385" s="174"/>
      <c r="V1385" s="174"/>
      <c r="W1385" s="174"/>
      <c r="X1385" s="174"/>
      <c r="Y1385" s="174"/>
      <c r="Z1385" s="174"/>
      <c r="AA1385" s="174"/>
    </row>
    <row r="1386">
      <c r="A1386" s="174"/>
      <c r="B1386" s="174"/>
      <c r="C1386" s="174"/>
      <c r="D1386" s="174"/>
      <c r="E1386" s="174"/>
      <c r="F1386" s="175"/>
      <c r="G1386" s="175"/>
      <c r="H1386" s="174"/>
      <c r="I1386" s="174"/>
      <c r="J1386" s="174"/>
      <c r="K1386" s="174"/>
      <c r="L1386" s="174"/>
      <c r="M1386" s="174"/>
      <c r="N1386" s="174"/>
      <c r="O1386" s="174"/>
      <c r="P1386" s="174"/>
      <c r="Q1386" s="174"/>
      <c r="R1386" s="174"/>
      <c r="S1386" s="174"/>
      <c r="T1386" s="174"/>
      <c r="U1386" s="174"/>
      <c r="V1386" s="174"/>
      <c r="W1386" s="174"/>
      <c r="X1386" s="174"/>
      <c r="Y1386" s="174"/>
      <c r="Z1386" s="174"/>
      <c r="AA1386" s="174"/>
    </row>
    <row r="1387">
      <c r="A1387" s="174"/>
      <c r="B1387" s="174"/>
      <c r="C1387" s="174"/>
      <c r="D1387" s="174"/>
      <c r="E1387" s="174"/>
      <c r="F1387" s="175"/>
      <c r="G1387" s="175"/>
      <c r="H1387" s="174"/>
      <c r="I1387" s="174"/>
      <c r="J1387" s="174"/>
      <c r="K1387" s="174"/>
      <c r="L1387" s="174"/>
      <c r="M1387" s="174"/>
      <c r="N1387" s="174"/>
      <c r="O1387" s="174"/>
      <c r="P1387" s="174"/>
      <c r="Q1387" s="174"/>
      <c r="R1387" s="174"/>
      <c r="S1387" s="174"/>
      <c r="T1387" s="174"/>
      <c r="U1387" s="174"/>
      <c r="V1387" s="174"/>
      <c r="W1387" s="174"/>
      <c r="X1387" s="174"/>
      <c r="Y1387" s="174"/>
      <c r="Z1387" s="174"/>
      <c r="AA1387" s="174"/>
    </row>
    <row r="1388">
      <c r="A1388" s="174"/>
      <c r="B1388" s="174"/>
      <c r="C1388" s="174"/>
      <c r="D1388" s="174"/>
      <c r="E1388" s="174"/>
      <c r="F1388" s="175"/>
      <c r="G1388" s="175"/>
      <c r="H1388" s="174"/>
      <c r="I1388" s="174"/>
      <c r="J1388" s="174"/>
      <c r="K1388" s="174"/>
      <c r="L1388" s="174"/>
      <c r="M1388" s="174"/>
      <c r="N1388" s="174"/>
      <c r="O1388" s="174"/>
      <c r="P1388" s="174"/>
      <c r="Q1388" s="174"/>
      <c r="R1388" s="174"/>
      <c r="S1388" s="174"/>
      <c r="T1388" s="174"/>
      <c r="U1388" s="174"/>
      <c r="V1388" s="174"/>
      <c r="W1388" s="174"/>
      <c r="X1388" s="174"/>
      <c r="Y1388" s="174"/>
      <c r="Z1388" s="174"/>
      <c r="AA1388" s="174"/>
    </row>
    <row r="1389">
      <c r="A1389" s="174"/>
      <c r="B1389" s="174"/>
      <c r="C1389" s="174"/>
      <c r="D1389" s="174"/>
      <c r="E1389" s="174"/>
      <c r="F1389" s="175"/>
      <c r="G1389" s="175"/>
      <c r="H1389" s="174"/>
      <c r="I1389" s="174"/>
      <c r="J1389" s="174"/>
      <c r="K1389" s="174"/>
      <c r="L1389" s="174"/>
      <c r="M1389" s="174"/>
      <c r="N1389" s="174"/>
      <c r="O1389" s="174"/>
      <c r="P1389" s="174"/>
      <c r="Q1389" s="174"/>
      <c r="R1389" s="174"/>
      <c r="S1389" s="174"/>
      <c r="T1389" s="174"/>
      <c r="U1389" s="174"/>
      <c r="V1389" s="174"/>
      <c r="W1389" s="174"/>
      <c r="X1389" s="174"/>
      <c r="Y1389" s="174"/>
      <c r="Z1389" s="174"/>
      <c r="AA1389" s="174"/>
    </row>
    <row r="1390">
      <c r="A1390" s="174"/>
      <c r="B1390" s="174"/>
      <c r="C1390" s="174"/>
      <c r="D1390" s="174"/>
      <c r="E1390" s="174"/>
      <c r="F1390" s="175"/>
      <c r="G1390" s="175"/>
      <c r="H1390" s="174"/>
      <c r="I1390" s="174"/>
      <c r="J1390" s="174"/>
      <c r="K1390" s="174"/>
      <c r="L1390" s="174"/>
      <c r="M1390" s="174"/>
      <c r="N1390" s="174"/>
      <c r="O1390" s="174"/>
      <c r="P1390" s="174"/>
      <c r="Q1390" s="174"/>
      <c r="R1390" s="174"/>
      <c r="S1390" s="174"/>
      <c r="T1390" s="174"/>
      <c r="U1390" s="174"/>
      <c r="V1390" s="174"/>
      <c r="W1390" s="174"/>
      <c r="X1390" s="174"/>
      <c r="Y1390" s="174"/>
      <c r="Z1390" s="174"/>
      <c r="AA1390" s="174"/>
    </row>
    <row r="1391">
      <c r="A1391" s="174"/>
      <c r="B1391" s="174"/>
      <c r="C1391" s="174"/>
      <c r="D1391" s="174"/>
      <c r="E1391" s="174"/>
      <c r="F1391" s="175"/>
      <c r="G1391" s="175"/>
      <c r="H1391" s="174"/>
      <c r="I1391" s="174"/>
      <c r="J1391" s="174"/>
      <c r="K1391" s="174"/>
      <c r="L1391" s="174"/>
      <c r="M1391" s="174"/>
      <c r="N1391" s="174"/>
      <c r="O1391" s="174"/>
      <c r="P1391" s="174"/>
      <c r="Q1391" s="174"/>
      <c r="R1391" s="174"/>
      <c r="S1391" s="174"/>
      <c r="T1391" s="174"/>
      <c r="U1391" s="174"/>
      <c r="V1391" s="174"/>
      <c r="W1391" s="174"/>
      <c r="X1391" s="174"/>
      <c r="Y1391" s="174"/>
      <c r="Z1391" s="174"/>
      <c r="AA1391" s="174"/>
    </row>
    <row r="1392">
      <c r="A1392" s="174"/>
      <c r="B1392" s="174"/>
      <c r="C1392" s="174"/>
      <c r="D1392" s="174"/>
      <c r="E1392" s="174"/>
      <c r="F1392" s="175"/>
      <c r="G1392" s="175"/>
      <c r="H1392" s="174"/>
      <c r="I1392" s="174"/>
      <c r="J1392" s="174"/>
      <c r="K1392" s="174"/>
      <c r="L1392" s="174"/>
      <c r="M1392" s="174"/>
      <c r="N1392" s="174"/>
      <c r="O1392" s="174"/>
      <c r="P1392" s="174"/>
      <c r="Q1392" s="174"/>
      <c r="R1392" s="174"/>
      <c r="S1392" s="174"/>
      <c r="T1392" s="174"/>
      <c r="U1392" s="174"/>
      <c r="V1392" s="174"/>
      <c r="W1392" s="174"/>
      <c r="X1392" s="174"/>
      <c r="Y1392" s="174"/>
      <c r="Z1392" s="174"/>
      <c r="AA1392" s="174"/>
    </row>
    <row r="1393">
      <c r="A1393" s="174"/>
      <c r="B1393" s="174"/>
      <c r="C1393" s="174"/>
      <c r="D1393" s="174"/>
      <c r="E1393" s="174"/>
      <c r="F1393" s="175"/>
      <c r="G1393" s="175"/>
      <c r="H1393" s="174"/>
      <c r="I1393" s="174"/>
      <c r="J1393" s="174"/>
      <c r="K1393" s="174"/>
      <c r="L1393" s="174"/>
      <c r="M1393" s="174"/>
      <c r="N1393" s="174"/>
      <c r="O1393" s="174"/>
      <c r="P1393" s="174"/>
      <c r="Q1393" s="174"/>
      <c r="R1393" s="174"/>
      <c r="S1393" s="174"/>
      <c r="T1393" s="174"/>
      <c r="U1393" s="174"/>
      <c r="V1393" s="174"/>
      <c r="W1393" s="174"/>
      <c r="X1393" s="174"/>
      <c r="Y1393" s="174"/>
      <c r="Z1393" s="174"/>
      <c r="AA1393" s="174"/>
    </row>
    <row r="1394">
      <c r="A1394" s="174"/>
      <c r="B1394" s="174"/>
      <c r="C1394" s="174"/>
      <c r="D1394" s="174"/>
      <c r="E1394" s="174"/>
      <c r="F1394" s="175"/>
      <c r="G1394" s="175"/>
      <c r="H1394" s="174"/>
      <c r="I1394" s="174"/>
      <c r="J1394" s="174"/>
      <c r="K1394" s="174"/>
      <c r="L1394" s="174"/>
      <c r="M1394" s="174"/>
      <c r="N1394" s="174"/>
      <c r="O1394" s="174"/>
      <c r="P1394" s="174"/>
      <c r="Q1394" s="174"/>
      <c r="R1394" s="174"/>
      <c r="S1394" s="174"/>
      <c r="T1394" s="174"/>
      <c r="U1394" s="174"/>
      <c r="V1394" s="174"/>
      <c r="W1394" s="174"/>
      <c r="X1394" s="174"/>
      <c r="Y1394" s="174"/>
      <c r="Z1394" s="174"/>
      <c r="AA1394" s="174"/>
    </row>
    <row r="1395">
      <c r="A1395" s="174"/>
      <c r="B1395" s="174"/>
      <c r="C1395" s="174"/>
      <c r="D1395" s="174"/>
      <c r="E1395" s="174"/>
      <c r="F1395" s="175"/>
      <c r="G1395" s="175"/>
      <c r="H1395" s="174"/>
      <c r="I1395" s="174"/>
      <c r="J1395" s="174"/>
      <c r="K1395" s="174"/>
      <c r="L1395" s="174"/>
      <c r="M1395" s="174"/>
      <c r="N1395" s="174"/>
      <c r="O1395" s="174"/>
      <c r="P1395" s="174"/>
      <c r="Q1395" s="174"/>
      <c r="R1395" s="174"/>
      <c r="S1395" s="174"/>
      <c r="T1395" s="174"/>
      <c r="U1395" s="174"/>
      <c r="V1395" s="174"/>
      <c r="W1395" s="174"/>
      <c r="X1395" s="174"/>
      <c r="Y1395" s="174"/>
      <c r="Z1395" s="174"/>
      <c r="AA1395" s="174"/>
    </row>
    <row r="1396">
      <c r="A1396" s="174"/>
      <c r="B1396" s="174"/>
      <c r="C1396" s="174"/>
      <c r="D1396" s="174"/>
      <c r="E1396" s="174"/>
      <c r="F1396" s="175"/>
      <c r="G1396" s="175"/>
      <c r="H1396" s="174"/>
      <c r="I1396" s="174"/>
      <c r="J1396" s="174"/>
      <c r="K1396" s="174"/>
      <c r="L1396" s="174"/>
      <c r="M1396" s="174"/>
      <c r="N1396" s="174"/>
      <c r="O1396" s="174"/>
      <c r="P1396" s="174"/>
      <c r="Q1396" s="174"/>
      <c r="R1396" s="174"/>
      <c r="S1396" s="174"/>
      <c r="T1396" s="174"/>
      <c r="U1396" s="174"/>
      <c r="V1396" s="174"/>
      <c r="W1396" s="174"/>
      <c r="X1396" s="174"/>
      <c r="Y1396" s="174"/>
      <c r="Z1396" s="174"/>
      <c r="AA1396" s="174"/>
    </row>
    <row r="1397">
      <c r="A1397" s="174"/>
      <c r="B1397" s="174"/>
      <c r="C1397" s="174"/>
      <c r="D1397" s="174"/>
      <c r="E1397" s="174"/>
      <c r="F1397" s="175"/>
      <c r="G1397" s="175"/>
      <c r="H1397" s="174"/>
      <c r="I1397" s="174"/>
      <c r="J1397" s="174"/>
      <c r="K1397" s="174"/>
      <c r="L1397" s="174"/>
      <c r="M1397" s="174"/>
      <c r="N1397" s="174"/>
      <c r="O1397" s="174"/>
      <c r="P1397" s="174"/>
      <c r="Q1397" s="174"/>
      <c r="R1397" s="174"/>
      <c r="S1397" s="174"/>
      <c r="T1397" s="174"/>
      <c r="U1397" s="174"/>
      <c r="V1397" s="174"/>
      <c r="W1397" s="174"/>
      <c r="X1397" s="174"/>
      <c r="Y1397" s="174"/>
      <c r="Z1397" s="174"/>
      <c r="AA1397" s="174"/>
    </row>
    <row r="1398">
      <c r="A1398" s="174"/>
      <c r="B1398" s="174"/>
      <c r="C1398" s="174"/>
      <c r="D1398" s="174"/>
      <c r="E1398" s="174"/>
      <c r="F1398" s="175"/>
      <c r="G1398" s="175"/>
      <c r="H1398" s="174"/>
      <c r="I1398" s="174"/>
      <c r="J1398" s="174"/>
      <c r="K1398" s="174"/>
      <c r="L1398" s="174"/>
      <c r="M1398" s="174"/>
      <c r="N1398" s="174"/>
      <c r="O1398" s="174"/>
      <c r="P1398" s="174"/>
      <c r="Q1398" s="174"/>
      <c r="R1398" s="174"/>
      <c r="S1398" s="174"/>
      <c r="T1398" s="174"/>
      <c r="U1398" s="174"/>
      <c r="V1398" s="174"/>
      <c r="W1398" s="174"/>
      <c r="X1398" s="174"/>
      <c r="Y1398" s="174"/>
      <c r="Z1398" s="174"/>
      <c r="AA1398" s="174"/>
    </row>
    <row r="1399">
      <c r="A1399" s="174"/>
      <c r="B1399" s="174"/>
      <c r="C1399" s="174"/>
      <c r="D1399" s="174"/>
      <c r="E1399" s="174"/>
      <c r="F1399" s="175"/>
      <c r="G1399" s="175"/>
      <c r="H1399" s="174"/>
      <c r="I1399" s="174"/>
      <c r="J1399" s="174"/>
      <c r="K1399" s="174"/>
      <c r="L1399" s="174"/>
      <c r="M1399" s="174"/>
      <c r="N1399" s="174"/>
      <c r="O1399" s="174"/>
      <c r="P1399" s="174"/>
      <c r="Q1399" s="174"/>
      <c r="R1399" s="174"/>
      <c r="S1399" s="174"/>
      <c r="T1399" s="174"/>
      <c r="U1399" s="174"/>
      <c r="V1399" s="174"/>
      <c r="W1399" s="174"/>
      <c r="X1399" s="174"/>
      <c r="Y1399" s="174"/>
      <c r="Z1399" s="174"/>
      <c r="AA1399" s="174"/>
    </row>
    <row r="1400">
      <c r="A1400" s="174"/>
      <c r="B1400" s="174"/>
      <c r="C1400" s="174"/>
      <c r="D1400" s="174"/>
      <c r="E1400" s="174"/>
      <c r="F1400" s="175"/>
      <c r="G1400" s="175"/>
      <c r="H1400" s="174"/>
      <c r="I1400" s="174"/>
      <c r="J1400" s="174"/>
      <c r="K1400" s="174"/>
      <c r="L1400" s="174"/>
      <c r="M1400" s="174"/>
      <c r="N1400" s="174"/>
      <c r="O1400" s="174"/>
      <c r="P1400" s="174"/>
      <c r="Q1400" s="174"/>
      <c r="R1400" s="174"/>
      <c r="S1400" s="174"/>
      <c r="T1400" s="174"/>
      <c r="U1400" s="174"/>
      <c r="V1400" s="174"/>
      <c r="W1400" s="174"/>
      <c r="X1400" s="174"/>
      <c r="Y1400" s="174"/>
      <c r="Z1400" s="174"/>
      <c r="AA1400" s="174"/>
    </row>
    <row r="1401">
      <c r="A1401" s="174"/>
      <c r="B1401" s="174"/>
      <c r="C1401" s="174"/>
      <c r="D1401" s="174"/>
      <c r="E1401" s="174"/>
      <c r="F1401" s="175"/>
      <c r="G1401" s="175"/>
      <c r="H1401" s="174"/>
      <c r="I1401" s="174"/>
      <c r="J1401" s="174"/>
      <c r="K1401" s="174"/>
      <c r="L1401" s="174"/>
      <c r="M1401" s="174"/>
      <c r="N1401" s="174"/>
      <c r="O1401" s="174"/>
      <c r="P1401" s="174"/>
      <c r="Q1401" s="174"/>
      <c r="R1401" s="174"/>
      <c r="S1401" s="174"/>
      <c r="T1401" s="174"/>
      <c r="U1401" s="174"/>
      <c r="V1401" s="174"/>
      <c r="W1401" s="174"/>
      <c r="X1401" s="174"/>
      <c r="Y1401" s="174"/>
      <c r="Z1401" s="174"/>
      <c r="AA1401" s="174"/>
    </row>
    <row r="1402">
      <c r="A1402" s="174"/>
      <c r="B1402" s="174"/>
      <c r="C1402" s="174"/>
      <c r="D1402" s="174"/>
      <c r="E1402" s="174"/>
      <c r="F1402" s="175"/>
      <c r="G1402" s="175"/>
      <c r="H1402" s="174"/>
      <c r="I1402" s="174"/>
      <c r="J1402" s="174"/>
      <c r="K1402" s="174"/>
      <c r="L1402" s="174"/>
      <c r="M1402" s="174"/>
      <c r="N1402" s="174"/>
      <c r="O1402" s="174"/>
      <c r="P1402" s="174"/>
      <c r="Q1402" s="174"/>
      <c r="R1402" s="174"/>
      <c r="S1402" s="174"/>
      <c r="T1402" s="174"/>
      <c r="U1402" s="174"/>
      <c r="V1402" s="174"/>
      <c r="W1402" s="174"/>
      <c r="X1402" s="174"/>
      <c r="Y1402" s="174"/>
      <c r="Z1402" s="174"/>
      <c r="AA1402" s="174"/>
    </row>
    <row r="1403">
      <c r="A1403" s="174"/>
      <c r="B1403" s="174"/>
      <c r="C1403" s="174"/>
      <c r="D1403" s="174"/>
      <c r="E1403" s="174"/>
      <c r="F1403" s="175"/>
      <c r="G1403" s="175"/>
      <c r="H1403" s="174"/>
      <c r="I1403" s="174"/>
      <c r="J1403" s="174"/>
      <c r="K1403" s="174"/>
      <c r="L1403" s="174"/>
      <c r="M1403" s="174"/>
      <c r="N1403" s="174"/>
      <c r="O1403" s="174"/>
      <c r="P1403" s="174"/>
      <c r="Q1403" s="174"/>
      <c r="R1403" s="174"/>
      <c r="S1403" s="174"/>
      <c r="T1403" s="174"/>
      <c r="U1403" s="174"/>
      <c r="V1403" s="174"/>
      <c r="W1403" s="174"/>
      <c r="X1403" s="174"/>
      <c r="Y1403" s="174"/>
      <c r="Z1403" s="174"/>
      <c r="AA1403" s="174"/>
    </row>
    <row r="1404">
      <c r="A1404" s="174"/>
      <c r="B1404" s="174"/>
      <c r="C1404" s="174"/>
      <c r="D1404" s="174"/>
      <c r="E1404" s="174"/>
      <c r="F1404" s="175"/>
      <c r="G1404" s="175"/>
      <c r="H1404" s="174"/>
      <c r="I1404" s="174"/>
      <c r="J1404" s="174"/>
      <c r="K1404" s="174"/>
      <c r="L1404" s="174"/>
      <c r="M1404" s="174"/>
      <c r="N1404" s="174"/>
      <c r="O1404" s="174"/>
      <c r="P1404" s="174"/>
      <c r="Q1404" s="174"/>
      <c r="R1404" s="174"/>
      <c r="S1404" s="174"/>
      <c r="T1404" s="174"/>
      <c r="U1404" s="174"/>
      <c r="V1404" s="174"/>
      <c r="W1404" s="174"/>
      <c r="X1404" s="174"/>
      <c r="Y1404" s="174"/>
      <c r="Z1404" s="174"/>
      <c r="AA1404" s="174"/>
    </row>
    <row r="1405">
      <c r="A1405" s="174"/>
      <c r="B1405" s="174"/>
      <c r="C1405" s="174"/>
      <c r="D1405" s="174"/>
      <c r="E1405" s="174"/>
      <c r="F1405" s="175"/>
      <c r="G1405" s="175"/>
      <c r="H1405" s="174"/>
      <c r="I1405" s="174"/>
      <c r="J1405" s="174"/>
      <c r="K1405" s="174"/>
      <c r="L1405" s="174"/>
      <c r="M1405" s="174"/>
      <c r="N1405" s="174"/>
      <c r="O1405" s="174"/>
      <c r="P1405" s="174"/>
      <c r="Q1405" s="174"/>
      <c r="R1405" s="174"/>
      <c r="S1405" s="174"/>
      <c r="T1405" s="174"/>
      <c r="U1405" s="174"/>
      <c r="V1405" s="174"/>
      <c r="W1405" s="174"/>
      <c r="X1405" s="174"/>
      <c r="Y1405" s="174"/>
      <c r="Z1405" s="174"/>
      <c r="AA1405" s="174"/>
    </row>
    <row r="1406">
      <c r="A1406" s="174"/>
      <c r="B1406" s="174"/>
      <c r="C1406" s="174"/>
      <c r="D1406" s="174"/>
      <c r="E1406" s="174"/>
      <c r="F1406" s="175"/>
      <c r="G1406" s="175"/>
      <c r="H1406" s="174"/>
      <c r="I1406" s="174"/>
      <c r="J1406" s="174"/>
      <c r="K1406" s="174"/>
      <c r="L1406" s="174"/>
      <c r="M1406" s="174"/>
      <c r="N1406" s="174"/>
      <c r="O1406" s="174"/>
      <c r="P1406" s="174"/>
      <c r="Q1406" s="174"/>
      <c r="R1406" s="174"/>
      <c r="S1406" s="174"/>
      <c r="T1406" s="174"/>
      <c r="U1406" s="174"/>
      <c r="V1406" s="174"/>
      <c r="W1406" s="174"/>
      <c r="X1406" s="174"/>
      <c r="Y1406" s="174"/>
      <c r="Z1406" s="174"/>
      <c r="AA1406" s="174"/>
    </row>
    <row r="1407">
      <c r="A1407" s="174"/>
      <c r="B1407" s="174"/>
      <c r="C1407" s="174"/>
      <c r="D1407" s="174"/>
      <c r="E1407" s="174"/>
      <c r="F1407" s="175"/>
      <c r="G1407" s="175"/>
      <c r="H1407" s="174"/>
      <c r="I1407" s="174"/>
      <c r="J1407" s="174"/>
      <c r="K1407" s="174"/>
      <c r="L1407" s="174"/>
      <c r="M1407" s="174"/>
      <c r="N1407" s="174"/>
      <c r="O1407" s="174"/>
      <c r="P1407" s="174"/>
      <c r="Q1407" s="174"/>
      <c r="R1407" s="174"/>
      <c r="S1407" s="174"/>
      <c r="T1407" s="174"/>
      <c r="U1407" s="174"/>
      <c r="V1407" s="174"/>
      <c r="W1407" s="174"/>
      <c r="X1407" s="174"/>
      <c r="Y1407" s="174"/>
      <c r="Z1407" s="174"/>
      <c r="AA1407" s="174"/>
    </row>
    <row r="1408">
      <c r="A1408" s="174"/>
      <c r="B1408" s="174"/>
      <c r="C1408" s="174"/>
      <c r="D1408" s="174"/>
      <c r="E1408" s="174"/>
      <c r="F1408" s="175"/>
      <c r="G1408" s="175"/>
      <c r="H1408" s="174"/>
      <c r="I1408" s="174"/>
      <c r="J1408" s="174"/>
      <c r="K1408" s="174"/>
      <c r="L1408" s="174"/>
      <c r="M1408" s="174"/>
      <c r="N1408" s="174"/>
      <c r="O1408" s="174"/>
      <c r="P1408" s="174"/>
      <c r="Q1408" s="174"/>
      <c r="R1408" s="174"/>
      <c r="S1408" s="174"/>
      <c r="T1408" s="174"/>
      <c r="U1408" s="174"/>
      <c r="V1408" s="174"/>
      <c r="W1408" s="174"/>
      <c r="X1408" s="174"/>
      <c r="Y1408" s="174"/>
      <c r="Z1408" s="174"/>
      <c r="AA1408" s="174"/>
    </row>
    <row r="1409">
      <c r="A1409" s="174"/>
      <c r="B1409" s="174"/>
      <c r="C1409" s="174"/>
      <c r="D1409" s="174"/>
      <c r="E1409" s="174"/>
      <c r="F1409" s="175"/>
      <c r="G1409" s="175"/>
      <c r="H1409" s="174"/>
      <c r="I1409" s="174"/>
      <c r="J1409" s="174"/>
      <c r="K1409" s="174"/>
      <c r="L1409" s="174"/>
      <c r="M1409" s="174"/>
      <c r="N1409" s="174"/>
      <c r="O1409" s="174"/>
      <c r="P1409" s="174"/>
      <c r="Q1409" s="174"/>
      <c r="R1409" s="174"/>
      <c r="S1409" s="174"/>
      <c r="T1409" s="174"/>
      <c r="U1409" s="174"/>
      <c r="V1409" s="174"/>
      <c r="W1409" s="174"/>
      <c r="X1409" s="174"/>
      <c r="Y1409" s="174"/>
      <c r="Z1409" s="174"/>
      <c r="AA1409" s="174"/>
    </row>
    <row r="1410">
      <c r="A1410" s="174"/>
      <c r="B1410" s="174"/>
      <c r="C1410" s="174"/>
      <c r="D1410" s="174"/>
      <c r="E1410" s="174"/>
      <c r="F1410" s="175"/>
      <c r="G1410" s="175"/>
      <c r="H1410" s="174"/>
      <c r="I1410" s="174"/>
      <c r="J1410" s="174"/>
      <c r="K1410" s="174"/>
      <c r="L1410" s="174"/>
      <c r="M1410" s="174"/>
      <c r="N1410" s="174"/>
      <c r="O1410" s="174"/>
      <c r="P1410" s="174"/>
      <c r="Q1410" s="174"/>
      <c r="R1410" s="174"/>
      <c r="S1410" s="174"/>
      <c r="T1410" s="174"/>
      <c r="U1410" s="174"/>
      <c r="V1410" s="174"/>
      <c r="W1410" s="174"/>
      <c r="X1410" s="174"/>
      <c r="Y1410" s="174"/>
      <c r="Z1410" s="174"/>
      <c r="AA1410" s="174"/>
    </row>
    <row r="1411">
      <c r="A1411" s="174"/>
      <c r="B1411" s="174"/>
      <c r="C1411" s="174"/>
      <c r="D1411" s="174"/>
      <c r="E1411" s="174"/>
      <c r="F1411" s="175"/>
      <c r="G1411" s="175"/>
      <c r="H1411" s="174"/>
      <c r="I1411" s="174"/>
      <c r="J1411" s="174"/>
      <c r="K1411" s="174"/>
      <c r="L1411" s="174"/>
      <c r="M1411" s="174"/>
      <c r="N1411" s="174"/>
      <c r="O1411" s="174"/>
      <c r="P1411" s="174"/>
      <c r="Q1411" s="174"/>
      <c r="R1411" s="174"/>
      <c r="S1411" s="174"/>
      <c r="T1411" s="174"/>
      <c r="U1411" s="174"/>
      <c r="V1411" s="174"/>
      <c r="W1411" s="174"/>
      <c r="X1411" s="174"/>
      <c r="Y1411" s="174"/>
      <c r="Z1411" s="174"/>
      <c r="AA1411" s="174"/>
    </row>
    <row r="1412">
      <c r="A1412" s="174"/>
      <c r="B1412" s="174"/>
      <c r="C1412" s="174"/>
      <c r="D1412" s="174"/>
      <c r="E1412" s="174"/>
      <c r="F1412" s="175"/>
      <c r="G1412" s="175"/>
      <c r="H1412" s="174"/>
      <c r="I1412" s="174"/>
      <c r="J1412" s="174"/>
      <c r="K1412" s="174"/>
      <c r="L1412" s="174"/>
      <c r="M1412" s="174"/>
      <c r="N1412" s="174"/>
      <c r="O1412" s="174"/>
      <c r="P1412" s="174"/>
      <c r="Q1412" s="174"/>
      <c r="R1412" s="174"/>
      <c r="S1412" s="174"/>
      <c r="T1412" s="174"/>
      <c r="U1412" s="174"/>
      <c r="V1412" s="174"/>
      <c r="W1412" s="174"/>
      <c r="X1412" s="174"/>
      <c r="Y1412" s="174"/>
      <c r="Z1412" s="174"/>
      <c r="AA1412" s="174"/>
    </row>
    <row r="1413">
      <c r="A1413" s="174"/>
      <c r="B1413" s="174"/>
      <c r="C1413" s="174"/>
      <c r="D1413" s="174"/>
      <c r="E1413" s="174"/>
      <c r="F1413" s="175"/>
      <c r="G1413" s="175"/>
      <c r="H1413" s="174"/>
      <c r="I1413" s="174"/>
      <c r="J1413" s="174"/>
      <c r="K1413" s="174"/>
      <c r="L1413" s="174"/>
      <c r="M1413" s="174"/>
      <c r="N1413" s="174"/>
      <c r="O1413" s="174"/>
      <c r="P1413" s="174"/>
      <c r="Q1413" s="174"/>
      <c r="R1413" s="174"/>
      <c r="S1413" s="174"/>
      <c r="T1413" s="174"/>
      <c r="U1413" s="174"/>
      <c r="V1413" s="174"/>
      <c r="W1413" s="174"/>
      <c r="X1413" s="174"/>
      <c r="Y1413" s="174"/>
      <c r="Z1413" s="174"/>
      <c r="AA1413" s="174"/>
    </row>
    <row r="1414">
      <c r="A1414" s="174"/>
      <c r="B1414" s="174"/>
      <c r="C1414" s="174"/>
      <c r="D1414" s="174"/>
      <c r="E1414" s="174"/>
      <c r="F1414" s="175"/>
      <c r="G1414" s="175"/>
      <c r="H1414" s="174"/>
      <c r="I1414" s="174"/>
      <c r="J1414" s="174"/>
      <c r="K1414" s="174"/>
      <c r="L1414" s="174"/>
      <c r="M1414" s="174"/>
      <c r="N1414" s="174"/>
      <c r="O1414" s="174"/>
      <c r="P1414" s="174"/>
      <c r="Q1414" s="174"/>
      <c r="R1414" s="174"/>
      <c r="S1414" s="174"/>
      <c r="T1414" s="174"/>
      <c r="U1414" s="174"/>
      <c r="V1414" s="174"/>
      <c r="W1414" s="174"/>
      <c r="X1414" s="174"/>
      <c r="Y1414" s="174"/>
      <c r="Z1414" s="174"/>
      <c r="AA1414" s="174"/>
    </row>
    <row r="1415">
      <c r="A1415" s="174"/>
      <c r="B1415" s="174"/>
      <c r="C1415" s="174"/>
      <c r="D1415" s="174"/>
      <c r="E1415" s="174"/>
      <c r="F1415" s="175"/>
      <c r="G1415" s="175"/>
      <c r="H1415" s="174"/>
      <c r="I1415" s="174"/>
      <c r="J1415" s="174"/>
      <c r="K1415" s="174"/>
      <c r="L1415" s="174"/>
      <c r="M1415" s="174"/>
      <c r="N1415" s="174"/>
      <c r="O1415" s="174"/>
      <c r="P1415" s="174"/>
      <c r="Q1415" s="174"/>
      <c r="R1415" s="174"/>
      <c r="S1415" s="174"/>
      <c r="T1415" s="174"/>
      <c r="U1415" s="174"/>
      <c r="V1415" s="174"/>
      <c r="W1415" s="174"/>
      <c r="X1415" s="174"/>
      <c r="Y1415" s="174"/>
      <c r="Z1415" s="174"/>
      <c r="AA1415" s="174"/>
    </row>
    <row r="1416">
      <c r="A1416" s="174"/>
      <c r="B1416" s="174"/>
      <c r="C1416" s="174"/>
      <c r="D1416" s="174"/>
      <c r="E1416" s="174"/>
      <c r="F1416" s="175"/>
      <c r="G1416" s="175"/>
      <c r="H1416" s="174"/>
      <c r="I1416" s="174"/>
      <c r="J1416" s="174"/>
      <c r="K1416" s="174"/>
      <c r="L1416" s="174"/>
      <c r="M1416" s="174"/>
      <c r="N1416" s="174"/>
      <c r="O1416" s="174"/>
      <c r="P1416" s="174"/>
      <c r="Q1416" s="174"/>
      <c r="R1416" s="174"/>
      <c r="S1416" s="174"/>
      <c r="T1416" s="174"/>
      <c r="U1416" s="174"/>
      <c r="V1416" s="174"/>
      <c r="W1416" s="174"/>
      <c r="X1416" s="174"/>
      <c r="Y1416" s="174"/>
      <c r="Z1416" s="174"/>
      <c r="AA1416" s="174"/>
    </row>
    <row r="1417">
      <c r="A1417" s="174"/>
      <c r="B1417" s="174"/>
      <c r="C1417" s="174"/>
      <c r="D1417" s="174"/>
      <c r="E1417" s="174"/>
      <c r="F1417" s="175"/>
      <c r="G1417" s="175"/>
      <c r="H1417" s="174"/>
      <c r="I1417" s="174"/>
      <c r="J1417" s="174"/>
      <c r="K1417" s="174"/>
      <c r="L1417" s="174"/>
      <c r="M1417" s="174"/>
      <c r="N1417" s="174"/>
      <c r="O1417" s="174"/>
      <c r="P1417" s="174"/>
      <c r="Q1417" s="174"/>
      <c r="R1417" s="174"/>
      <c r="S1417" s="174"/>
      <c r="T1417" s="174"/>
      <c r="U1417" s="174"/>
      <c r="V1417" s="174"/>
      <c r="W1417" s="174"/>
      <c r="X1417" s="174"/>
      <c r="Y1417" s="174"/>
      <c r="Z1417" s="174"/>
      <c r="AA1417" s="174"/>
    </row>
    <row r="1418">
      <c r="A1418" s="174"/>
      <c r="B1418" s="174"/>
      <c r="C1418" s="174"/>
      <c r="D1418" s="174"/>
      <c r="E1418" s="174"/>
      <c r="F1418" s="175"/>
      <c r="G1418" s="175"/>
      <c r="H1418" s="174"/>
      <c r="I1418" s="174"/>
      <c r="J1418" s="174"/>
      <c r="K1418" s="174"/>
      <c r="L1418" s="174"/>
      <c r="M1418" s="174"/>
      <c r="N1418" s="174"/>
      <c r="O1418" s="174"/>
      <c r="P1418" s="174"/>
      <c r="Q1418" s="174"/>
      <c r="R1418" s="174"/>
      <c r="S1418" s="174"/>
      <c r="T1418" s="174"/>
      <c r="U1418" s="174"/>
      <c r="V1418" s="174"/>
      <c r="W1418" s="174"/>
      <c r="X1418" s="174"/>
      <c r="Y1418" s="174"/>
      <c r="Z1418" s="174"/>
      <c r="AA1418" s="174"/>
    </row>
    <row r="1419">
      <c r="A1419" s="174"/>
      <c r="B1419" s="174"/>
      <c r="C1419" s="174"/>
      <c r="D1419" s="174"/>
      <c r="E1419" s="174"/>
      <c r="F1419" s="175"/>
      <c r="G1419" s="175"/>
      <c r="H1419" s="174"/>
      <c r="I1419" s="174"/>
      <c r="J1419" s="174"/>
      <c r="K1419" s="174"/>
      <c r="L1419" s="174"/>
      <c r="M1419" s="174"/>
      <c r="N1419" s="174"/>
      <c r="O1419" s="174"/>
      <c r="P1419" s="174"/>
      <c r="Q1419" s="174"/>
      <c r="R1419" s="174"/>
      <c r="S1419" s="174"/>
      <c r="T1419" s="174"/>
      <c r="U1419" s="174"/>
      <c r="V1419" s="174"/>
      <c r="W1419" s="174"/>
      <c r="X1419" s="174"/>
      <c r="Y1419" s="174"/>
      <c r="Z1419" s="174"/>
      <c r="AA1419" s="174"/>
    </row>
    <row r="1420">
      <c r="A1420" s="174"/>
      <c r="B1420" s="174"/>
      <c r="C1420" s="174"/>
      <c r="D1420" s="174"/>
      <c r="E1420" s="174"/>
      <c r="F1420" s="175"/>
      <c r="G1420" s="175"/>
      <c r="H1420" s="174"/>
      <c r="I1420" s="174"/>
      <c r="J1420" s="174"/>
      <c r="K1420" s="174"/>
      <c r="L1420" s="174"/>
      <c r="M1420" s="174"/>
      <c r="N1420" s="174"/>
      <c r="O1420" s="174"/>
      <c r="P1420" s="174"/>
      <c r="Q1420" s="174"/>
      <c r="R1420" s="174"/>
      <c r="S1420" s="174"/>
      <c r="T1420" s="174"/>
      <c r="U1420" s="174"/>
      <c r="V1420" s="174"/>
      <c r="W1420" s="174"/>
      <c r="X1420" s="174"/>
      <c r="Y1420" s="174"/>
      <c r="Z1420" s="174"/>
      <c r="AA1420" s="174"/>
    </row>
    <row r="1421">
      <c r="A1421" s="174"/>
      <c r="B1421" s="174"/>
      <c r="C1421" s="174"/>
      <c r="D1421" s="174"/>
      <c r="E1421" s="174"/>
      <c r="F1421" s="175"/>
      <c r="G1421" s="175"/>
      <c r="H1421" s="174"/>
      <c r="I1421" s="174"/>
      <c r="J1421" s="174"/>
      <c r="K1421" s="174"/>
      <c r="L1421" s="174"/>
      <c r="M1421" s="174"/>
      <c r="N1421" s="174"/>
      <c r="O1421" s="174"/>
      <c r="P1421" s="174"/>
      <c r="Q1421" s="174"/>
      <c r="R1421" s="174"/>
      <c r="S1421" s="174"/>
      <c r="T1421" s="174"/>
      <c r="U1421" s="174"/>
      <c r="V1421" s="174"/>
      <c r="W1421" s="174"/>
      <c r="X1421" s="174"/>
      <c r="Y1421" s="174"/>
      <c r="Z1421" s="174"/>
      <c r="AA1421" s="174"/>
    </row>
    <row r="1422">
      <c r="A1422" s="174"/>
      <c r="B1422" s="174"/>
      <c r="C1422" s="174"/>
      <c r="D1422" s="174"/>
      <c r="E1422" s="174"/>
      <c r="F1422" s="175"/>
      <c r="G1422" s="175"/>
      <c r="H1422" s="174"/>
      <c r="I1422" s="174"/>
      <c r="J1422" s="174"/>
      <c r="K1422" s="174"/>
      <c r="L1422" s="174"/>
      <c r="M1422" s="174"/>
      <c r="N1422" s="174"/>
      <c r="O1422" s="174"/>
      <c r="P1422" s="174"/>
      <c r="Q1422" s="174"/>
      <c r="R1422" s="174"/>
      <c r="S1422" s="174"/>
      <c r="T1422" s="174"/>
      <c r="U1422" s="174"/>
      <c r="V1422" s="174"/>
      <c r="W1422" s="174"/>
      <c r="X1422" s="174"/>
      <c r="Y1422" s="174"/>
      <c r="Z1422" s="174"/>
      <c r="AA1422" s="174"/>
    </row>
    <row r="1423">
      <c r="A1423" s="174"/>
      <c r="B1423" s="174"/>
      <c r="C1423" s="174"/>
      <c r="D1423" s="174"/>
      <c r="E1423" s="174"/>
      <c r="F1423" s="175"/>
      <c r="G1423" s="175"/>
      <c r="H1423" s="174"/>
      <c r="I1423" s="174"/>
      <c r="J1423" s="174"/>
      <c r="K1423" s="174"/>
      <c r="L1423" s="174"/>
      <c r="M1423" s="174"/>
      <c r="N1423" s="174"/>
      <c r="O1423" s="174"/>
      <c r="P1423" s="174"/>
      <c r="Q1423" s="174"/>
      <c r="R1423" s="174"/>
      <c r="S1423" s="174"/>
      <c r="T1423" s="174"/>
      <c r="U1423" s="174"/>
      <c r="V1423" s="174"/>
      <c r="W1423" s="174"/>
      <c r="X1423" s="174"/>
      <c r="Y1423" s="174"/>
      <c r="Z1423" s="174"/>
      <c r="AA1423" s="174"/>
    </row>
    <row r="1424">
      <c r="A1424" s="174"/>
      <c r="B1424" s="174"/>
      <c r="C1424" s="174"/>
      <c r="D1424" s="174"/>
      <c r="E1424" s="174"/>
      <c r="F1424" s="175"/>
      <c r="G1424" s="175"/>
      <c r="H1424" s="174"/>
      <c r="I1424" s="174"/>
      <c r="J1424" s="174"/>
      <c r="K1424" s="174"/>
      <c r="L1424" s="174"/>
      <c r="M1424" s="174"/>
      <c r="N1424" s="174"/>
      <c r="O1424" s="174"/>
      <c r="P1424" s="174"/>
      <c r="Q1424" s="174"/>
      <c r="R1424" s="174"/>
      <c r="S1424" s="174"/>
      <c r="T1424" s="174"/>
      <c r="U1424" s="174"/>
      <c r="V1424" s="174"/>
      <c r="W1424" s="174"/>
      <c r="X1424" s="174"/>
      <c r="Y1424" s="174"/>
      <c r="Z1424" s="174"/>
      <c r="AA1424" s="174"/>
    </row>
    <row r="1425">
      <c r="A1425" s="174"/>
      <c r="B1425" s="174"/>
      <c r="C1425" s="174"/>
      <c r="D1425" s="174"/>
      <c r="E1425" s="174"/>
      <c r="F1425" s="175"/>
      <c r="G1425" s="175"/>
      <c r="H1425" s="174"/>
      <c r="I1425" s="174"/>
      <c r="J1425" s="174"/>
      <c r="K1425" s="174"/>
      <c r="L1425" s="174"/>
      <c r="M1425" s="174"/>
      <c r="N1425" s="174"/>
      <c r="O1425" s="174"/>
      <c r="P1425" s="174"/>
      <c r="Q1425" s="174"/>
      <c r="R1425" s="174"/>
      <c r="S1425" s="174"/>
      <c r="T1425" s="174"/>
      <c r="U1425" s="174"/>
      <c r="V1425" s="174"/>
      <c r="W1425" s="174"/>
      <c r="X1425" s="174"/>
      <c r="Y1425" s="174"/>
      <c r="Z1425" s="174"/>
      <c r="AA1425" s="174"/>
    </row>
    <row r="1426">
      <c r="A1426" s="174"/>
      <c r="B1426" s="174"/>
      <c r="C1426" s="174"/>
      <c r="D1426" s="174"/>
      <c r="E1426" s="174"/>
      <c r="F1426" s="175"/>
      <c r="G1426" s="175"/>
      <c r="H1426" s="174"/>
      <c r="I1426" s="174"/>
      <c r="J1426" s="174"/>
      <c r="K1426" s="174"/>
      <c r="L1426" s="174"/>
      <c r="M1426" s="174"/>
      <c r="N1426" s="174"/>
      <c r="O1426" s="174"/>
      <c r="P1426" s="174"/>
      <c r="Q1426" s="174"/>
      <c r="R1426" s="174"/>
      <c r="S1426" s="174"/>
      <c r="T1426" s="174"/>
      <c r="U1426" s="174"/>
      <c r="V1426" s="174"/>
      <c r="W1426" s="174"/>
      <c r="X1426" s="174"/>
      <c r="Y1426" s="174"/>
      <c r="Z1426" s="174"/>
      <c r="AA1426" s="174"/>
    </row>
    <row r="1427">
      <c r="A1427" s="174"/>
      <c r="B1427" s="174"/>
      <c r="C1427" s="174"/>
      <c r="D1427" s="174"/>
      <c r="E1427" s="174"/>
      <c r="F1427" s="175"/>
      <c r="G1427" s="175"/>
      <c r="H1427" s="174"/>
      <c r="I1427" s="174"/>
      <c r="J1427" s="174"/>
      <c r="K1427" s="174"/>
      <c r="L1427" s="174"/>
      <c r="M1427" s="174"/>
      <c r="N1427" s="174"/>
      <c r="O1427" s="174"/>
      <c r="P1427" s="174"/>
      <c r="Q1427" s="174"/>
      <c r="R1427" s="174"/>
      <c r="S1427" s="174"/>
      <c r="T1427" s="174"/>
      <c r="U1427" s="174"/>
      <c r="V1427" s="174"/>
      <c r="W1427" s="174"/>
      <c r="X1427" s="174"/>
      <c r="Y1427" s="174"/>
      <c r="Z1427" s="174"/>
      <c r="AA1427" s="174"/>
    </row>
    <row r="1428">
      <c r="A1428" s="174"/>
      <c r="B1428" s="174"/>
      <c r="C1428" s="174"/>
      <c r="D1428" s="174"/>
      <c r="E1428" s="174"/>
      <c r="F1428" s="175"/>
      <c r="G1428" s="175"/>
      <c r="H1428" s="174"/>
      <c r="I1428" s="174"/>
      <c r="J1428" s="174"/>
      <c r="K1428" s="174"/>
      <c r="L1428" s="174"/>
      <c r="M1428" s="174"/>
      <c r="N1428" s="174"/>
      <c r="O1428" s="174"/>
      <c r="P1428" s="174"/>
      <c r="Q1428" s="174"/>
      <c r="R1428" s="174"/>
      <c r="S1428" s="174"/>
      <c r="T1428" s="174"/>
      <c r="U1428" s="174"/>
      <c r="V1428" s="174"/>
      <c r="W1428" s="174"/>
      <c r="X1428" s="174"/>
      <c r="Y1428" s="174"/>
      <c r="Z1428" s="174"/>
      <c r="AA1428" s="174"/>
    </row>
    <row r="1429">
      <c r="A1429" s="174"/>
      <c r="B1429" s="174"/>
      <c r="C1429" s="174"/>
      <c r="D1429" s="174"/>
      <c r="E1429" s="174"/>
      <c r="F1429" s="175"/>
      <c r="G1429" s="175"/>
      <c r="H1429" s="174"/>
      <c r="I1429" s="174"/>
      <c r="J1429" s="174"/>
      <c r="K1429" s="174"/>
      <c r="L1429" s="174"/>
      <c r="M1429" s="174"/>
      <c r="N1429" s="174"/>
      <c r="O1429" s="174"/>
      <c r="P1429" s="174"/>
      <c r="Q1429" s="174"/>
      <c r="R1429" s="174"/>
      <c r="S1429" s="174"/>
      <c r="T1429" s="174"/>
      <c r="U1429" s="174"/>
      <c r="V1429" s="174"/>
      <c r="W1429" s="174"/>
      <c r="X1429" s="174"/>
      <c r="Y1429" s="174"/>
      <c r="Z1429" s="174"/>
      <c r="AA1429" s="174"/>
    </row>
    <row r="1430">
      <c r="A1430" s="174"/>
      <c r="B1430" s="174"/>
      <c r="C1430" s="174"/>
      <c r="D1430" s="174"/>
      <c r="E1430" s="174"/>
      <c r="F1430" s="175"/>
      <c r="G1430" s="175"/>
      <c r="H1430" s="174"/>
      <c r="I1430" s="174"/>
      <c r="J1430" s="174"/>
      <c r="K1430" s="174"/>
      <c r="L1430" s="174"/>
      <c r="M1430" s="174"/>
      <c r="N1430" s="174"/>
      <c r="O1430" s="174"/>
      <c r="P1430" s="174"/>
      <c r="Q1430" s="174"/>
      <c r="R1430" s="174"/>
      <c r="S1430" s="174"/>
      <c r="T1430" s="174"/>
      <c r="U1430" s="174"/>
      <c r="V1430" s="174"/>
      <c r="W1430" s="174"/>
      <c r="X1430" s="174"/>
      <c r="Y1430" s="174"/>
      <c r="Z1430" s="174"/>
      <c r="AA1430" s="174"/>
    </row>
    <row r="1431">
      <c r="A1431" s="174"/>
      <c r="B1431" s="174"/>
      <c r="C1431" s="174"/>
      <c r="D1431" s="174"/>
      <c r="E1431" s="174"/>
      <c r="F1431" s="175"/>
      <c r="G1431" s="175"/>
      <c r="H1431" s="174"/>
      <c r="I1431" s="174"/>
      <c r="J1431" s="174"/>
      <c r="K1431" s="174"/>
      <c r="L1431" s="174"/>
      <c r="M1431" s="174"/>
      <c r="N1431" s="174"/>
      <c r="O1431" s="174"/>
      <c r="P1431" s="174"/>
      <c r="Q1431" s="174"/>
      <c r="R1431" s="174"/>
      <c r="S1431" s="174"/>
      <c r="T1431" s="174"/>
      <c r="U1431" s="174"/>
      <c r="V1431" s="174"/>
      <c r="W1431" s="174"/>
      <c r="X1431" s="174"/>
      <c r="Y1431" s="174"/>
      <c r="Z1431" s="174"/>
      <c r="AA1431" s="174"/>
    </row>
    <row r="1432">
      <c r="A1432" s="174"/>
      <c r="B1432" s="174"/>
      <c r="C1432" s="174"/>
      <c r="D1432" s="174"/>
      <c r="E1432" s="174"/>
      <c r="F1432" s="175"/>
      <c r="G1432" s="175"/>
      <c r="H1432" s="174"/>
      <c r="I1432" s="174"/>
      <c r="J1432" s="174"/>
      <c r="K1432" s="174"/>
      <c r="L1432" s="174"/>
      <c r="M1432" s="174"/>
      <c r="N1432" s="174"/>
      <c r="O1432" s="174"/>
      <c r="P1432" s="174"/>
      <c r="Q1432" s="174"/>
      <c r="R1432" s="174"/>
      <c r="S1432" s="174"/>
      <c r="T1432" s="174"/>
      <c r="U1432" s="174"/>
      <c r="V1432" s="174"/>
      <c r="W1432" s="174"/>
      <c r="X1432" s="174"/>
      <c r="Y1432" s="174"/>
      <c r="Z1432" s="174"/>
      <c r="AA1432" s="174"/>
    </row>
    <row r="1433">
      <c r="A1433" s="174"/>
      <c r="B1433" s="174"/>
      <c r="C1433" s="174"/>
      <c r="D1433" s="174"/>
      <c r="E1433" s="174"/>
      <c r="F1433" s="175"/>
      <c r="G1433" s="175"/>
      <c r="H1433" s="174"/>
      <c r="I1433" s="174"/>
      <c r="J1433" s="174"/>
      <c r="K1433" s="174"/>
      <c r="L1433" s="174"/>
      <c r="M1433" s="174"/>
      <c r="N1433" s="174"/>
      <c r="O1433" s="174"/>
      <c r="P1433" s="174"/>
      <c r="Q1433" s="174"/>
      <c r="R1433" s="174"/>
      <c r="S1433" s="174"/>
      <c r="T1433" s="174"/>
      <c r="U1433" s="174"/>
      <c r="V1433" s="174"/>
      <c r="W1433" s="174"/>
      <c r="X1433" s="174"/>
      <c r="Y1433" s="174"/>
      <c r="Z1433" s="174"/>
      <c r="AA1433" s="174"/>
    </row>
    <row r="1434">
      <c r="A1434" s="174"/>
      <c r="B1434" s="174"/>
      <c r="C1434" s="174"/>
      <c r="D1434" s="174"/>
      <c r="E1434" s="174"/>
      <c r="F1434" s="175"/>
      <c r="G1434" s="175"/>
      <c r="H1434" s="174"/>
      <c r="I1434" s="174"/>
      <c r="J1434" s="174"/>
      <c r="K1434" s="174"/>
      <c r="L1434" s="174"/>
      <c r="M1434" s="174"/>
      <c r="N1434" s="174"/>
      <c r="O1434" s="174"/>
      <c r="P1434" s="174"/>
      <c r="Q1434" s="174"/>
      <c r="R1434" s="174"/>
      <c r="S1434" s="174"/>
      <c r="T1434" s="174"/>
      <c r="U1434" s="174"/>
      <c r="V1434" s="174"/>
      <c r="W1434" s="174"/>
      <c r="X1434" s="174"/>
      <c r="Y1434" s="174"/>
      <c r="Z1434" s="174"/>
      <c r="AA1434" s="174"/>
    </row>
    <row r="1435">
      <c r="A1435" s="174"/>
      <c r="B1435" s="174"/>
      <c r="C1435" s="174"/>
      <c r="D1435" s="174"/>
      <c r="E1435" s="174"/>
      <c r="F1435" s="175"/>
      <c r="G1435" s="175"/>
      <c r="H1435" s="174"/>
      <c r="I1435" s="174"/>
      <c r="J1435" s="174"/>
      <c r="K1435" s="174"/>
      <c r="L1435" s="174"/>
      <c r="M1435" s="174"/>
      <c r="N1435" s="174"/>
      <c r="O1435" s="174"/>
      <c r="P1435" s="174"/>
      <c r="Q1435" s="174"/>
      <c r="R1435" s="174"/>
      <c r="S1435" s="174"/>
      <c r="T1435" s="174"/>
      <c r="U1435" s="174"/>
      <c r="V1435" s="174"/>
      <c r="W1435" s="174"/>
      <c r="X1435" s="174"/>
      <c r="Y1435" s="174"/>
      <c r="Z1435" s="174"/>
      <c r="AA1435" s="174"/>
    </row>
    <row r="1436">
      <c r="A1436" s="174"/>
      <c r="B1436" s="174"/>
      <c r="C1436" s="174"/>
      <c r="D1436" s="174"/>
      <c r="E1436" s="174"/>
      <c r="F1436" s="175"/>
      <c r="G1436" s="175"/>
      <c r="H1436" s="174"/>
      <c r="I1436" s="174"/>
      <c r="J1436" s="174"/>
      <c r="K1436" s="174"/>
      <c r="L1436" s="174"/>
      <c r="M1436" s="174"/>
      <c r="N1436" s="174"/>
      <c r="O1436" s="174"/>
      <c r="P1436" s="174"/>
      <c r="Q1436" s="174"/>
      <c r="R1436" s="174"/>
      <c r="S1436" s="174"/>
      <c r="T1436" s="174"/>
      <c r="U1436" s="174"/>
      <c r="V1436" s="174"/>
      <c r="W1436" s="174"/>
      <c r="X1436" s="174"/>
      <c r="Y1436" s="174"/>
      <c r="Z1436" s="174"/>
      <c r="AA1436" s="174"/>
    </row>
    <row r="1437">
      <c r="A1437" s="174"/>
      <c r="B1437" s="174"/>
      <c r="C1437" s="174"/>
      <c r="D1437" s="174"/>
      <c r="E1437" s="174"/>
      <c r="F1437" s="175"/>
      <c r="G1437" s="175"/>
      <c r="H1437" s="174"/>
      <c r="I1437" s="174"/>
      <c r="J1437" s="174"/>
      <c r="K1437" s="174"/>
      <c r="L1437" s="174"/>
      <c r="M1437" s="174"/>
      <c r="N1437" s="174"/>
      <c r="O1437" s="174"/>
      <c r="P1437" s="174"/>
      <c r="Q1437" s="174"/>
      <c r="R1437" s="174"/>
      <c r="S1437" s="174"/>
      <c r="T1437" s="174"/>
      <c r="U1437" s="174"/>
      <c r="V1437" s="174"/>
      <c r="W1437" s="174"/>
      <c r="X1437" s="174"/>
      <c r="Y1437" s="174"/>
      <c r="Z1437" s="174"/>
      <c r="AA1437" s="174"/>
    </row>
    <row r="1438">
      <c r="A1438" s="174"/>
      <c r="B1438" s="174"/>
      <c r="C1438" s="174"/>
      <c r="D1438" s="174"/>
      <c r="E1438" s="174"/>
      <c r="F1438" s="175"/>
      <c r="G1438" s="175"/>
      <c r="H1438" s="174"/>
      <c r="I1438" s="174"/>
      <c r="J1438" s="174"/>
      <c r="K1438" s="174"/>
      <c r="L1438" s="174"/>
      <c r="M1438" s="174"/>
      <c r="N1438" s="174"/>
      <c r="O1438" s="174"/>
      <c r="P1438" s="174"/>
      <c r="Q1438" s="174"/>
      <c r="R1438" s="174"/>
      <c r="S1438" s="174"/>
      <c r="T1438" s="174"/>
      <c r="U1438" s="174"/>
      <c r="V1438" s="174"/>
      <c r="W1438" s="174"/>
      <c r="X1438" s="174"/>
      <c r="Y1438" s="174"/>
      <c r="Z1438" s="174"/>
      <c r="AA1438" s="174"/>
    </row>
    <row r="1439">
      <c r="A1439" s="174"/>
      <c r="B1439" s="174"/>
      <c r="C1439" s="174"/>
      <c r="D1439" s="174"/>
      <c r="E1439" s="174"/>
      <c r="F1439" s="175"/>
      <c r="G1439" s="175"/>
      <c r="H1439" s="174"/>
      <c r="I1439" s="174"/>
      <c r="J1439" s="174"/>
      <c r="K1439" s="174"/>
      <c r="L1439" s="174"/>
      <c r="M1439" s="174"/>
      <c r="N1439" s="174"/>
      <c r="O1439" s="174"/>
      <c r="P1439" s="174"/>
      <c r="Q1439" s="174"/>
      <c r="R1439" s="174"/>
      <c r="S1439" s="174"/>
      <c r="T1439" s="174"/>
      <c r="U1439" s="174"/>
      <c r="V1439" s="174"/>
      <c r="W1439" s="174"/>
      <c r="X1439" s="174"/>
      <c r="Y1439" s="174"/>
      <c r="Z1439" s="174"/>
      <c r="AA1439" s="174"/>
    </row>
    <row r="1440">
      <c r="A1440" s="174"/>
      <c r="B1440" s="174"/>
      <c r="C1440" s="174"/>
      <c r="D1440" s="174"/>
      <c r="E1440" s="174"/>
      <c r="F1440" s="175"/>
      <c r="G1440" s="175"/>
      <c r="H1440" s="174"/>
      <c r="I1440" s="174"/>
      <c r="J1440" s="174"/>
      <c r="K1440" s="174"/>
      <c r="L1440" s="174"/>
      <c r="M1440" s="174"/>
      <c r="N1440" s="174"/>
      <c r="O1440" s="174"/>
      <c r="P1440" s="174"/>
      <c r="Q1440" s="174"/>
      <c r="R1440" s="174"/>
      <c r="S1440" s="174"/>
      <c r="T1440" s="174"/>
      <c r="U1440" s="174"/>
      <c r="V1440" s="174"/>
      <c r="W1440" s="174"/>
      <c r="X1440" s="174"/>
      <c r="Y1440" s="174"/>
      <c r="Z1440" s="174"/>
      <c r="AA1440" s="174"/>
    </row>
    <row r="1441">
      <c r="A1441" s="174"/>
      <c r="B1441" s="174"/>
      <c r="C1441" s="174"/>
      <c r="D1441" s="174"/>
      <c r="E1441" s="174"/>
      <c r="F1441" s="175"/>
      <c r="G1441" s="175"/>
      <c r="H1441" s="174"/>
      <c r="I1441" s="174"/>
      <c r="J1441" s="174"/>
      <c r="K1441" s="174"/>
      <c r="L1441" s="174"/>
      <c r="M1441" s="174"/>
      <c r="N1441" s="174"/>
      <c r="O1441" s="174"/>
      <c r="P1441" s="174"/>
      <c r="Q1441" s="174"/>
      <c r="R1441" s="174"/>
      <c r="S1441" s="174"/>
      <c r="T1441" s="174"/>
      <c r="U1441" s="174"/>
      <c r="V1441" s="174"/>
      <c r="W1441" s="174"/>
      <c r="X1441" s="174"/>
      <c r="Y1441" s="174"/>
      <c r="Z1441" s="174"/>
      <c r="AA1441" s="174"/>
    </row>
    <row r="1442">
      <c r="A1442" s="174"/>
      <c r="B1442" s="174"/>
      <c r="C1442" s="174"/>
      <c r="D1442" s="174"/>
      <c r="E1442" s="174"/>
      <c r="F1442" s="175"/>
      <c r="G1442" s="175"/>
      <c r="H1442" s="174"/>
      <c r="I1442" s="174"/>
      <c r="J1442" s="174"/>
      <c r="K1442" s="174"/>
      <c r="L1442" s="174"/>
      <c r="M1442" s="174"/>
      <c r="N1442" s="174"/>
      <c r="O1442" s="174"/>
      <c r="P1442" s="174"/>
      <c r="Q1442" s="174"/>
      <c r="R1442" s="174"/>
      <c r="S1442" s="174"/>
      <c r="T1442" s="174"/>
      <c r="U1442" s="174"/>
      <c r="V1442" s="174"/>
      <c r="W1442" s="174"/>
      <c r="X1442" s="174"/>
      <c r="Y1442" s="174"/>
      <c r="Z1442" s="174"/>
      <c r="AA1442" s="174"/>
    </row>
    <row r="1443">
      <c r="A1443" s="174"/>
      <c r="B1443" s="174"/>
      <c r="C1443" s="174"/>
      <c r="D1443" s="174"/>
      <c r="E1443" s="174"/>
      <c r="F1443" s="175"/>
      <c r="G1443" s="175"/>
      <c r="H1443" s="174"/>
      <c r="I1443" s="174"/>
      <c r="J1443" s="174"/>
      <c r="K1443" s="174"/>
      <c r="L1443" s="174"/>
      <c r="M1443" s="174"/>
      <c r="N1443" s="174"/>
      <c r="O1443" s="174"/>
      <c r="P1443" s="174"/>
      <c r="Q1443" s="174"/>
      <c r="R1443" s="174"/>
      <c r="S1443" s="174"/>
      <c r="T1443" s="174"/>
      <c r="U1443" s="174"/>
      <c r="V1443" s="174"/>
      <c r="W1443" s="174"/>
      <c r="X1443" s="174"/>
      <c r="Y1443" s="174"/>
      <c r="Z1443" s="174"/>
      <c r="AA1443" s="174"/>
    </row>
    <row r="1444">
      <c r="A1444" s="174"/>
      <c r="B1444" s="174"/>
      <c r="C1444" s="174"/>
      <c r="D1444" s="174"/>
      <c r="E1444" s="174"/>
      <c r="F1444" s="175"/>
      <c r="G1444" s="175"/>
      <c r="H1444" s="174"/>
      <c r="I1444" s="174"/>
      <c r="J1444" s="174"/>
      <c r="K1444" s="174"/>
      <c r="L1444" s="174"/>
      <c r="M1444" s="174"/>
      <c r="N1444" s="174"/>
      <c r="O1444" s="174"/>
      <c r="P1444" s="174"/>
      <c r="Q1444" s="174"/>
      <c r="R1444" s="174"/>
      <c r="S1444" s="174"/>
      <c r="T1444" s="174"/>
      <c r="U1444" s="174"/>
      <c r="V1444" s="174"/>
      <c r="W1444" s="174"/>
      <c r="X1444" s="174"/>
      <c r="Y1444" s="174"/>
      <c r="Z1444" s="174"/>
      <c r="AA1444" s="174"/>
    </row>
    <row r="1445">
      <c r="A1445" s="174"/>
      <c r="B1445" s="174"/>
      <c r="C1445" s="174"/>
      <c r="D1445" s="174"/>
      <c r="E1445" s="174"/>
      <c r="F1445" s="175"/>
      <c r="G1445" s="175"/>
      <c r="H1445" s="174"/>
      <c r="I1445" s="174"/>
      <c r="J1445" s="174"/>
      <c r="K1445" s="174"/>
      <c r="L1445" s="174"/>
      <c r="M1445" s="174"/>
      <c r="N1445" s="174"/>
      <c r="O1445" s="174"/>
      <c r="P1445" s="174"/>
      <c r="Q1445" s="174"/>
      <c r="R1445" s="174"/>
      <c r="S1445" s="174"/>
      <c r="T1445" s="174"/>
      <c r="U1445" s="174"/>
      <c r="V1445" s="174"/>
      <c r="W1445" s="174"/>
      <c r="X1445" s="174"/>
      <c r="Y1445" s="174"/>
      <c r="Z1445" s="174"/>
      <c r="AA1445" s="174"/>
    </row>
    <row r="1446">
      <c r="A1446" s="174"/>
      <c r="B1446" s="174"/>
      <c r="C1446" s="174"/>
      <c r="D1446" s="174"/>
      <c r="E1446" s="174"/>
      <c r="F1446" s="175"/>
      <c r="G1446" s="175"/>
      <c r="H1446" s="174"/>
      <c r="I1446" s="174"/>
      <c r="J1446" s="174"/>
      <c r="K1446" s="174"/>
      <c r="L1446" s="174"/>
      <c r="M1446" s="174"/>
      <c r="N1446" s="174"/>
      <c r="O1446" s="174"/>
      <c r="P1446" s="174"/>
      <c r="Q1446" s="174"/>
      <c r="R1446" s="174"/>
      <c r="S1446" s="174"/>
      <c r="T1446" s="174"/>
      <c r="U1446" s="174"/>
      <c r="V1446" s="174"/>
      <c r="W1446" s="174"/>
      <c r="X1446" s="174"/>
      <c r="Y1446" s="174"/>
      <c r="Z1446" s="174"/>
      <c r="AA1446" s="174"/>
    </row>
    <row r="1447">
      <c r="A1447" s="174"/>
      <c r="B1447" s="174"/>
      <c r="C1447" s="174"/>
      <c r="D1447" s="174"/>
      <c r="E1447" s="174"/>
      <c r="F1447" s="175"/>
      <c r="G1447" s="175"/>
      <c r="H1447" s="174"/>
      <c r="I1447" s="174"/>
      <c r="J1447" s="174"/>
      <c r="K1447" s="174"/>
      <c r="L1447" s="174"/>
      <c r="M1447" s="174"/>
      <c r="N1447" s="174"/>
      <c r="O1447" s="174"/>
      <c r="P1447" s="174"/>
      <c r="Q1447" s="174"/>
      <c r="R1447" s="174"/>
      <c r="S1447" s="174"/>
      <c r="T1447" s="174"/>
      <c r="U1447" s="174"/>
      <c r="V1447" s="174"/>
      <c r="W1447" s="174"/>
      <c r="X1447" s="174"/>
      <c r="Y1447" s="174"/>
      <c r="Z1447" s="174"/>
      <c r="AA1447" s="174"/>
    </row>
    <row r="1448">
      <c r="A1448" s="174"/>
      <c r="B1448" s="174"/>
      <c r="C1448" s="174"/>
      <c r="D1448" s="174"/>
      <c r="E1448" s="174"/>
      <c r="F1448" s="175"/>
      <c r="G1448" s="175"/>
      <c r="H1448" s="174"/>
      <c r="I1448" s="174"/>
      <c r="J1448" s="174"/>
      <c r="K1448" s="174"/>
      <c r="L1448" s="174"/>
      <c r="M1448" s="174"/>
      <c r="N1448" s="174"/>
      <c r="O1448" s="174"/>
      <c r="P1448" s="174"/>
      <c r="Q1448" s="174"/>
      <c r="R1448" s="174"/>
      <c r="S1448" s="174"/>
      <c r="T1448" s="174"/>
      <c r="U1448" s="174"/>
      <c r="V1448" s="174"/>
      <c r="W1448" s="174"/>
      <c r="X1448" s="174"/>
      <c r="Y1448" s="174"/>
      <c r="Z1448" s="174"/>
      <c r="AA1448" s="174"/>
    </row>
    <row r="1449">
      <c r="A1449" s="174"/>
      <c r="B1449" s="174"/>
      <c r="C1449" s="174"/>
      <c r="D1449" s="174"/>
      <c r="E1449" s="174"/>
      <c r="F1449" s="175"/>
      <c r="G1449" s="175"/>
      <c r="H1449" s="174"/>
      <c r="I1449" s="174"/>
      <c r="J1449" s="174"/>
      <c r="K1449" s="174"/>
      <c r="L1449" s="174"/>
      <c r="M1449" s="174"/>
      <c r="N1449" s="174"/>
      <c r="O1449" s="174"/>
      <c r="P1449" s="174"/>
      <c r="Q1449" s="174"/>
      <c r="R1449" s="174"/>
      <c r="S1449" s="174"/>
      <c r="T1449" s="174"/>
      <c r="U1449" s="174"/>
      <c r="V1449" s="174"/>
      <c r="W1449" s="174"/>
      <c r="X1449" s="174"/>
      <c r="Y1449" s="174"/>
      <c r="Z1449" s="174"/>
      <c r="AA1449" s="174"/>
    </row>
    <row r="1450">
      <c r="A1450" s="174"/>
      <c r="B1450" s="174"/>
      <c r="C1450" s="174"/>
      <c r="D1450" s="174"/>
      <c r="E1450" s="174"/>
      <c r="F1450" s="175"/>
      <c r="G1450" s="175"/>
      <c r="H1450" s="174"/>
      <c r="I1450" s="174"/>
      <c r="J1450" s="174"/>
      <c r="K1450" s="174"/>
      <c r="L1450" s="174"/>
      <c r="M1450" s="174"/>
      <c r="N1450" s="174"/>
      <c r="O1450" s="174"/>
      <c r="P1450" s="174"/>
      <c r="Q1450" s="174"/>
      <c r="R1450" s="174"/>
      <c r="S1450" s="174"/>
      <c r="T1450" s="174"/>
      <c r="U1450" s="174"/>
      <c r="V1450" s="174"/>
      <c r="W1450" s="174"/>
      <c r="X1450" s="174"/>
      <c r="Y1450" s="174"/>
      <c r="Z1450" s="174"/>
      <c r="AA1450" s="174"/>
    </row>
    <row r="1451">
      <c r="A1451" s="174"/>
      <c r="B1451" s="174"/>
      <c r="C1451" s="174"/>
      <c r="D1451" s="174"/>
      <c r="E1451" s="174"/>
      <c r="F1451" s="175"/>
      <c r="G1451" s="175"/>
      <c r="H1451" s="174"/>
      <c r="I1451" s="174"/>
      <c r="J1451" s="174"/>
      <c r="K1451" s="174"/>
      <c r="L1451" s="174"/>
      <c r="M1451" s="174"/>
      <c r="N1451" s="174"/>
      <c r="O1451" s="174"/>
      <c r="P1451" s="174"/>
      <c r="Q1451" s="174"/>
      <c r="R1451" s="174"/>
      <c r="S1451" s="174"/>
      <c r="T1451" s="174"/>
      <c r="U1451" s="174"/>
      <c r="V1451" s="174"/>
      <c r="W1451" s="174"/>
      <c r="X1451" s="174"/>
      <c r="Y1451" s="174"/>
      <c r="Z1451" s="174"/>
      <c r="AA1451" s="174"/>
    </row>
    <row r="1452">
      <c r="A1452" s="174"/>
      <c r="B1452" s="174"/>
      <c r="C1452" s="174"/>
      <c r="D1452" s="174"/>
      <c r="E1452" s="174"/>
      <c r="F1452" s="175"/>
      <c r="G1452" s="175"/>
      <c r="H1452" s="174"/>
      <c r="I1452" s="174"/>
      <c r="J1452" s="174"/>
      <c r="K1452" s="174"/>
      <c r="L1452" s="174"/>
      <c r="M1452" s="174"/>
      <c r="N1452" s="174"/>
      <c r="O1452" s="174"/>
      <c r="P1452" s="174"/>
      <c r="Q1452" s="174"/>
      <c r="R1452" s="174"/>
      <c r="S1452" s="174"/>
      <c r="T1452" s="174"/>
      <c r="U1452" s="174"/>
      <c r="V1452" s="174"/>
      <c r="W1452" s="174"/>
      <c r="X1452" s="174"/>
      <c r="Y1452" s="174"/>
      <c r="Z1452" s="174"/>
      <c r="AA1452" s="174"/>
    </row>
    <row r="1453">
      <c r="A1453" s="174"/>
      <c r="B1453" s="174"/>
      <c r="C1453" s="174"/>
      <c r="D1453" s="174"/>
      <c r="E1453" s="174"/>
      <c r="F1453" s="175"/>
      <c r="G1453" s="175"/>
      <c r="H1453" s="174"/>
      <c r="I1453" s="174"/>
      <c r="J1453" s="174"/>
      <c r="K1453" s="174"/>
      <c r="L1453" s="174"/>
      <c r="M1453" s="174"/>
      <c r="N1453" s="174"/>
      <c r="O1453" s="174"/>
      <c r="P1453" s="174"/>
      <c r="Q1453" s="174"/>
      <c r="R1453" s="174"/>
      <c r="S1453" s="174"/>
      <c r="T1453" s="174"/>
      <c r="U1453" s="174"/>
      <c r="V1453" s="174"/>
      <c r="W1453" s="174"/>
      <c r="X1453" s="174"/>
      <c r="Y1453" s="174"/>
      <c r="Z1453" s="174"/>
      <c r="AA1453" s="174"/>
    </row>
    <row r="1454">
      <c r="A1454" s="174"/>
      <c r="B1454" s="174"/>
      <c r="C1454" s="174"/>
      <c r="D1454" s="174"/>
      <c r="E1454" s="174"/>
      <c r="F1454" s="175"/>
      <c r="G1454" s="175"/>
      <c r="H1454" s="174"/>
      <c r="I1454" s="174"/>
      <c r="J1454" s="174"/>
      <c r="K1454" s="174"/>
      <c r="L1454" s="174"/>
      <c r="M1454" s="174"/>
      <c r="N1454" s="174"/>
      <c r="O1454" s="174"/>
      <c r="P1454" s="174"/>
      <c r="Q1454" s="174"/>
      <c r="R1454" s="174"/>
      <c r="S1454" s="174"/>
      <c r="T1454" s="174"/>
      <c r="U1454" s="174"/>
      <c r="V1454" s="174"/>
      <c r="W1454" s="174"/>
      <c r="X1454" s="174"/>
      <c r="Y1454" s="174"/>
      <c r="Z1454" s="174"/>
      <c r="AA1454" s="174"/>
    </row>
    <row r="1455">
      <c r="A1455" s="174"/>
      <c r="B1455" s="174"/>
      <c r="C1455" s="174"/>
      <c r="D1455" s="174"/>
      <c r="E1455" s="174"/>
      <c r="F1455" s="175"/>
      <c r="G1455" s="175"/>
      <c r="H1455" s="174"/>
      <c r="I1455" s="174"/>
      <c r="J1455" s="174"/>
      <c r="K1455" s="174"/>
      <c r="L1455" s="174"/>
      <c r="M1455" s="174"/>
      <c r="N1455" s="174"/>
      <c r="O1455" s="174"/>
      <c r="P1455" s="174"/>
      <c r="Q1455" s="174"/>
      <c r="R1455" s="174"/>
      <c r="S1455" s="174"/>
      <c r="T1455" s="174"/>
      <c r="U1455" s="174"/>
      <c r="V1455" s="174"/>
      <c r="W1455" s="174"/>
      <c r="X1455" s="174"/>
      <c r="Y1455" s="174"/>
      <c r="Z1455" s="174"/>
      <c r="AA1455" s="174"/>
    </row>
    <row r="1456">
      <c r="A1456" s="174"/>
      <c r="B1456" s="174"/>
      <c r="C1456" s="174"/>
      <c r="D1456" s="174"/>
      <c r="E1456" s="174"/>
      <c r="F1456" s="175"/>
      <c r="G1456" s="175"/>
      <c r="H1456" s="174"/>
      <c r="I1456" s="174"/>
      <c r="J1456" s="174"/>
      <c r="K1456" s="174"/>
      <c r="L1456" s="174"/>
      <c r="M1456" s="174"/>
      <c r="N1456" s="174"/>
      <c r="O1456" s="174"/>
      <c r="P1456" s="174"/>
      <c r="Q1456" s="174"/>
      <c r="R1456" s="174"/>
      <c r="S1456" s="174"/>
      <c r="T1456" s="174"/>
      <c r="U1456" s="174"/>
      <c r="V1456" s="174"/>
      <c r="W1456" s="174"/>
      <c r="X1456" s="174"/>
      <c r="Y1456" s="174"/>
      <c r="Z1456" s="174"/>
      <c r="AA1456" s="174"/>
    </row>
    <row r="1457">
      <c r="A1457" s="174"/>
      <c r="B1457" s="174"/>
      <c r="C1457" s="174"/>
      <c r="D1457" s="174"/>
      <c r="E1457" s="174"/>
      <c r="F1457" s="175"/>
      <c r="G1457" s="175"/>
      <c r="H1457" s="174"/>
      <c r="I1457" s="174"/>
      <c r="J1457" s="174"/>
      <c r="K1457" s="174"/>
      <c r="L1457" s="174"/>
      <c r="M1457" s="174"/>
      <c r="N1457" s="174"/>
      <c r="O1457" s="174"/>
      <c r="P1457" s="174"/>
      <c r="Q1457" s="174"/>
      <c r="R1457" s="174"/>
      <c r="S1457" s="174"/>
      <c r="T1457" s="174"/>
      <c r="U1457" s="174"/>
      <c r="V1457" s="174"/>
      <c r="W1457" s="174"/>
      <c r="X1457" s="174"/>
      <c r="Y1457" s="174"/>
      <c r="Z1457" s="174"/>
      <c r="AA1457" s="174"/>
    </row>
    <row r="1458">
      <c r="A1458" s="174"/>
      <c r="B1458" s="174"/>
      <c r="C1458" s="174"/>
      <c r="D1458" s="174"/>
      <c r="E1458" s="174"/>
      <c r="F1458" s="175"/>
      <c r="G1458" s="175"/>
      <c r="H1458" s="174"/>
      <c r="I1458" s="174"/>
      <c r="J1458" s="174"/>
      <c r="K1458" s="174"/>
      <c r="L1458" s="174"/>
      <c r="M1458" s="174"/>
      <c r="N1458" s="174"/>
      <c r="O1458" s="174"/>
      <c r="P1458" s="174"/>
      <c r="Q1458" s="174"/>
      <c r="R1458" s="174"/>
      <c r="S1458" s="174"/>
      <c r="T1458" s="174"/>
      <c r="U1458" s="174"/>
      <c r="V1458" s="174"/>
      <c r="W1458" s="174"/>
      <c r="X1458" s="174"/>
      <c r="Y1458" s="174"/>
      <c r="Z1458" s="174"/>
      <c r="AA1458" s="174"/>
    </row>
    <row r="1459">
      <c r="A1459" s="174"/>
      <c r="B1459" s="174"/>
      <c r="C1459" s="174"/>
      <c r="D1459" s="174"/>
      <c r="E1459" s="174"/>
      <c r="F1459" s="175"/>
      <c r="G1459" s="175"/>
      <c r="H1459" s="174"/>
      <c r="I1459" s="174"/>
      <c r="J1459" s="174"/>
      <c r="K1459" s="174"/>
      <c r="L1459" s="174"/>
      <c r="M1459" s="174"/>
      <c r="N1459" s="174"/>
      <c r="O1459" s="174"/>
      <c r="P1459" s="174"/>
      <c r="Q1459" s="174"/>
      <c r="R1459" s="174"/>
      <c r="S1459" s="174"/>
      <c r="T1459" s="174"/>
      <c r="U1459" s="174"/>
      <c r="V1459" s="174"/>
      <c r="W1459" s="174"/>
      <c r="X1459" s="174"/>
      <c r="Y1459" s="174"/>
      <c r="Z1459" s="174"/>
      <c r="AA1459" s="174"/>
    </row>
    <row r="1460">
      <c r="A1460" s="174"/>
      <c r="B1460" s="174"/>
      <c r="C1460" s="174"/>
      <c r="D1460" s="174"/>
      <c r="E1460" s="174"/>
      <c r="F1460" s="175"/>
      <c r="G1460" s="175"/>
      <c r="H1460" s="174"/>
      <c r="I1460" s="174"/>
      <c r="J1460" s="174"/>
      <c r="K1460" s="174"/>
      <c r="L1460" s="174"/>
      <c r="M1460" s="174"/>
      <c r="N1460" s="174"/>
      <c r="O1460" s="174"/>
      <c r="P1460" s="174"/>
      <c r="Q1460" s="174"/>
      <c r="R1460" s="174"/>
      <c r="S1460" s="174"/>
      <c r="T1460" s="174"/>
      <c r="U1460" s="174"/>
      <c r="V1460" s="174"/>
      <c r="W1460" s="174"/>
      <c r="X1460" s="174"/>
      <c r="Y1460" s="174"/>
      <c r="Z1460" s="174"/>
      <c r="AA1460" s="174"/>
    </row>
    <row r="1461">
      <c r="A1461" s="174"/>
      <c r="B1461" s="174"/>
      <c r="C1461" s="174"/>
      <c r="D1461" s="174"/>
      <c r="E1461" s="174"/>
      <c r="F1461" s="175"/>
      <c r="G1461" s="175"/>
      <c r="H1461" s="174"/>
      <c r="I1461" s="174"/>
      <c r="J1461" s="174"/>
      <c r="K1461" s="174"/>
      <c r="L1461" s="174"/>
      <c r="M1461" s="174"/>
      <c r="N1461" s="174"/>
      <c r="O1461" s="174"/>
      <c r="P1461" s="174"/>
      <c r="Q1461" s="174"/>
      <c r="R1461" s="174"/>
      <c r="S1461" s="174"/>
      <c r="T1461" s="174"/>
      <c r="U1461" s="174"/>
      <c r="V1461" s="174"/>
      <c r="W1461" s="174"/>
      <c r="X1461" s="174"/>
      <c r="Y1461" s="174"/>
      <c r="Z1461" s="174"/>
      <c r="AA1461" s="174"/>
    </row>
    <row r="1462">
      <c r="A1462" s="174"/>
      <c r="B1462" s="174"/>
      <c r="C1462" s="174"/>
      <c r="D1462" s="174"/>
      <c r="E1462" s="174"/>
      <c r="F1462" s="175"/>
      <c r="G1462" s="175"/>
      <c r="H1462" s="174"/>
      <c r="I1462" s="174"/>
      <c r="J1462" s="174"/>
      <c r="K1462" s="174"/>
      <c r="L1462" s="174"/>
      <c r="M1462" s="174"/>
      <c r="N1462" s="174"/>
      <c r="O1462" s="174"/>
      <c r="P1462" s="174"/>
      <c r="Q1462" s="174"/>
      <c r="R1462" s="174"/>
      <c r="S1462" s="174"/>
      <c r="T1462" s="174"/>
      <c r="U1462" s="174"/>
      <c r="V1462" s="174"/>
      <c r="W1462" s="174"/>
      <c r="X1462" s="174"/>
      <c r="Y1462" s="174"/>
      <c r="Z1462" s="174"/>
      <c r="AA1462" s="174"/>
    </row>
    <row r="1463">
      <c r="A1463" s="174"/>
      <c r="B1463" s="174"/>
      <c r="C1463" s="174"/>
      <c r="D1463" s="174"/>
      <c r="E1463" s="174"/>
      <c r="F1463" s="175"/>
      <c r="G1463" s="175"/>
      <c r="H1463" s="174"/>
      <c r="I1463" s="174"/>
      <c r="J1463" s="174"/>
      <c r="K1463" s="174"/>
      <c r="L1463" s="174"/>
      <c r="M1463" s="174"/>
      <c r="N1463" s="174"/>
      <c r="O1463" s="174"/>
      <c r="P1463" s="174"/>
      <c r="Q1463" s="174"/>
      <c r="R1463" s="174"/>
      <c r="S1463" s="174"/>
      <c r="T1463" s="174"/>
      <c r="U1463" s="174"/>
      <c r="V1463" s="174"/>
      <c r="W1463" s="174"/>
      <c r="X1463" s="174"/>
      <c r="Y1463" s="174"/>
      <c r="Z1463" s="174"/>
      <c r="AA1463" s="174"/>
    </row>
    <row r="1464">
      <c r="A1464" s="174"/>
      <c r="B1464" s="174"/>
      <c r="C1464" s="174"/>
      <c r="D1464" s="174"/>
      <c r="E1464" s="174"/>
      <c r="F1464" s="175"/>
      <c r="G1464" s="175"/>
      <c r="H1464" s="174"/>
      <c r="I1464" s="174"/>
      <c r="J1464" s="174"/>
      <c r="K1464" s="174"/>
      <c r="L1464" s="174"/>
      <c r="M1464" s="174"/>
      <c r="N1464" s="174"/>
      <c r="O1464" s="174"/>
      <c r="P1464" s="174"/>
      <c r="Q1464" s="174"/>
      <c r="R1464" s="174"/>
      <c r="S1464" s="174"/>
      <c r="T1464" s="174"/>
      <c r="U1464" s="174"/>
      <c r="V1464" s="174"/>
      <c r="W1464" s="174"/>
      <c r="X1464" s="174"/>
      <c r="Y1464" s="174"/>
      <c r="Z1464" s="174"/>
      <c r="AA1464" s="174"/>
    </row>
    <row r="1465">
      <c r="A1465" s="174"/>
      <c r="B1465" s="174"/>
      <c r="C1465" s="174"/>
      <c r="D1465" s="174"/>
      <c r="E1465" s="174"/>
      <c r="F1465" s="175"/>
      <c r="G1465" s="175"/>
      <c r="H1465" s="174"/>
      <c r="I1465" s="174"/>
      <c r="J1465" s="174"/>
      <c r="K1465" s="174"/>
      <c r="L1465" s="174"/>
      <c r="M1465" s="174"/>
      <c r="N1465" s="174"/>
      <c r="O1465" s="174"/>
      <c r="P1465" s="174"/>
      <c r="Q1465" s="174"/>
      <c r="R1465" s="174"/>
      <c r="S1465" s="174"/>
      <c r="T1465" s="174"/>
      <c r="U1465" s="174"/>
      <c r="V1465" s="174"/>
      <c r="W1465" s="174"/>
      <c r="X1465" s="174"/>
      <c r="Y1465" s="174"/>
      <c r="Z1465" s="174"/>
      <c r="AA1465" s="174"/>
    </row>
    <row r="1466">
      <c r="A1466" s="174"/>
      <c r="B1466" s="174"/>
      <c r="C1466" s="174"/>
      <c r="D1466" s="174"/>
      <c r="E1466" s="174"/>
      <c r="F1466" s="175"/>
      <c r="G1466" s="175"/>
      <c r="H1466" s="174"/>
      <c r="I1466" s="174"/>
      <c r="J1466" s="174"/>
      <c r="K1466" s="174"/>
      <c r="L1466" s="174"/>
      <c r="M1466" s="174"/>
      <c r="N1466" s="174"/>
      <c r="O1466" s="174"/>
      <c r="P1466" s="174"/>
      <c r="Q1466" s="174"/>
      <c r="R1466" s="174"/>
      <c r="S1466" s="174"/>
      <c r="T1466" s="174"/>
      <c r="U1466" s="174"/>
      <c r="V1466" s="174"/>
      <c r="W1466" s="174"/>
      <c r="X1466" s="174"/>
      <c r="Y1466" s="174"/>
      <c r="Z1466" s="174"/>
      <c r="AA1466" s="174"/>
    </row>
    <row r="1467">
      <c r="A1467" s="174"/>
      <c r="B1467" s="174"/>
      <c r="C1467" s="174"/>
      <c r="D1467" s="174"/>
      <c r="E1467" s="174"/>
      <c r="F1467" s="175"/>
      <c r="G1467" s="175"/>
      <c r="H1467" s="174"/>
      <c r="I1467" s="174"/>
      <c r="J1467" s="174"/>
      <c r="K1467" s="174"/>
      <c r="L1467" s="174"/>
      <c r="M1467" s="174"/>
      <c r="N1467" s="174"/>
      <c r="O1467" s="174"/>
      <c r="P1467" s="174"/>
      <c r="Q1467" s="174"/>
      <c r="R1467" s="174"/>
      <c r="S1467" s="174"/>
      <c r="T1467" s="174"/>
      <c r="U1467" s="174"/>
      <c r="V1467" s="174"/>
      <c r="W1467" s="174"/>
      <c r="X1467" s="174"/>
      <c r="Y1467" s="174"/>
      <c r="Z1467" s="174"/>
      <c r="AA1467" s="174"/>
    </row>
    <row r="1468">
      <c r="A1468" s="174"/>
      <c r="B1468" s="174"/>
      <c r="C1468" s="174"/>
      <c r="D1468" s="174"/>
      <c r="E1468" s="174"/>
      <c r="F1468" s="175"/>
      <c r="G1468" s="175"/>
      <c r="H1468" s="174"/>
      <c r="I1468" s="174"/>
      <c r="J1468" s="174"/>
      <c r="K1468" s="174"/>
      <c r="L1468" s="174"/>
      <c r="M1468" s="174"/>
      <c r="N1468" s="174"/>
      <c r="O1468" s="174"/>
      <c r="P1468" s="174"/>
      <c r="Q1468" s="174"/>
      <c r="R1468" s="174"/>
      <c r="S1468" s="174"/>
      <c r="T1468" s="174"/>
      <c r="U1468" s="174"/>
      <c r="V1468" s="174"/>
      <c r="W1468" s="174"/>
      <c r="X1468" s="174"/>
      <c r="Y1468" s="174"/>
      <c r="Z1468" s="174"/>
      <c r="AA1468" s="174"/>
    </row>
    <row r="1469">
      <c r="A1469" s="174"/>
      <c r="B1469" s="174"/>
      <c r="C1469" s="174"/>
      <c r="D1469" s="174"/>
      <c r="E1469" s="174"/>
      <c r="F1469" s="175"/>
      <c r="G1469" s="175"/>
      <c r="H1469" s="174"/>
      <c r="I1469" s="174"/>
      <c r="J1469" s="174"/>
      <c r="K1469" s="174"/>
      <c r="L1469" s="174"/>
      <c r="M1469" s="174"/>
      <c r="N1469" s="174"/>
      <c r="O1469" s="174"/>
      <c r="P1469" s="174"/>
      <c r="Q1469" s="174"/>
      <c r="R1469" s="174"/>
      <c r="S1469" s="174"/>
      <c r="T1469" s="174"/>
      <c r="U1469" s="174"/>
      <c r="V1469" s="174"/>
      <c r="W1469" s="174"/>
      <c r="X1469" s="174"/>
      <c r="Y1469" s="174"/>
      <c r="Z1469" s="174"/>
      <c r="AA1469" s="174"/>
    </row>
    <row r="1470">
      <c r="A1470" s="174"/>
      <c r="B1470" s="174"/>
      <c r="C1470" s="174"/>
      <c r="D1470" s="174"/>
      <c r="E1470" s="174"/>
      <c r="F1470" s="175"/>
      <c r="G1470" s="175"/>
      <c r="H1470" s="174"/>
      <c r="I1470" s="174"/>
      <c r="J1470" s="174"/>
      <c r="K1470" s="174"/>
      <c r="L1470" s="174"/>
      <c r="M1470" s="174"/>
      <c r="N1470" s="174"/>
      <c r="O1470" s="174"/>
      <c r="P1470" s="174"/>
      <c r="Q1470" s="174"/>
      <c r="R1470" s="174"/>
      <c r="S1470" s="174"/>
      <c r="T1470" s="174"/>
      <c r="U1470" s="174"/>
      <c r="V1470" s="174"/>
      <c r="W1470" s="174"/>
      <c r="X1470" s="174"/>
      <c r="Y1470" s="174"/>
      <c r="Z1470" s="174"/>
      <c r="AA1470" s="174"/>
    </row>
    <row r="1471">
      <c r="A1471" s="174"/>
      <c r="B1471" s="174"/>
      <c r="C1471" s="174"/>
      <c r="D1471" s="174"/>
      <c r="E1471" s="174"/>
      <c r="F1471" s="175"/>
      <c r="G1471" s="175"/>
      <c r="H1471" s="174"/>
      <c r="I1471" s="174"/>
      <c r="J1471" s="174"/>
      <c r="K1471" s="174"/>
      <c r="L1471" s="174"/>
      <c r="M1471" s="174"/>
      <c r="N1471" s="174"/>
      <c r="O1471" s="174"/>
      <c r="P1471" s="174"/>
      <c r="Q1471" s="174"/>
      <c r="R1471" s="174"/>
      <c r="S1471" s="174"/>
      <c r="T1471" s="174"/>
      <c r="U1471" s="174"/>
      <c r="V1471" s="174"/>
      <c r="W1471" s="174"/>
      <c r="X1471" s="174"/>
      <c r="Y1471" s="174"/>
      <c r="Z1471" s="174"/>
      <c r="AA1471" s="174"/>
    </row>
    <row r="1472">
      <c r="A1472" s="174"/>
      <c r="B1472" s="174"/>
      <c r="C1472" s="174"/>
      <c r="D1472" s="174"/>
      <c r="E1472" s="174"/>
      <c r="F1472" s="175"/>
      <c r="G1472" s="175"/>
      <c r="H1472" s="174"/>
      <c r="I1472" s="174"/>
      <c r="J1472" s="174"/>
      <c r="K1472" s="174"/>
      <c r="L1472" s="174"/>
      <c r="M1472" s="174"/>
      <c r="N1472" s="174"/>
      <c r="O1472" s="174"/>
      <c r="P1472" s="174"/>
      <c r="Q1472" s="174"/>
      <c r="R1472" s="174"/>
      <c r="S1472" s="174"/>
      <c r="T1472" s="174"/>
      <c r="U1472" s="174"/>
      <c r="V1472" s="174"/>
      <c r="W1472" s="174"/>
      <c r="X1472" s="174"/>
      <c r="Y1472" s="174"/>
      <c r="Z1472" s="174"/>
      <c r="AA1472" s="174"/>
    </row>
    <row r="1473">
      <c r="A1473" s="174"/>
      <c r="B1473" s="174"/>
      <c r="C1473" s="174"/>
      <c r="D1473" s="174"/>
      <c r="E1473" s="174"/>
      <c r="F1473" s="175"/>
      <c r="G1473" s="175"/>
      <c r="H1473" s="174"/>
      <c r="I1473" s="174"/>
      <c r="J1473" s="174"/>
      <c r="K1473" s="174"/>
      <c r="L1473" s="174"/>
      <c r="M1473" s="174"/>
      <c r="N1473" s="174"/>
      <c r="O1473" s="174"/>
      <c r="P1473" s="174"/>
      <c r="Q1473" s="174"/>
      <c r="R1473" s="174"/>
      <c r="S1473" s="174"/>
      <c r="T1473" s="174"/>
      <c r="U1473" s="174"/>
      <c r="V1473" s="174"/>
      <c r="W1473" s="174"/>
      <c r="X1473" s="174"/>
      <c r="Y1473" s="174"/>
      <c r="Z1473" s="174"/>
      <c r="AA1473" s="174"/>
    </row>
    <row r="1474">
      <c r="A1474" s="174"/>
      <c r="B1474" s="174"/>
      <c r="C1474" s="174"/>
      <c r="D1474" s="174"/>
      <c r="E1474" s="174"/>
      <c r="F1474" s="175"/>
      <c r="G1474" s="175"/>
      <c r="H1474" s="174"/>
      <c r="I1474" s="174"/>
      <c r="J1474" s="174"/>
      <c r="K1474" s="174"/>
      <c r="L1474" s="174"/>
      <c r="M1474" s="174"/>
      <c r="N1474" s="174"/>
      <c r="O1474" s="174"/>
      <c r="P1474" s="174"/>
      <c r="Q1474" s="174"/>
      <c r="R1474" s="174"/>
      <c r="S1474" s="174"/>
      <c r="T1474" s="174"/>
      <c r="U1474" s="174"/>
      <c r="V1474" s="174"/>
      <c r="W1474" s="174"/>
      <c r="X1474" s="174"/>
      <c r="Y1474" s="174"/>
      <c r="Z1474" s="174"/>
      <c r="AA1474" s="174"/>
    </row>
    <row r="1475">
      <c r="A1475" s="174"/>
      <c r="B1475" s="174"/>
      <c r="C1475" s="174"/>
      <c r="D1475" s="174"/>
      <c r="E1475" s="174"/>
      <c r="F1475" s="175"/>
      <c r="G1475" s="175"/>
      <c r="H1475" s="174"/>
      <c r="I1475" s="174"/>
      <c r="J1475" s="174"/>
      <c r="K1475" s="174"/>
      <c r="L1475" s="174"/>
      <c r="M1475" s="174"/>
      <c r="N1475" s="174"/>
      <c r="O1475" s="174"/>
      <c r="P1475" s="174"/>
      <c r="Q1475" s="174"/>
      <c r="R1475" s="174"/>
      <c r="S1475" s="174"/>
      <c r="T1475" s="174"/>
      <c r="U1475" s="174"/>
      <c r="V1475" s="174"/>
      <c r="W1475" s="174"/>
      <c r="X1475" s="174"/>
      <c r="Y1475" s="174"/>
      <c r="Z1475" s="174"/>
      <c r="AA1475" s="174"/>
    </row>
    <row r="1476">
      <c r="A1476" s="174"/>
      <c r="B1476" s="174"/>
      <c r="C1476" s="174"/>
      <c r="D1476" s="174"/>
      <c r="E1476" s="174"/>
      <c r="F1476" s="175"/>
      <c r="G1476" s="175"/>
      <c r="H1476" s="174"/>
      <c r="I1476" s="174"/>
      <c r="J1476" s="174"/>
      <c r="K1476" s="174"/>
      <c r="L1476" s="174"/>
      <c r="M1476" s="174"/>
      <c r="N1476" s="174"/>
      <c r="O1476" s="174"/>
      <c r="P1476" s="174"/>
      <c r="Q1476" s="174"/>
      <c r="R1476" s="174"/>
      <c r="S1476" s="174"/>
      <c r="T1476" s="174"/>
      <c r="U1476" s="174"/>
      <c r="V1476" s="174"/>
      <c r="W1476" s="174"/>
      <c r="X1476" s="174"/>
      <c r="Y1476" s="174"/>
      <c r="Z1476" s="174"/>
      <c r="AA1476" s="174"/>
    </row>
    <row r="1477">
      <c r="A1477" s="174"/>
      <c r="B1477" s="174"/>
      <c r="C1477" s="174"/>
      <c r="D1477" s="174"/>
      <c r="E1477" s="174"/>
      <c r="F1477" s="175"/>
      <c r="G1477" s="175"/>
      <c r="H1477" s="174"/>
      <c r="I1477" s="174"/>
      <c r="J1477" s="174"/>
      <c r="K1477" s="174"/>
      <c r="L1477" s="174"/>
      <c r="M1477" s="174"/>
      <c r="N1477" s="174"/>
      <c r="O1477" s="174"/>
      <c r="P1477" s="174"/>
      <c r="Q1477" s="174"/>
      <c r="R1477" s="174"/>
      <c r="S1477" s="174"/>
      <c r="T1477" s="174"/>
      <c r="U1477" s="174"/>
      <c r="V1477" s="174"/>
      <c r="W1477" s="174"/>
      <c r="X1477" s="174"/>
      <c r="Y1477" s="174"/>
      <c r="Z1477" s="174"/>
      <c r="AA1477" s="174"/>
    </row>
    <row r="1478">
      <c r="A1478" s="174"/>
      <c r="B1478" s="174"/>
      <c r="C1478" s="174"/>
      <c r="D1478" s="174"/>
      <c r="E1478" s="174"/>
      <c r="F1478" s="175"/>
      <c r="G1478" s="175"/>
      <c r="H1478" s="174"/>
      <c r="I1478" s="174"/>
      <c r="J1478" s="174"/>
      <c r="K1478" s="174"/>
      <c r="L1478" s="174"/>
      <c r="M1478" s="174"/>
      <c r="N1478" s="174"/>
      <c r="O1478" s="174"/>
      <c r="P1478" s="174"/>
      <c r="Q1478" s="174"/>
      <c r="R1478" s="174"/>
      <c r="S1478" s="174"/>
      <c r="T1478" s="174"/>
      <c r="U1478" s="174"/>
      <c r="V1478" s="174"/>
      <c r="W1478" s="174"/>
      <c r="X1478" s="174"/>
      <c r="Y1478" s="174"/>
      <c r="Z1478" s="174"/>
      <c r="AA1478" s="174"/>
    </row>
    <row r="1479">
      <c r="A1479" s="174"/>
      <c r="B1479" s="174"/>
      <c r="C1479" s="174"/>
      <c r="D1479" s="174"/>
      <c r="E1479" s="174"/>
      <c r="F1479" s="175"/>
      <c r="G1479" s="175"/>
      <c r="H1479" s="174"/>
      <c r="I1479" s="174"/>
      <c r="J1479" s="174"/>
      <c r="K1479" s="174"/>
      <c r="L1479" s="174"/>
      <c r="M1479" s="174"/>
      <c r="N1479" s="174"/>
      <c r="O1479" s="174"/>
      <c r="P1479" s="174"/>
      <c r="Q1479" s="174"/>
      <c r="R1479" s="174"/>
      <c r="S1479" s="174"/>
      <c r="T1479" s="174"/>
      <c r="U1479" s="174"/>
      <c r="V1479" s="174"/>
      <c r="W1479" s="174"/>
      <c r="X1479" s="174"/>
      <c r="Y1479" s="174"/>
      <c r="Z1479" s="174"/>
      <c r="AA1479" s="174"/>
    </row>
    <row r="1480">
      <c r="A1480" s="174"/>
      <c r="B1480" s="174"/>
      <c r="C1480" s="174"/>
      <c r="D1480" s="174"/>
      <c r="E1480" s="174"/>
      <c r="F1480" s="175"/>
      <c r="G1480" s="175"/>
      <c r="H1480" s="174"/>
      <c r="I1480" s="174"/>
      <c r="J1480" s="174"/>
      <c r="K1480" s="174"/>
      <c r="L1480" s="174"/>
      <c r="M1480" s="174"/>
      <c r="N1480" s="174"/>
      <c r="O1480" s="174"/>
      <c r="P1480" s="174"/>
      <c r="Q1480" s="174"/>
      <c r="R1480" s="174"/>
      <c r="S1480" s="174"/>
      <c r="T1480" s="174"/>
      <c r="U1480" s="174"/>
      <c r="V1480" s="174"/>
      <c r="W1480" s="174"/>
      <c r="X1480" s="174"/>
      <c r="Y1480" s="174"/>
      <c r="Z1480" s="174"/>
      <c r="AA1480" s="174"/>
    </row>
    <row r="1481">
      <c r="A1481" s="174"/>
      <c r="B1481" s="174"/>
      <c r="C1481" s="174"/>
      <c r="D1481" s="174"/>
      <c r="E1481" s="174"/>
      <c r="F1481" s="175"/>
      <c r="G1481" s="175"/>
      <c r="H1481" s="174"/>
      <c r="I1481" s="174"/>
      <c r="J1481" s="174"/>
      <c r="K1481" s="174"/>
      <c r="L1481" s="174"/>
      <c r="M1481" s="174"/>
      <c r="N1481" s="174"/>
      <c r="O1481" s="174"/>
      <c r="P1481" s="174"/>
      <c r="Q1481" s="174"/>
      <c r="R1481" s="174"/>
      <c r="S1481" s="174"/>
      <c r="T1481" s="174"/>
      <c r="U1481" s="174"/>
      <c r="V1481" s="174"/>
      <c r="W1481" s="174"/>
      <c r="X1481" s="174"/>
      <c r="Y1481" s="174"/>
      <c r="Z1481" s="174"/>
      <c r="AA1481" s="174"/>
    </row>
    <row r="1482">
      <c r="A1482" s="174"/>
      <c r="B1482" s="174"/>
      <c r="C1482" s="174"/>
      <c r="D1482" s="174"/>
      <c r="E1482" s="174"/>
      <c r="F1482" s="175"/>
      <c r="G1482" s="175"/>
      <c r="H1482" s="174"/>
      <c r="I1482" s="174"/>
      <c r="J1482" s="174"/>
      <c r="K1482" s="174"/>
      <c r="L1482" s="174"/>
      <c r="M1482" s="174"/>
      <c r="N1482" s="174"/>
      <c r="O1482" s="174"/>
      <c r="P1482" s="174"/>
      <c r="Q1482" s="174"/>
      <c r="R1482" s="174"/>
      <c r="S1482" s="174"/>
      <c r="T1482" s="174"/>
      <c r="U1482" s="174"/>
      <c r="V1482" s="174"/>
      <c r="W1482" s="174"/>
      <c r="X1482" s="174"/>
      <c r="Y1482" s="174"/>
      <c r="Z1482" s="174"/>
      <c r="AA1482" s="174"/>
    </row>
    <row r="1483">
      <c r="A1483" s="174"/>
      <c r="B1483" s="174"/>
      <c r="C1483" s="174"/>
      <c r="D1483" s="174"/>
      <c r="E1483" s="174"/>
      <c r="F1483" s="175"/>
      <c r="G1483" s="175"/>
      <c r="H1483" s="174"/>
      <c r="I1483" s="174"/>
      <c r="J1483" s="174"/>
      <c r="K1483" s="174"/>
      <c r="L1483" s="174"/>
      <c r="M1483" s="174"/>
      <c r="N1483" s="174"/>
      <c r="O1483" s="174"/>
      <c r="P1483" s="174"/>
      <c r="Q1483" s="174"/>
      <c r="R1483" s="174"/>
      <c r="S1483" s="174"/>
      <c r="T1483" s="174"/>
      <c r="U1483" s="174"/>
      <c r="V1483" s="174"/>
      <c r="W1483" s="174"/>
      <c r="X1483" s="174"/>
      <c r="Y1483" s="174"/>
      <c r="Z1483" s="174"/>
      <c r="AA1483" s="174"/>
    </row>
    <row r="1484">
      <c r="A1484" s="174"/>
      <c r="B1484" s="174"/>
      <c r="C1484" s="174"/>
      <c r="D1484" s="174"/>
      <c r="E1484" s="174"/>
      <c r="F1484" s="175"/>
      <c r="G1484" s="175"/>
      <c r="H1484" s="174"/>
      <c r="I1484" s="174"/>
      <c r="J1484" s="174"/>
      <c r="K1484" s="174"/>
      <c r="L1484" s="174"/>
      <c r="M1484" s="174"/>
      <c r="N1484" s="174"/>
      <c r="O1484" s="174"/>
      <c r="P1484" s="174"/>
      <c r="Q1484" s="174"/>
      <c r="R1484" s="174"/>
      <c r="S1484" s="174"/>
      <c r="T1484" s="174"/>
      <c r="U1484" s="174"/>
      <c r="V1484" s="174"/>
      <c r="W1484" s="174"/>
      <c r="X1484" s="174"/>
      <c r="Y1484" s="174"/>
      <c r="Z1484" s="174"/>
      <c r="AA1484" s="174"/>
    </row>
    <row r="1485">
      <c r="A1485" s="174"/>
      <c r="B1485" s="174"/>
      <c r="C1485" s="174"/>
      <c r="D1485" s="174"/>
      <c r="E1485" s="174"/>
      <c r="F1485" s="175"/>
      <c r="G1485" s="175"/>
      <c r="H1485" s="174"/>
      <c r="I1485" s="174"/>
      <c r="J1485" s="174"/>
      <c r="K1485" s="174"/>
      <c r="L1485" s="174"/>
      <c r="M1485" s="174"/>
      <c r="N1485" s="174"/>
      <c r="O1485" s="174"/>
      <c r="P1485" s="174"/>
      <c r="Q1485" s="174"/>
      <c r="R1485" s="174"/>
      <c r="S1485" s="174"/>
      <c r="T1485" s="174"/>
      <c r="U1485" s="174"/>
      <c r="V1485" s="174"/>
      <c r="W1485" s="174"/>
      <c r="X1485" s="174"/>
      <c r="Y1485" s="174"/>
      <c r="Z1485" s="174"/>
      <c r="AA1485" s="174"/>
    </row>
    <row r="1486">
      <c r="A1486" s="174"/>
      <c r="B1486" s="174"/>
      <c r="C1486" s="174"/>
      <c r="D1486" s="174"/>
      <c r="E1486" s="174"/>
      <c r="F1486" s="175"/>
      <c r="G1486" s="175"/>
      <c r="H1486" s="174"/>
      <c r="I1486" s="174"/>
      <c r="J1486" s="174"/>
      <c r="K1486" s="174"/>
      <c r="L1486" s="174"/>
      <c r="M1486" s="174"/>
      <c r="N1486" s="174"/>
      <c r="O1486" s="174"/>
      <c r="P1486" s="174"/>
      <c r="Q1486" s="174"/>
      <c r="R1486" s="174"/>
      <c r="S1486" s="174"/>
      <c r="T1486" s="174"/>
      <c r="U1486" s="174"/>
      <c r="V1486" s="174"/>
      <c r="W1486" s="174"/>
      <c r="X1486" s="174"/>
      <c r="Y1486" s="174"/>
      <c r="Z1486" s="174"/>
      <c r="AA1486" s="174"/>
    </row>
    <row r="1487">
      <c r="A1487" s="174"/>
      <c r="B1487" s="174"/>
      <c r="C1487" s="174"/>
      <c r="D1487" s="174"/>
      <c r="E1487" s="174"/>
      <c r="F1487" s="175"/>
      <c r="G1487" s="175"/>
      <c r="H1487" s="174"/>
      <c r="I1487" s="174"/>
      <c r="J1487" s="174"/>
      <c r="K1487" s="174"/>
      <c r="L1487" s="174"/>
      <c r="M1487" s="174"/>
      <c r="N1487" s="174"/>
      <c r="O1487" s="174"/>
      <c r="P1487" s="174"/>
      <c r="Q1487" s="174"/>
      <c r="R1487" s="174"/>
      <c r="S1487" s="174"/>
      <c r="T1487" s="174"/>
      <c r="U1487" s="174"/>
      <c r="V1487" s="174"/>
      <c r="W1487" s="174"/>
      <c r="X1487" s="174"/>
      <c r="Y1487" s="174"/>
      <c r="Z1487" s="174"/>
      <c r="AA1487" s="174"/>
    </row>
    <row r="1488">
      <c r="A1488" s="174"/>
      <c r="B1488" s="174"/>
      <c r="C1488" s="174"/>
      <c r="D1488" s="174"/>
      <c r="E1488" s="174"/>
      <c r="F1488" s="175"/>
      <c r="G1488" s="175"/>
      <c r="H1488" s="174"/>
      <c r="I1488" s="174"/>
      <c r="J1488" s="174"/>
      <c r="K1488" s="174"/>
      <c r="L1488" s="174"/>
      <c r="M1488" s="174"/>
      <c r="N1488" s="174"/>
      <c r="O1488" s="174"/>
      <c r="P1488" s="174"/>
      <c r="Q1488" s="174"/>
      <c r="R1488" s="174"/>
      <c r="S1488" s="174"/>
      <c r="T1488" s="174"/>
      <c r="U1488" s="174"/>
      <c r="V1488" s="174"/>
      <c r="W1488" s="174"/>
      <c r="X1488" s="174"/>
      <c r="Y1488" s="174"/>
      <c r="Z1488" s="174"/>
      <c r="AA1488" s="174"/>
    </row>
    <row r="1489">
      <c r="A1489" s="174"/>
      <c r="B1489" s="174"/>
      <c r="C1489" s="174"/>
      <c r="D1489" s="174"/>
      <c r="E1489" s="174"/>
      <c r="F1489" s="175"/>
      <c r="G1489" s="175"/>
      <c r="H1489" s="174"/>
      <c r="I1489" s="174"/>
      <c r="J1489" s="174"/>
      <c r="K1489" s="174"/>
      <c r="L1489" s="174"/>
      <c r="M1489" s="174"/>
      <c r="N1489" s="174"/>
      <c r="O1489" s="174"/>
      <c r="P1489" s="174"/>
      <c r="Q1489" s="174"/>
      <c r="R1489" s="174"/>
      <c r="S1489" s="174"/>
      <c r="T1489" s="174"/>
      <c r="U1489" s="174"/>
      <c r="V1489" s="174"/>
      <c r="W1489" s="174"/>
      <c r="X1489" s="174"/>
      <c r="Y1489" s="174"/>
      <c r="Z1489" s="174"/>
      <c r="AA1489" s="174"/>
    </row>
    <row r="1490">
      <c r="A1490" s="174"/>
      <c r="B1490" s="174"/>
      <c r="C1490" s="174"/>
      <c r="D1490" s="174"/>
      <c r="E1490" s="174"/>
      <c r="F1490" s="175"/>
      <c r="G1490" s="175"/>
      <c r="H1490" s="174"/>
      <c r="I1490" s="174"/>
      <c r="J1490" s="174"/>
      <c r="K1490" s="174"/>
      <c r="L1490" s="174"/>
      <c r="M1490" s="174"/>
      <c r="N1490" s="174"/>
      <c r="O1490" s="174"/>
      <c r="P1490" s="174"/>
      <c r="Q1490" s="174"/>
      <c r="R1490" s="174"/>
      <c r="S1490" s="174"/>
      <c r="T1490" s="174"/>
      <c r="U1490" s="174"/>
      <c r="V1490" s="174"/>
      <c r="W1490" s="174"/>
      <c r="X1490" s="174"/>
      <c r="Y1490" s="174"/>
      <c r="Z1490" s="174"/>
      <c r="AA1490" s="174"/>
    </row>
    <row r="1491">
      <c r="A1491" s="174"/>
      <c r="B1491" s="174"/>
      <c r="C1491" s="174"/>
      <c r="D1491" s="174"/>
      <c r="E1491" s="174"/>
      <c r="F1491" s="175"/>
      <c r="G1491" s="175"/>
      <c r="H1491" s="174"/>
      <c r="I1491" s="174"/>
      <c r="J1491" s="174"/>
      <c r="K1491" s="174"/>
      <c r="L1491" s="174"/>
      <c r="M1491" s="174"/>
      <c r="N1491" s="174"/>
      <c r="O1491" s="174"/>
      <c r="P1491" s="174"/>
      <c r="Q1491" s="174"/>
      <c r="R1491" s="174"/>
      <c r="S1491" s="174"/>
      <c r="T1491" s="174"/>
      <c r="U1491" s="174"/>
      <c r="V1491" s="174"/>
      <c r="W1491" s="174"/>
      <c r="X1491" s="174"/>
      <c r="Y1491" s="174"/>
      <c r="Z1491" s="174"/>
      <c r="AA1491" s="174"/>
    </row>
    <row r="1492">
      <c r="A1492" s="174"/>
      <c r="B1492" s="174"/>
      <c r="C1492" s="174"/>
      <c r="D1492" s="174"/>
      <c r="E1492" s="174"/>
      <c r="F1492" s="175"/>
      <c r="G1492" s="175"/>
      <c r="H1492" s="174"/>
      <c r="I1492" s="174"/>
      <c r="J1492" s="174"/>
      <c r="K1492" s="174"/>
      <c r="L1492" s="174"/>
      <c r="M1492" s="174"/>
      <c r="N1492" s="174"/>
      <c r="O1492" s="174"/>
      <c r="P1492" s="174"/>
      <c r="Q1492" s="174"/>
      <c r="R1492" s="174"/>
      <c r="S1492" s="174"/>
      <c r="T1492" s="174"/>
      <c r="U1492" s="174"/>
      <c r="V1492" s="174"/>
      <c r="W1492" s="174"/>
      <c r="X1492" s="174"/>
      <c r="Y1492" s="174"/>
      <c r="Z1492" s="174"/>
      <c r="AA1492" s="174"/>
    </row>
    <row r="1493">
      <c r="A1493" s="174"/>
      <c r="B1493" s="174"/>
      <c r="C1493" s="174"/>
      <c r="D1493" s="174"/>
      <c r="E1493" s="174"/>
      <c r="F1493" s="175"/>
      <c r="G1493" s="175"/>
      <c r="H1493" s="174"/>
      <c r="I1493" s="174"/>
      <c r="J1493" s="174"/>
      <c r="K1493" s="174"/>
      <c r="L1493" s="174"/>
      <c r="M1493" s="174"/>
      <c r="N1493" s="174"/>
      <c r="O1493" s="174"/>
      <c r="P1493" s="174"/>
      <c r="Q1493" s="174"/>
      <c r="R1493" s="174"/>
      <c r="S1493" s="174"/>
      <c r="T1493" s="174"/>
      <c r="U1493" s="174"/>
      <c r="V1493" s="174"/>
      <c r="W1493" s="174"/>
      <c r="X1493" s="174"/>
      <c r="Y1493" s="174"/>
      <c r="Z1493" s="174"/>
      <c r="AA1493" s="174"/>
    </row>
    <row r="1494">
      <c r="A1494" s="174"/>
      <c r="B1494" s="174"/>
      <c r="C1494" s="174"/>
      <c r="D1494" s="174"/>
      <c r="E1494" s="174"/>
      <c r="F1494" s="175"/>
      <c r="G1494" s="175"/>
      <c r="H1494" s="174"/>
      <c r="I1494" s="174"/>
      <c r="J1494" s="174"/>
      <c r="K1494" s="174"/>
      <c r="L1494" s="174"/>
      <c r="M1494" s="174"/>
      <c r="N1494" s="174"/>
      <c r="O1494" s="174"/>
      <c r="P1494" s="174"/>
      <c r="Q1494" s="174"/>
      <c r="R1494" s="174"/>
      <c r="S1494" s="174"/>
      <c r="T1494" s="174"/>
      <c r="U1494" s="174"/>
      <c r="V1494" s="174"/>
      <c r="W1494" s="174"/>
      <c r="X1494" s="174"/>
      <c r="Y1494" s="174"/>
      <c r="Z1494" s="174"/>
      <c r="AA1494" s="174"/>
    </row>
    <row r="1495">
      <c r="A1495" s="174"/>
      <c r="B1495" s="174"/>
      <c r="C1495" s="174"/>
      <c r="D1495" s="174"/>
      <c r="E1495" s="174"/>
      <c r="F1495" s="175"/>
      <c r="G1495" s="175"/>
      <c r="H1495" s="174"/>
      <c r="I1495" s="174"/>
      <c r="J1495" s="174"/>
      <c r="K1495" s="174"/>
      <c r="L1495" s="174"/>
      <c r="M1495" s="174"/>
      <c r="N1495" s="174"/>
      <c r="O1495" s="174"/>
      <c r="P1495" s="174"/>
      <c r="Q1495" s="174"/>
      <c r="R1495" s="174"/>
      <c r="S1495" s="174"/>
      <c r="T1495" s="174"/>
      <c r="U1495" s="174"/>
      <c r="V1495" s="174"/>
      <c r="W1495" s="174"/>
      <c r="X1495" s="174"/>
      <c r="Y1495" s="174"/>
      <c r="Z1495" s="174"/>
      <c r="AA1495" s="174"/>
    </row>
    <row r="1496">
      <c r="A1496" s="174"/>
      <c r="B1496" s="174"/>
      <c r="C1496" s="174"/>
      <c r="D1496" s="174"/>
      <c r="E1496" s="174"/>
      <c r="F1496" s="175"/>
      <c r="G1496" s="175"/>
      <c r="H1496" s="174"/>
      <c r="I1496" s="174"/>
      <c r="J1496" s="174"/>
      <c r="K1496" s="174"/>
      <c r="L1496" s="174"/>
      <c r="M1496" s="174"/>
      <c r="N1496" s="174"/>
      <c r="O1496" s="174"/>
      <c r="P1496" s="174"/>
      <c r="Q1496" s="174"/>
      <c r="R1496" s="174"/>
      <c r="S1496" s="174"/>
      <c r="T1496" s="174"/>
      <c r="U1496" s="174"/>
      <c r="V1496" s="174"/>
      <c r="W1496" s="174"/>
      <c r="X1496" s="174"/>
      <c r="Y1496" s="174"/>
      <c r="Z1496" s="174"/>
      <c r="AA1496" s="174"/>
    </row>
    <row r="1497">
      <c r="A1497" s="174"/>
      <c r="B1497" s="174"/>
      <c r="C1497" s="174"/>
      <c r="D1497" s="174"/>
      <c r="E1497" s="174"/>
      <c r="F1497" s="175"/>
      <c r="G1497" s="175"/>
      <c r="H1497" s="174"/>
      <c r="I1497" s="174"/>
      <c r="J1497" s="174"/>
      <c r="K1497" s="174"/>
      <c r="L1497" s="174"/>
      <c r="M1497" s="174"/>
      <c r="N1497" s="174"/>
      <c r="O1497" s="174"/>
      <c r="P1497" s="174"/>
      <c r="Q1497" s="174"/>
      <c r="R1497" s="174"/>
      <c r="S1497" s="174"/>
      <c r="T1497" s="174"/>
      <c r="U1497" s="174"/>
      <c r="V1497" s="174"/>
      <c r="W1497" s="174"/>
      <c r="X1497" s="174"/>
      <c r="Y1497" s="174"/>
      <c r="Z1497" s="174"/>
      <c r="AA1497" s="174"/>
    </row>
    <row r="1498">
      <c r="A1498" s="174"/>
      <c r="B1498" s="174"/>
      <c r="C1498" s="174"/>
      <c r="D1498" s="174"/>
      <c r="E1498" s="174"/>
      <c r="F1498" s="175"/>
      <c r="G1498" s="175"/>
      <c r="H1498" s="174"/>
      <c r="I1498" s="174"/>
      <c r="J1498" s="174"/>
      <c r="K1498" s="174"/>
      <c r="L1498" s="174"/>
      <c r="M1498" s="174"/>
      <c r="N1498" s="174"/>
      <c r="O1498" s="174"/>
      <c r="P1498" s="174"/>
      <c r="Q1498" s="174"/>
      <c r="R1498" s="174"/>
      <c r="S1498" s="174"/>
      <c r="T1498" s="174"/>
      <c r="U1498" s="174"/>
      <c r="V1498" s="174"/>
      <c r="W1498" s="174"/>
      <c r="X1498" s="174"/>
      <c r="Y1498" s="174"/>
      <c r="Z1498" s="174"/>
      <c r="AA1498" s="174"/>
    </row>
    <row r="1499">
      <c r="A1499" s="174"/>
      <c r="B1499" s="174"/>
      <c r="C1499" s="174"/>
      <c r="D1499" s="174"/>
      <c r="E1499" s="174"/>
      <c r="F1499" s="175"/>
      <c r="G1499" s="175"/>
      <c r="H1499" s="174"/>
      <c r="I1499" s="174"/>
      <c r="J1499" s="174"/>
      <c r="K1499" s="174"/>
      <c r="L1499" s="174"/>
      <c r="M1499" s="174"/>
      <c r="N1499" s="174"/>
      <c r="O1499" s="174"/>
      <c r="P1499" s="174"/>
      <c r="Q1499" s="174"/>
      <c r="R1499" s="174"/>
      <c r="S1499" s="174"/>
      <c r="T1499" s="174"/>
      <c r="U1499" s="174"/>
      <c r="V1499" s="174"/>
      <c r="W1499" s="174"/>
      <c r="X1499" s="174"/>
      <c r="Y1499" s="174"/>
      <c r="Z1499" s="174"/>
      <c r="AA1499" s="174"/>
    </row>
    <row r="1500">
      <c r="A1500" s="174"/>
      <c r="B1500" s="174"/>
      <c r="C1500" s="174"/>
      <c r="D1500" s="174"/>
      <c r="E1500" s="174"/>
      <c r="F1500" s="175"/>
      <c r="G1500" s="175"/>
      <c r="H1500" s="174"/>
      <c r="I1500" s="174"/>
      <c r="J1500" s="174"/>
      <c r="K1500" s="174"/>
      <c r="L1500" s="174"/>
      <c r="M1500" s="174"/>
      <c r="N1500" s="174"/>
      <c r="O1500" s="174"/>
      <c r="P1500" s="174"/>
      <c r="Q1500" s="174"/>
      <c r="R1500" s="174"/>
      <c r="S1500" s="174"/>
      <c r="T1500" s="174"/>
      <c r="U1500" s="174"/>
      <c r="V1500" s="174"/>
      <c r="W1500" s="174"/>
      <c r="X1500" s="174"/>
      <c r="Y1500" s="174"/>
      <c r="Z1500" s="174"/>
      <c r="AA1500" s="174"/>
    </row>
    <row r="1501">
      <c r="A1501" s="174"/>
      <c r="B1501" s="174"/>
      <c r="C1501" s="174"/>
      <c r="D1501" s="174"/>
      <c r="E1501" s="174"/>
      <c r="F1501" s="175"/>
      <c r="G1501" s="175"/>
      <c r="H1501" s="174"/>
      <c r="I1501" s="174"/>
      <c r="J1501" s="174"/>
      <c r="K1501" s="174"/>
      <c r="L1501" s="174"/>
      <c r="M1501" s="174"/>
      <c r="N1501" s="174"/>
      <c r="O1501" s="174"/>
      <c r="P1501" s="174"/>
      <c r="Q1501" s="174"/>
      <c r="R1501" s="174"/>
      <c r="S1501" s="174"/>
      <c r="T1501" s="174"/>
      <c r="U1501" s="174"/>
      <c r="V1501" s="174"/>
      <c r="W1501" s="174"/>
      <c r="X1501" s="174"/>
      <c r="Y1501" s="174"/>
      <c r="Z1501" s="174"/>
      <c r="AA1501" s="174"/>
    </row>
    <row r="1502">
      <c r="A1502" s="174"/>
      <c r="B1502" s="174"/>
      <c r="C1502" s="174"/>
      <c r="D1502" s="174"/>
      <c r="E1502" s="174"/>
      <c r="F1502" s="175"/>
      <c r="G1502" s="175"/>
      <c r="H1502" s="174"/>
      <c r="I1502" s="174"/>
      <c r="J1502" s="174"/>
      <c r="K1502" s="174"/>
      <c r="L1502" s="174"/>
      <c r="M1502" s="174"/>
      <c r="N1502" s="174"/>
      <c r="O1502" s="174"/>
      <c r="P1502" s="174"/>
      <c r="Q1502" s="174"/>
      <c r="R1502" s="174"/>
      <c r="S1502" s="174"/>
      <c r="T1502" s="174"/>
      <c r="U1502" s="174"/>
      <c r="V1502" s="174"/>
      <c r="W1502" s="174"/>
      <c r="X1502" s="174"/>
      <c r="Y1502" s="174"/>
      <c r="Z1502" s="174"/>
      <c r="AA1502" s="174"/>
    </row>
    <row r="1503">
      <c r="A1503" s="174"/>
      <c r="B1503" s="174"/>
      <c r="C1503" s="174"/>
      <c r="D1503" s="174"/>
      <c r="E1503" s="174"/>
      <c r="F1503" s="175"/>
      <c r="G1503" s="175"/>
      <c r="H1503" s="174"/>
      <c r="I1503" s="174"/>
      <c r="J1503" s="174"/>
      <c r="K1503" s="174"/>
      <c r="L1503" s="174"/>
      <c r="M1503" s="174"/>
      <c r="N1503" s="174"/>
      <c r="O1503" s="174"/>
      <c r="P1503" s="174"/>
      <c r="Q1503" s="174"/>
      <c r="R1503" s="174"/>
      <c r="S1503" s="174"/>
      <c r="T1503" s="174"/>
      <c r="U1503" s="174"/>
      <c r="V1503" s="174"/>
      <c r="W1503" s="174"/>
      <c r="X1503" s="174"/>
      <c r="Y1503" s="174"/>
      <c r="Z1503" s="174"/>
      <c r="AA1503" s="174"/>
    </row>
    <row r="1504">
      <c r="A1504" s="174"/>
      <c r="B1504" s="174"/>
      <c r="C1504" s="174"/>
      <c r="D1504" s="174"/>
      <c r="E1504" s="174"/>
      <c r="F1504" s="175"/>
      <c r="G1504" s="175"/>
      <c r="H1504" s="174"/>
      <c r="I1504" s="174"/>
      <c r="J1504" s="174"/>
      <c r="K1504" s="174"/>
      <c r="L1504" s="174"/>
      <c r="M1504" s="174"/>
      <c r="N1504" s="174"/>
      <c r="O1504" s="174"/>
      <c r="P1504" s="174"/>
      <c r="Q1504" s="174"/>
      <c r="R1504" s="174"/>
      <c r="S1504" s="174"/>
      <c r="T1504" s="174"/>
      <c r="U1504" s="174"/>
      <c r="V1504" s="174"/>
      <c r="W1504" s="174"/>
      <c r="X1504" s="174"/>
      <c r="Y1504" s="174"/>
      <c r="Z1504" s="174"/>
      <c r="AA1504" s="174"/>
    </row>
    <row r="1505">
      <c r="A1505" s="174"/>
      <c r="B1505" s="174"/>
      <c r="C1505" s="174"/>
      <c r="D1505" s="174"/>
      <c r="E1505" s="174"/>
      <c r="F1505" s="175"/>
      <c r="G1505" s="175"/>
      <c r="H1505" s="174"/>
      <c r="I1505" s="174"/>
      <c r="J1505" s="174"/>
      <c r="K1505" s="174"/>
      <c r="L1505" s="174"/>
      <c r="M1505" s="174"/>
      <c r="N1505" s="174"/>
      <c r="O1505" s="174"/>
      <c r="P1505" s="174"/>
      <c r="Q1505" s="174"/>
      <c r="R1505" s="174"/>
      <c r="S1505" s="174"/>
      <c r="T1505" s="174"/>
      <c r="U1505" s="174"/>
      <c r="V1505" s="174"/>
      <c r="W1505" s="174"/>
      <c r="X1505" s="174"/>
      <c r="Y1505" s="174"/>
      <c r="Z1505" s="174"/>
      <c r="AA1505" s="174"/>
    </row>
    <row r="1506">
      <c r="A1506" s="174"/>
      <c r="B1506" s="174"/>
      <c r="C1506" s="174"/>
      <c r="D1506" s="174"/>
      <c r="E1506" s="174"/>
      <c r="F1506" s="175"/>
      <c r="G1506" s="175"/>
      <c r="H1506" s="174"/>
      <c r="I1506" s="174"/>
      <c r="J1506" s="174"/>
      <c r="K1506" s="174"/>
      <c r="L1506" s="174"/>
      <c r="M1506" s="174"/>
      <c r="N1506" s="174"/>
      <c r="O1506" s="174"/>
      <c r="P1506" s="174"/>
      <c r="Q1506" s="174"/>
      <c r="R1506" s="174"/>
      <c r="S1506" s="174"/>
      <c r="T1506" s="174"/>
      <c r="U1506" s="174"/>
      <c r="V1506" s="174"/>
      <c r="W1506" s="174"/>
      <c r="X1506" s="174"/>
      <c r="Y1506" s="174"/>
      <c r="Z1506" s="174"/>
      <c r="AA1506" s="174"/>
    </row>
    <row r="1507">
      <c r="A1507" s="174"/>
      <c r="B1507" s="174"/>
      <c r="C1507" s="174"/>
      <c r="D1507" s="174"/>
      <c r="E1507" s="174"/>
      <c r="F1507" s="175"/>
      <c r="G1507" s="175"/>
      <c r="H1507" s="174"/>
      <c r="I1507" s="174"/>
      <c r="J1507" s="174"/>
      <c r="K1507" s="174"/>
      <c r="L1507" s="174"/>
      <c r="M1507" s="174"/>
      <c r="N1507" s="174"/>
      <c r="O1507" s="174"/>
      <c r="P1507" s="174"/>
      <c r="Q1507" s="174"/>
      <c r="R1507" s="174"/>
      <c r="S1507" s="174"/>
      <c r="T1507" s="174"/>
      <c r="U1507" s="174"/>
      <c r="V1507" s="174"/>
      <c r="W1507" s="174"/>
      <c r="X1507" s="174"/>
      <c r="Y1507" s="174"/>
      <c r="Z1507" s="174"/>
      <c r="AA1507" s="174"/>
    </row>
    <row r="1508">
      <c r="A1508" s="174"/>
      <c r="B1508" s="174"/>
      <c r="C1508" s="174"/>
      <c r="D1508" s="174"/>
      <c r="E1508" s="174"/>
      <c r="F1508" s="175"/>
      <c r="G1508" s="175"/>
      <c r="H1508" s="174"/>
      <c r="I1508" s="174"/>
      <c r="J1508" s="174"/>
      <c r="K1508" s="174"/>
      <c r="L1508" s="174"/>
      <c r="M1508" s="174"/>
      <c r="N1508" s="174"/>
      <c r="O1508" s="174"/>
      <c r="P1508" s="174"/>
      <c r="Q1508" s="174"/>
      <c r="R1508" s="174"/>
      <c r="S1508" s="174"/>
      <c r="T1508" s="174"/>
      <c r="U1508" s="174"/>
      <c r="V1508" s="174"/>
      <c r="W1508" s="174"/>
      <c r="X1508" s="174"/>
      <c r="Y1508" s="174"/>
      <c r="Z1508" s="174"/>
      <c r="AA1508" s="174"/>
    </row>
    <row r="1509">
      <c r="A1509" s="174"/>
      <c r="B1509" s="174"/>
      <c r="C1509" s="174"/>
      <c r="D1509" s="174"/>
      <c r="E1509" s="174"/>
      <c r="F1509" s="175"/>
      <c r="G1509" s="175"/>
      <c r="H1509" s="174"/>
      <c r="I1509" s="174"/>
      <c r="J1509" s="174"/>
      <c r="K1509" s="174"/>
      <c r="L1509" s="174"/>
      <c r="M1509" s="174"/>
      <c r="N1509" s="174"/>
      <c r="O1509" s="174"/>
      <c r="P1509" s="174"/>
      <c r="Q1509" s="174"/>
      <c r="R1509" s="174"/>
      <c r="S1509" s="174"/>
      <c r="T1509" s="174"/>
      <c r="U1509" s="174"/>
      <c r="V1509" s="174"/>
      <c r="W1509" s="174"/>
      <c r="X1509" s="174"/>
      <c r="Y1509" s="174"/>
      <c r="Z1509" s="174"/>
      <c r="AA1509" s="174"/>
    </row>
    <row r="1510">
      <c r="A1510" s="174"/>
      <c r="B1510" s="174"/>
      <c r="C1510" s="174"/>
      <c r="D1510" s="174"/>
      <c r="E1510" s="174"/>
      <c r="F1510" s="175"/>
      <c r="G1510" s="175"/>
      <c r="H1510" s="174"/>
      <c r="I1510" s="174"/>
      <c r="J1510" s="174"/>
      <c r="K1510" s="174"/>
      <c r="L1510" s="174"/>
      <c r="M1510" s="174"/>
      <c r="N1510" s="174"/>
      <c r="O1510" s="174"/>
      <c r="P1510" s="174"/>
      <c r="Q1510" s="174"/>
      <c r="R1510" s="174"/>
      <c r="S1510" s="174"/>
      <c r="T1510" s="174"/>
      <c r="U1510" s="174"/>
      <c r="V1510" s="174"/>
      <c r="W1510" s="174"/>
      <c r="X1510" s="174"/>
      <c r="Y1510" s="174"/>
      <c r="Z1510" s="174"/>
      <c r="AA1510" s="174"/>
    </row>
    <row r="1511">
      <c r="A1511" s="174"/>
      <c r="B1511" s="174"/>
      <c r="C1511" s="174"/>
      <c r="D1511" s="174"/>
      <c r="E1511" s="174"/>
      <c r="F1511" s="175"/>
      <c r="G1511" s="175"/>
      <c r="H1511" s="174"/>
      <c r="I1511" s="174"/>
      <c r="J1511" s="174"/>
      <c r="K1511" s="174"/>
      <c r="L1511" s="174"/>
      <c r="M1511" s="174"/>
      <c r="N1511" s="174"/>
      <c r="O1511" s="174"/>
      <c r="P1511" s="174"/>
      <c r="Q1511" s="174"/>
      <c r="R1511" s="174"/>
      <c r="S1511" s="174"/>
      <c r="T1511" s="174"/>
      <c r="U1511" s="174"/>
      <c r="V1511" s="174"/>
      <c r="W1511" s="174"/>
      <c r="X1511" s="174"/>
      <c r="Y1511" s="174"/>
      <c r="Z1511" s="174"/>
      <c r="AA1511" s="174"/>
    </row>
    <row r="1512">
      <c r="A1512" s="174"/>
      <c r="B1512" s="174"/>
      <c r="C1512" s="174"/>
      <c r="D1512" s="174"/>
      <c r="E1512" s="174"/>
      <c r="F1512" s="175"/>
      <c r="G1512" s="175"/>
      <c r="H1512" s="174"/>
      <c r="I1512" s="174"/>
      <c r="J1512" s="174"/>
      <c r="K1512" s="174"/>
      <c r="L1512" s="174"/>
      <c r="M1512" s="174"/>
      <c r="N1512" s="174"/>
      <c r="O1512" s="174"/>
      <c r="P1512" s="174"/>
      <c r="Q1512" s="174"/>
      <c r="R1512" s="174"/>
      <c r="S1512" s="174"/>
      <c r="T1512" s="174"/>
      <c r="U1512" s="174"/>
      <c r="V1512" s="174"/>
      <c r="W1512" s="174"/>
      <c r="X1512" s="174"/>
      <c r="Y1512" s="174"/>
      <c r="Z1512" s="174"/>
      <c r="AA1512" s="174"/>
    </row>
    <row r="1513">
      <c r="A1513" s="174"/>
      <c r="B1513" s="174"/>
      <c r="C1513" s="174"/>
      <c r="D1513" s="174"/>
      <c r="E1513" s="174"/>
      <c r="F1513" s="175"/>
      <c r="G1513" s="175"/>
      <c r="H1513" s="174"/>
      <c r="I1513" s="174"/>
      <c r="J1513" s="174"/>
      <c r="K1513" s="174"/>
      <c r="L1513" s="174"/>
      <c r="M1513" s="174"/>
      <c r="N1513" s="174"/>
      <c r="O1513" s="174"/>
      <c r="P1513" s="174"/>
      <c r="Q1513" s="174"/>
      <c r="R1513" s="174"/>
      <c r="S1513" s="174"/>
      <c r="T1513" s="174"/>
      <c r="U1513" s="174"/>
      <c r="V1513" s="174"/>
      <c r="W1513" s="174"/>
      <c r="X1513" s="174"/>
      <c r="Y1513" s="174"/>
      <c r="Z1513" s="174"/>
      <c r="AA1513" s="174"/>
    </row>
    <row r="1514">
      <c r="A1514" s="174"/>
      <c r="B1514" s="174"/>
      <c r="C1514" s="174"/>
      <c r="D1514" s="174"/>
      <c r="E1514" s="174"/>
      <c r="F1514" s="175"/>
      <c r="G1514" s="175"/>
      <c r="H1514" s="174"/>
      <c r="I1514" s="174"/>
      <c r="J1514" s="174"/>
      <c r="K1514" s="174"/>
      <c r="L1514" s="174"/>
      <c r="M1514" s="174"/>
      <c r="N1514" s="174"/>
      <c r="O1514" s="174"/>
      <c r="P1514" s="174"/>
      <c r="Q1514" s="174"/>
      <c r="R1514" s="174"/>
      <c r="S1514" s="174"/>
      <c r="T1514" s="174"/>
      <c r="U1514" s="174"/>
      <c r="V1514" s="174"/>
      <c r="W1514" s="174"/>
      <c r="X1514" s="174"/>
      <c r="Y1514" s="174"/>
      <c r="Z1514" s="174"/>
      <c r="AA1514" s="174"/>
    </row>
    <row r="1515">
      <c r="A1515" s="174"/>
      <c r="B1515" s="174"/>
      <c r="C1515" s="174"/>
      <c r="D1515" s="174"/>
      <c r="E1515" s="174"/>
      <c r="F1515" s="175"/>
      <c r="G1515" s="175"/>
      <c r="H1515" s="174"/>
      <c r="I1515" s="174"/>
      <c r="J1515" s="174"/>
      <c r="K1515" s="174"/>
      <c r="L1515" s="174"/>
      <c r="M1515" s="174"/>
      <c r="N1515" s="174"/>
      <c r="O1515" s="174"/>
      <c r="P1515" s="174"/>
      <c r="Q1515" s="174"/>
      <c r="R1515" s="174"/>
      <c r="S1515" s="174"/>
      <c r="T1515" s="174"/>
      <c r="U1515" s="174"/>
      <c r="V1515" s="174"/>
      <c r="W1515" s="174"/>
      <c r="X1515" s="174"/>
      <c r="Y1515" s="174"/>
      <c r="Z1515" s="174"/>
      <c r="AA1515" s="174"/>
    </row>
    <row r="1516">
      <c r="A1516" s="174"/>
      <c r="B1516" s="174"/>
      <c r="C1516" s="174"/>
      <c r="D1516" s="174"/>
      <c r="E1516" s="174"/>
      <c r="F1516" s="175"/>
      <c r="G1516" s="175"/>
      <c r="H1516" s="174"/>
      <c r="I1516" s="174"/>
      <c r="J1516" s="174"/>
      <c r="K1516" s="174"/>
      <c r="L1516" s="174"/>
      <c r="M1516" s="174"/>
      <c r="N1516" s="174"/>
      <c r="O1516" s="174"/>
      <c r="P1516" s="174"/>
      <c r="Q1516" s="174"/>
      <c r="R1516" s="174"/>
      <c r="S1516" s="174"/>
      <c r="T1516" s="174"/>
      <c r="U1516" s="174"/>
      <c r="V1516" s="174"/>
      <c r="W1516" s="174"/>
      <c r="X1516" s="174"/>
      <c r="Y1516" s="174"/>
      <c r="Z1516" s="174"/>
      <c r="AA1516" s="174"/>
    </row>
    <row r="1517">
      <c r="A1517" s="174"/>
      <c r="B1517" s="174"/>
      <c r="C1517" s="174"/>
      <c r="D1517" s="174"/>
      <c r="E1517" s="174"/>
      <c r="F1517" s="175"/>
      <c r="G1517" s="175"/>
      <c r="H1517" s="174"/>
      <c r="I1517" s="174"/>
      <c r="J1517" s="174"/>
      <c r="K1517" s="174"/>
      <c r="L1517" s="174"/>
      <c r="M1517" s="174"/>
      <c r="N1517" s="174"/>
      <c r="O1517" s="174"/>
      <c r="P1517" s="174"/>
      <c r="Q1517" s="174"/>
      <c r="R1517" s="174"/>
      <c r="S1517" s="174"/>
      <c r="T1517" s="174"/>
      <c r="U1517" s="174"/>
      <c r="V1517" s="174"/>
      <c r="W1517" s="174"/>
      <c r="X1517" s="174"/>
      <c r="Y1517" s="174"/>
      <c r="Z1517" s="174"/>
      <c r="AA1517" s="174"/>
    </row>
    <row r="1518">
      <c r="A1518" s="174"/>
      <c r="B1518" s="174"/>
      <c r="C1518" s="174"/>
      <c r="D1518" s="174"/>
      <c r="E1518" s="174"/>
      <c r="F1518" s="175"/>
      <c r="G1518" s="175"/>
      <c r="H1518" s="174"/>
      <c r="I1518" s="174"/>
      <c r="J1518" s="174"/>
      <c r="K1518" s="174"/>
      <c r="L1518" s="174"/>
      <c r="M1518" s="174"/>
      <c r="N1518" s="174"/>
      <c r="O1518" s="174"/>
      <c r="P1518" s="174"/>
      <c r="Q1518" s="174"/>
      <c r="R1518" s="174"/>
      <c r="S1518" s="174"/>
      <c r="T1518" s="174"/>
      <c r="U1518" s="174"/>
      <c r="V1518" s="174"/>
      <c r="W1518" s="174"/>
      <c r="X1518" s="174"/>
      <c r="Y1518" s="174"/>
      <c r="Z1518" s="174"/>
      <c r="AA1518" s="174"/>
    </row>
    <row r="1519">
      <c r="A1519" s="174"/>
      <c r="B1519" s="174"/>
      <c r="C1519" s="174"/>
      <c r="D1519" s="174"/>
      <c r="E1519" s="174"/>
      <c r="F1519" s="175"/>
      <c r="G1519" s="175"/>
      <c r="H1519" s="174"/>
      <c r="I1519" s="174"/>
      <c r="J1519" s="174"/>
      <c r="K1519" s="174"/>
      <c r="L1519" s="174"/>
      <c r="M1519" s="174"/>
      <c r="N1519" s="174"/>
      <c r="O1519" s="174"/>
      <c r="P1519" s="174"/>
      <c r="Q1519" s="174"/>
      <c r="R1519" s="174"/>
      <c r="S1519" s="174"/>
      <c r="T1519" s="174"/>
      <c r="U1519" s="174"/>
      <c r="V1519" s="174"/>
      <c r="W1519" s="174"/>
      <c r="X1519" s="174"/>
      <c r="Y1519" s="174"/>
      <c r="Z1519" s="174"/>
      <c r="AA1519" s="174"/>
    </row>
    <row r="1520">
      <c r="A1520" s="174"/>
      <c r="B1520" s="174"/>
      <c r="C1520" s="174"/>
      <c r="D1520" s="174"/>
      <c r="E1520" s="174"/>
      <c r="F1520" s="175"/>
      <c r="G1520" s="175"/>
      <c r="H1520" s="174"/>
      <c r="I1520" s="174"/>
      <c r="J1520" s="174"/>
      <c r="K1520" s="174"/>
      <c r="L1520" s="174"/>
      <c r="M1520" s="174"/>
      <c r="N1520" s="174"/>
      <c r="O1520" s="174"/>
      <c r="P1520" s="174"/>
      <c r="Q1520" s="174"/>
      <c r="R1520" s="174"/>
      <c r="S1520" s="174"/>
      <c r="T1520" s="174"/>
      <c r="U1520" s="174"/>
      <c r="V1520" s="174"/>
      <c r="W1520" s="174"/>
      <c r="X1520" s="174"/>
      <c r="Y1520" s="174"/>
      <c r="Z1520" s="174"/>
      <c r="AA1520" s="174"/>
    </row>
    <row r="1521">
      <c r="A1521" s="174"/>
      <c r="B1521" s="174"/>
      <c r="C1521" s="174"/>
      <c r="D1521" s="174"/>
      <c r="E1521" s="174"/>
      <c r="F1521" s="175"/>
      <c r="G1521" s="175"/>
      <c r="H1521" s="174"/>
      <c r="I1521" s="174"/>
      <c r="J1521" s="174"/>
      <c r="K1521" s="174"/>
      <c r="L1521" s="174"/>
      <c r="M1521" s="174"/>
      <c r="N1521" s="174"/>
      <c r="O1521" s="174"/>
      <c r="P1521" s="174"/>
      <c r="Q1521" s="174"/>
      <c r="R1521" s="174"/>
      <c r="S1521" s="174"/>
      <c r="T1521" s="174"/>
      <c r="U1521" s="174"/>
      <c r="V1521" s="174"/>
      <c r="W1521" s="174"/>
      <c r="X1521" s="174"/>
      <c r="Y1521" s="174"/>
      <c r="Z1521" s="174"/>
      <c r="AA1521" s="174"/>
    </row>
    <row r="1522">
      <c r="A1522" s="174"/>
      <c r="B1522" s="174"/>
      <c r="C1522" s="174"/>
      <c r="D1522" s="174"/>
      <c r="E1522" s="174"/>
      <c r="F1522" s="175"/>
      <c r="G1522" s="175"/>
      <c r="H1522" s="174"/>
      <c r="I1522" s="174"/>
      <c r="J1522" s="174"/>
      <c r="K1522" s="174"/>
      <c r="L1522" s="174"/>
      <c r="M1522" s="174"/>
      <c r="N1522" s="174"/>
      <c r="O1522" s="174"/>
      <c r="P1522" s="174"/>
      <c r="Q1522" s="174"/>
      <c r="R1522" s="174"/>
      <c r="S1522" s="174"/>
      <c r="T1522" s="174"/>
      <c r="U1522" s="174"/>
      <c r="V1522" s="174"/>
      <c r="W1522" s="174"/>
      <c r="X1522" s="174"/>
      <c r="Y1522" s="174"/>
      <c r="Z1522" s="174"/>
      <c r="AA1522" s="174"/>
    </row>
    <row r="1523">
      <c r="A1523" s="174"/>
      <c r="B1523" s="174"/>
      <c r="C1523" s="174"/>
      <c r="D1523" s="174"/>
      <c r="E1523" s="174"/>
      <c r="F1523" s="175"/>
      <c r="G1523" s="175"/>
      <c r="H1523" s="174"/>
      <c r="I1523" s="174"/>
      <c r="J1523" s="174"/>
      <c r="K1523" s="174"/>
      <c r="L1523" s="174"/>
      <c r="M1523" s="174"/>
      <c r="N1523" s="174"/>
      <c r="O1523" s="174"/>
      <c r="P1523" s="174"/>
      <c r="Q1523" s="174"/>
      <c r="R1523" s="174"/>
      <c r="S1523" s="174"/>
      <c r="T1523" s="174"/>
      <c r="U1523" s="174"/>
      <c r="V1523" s="174"/>
      <c r="W1523" s="174"/>
      <c r="X1523" s="174"/>
      <c r="Y1523" s="174"/>
      <c r="Z1523" s="174"/>
      <c r="AA1523" s="174"/>
    </row>
    <row r="1524">
      <c r="A1524" s="174"/>
      <c r="B1524" s="174"/>
      <c r="C1524" s="174"/>
      <c r="D1524" s="174"/>
      <c r="E1524" s="174"/>
      <c r="F1524" s="175"/>
      <c r="G1524" s="175"/>
      <c r="H1524" s="174"/>
      <c r="I1524" s="174"/>
      <c r="J1524" s="174"/>
      <c r="K1524" s="174"/>
      <c r="L1524" s="174"/>
      <c r="M1524" s="174"/>
      <c r="N1524" s="174"/>
      <c r="O1524" s="174"/>
      <c r="P1524" s="174"/>
      <c r="Q1524" s="174"/>
      <c r="R1524" s="174"/>
      <c r="S1524" s="174"/>
      <c r="T1524" s="174"/>
      <c r="U1524" s="174"/>
      <c r="V1524" s="174"/>
      <c r="W1524" s="174"/>
      <c r="X1524" s="174"/>
      <c r="Y1524" s="174"/>
      <c r="Z1524" s="174"/>
      <c r="AA1524" s="174"/>
    </row>
    <row r="1525">
      <c r="A1525" s="174"/>
      <c r="B1525" s="174"/>
      <c r="C1525" s="174"/>
      <c r="D1525" s="174"/>
      <c r="E1525" s="174"/>
      <c r="F1525" s="175"/>
      <c r="G1525" s="175"/>
      <c r="H1525" s="174"/>
      <c r="I1525" s="174"/>
      <c r="J1525" s="174"/>
      <c r="K1525" s="174"/>
      <c r="L1525" s="174"/>
      <c r="M1525" s="174"/>
      <c r="N1525" s="174"/>
      <c r="O1525" s="174"/>
      <c r="P1525" s="174"/>
      <c r="Q1525" s="174"/>
      <c r="R1525" s="174"/>
      <c r="S1525" s="174"/>
      <c r="T1525" s="174"/>
      <c r="U1525" s="174"/>
      <c r="V1525" s="174"/>
      <c r="W1525" s="174"/>
      <c r="X1525" s="174"/>
      <c r="Y1525" s="174"/>
      <c r="Z1525" s="174"/>
      <c r="AA1525" s="174"/>
    </row>
    <row r="1526">
      <c r="A1526" s="174"/>
      <c r="B1526" s="174"/>
      <c r="C1526" s="174"/>
      <c r="D1526" s="174"/>
      <c r="E1526" s="174"/>
      <c r="F1526" s="175"/>
      <c r="G1526" s="175"/>
      <c r="H1526" s="174"/>
      <c r="I1526" s="174"/>
      <c r="J1526" s="174"/>
      <c r="K1526" s="174"/>
      <c r="L1526" s="174"/>
      <c r="M1526" s="174"/>
      <c r="N1526" s="174"/>
      <c r="O1526" s="174"/>
      <c r="P1526" s="174"/>
      <c r="Q1526" s="174"/>
      <c r="R1526" s="174"/>
      <c r="S1526" s="174"/>
      <c r="T1526" s="174"/>
      <c r="U1526" s="174"/>
      <c r="V1526" s="174"/>
      <c r="W1526" s="174"/>
      <c r="X1526" s="174"/>
      <c r="Y1526" s="174"/>
      <c r="Z1526" s="174"/>
      <c r="AA1526" s="174"/>
    </row>
    <row r="1527">
      <c r="A1527" s="174"/>
      <c r="B1527" s="174"/>
      <c r="C1527" s="174"/>
      <c r="D1527" s="174"/>
      <c r="E1527" s="174"/>
      <c r="F1527" s="175"/>
      <c r="G1527" s="175"/>
      <c r="H1527" s="174"/>
      <c r="I1527" s="174"/>
      <c r="J1527" s="174"/>
      <c r="K1527" s="174"/>
      <c r="L1527" s="174"/>
      <c r="M1527" s="174"/>
      <c r="N1527" s="174"/>
      <c r="O1527" s="174"/>
      <c r="P1527" s="174"/>
      <c r="Q1527" s="174"/>
      <c r="R1527" s="174"/>
      <c r="S1527" s="174"/>
      <c r="T1527" s="174"/>
      <c r="U1527" s="174"/>
      <c r="V1527" s="174"/>
      <c r="W1527" s="174"/>
      <c r="X1527" s="174"/>
      <c r="Y1527" s="174"/>
      <c r="Z1527" s="174"/>
      <c r="AA1527" s="174"/>
    </row>
    <row r="1528">
      <c r="A1528" s="174"/>
      <c r="B1528" s="174"/>
      <c r="C1528" s="174"/>
      <c r="D1528" s="174"/>
      <c r="E1528" s="174"/>
      <c r="F1528" s="175"/>
      <c r="G1528" s="175"/>
      <c r="H1528" s="174"/>
      <c r="I1528" s="174"/>
      <c r="J1528" s="174"/>
      <c r="K1528" s="174"/>
      <c r="L1528" s="174"/>
      <c r="M1528" s="174"/>
      <c r="N1528" s="174"/>
      <c r="O1528" s="174"/>
      <c r="P1528" s="174"/>
      <c r="Q1528" s="174"/>
      <c r="R1528" s="174"/>
      <c r="S1528" s="174"/>
      <c r="T1528" s="174"/>
      <c r="U1528" s="174"/>
      <c r="V1528" s="174"/>
      <c r="W1528" s="174"/>
      <c r="X1528" s="174"/>
      <c r="Y1528" s="174"/>
      <c r="Z1528" s="174"/>
      <c r="AA1528" s="174"/>
    </row>
    <row r="1529">
      <c r="A1529" s="174"/>
      <c r="B1529" s="174"/>
      <c r="C1529" s="174"/>
      <c r="D1529" s="174"/>
      <c r="E1529" s="174"/>
      <c r="F1529" s="175"/>
      <c r="G1529" s="175"/>
      <c r="H1529" s="174"/>
      <c r="I1529" s="174"/>
      <c r="J1529" s="174"/>
      <c r="K1529" s="174"/>
      <c r="L1529" s="174"/>
      <c r="M1529" s="174"/>
      <c r="N1529" s="174"/>
      <c r="O1529" s="174"/>
      <c r="P1529" s="174"/>
      <c r="Q1529" s="174"/>
      <c r="R1529" s="174"/>
      <c r="S1529" s="174"/>
      <c r="T1529" s="174"/>
      <c r="U1529" s="174"/>
      <c r="V1529" s="174"/>
      <c r="W1529" s="174"/>
      <c r="X1529" s="174"/>
      <c r="Y1529" s="174"/>
      <c r="Z1529" s="174"/>
      <c r="AA1529" s="174"/>
    </row>
    <row r="1530">
      <c r="A1530" s="174"/>
      <c r="B1530" s="174"/>
      <c r="C1530" s="174"/>
      <c r="D1530" s="174"/>
      <c r="E1530" s="174"/>
      <c r="F1530" s="175"/>
      <c r="G1530" s="175"/>
      <c r="H1530" s="174"/>
      <c r="I1530" s="174"/>
      <c r="J1530" s="174"/>
      <c r="K1530" s="174"/>
      <c r="L1530" s="174"/>
      <c r="M1530" s="174"/>
      <c r="N1530" s="174"/>
      <c r="O1530" s="174"/>
      <c r="P1530" s="174"/>
      <c r="Q1530" s="174"/>
      <c r="R1530" s="174"/>
      <c r="S1530" s="174"/>
      <c r="T1530" s="174"/>
      <c r="U1530" s="174"/>
      <c r="V1530" s="174"/>
      <c r="W1530" s="174"/>
      <c r="X1530" s="174"/>
      <c r="Y1530" s="174"/>
      <c r="Z1530" s="174"/>
      <c r="AA1530" s="174"/>
    </row>
    <row r="1531">
      <c r="A1531" s="174"/>
      <c r="B1531" s="174"/>
      <c r="C1531" s="174"/>
      <c r="D1531" s="174"/>
      <c r="E1531" s="174"/>
      <c r="F1531" s="175"/>
      <c r="G1531" s="175"/>
      <c r="H1531" s="174"/>
      <c r="I1531" s="174"/>
      <c r="J1531" s="174"/>
      <c r="K1531" s="174"/>
      <c r="L1531" s="174"/>
      <c r="M1531" s="174"/>
      <c r="N1531" s="174"/>
      <c r="O1531" s="174"/>
      <c r="P1531" s="174"/>
      <c r="Q1531" s="174"/>
      <c r="R1531" s="174"/>
      <c r="S1531" s="174"/>
      <c r="T1531" s="174"/>
      <c r="U1531" s="174"/>
      <c r="V1531" s="174"/>
      <c r="W1531" s="174"/>
      <c r="X1531" s="174"/>
      <c r="Y1531" s="174"/>
      <c r="Z1531" s="174"/>
      <c r="AA1531" s="174"/>
    </row>
    <row r="1532">
      <c r="A1532" s="174"/>
      <c r="B1532" s="174"/>
      <c r="C1532" s="174"/>
      <c r="D1532" s="174"/>
      <c r="E1532" s="174"/>
      <c r="F1532" s="175"/>
      <c r="G1532" s="175"/>
      <c r="H1532" s="174"/>
      <c r="I1532" s="174"/>
      <c r="J1532" s="174"/>
      <c r="K1532" s="174"/>
      <c r="L1532" s="174"/>
      <c r="M1532" s="174"/>
      <c r="N1532" s="174"/>
      <c r="O1532" s="174"/>
      <c r="P1532" s="174"/>
      <c r="Q1532" s="174"/>
      <c r="R1532" s="174"/>
      <c r="S1532" s="174"/>
      <c r="T1532" s="174"/>
      <c r="U1532" s="174"/>
      <c r="V1532" s="174"/>
      <c r="W1532" s="174"/>
      <c r="X1532" s="174"/>
      <c r="Y1532" s="174"/>
      <c r="Z1532" s="174"/>
      <c r="AA1532" s="174"/>
    </row>
    <row r="1533">
      <c r="A1533" s="174"/>
      <c r="B1533" s="174"/>
      <c r="C1533" s="174"/>
      <c r="D1533" s="174"/>
      <c r="E1533" s="174"/>
      <c r="F1533" s="175"/>
      <c r="G1533" s="175"/>
      <c r="H1533" s="174"/>
      <c r="I1533" s="174"/>
      <c r="J1533" s="174"/>
      <c r="K1533" s="174"/>
      <c r="L1533" s="174"/>
      <c r="M1533" s="174"/>
      <c r="N1533" s="174"/>
      <c r="O1533" s="174"/>
      <c r="P1533" s="174"/>
      <c r="Q1533" s="174"/>
      <c r="R1533" s="174"/>
      <c r="S1533" s="174"/>
      <c r="T1533" s="174"/>
      <c r="U1533" s="174"/>
      <c r="V1533" s="174"/>
      <c r="W1533" s="174"/>
      <c r="X1533" s="174"/>
      <c r="Y1533" s="174"/>
      <c r="Z1533" s="174"/>
      <c r="AA1533" s="174"/>
    </row>
    <row r="1534">
      <c r="A1534" s="174"/>
      <c r="B1534" s="174"/>
      <c r="C1534" s="174"/>
      <c r="D1534" s="174"/>
      <c r="E1534" s="174"/>
      <c r="F1534" s="175"/>
      <c r="G1534" s="175"/>
      <c r="H1534" s="174"/>
      <c r="I1534" s="174"/>
      <c r="J1534" s="174"/>
      <c r="K1534" s="174"/>
      <c r="L1534" s="174"/>
      <c r="M1534" s="174"/>
      <c r="N1534" s="174"/>
      <c r="O1534" s="174"/>
      <c r="P1534" s="174"/>
      <c r="Q1534" s="174"/>
      <c r="R1534" s="174"/>
      <c r="S1534" s="174"/>
      <c r="T1534" s="174"/>
      <c r="U1534" s="174"/>
      <c r="V1534" s="174"/>
      <c r="W1534" s="174"/>
      <c r="X1534" s="174"/>
      <c r="Y1534" s="174"/>
      <c r="Z1534" s="174"/>
      <c r="AA1534" s="174"/>
    </row>
    <row r="1535">
      <c r="A1535" s="174"/>
      <c r="B1535" s="174"/>
      <c r="C1535" s="174"/>
      <c r="D1535" s="174"/>
      <c r="E1535" s="174"/>
      <c r="F1535" s="175"/>
      <c r="G1535" s="175"/>
      <c r="H1535" s="174"/>
      <c r="I1535" s="174"/>
      <c r="J1535" s="174"/>
      <c r="K1535" s="174"/>
      <c r="L1535" s="174"/>
      <c r="M1535" s="174"/>
      <c r="N1535" s="174"/>
      <c r="O1535" s="174"/>
      <c r="P1535" s="174"/>
      <c r="Q1535" s="174"/>
      <c r="R1535" s="174"/>
      <c r="S1535" s="174"/>
      <c r="T1535" s="174"/>
      <c r="U1535" s="174"/>
      <c r="V1535" s="174"/>
      <c r="W1535" s="174"/>
      <c r="X1535" s="174"/>
      <c r="Y1535" s="174"/>
      <c r="Z1535" s="174"/>
      <c r="AA1535" s="174"/>
    </row>
    <row r="1536">
      <c r="A1536" s="174"/>
      <c r="B1536" s="174"/>
      <c r="C1536" s="174"/>
      <c r="D1536" s="174"/>
      <c r="E1536" s="174"/>
      <c r="F1536" s="175"/>
      <c r="G1536" s="175"/>
      <c r="H1536" s="174"/>
      <c r="I1536" s="174"/>
      <c r="J1536" s="174"/>
      <c r="K1536" s="174"/>
      <c r="L1536" s="174"/>
      <c r="M1536" s="174"/>
      <c r="N1536" s="174"/>
      <c r="O1536" s="174"/>
      <c r="P1536" s="174"/>
      <c r="Q1536" s="174"/>
      <c r="R1536" s="174"/>
      <c r="S1536" s="174"/>
      <c r="T1536" s="174"/>
      <c r="U1536" s="174"/>
      <c r="V1536" s="174"/>
      <c r="W1536" s="174"/>
      <c r="X1536" s="174"/>
      <c r="Y1536" s="174"/>
      <c r="Z1536" s="174"/>
      <c r="AA1536" s="174"/>
    </row>
    <row r="1537">
      <c r="A1537" s="174"/>
      <c r="B1537" s="174"/>
      <c r="C1537" s="174"/>
      <c r="D1537" s="174"/>
      <c r="E1537" s="174"/>
      <c r="F1537" s="175"/>
      <c r="G1537" s="175"/>
      <c r="H1537" s="174"/>
      <c r="I1537" s="174"/>
      <c r="J1537" s="174"/>
      <c r="K1537" s="174"/>
      <c r="L1537" s="174"/>
      <c r="M1537" s="174"/>
      <c r="N1537" s="174"/>
      <c r="O1537" s="174"/>
      <c r="P1537" s="174"/>
      <c r="Q1537" s="174"/>
      <c r="R1537" s="174"/>
      <c r="S1537" s="174"/>
      <c r="T1537" s="174"/>
      <c r="U1537" s="174"/>
      <c r="V1537" s="174"/>
      <c r="W1537" s="174"/>
      <c r="X1537" s="174"/>
      <c r="Y1537" s="174"/>
      <c r="Z1537" s="174"/>
      <c r="AA1537" s="174"/>
    </row>
    <row r="1538">
      <c r="A1538" s="174"/>
      <c r="B1538" s="174"/>
      <c r="C1538" s="174"/>
      <c r="D1538" s="174"/>
      <c r="E1538" s="174"/>
      <c r="F1538" s="175"/>
      <c r="G1538" s="175"/>
      <c r="H1538" s="174"/>
      <c r="I1538" s="174"/>
      <c r="J1538" s="174"/>
      <c r="K1538" s="174"/>
      <c r="L1538" s="174"/>
      <c r="M1538" s="174"/>
      <c r="N1538" s="174"/>
      <c r="O1538" s="174"/>
      <c r="P1538" s="174"/>
      <c r="Q1538" s="174"/>
      <c r="R1538" s="174"/>
      <c r="S1538" s="174"/>
      <c r="T1538" s="174"/>
      <c r="U1538" s="174"/>
      <c r="V1538" s="174"/>
      <c r="W1538" s="174"/>
      <c r="X1538" s="174"/>
      <c r="Y1538" s="174"/>
      <c r="Z1538" s="174"/>
      <c r="AA1538" s="174"/>
    </row>
    <row r="1539">
      <c r="A1539" s="174"/>
      <c r="B1539" s="174"/>
      <c r="C1539" s="174"/>
      <c r="D1539" s="174"/>
      <c r="E1539" s="174"/>
      <c r="F1539" s="175"/>
      <c r="G1539" s="175"/>
      <c r="H1539" s="174"/>
      <c r="I1539" s="174"/>
      <c r="J1539" s="174"/>
      <c r="K1539" s="174"/>
      <c r="L1539" s="174"/>
      <c r="M1539" s="174"/>
      <c r="N1539" s="174"/>
      <c r="O1539" s="174"/>
      <c r="P1539" s="174"/>
      <c r="Q1539" s="174"/>
      <c r="R1539" s="174"/>
      <c r="S1539" s="174"/>
      <c r="T1539" s="174"/>
      <c r="U1539" s="174"/>
      <c r="V1539" s="174"/>
      <c r="W1539" s="174"/>
      <c r="X1539" s="174"/>
      <c r="Y1539" s="174"/>
      <c r="Z1539" s="174"/>
      <c r="AA1539" s="174"/>
    </row>
    <row r="1540">
      <c r="A1540" s="174"/>
      <c r="B1540" s="174"/>
      <c r="C1540" s="174"/>
      <c r="D1540" s="174"/>
      <c r="E1540" s="174"/>
      <c r="F1540" s="175"/>
      <c r="G1540" s="175"/>
      <c r="H1540" s="174"/>
      <c r="I1540" s="174"/>
      <c r="J1540" s="174"/>
      <c r="K1540" s="174"/>
      <c r="L1540" s="174"/>
      <c r="M1540" s="174"/>
      <c r="N1540" s="174"/>
      <c r="O1540" s="174"/>
      <c r="P1540" s="174"/>
      <c r="Q1540" s="174"/>
      <c r="R1540" s="174"/>
      <c r="S1540" s="174"/>
      <c r="T1540" s="174"/>
      <c r="U1540" s="174"/>
      <c r="V1540" s="174"/>
      <c r="W1540" s="174"/>
      <c r="X1540" s="174"/>
      <c r="Y1540" s="174"/>
      <c r="Z1540" s="174"/>
      <c r="AA1540" s="174"/>
    </row>
    <row r="1541">
      <c r="A1541" s="174"/>
      <c r="B1541" s="174"/>
      <c r="C1541" s="174"/>
      <c r="D1541" s="174"/>
      <c r="E1541" s="174"/>
      <c r="F1541" s="175"/>
      <c r="G1541" s="175"/>
      <c r="H1541" s="174"/>
      <c r="I1541" s="174"/>
      <c r="J1541" s="174"/>
      <c r="K1541" s="174"/>
      <c r="L1541" s="174"/>
      <c r="M1541" s="174"/>
      <c r="N1541" s="174"/>
      <c r="O1541" s="174"/>
      <c r="P1541" s="174"/>
      <c r="Q1541" s="174"/>
      <c r="R1541" s="174"/>
      <c r="S1541" s="174"/>
      <c r="T1541" s="174"/>
      <c r="U1541" s="174"/>
      <c r="V1541" s="174"/>
      <c r="W1541" s="174"/>
      <c r="X1541" s="174"/>
      <c r="Y1541" s="174"/>
      <c r="Z1541" s="174"/>
      <c r="AA1541" s="174"/>
    </row>
    <row r="1542">
      <c r="A1542" s="174"/>
      <c r="B1542" s="174"/>
      <c r="C1542" s="174"/>
      <c r="D1542" s="174"/>
      <c r="E1542" s="174"/>
      <c r="F1542" s="175"/>
      <c r="G1542" s="175"/>
      <c r="H1542" s="174"/>
      <c r="I1542" s="174"/>
      <c r="J1542" s="174"/>
      <c r="K1542" s="174"/>
      <c r="L1542" s="174"/>
      <c r="M1542" s="174"/>
      <c r="N1542" s="174"/>
      <c r="O1542" s="174"/>
      <c r="P1542" s="174"/>
      <c r="Q1542" s="174"/>
      <c r="R1542" s="174"/>
      <c r="S1542" s="174"/>
      <c r="T1542" s="174"/>
      <c r="U1542" s="174"/>
      <c r="V1542" s="174"/>
      <c r="W1542" s="174"/>
      <c r="X1542" s="174"/>
      <c r="Y1542" s="174"/>
      <c r="Z1542" s="174"/>
      <c r="AA1542" s="174"/>
    </row>
    <row r="1543">
      <c r="A1543" s="174"/>
      <c r="B1543" s="174"/>
      <c r="C1543" s="174"/>
      <c r="D1543" s="174"/>
      <c r="E1543" s="174"/>
      <c r="F1543" s="175"/>
      <c r="G1543" s="175"/>
      <c r="H1543" s="174"/>
      <c r="I1543" s="174"/>
      <c r="J1543" s="174"/>
      <c r="K1543" s="174"/>
      <c r="L1543" s="174"/>
      <c r="M1543" s="174"/>
      <c r="N1543" s="174"/>
      <c r="O1543" s="174"/>
      <c r="P1543" s="174"/>
      <c r="Q1543" s="174"/>
      <c r="R1543" s="174"/>
      <c r="S1543" s="174"/>
      <c r="T1543" s="174"/>
      <c r="U1543" s="174"/>
      <c r="V1543" s="174"/>
      <c r="W1543" s="174"/>
      <c r="X1543" s="174"/>
      <c r="Y1543" s="174"/>
      <c r="Z1543" s="174"/>
      <c r="AA1543" s="174"/>
    </row>
    <row r="1544">
      <c r="A1544" s="174"/>
      <c r="B1544" s="174"/>
      <c r="C1544" s="174"/>
      <c r="D1544" s="174"/>
      <c r="E1544" s="174"/>
      <c r="F1544" s="175"/>
      <c r="G1544" s="175"/>
      <c r="H1544" s="174"/>
      <c r="I1544" s="174"/>
      <c r="J1544" s="174"/>
      <c r="K1544" s="174"/>
      <c r="L1544" s="174"/>
      <c r="M1544" s="174"/>
      <c r="N1544" s="174"/>
      <c r="O1544" s="174"/>
      <c r="P1544" s="174"/>
      <c r="Q1544" s="174"/>
      <c r="R1544" s="174"/>
      <c r="S1544" s="174"/>
      <c r="T1544" s="174"/>
      <c r="U1544" s="174"/>
      <c r="V1544" s="174"/>
      <c r="W1544" s="174"/>
      <c r="X1544" s="174"/>
      <c r="Y1544" s="174"/>
      <c r="Z1544" s="174"/>
      <c r="AA1544" s="174"/>
    </row>
    <row r="1545">
      <c r="A1545" s="174"/>
      <c r="B1545" s="174"/>
      <c r="C1545" s="174"/>
      <c r="D1545" s="174"/>
      <c r="E1545" s="174"/>
      <c r="F1545" s="175"/>
      <c r="G1545" s="175"/>
      <c r="H1545" s="174"/>
      <c r="I1545" s="174"/>
      <c r="J1545" s="174"/>
      <c r="K1545" s="174"/>
      <c r="L1545" s="174"/>
      <c r="M1545" s="174"/>
      <c r="N1545" s="174"/>
      <c r="O1545" s="174"/>
      <c r="P1545" s="174"/>
      <c r="Q1545" s="174"/>
      <c r="R1545" s="174"/>
      <c r="S1545" s="174"/>
      <c r="T1545" s="174"/>
      <c r="U1545" s="174"/>
      <c r="V1545" s="174"/>
      <c r="W1545" s="174"/>
      <c r="X1545" s="174"/>
      <c r="Y1545" s="174"/>
      <c r="Z1545" s="174"/>
      <c r="AA1545" s="174"/>
    </row>
    <row r="1546">
      <c r="A1546" s="174"/>
      <c r="B1546" s="174"/>
      <c r="C1546" s="174"/>
      <c r="D1546" s="174"/>
      <c r="E1546" s="174"/>
      <c r="F1546" s="175"/>
      <c r="G1546" s="175"/>
      <c r="H1546" s="174"/>
      <c r="I1546" s="174"/>
      <c r="J1546" s="174"/>
      <c r="K1546" s="174"/>
      <c r="L1546" s="174"/>
      <c r="M1546" s="174"/>
      <c r="N1546" s="174"/>
      <c r="O1546" s="174"/>
      <c r="P1546" s="174"/>
      <c r="Q1546" s="174"/>
      <c r="R1546" s="174"/>
      <c r="S1546" s="174"/>
      <c r="T1546" s="174"/>
      <c r="U1546" s="174"/>
      <c r="V1546" s="174"/>
      <c r="W1546" s="174"/>
      <c r="X1546" s="174"/>
      <c r="Y1546" s="174"/>
      <c r="Z1546" s="174"/>
      <c r="AA1546" s="174"/>
    </row>
    <row r="1547">
      <c r="A1547" s="174"/>
      <c r="B1547" s="174"/>
      <c r="C1547" s="174"/>
      <c r="D1547" s="174"/>
      <c r="E1547" s="174"/>
      <c r="F1547" s="175"/>
      <c r="G1547" s="175"/>
      <c r="H1547" s="174"/>
      <c r="I1547" s="174"/>
      <c r="J1547" s="174"/>
      <c r="K1547" s="174"/>
      <c r="L1547" s="174"/>
      <c r="M1547" s="174"/>
      <c r="N1547" s="174"/>
      <c r="O1547" s="174"/>
      <c r="P1547" s="174"/>
      <c r="Q1547" s="174"/>
      <c r="R1547" s="174"/>
      <c r="S1547" s="174"/>
      <c r="T1547" s="174"/>
      <c r="U1547" s="174"/>
      <c r="V1547" s="174"/>
      <c r="W1547" s="174"/>
      <c r="X1547" s="174"/>
      <c r="Y1547" s="174"/>
      <c r="Z1547" s="174"/>
      <c r="AA1547" s="174"/>
    </row>
    <row r="1548">
      <c r="A1548" s="174"/>
      <c r="B1548" s="174"/>
      <c r="C1548" s="174"/>
      <c r="D1548" s="174"/>
      <c r="E1548" s="174"/>
      <c r="F1548" s="175"/>
      <c r="G1548" s="175"/>
      <c r="H1548" s="174"/>
      <c r="I1548" s="174"/>
      <c r="J1548" s="174"/>
      <c r="K1548" s="174"/>
      <c r="L1548" s="174"/>
      <c r="M1548" s="174"/>
      <c r="N1548" s="174"/>
      <c r="O1548" s="174"/>
      <c r="P1548" s="174"/>
      <c r="Q1548" s="174"/>
      <c r="R1548" s="174"/>
      <c r="S1548" s="174"/>
      <c r="T1548" s="174"/>
      <c r="U1548" s="174"/>
      <c r="V1548" s="174"/>
      <c r="W1548" s="174"/>
      <c r="X1548" s="174"/>
      <c r="Y1548" s="174"/>
      <c r="Z1548" s="174"/>
      <c r="AA1548" s="174"/>
    </row>
    <row r="1549">
      <c r="A1549" s="174"/>
      <c r="B1549" s="174"/>
      <c r="C1549" s="174"/>
      <c r="D1549" s="174"/>
      <c r="E1549" s="174"/>
      <c r="F1549" s="175"/>
      <c r="G1549" s="175"/>
      <c r="H1549" s="174"/>
      <c r="I1549" s="174"/>
      <c r="J1549" s="174"/>
      <c r="K1549" s="174"/>
      <c r="L1549" s="174"/>
      <c r="M1549" s="174"/>
      <c r="N1549" s="174"/>
      <c r="O1549" s="174"/>
      <c r="P1549" s="174"/>
      <c r="Q1549" s="174"/>
      <c r="R1549" s="174"/>
      <c r="S1549" s="174"/>
      <c r="T1549" s="174"/>
      <c r="U1549" s="174"/>
      <c r="V1549" s="174"/>
      <c r="W1549" s="174"/>
      <c r="X1549" s="174"/>
      <c r="Y1549" s="174"/>
      <c r="Z1549" s="174"/>
      <c r="AA1549" s="174"/>
    </row>
    <row r="1550">
      <c r="A1550" s="174"/>
      <c r="B1550" s="174"/>
      <c r="C1550" s="174"/>
      <c r="D1550" s="174"/>
      <c r="E1550" s="174"/>
      <c r="F1550" s="175"/>
      <c r="G1550" s="175"/>
      <c r="H1550" s="174"/>
      <c r="I1550" s="174"/>
      <c r="J1550" s="174"/>
      <c r="K1550" s="174"/>
      <c r="L1550" s="174"/>
      <c r="M1550" s="174"/>
      <c r="N1550" s="174"/>
      <c r="O1550" s="174"/>
      <c r="P1550" s="174"/>
      <c r="Q1550" s="174"/>
      <c r="R1550" s="174"/>
      <c r="S1550" s="174"/>
      <c r="T1550" s="174"/>
      <c r="U1550" s="174"/>
      <c r="V1550" s="174"/>
      <c r="W1550" s="174"/>
      <c r="X1550" s="174"/>
      <c r="Y1550" s="174"/>
      <c r="Z1550" s="174"/>
      <c r="AA1550" s="174"/>
    </row>
    <row r="1551">
      <c r="A1551" s="174"/>
      <c r="B1551" s="174"/>
      <c r="C1551" s="174"/>
      <c r="D1551" s="174"/>
      <c r="E1551" s="174"/>
      <c r="F1551" s="175"/>
      <c r="G1551" s="175"/>
      <c r="H1551" s="174"/>
      <c r="I1551" s="174"/>
      <c r="J1551" s="174"/>
      <c r="K1551" s="174"/>
      <c r="L1551" s="174"/>
      <c r="M1551" s="174"/>
      <c r="N1551" s="174"/>
      <c r="O1551" s="174"/>
      <c r="P1551" s="174"/>
      <c r="Q1551" s="174"/>
      <c r="R1551" s="174"/>
      <c r="S1551" s="174"/>
      <c r="T1551" s="174"/>
      <c r="U1551" s="174"/>
      <c r="V1551" s="174"/>
      <c r="W1551" s="174"/>
      <c r="X1551" s="174"/>
      <c r="Y1551" s="174"/>
      <c r="Z1551" s="174"/>
      <c r="AA1551" s="174"/>
    </row>
    <row r="1552">
      <c r="A1552" s="174"/>
      <c r="B1552" s="174"/>
      <c r="C1552" s="174"/>
      <c r="D1552" s="174"/>
      <c r="E1552" s="174"/>
      <c r="F1552" s="175"/>
      <c r="G1552" s="175"/>
      <c r="H1552" s="174"/>
      <c r="I1552" s="174"/>
      <c r="J1552" s="174"/>
      <c r="K1552" s="174"/>
      <c r="L1552" s="174"/>
      <c r="M1552" s="174"/>
      <c r="N1552" s="174"/>
      <c r="O1552" s="174"/>
      <c r="P1552" s="174"/>
      <c r="Q1552" s="174"/>
      <c r="R1552" s="174"/>
      <c r="S1552" s="174"/>
      <c r="T1552" s="174"/>
      <c r="U1552" s="174"/>
      <c r="V1552" s="174"/>
      <c r="W1552" s="174"/>
      <c r="X1552" s="174"/>
      <c r="Y1552" s="174"/>
      <c r="Z1552" s="174"/>
      <c r="AA1552" s="174"/>
    </row>
    <row r="1553">
      <c r="A1553" s="174"/>
      <c r="B1553" s="174"/>
      <c r="C1553" s="174"/>
      <c r="D1553" s="174"/>
      <c r="E1553" s="174"/>
      <c r="F1553" s="175"/>
      <c r="G1553" s="175"/>
      <c r="H1553" s="174"/>
      <c r="I1553" s="174"/>
      <c r="J1553" s="174"/>
      <c r="K1553" s="174"/>
      <c r="L1553" s="174"/>
      <c r="M1553" s="174"/>
      <c r="N1553" s="174"/>
      <c r="O1553" s="174"/>
      <c r="P1553" s="174"/>
      <c r="Q1553" s="174"/>
      <c r="R1553" s="174"/>
      <c r="S1553" s="174"/>
      <c r="T1553" s="174"/>
      <c r="U1553" s="174"/>
      <c r="V1553" s="174"/>
      <c r="W1553" s="174"/>
      <c r="X1553" s="174"/>
      <c r="Y1553" s="174"/>
      <c r="Z1553" s="174"/>
      <c r="AA1553" s="174"/>
    </row>
    <row r="1554">
      <c r="A1554" s="174"/>
      <c r="B1554" s="174"/>
      <c r="C1554" s="174"/>
      <c r="D1554" s="174"/>
      <c r="E1554" s="174"/>
      <c r="F1554" s="175"/>
      <c r="G1554" s="175"/>
      <c r="H1554" s="174"/>
      <c r="I1554" s="174"/>
      <c r="J1554" s="174"/>
      <c r="K1554" s="174"/>
      <c r="L1554" s="174"/>
      <c r="M1554" s="174"/>
      <c r="N1554" s="174"/>
      <c r="O1554" s="174"/>
      <c r="P1554" s="174"/>
      <c r="Q1554" s="174"/>
      <c r="R1554" s="174"/>
      <c r="S1554" s="174"/>
      <c r="T1554" s="174"/>
      <c r="U1554" s="174"/>
      <c r="V1554" s="174"/>
      <c r="W1554" s="174"/>
      <c r="X1554" s="174"/>
      <c r="Y1554" s="174"/>
      <c r="Z1554" s="174"/>
      <c r="AA1554" s="174"/>
    </row>
    <row r="1555">
      <c r="A1555" s="174"/>
      <c r="B1555" s="174"/>
      <c r="C1555" s="174"/>
      <c r="D1555" s="174"/>
      <c r="E1555" s="174"/>
      <c r="F1555" s="175"/>
      <c r="G1555" s="175"/>
      <c r="H1555" s="174"/>
      <c r="I1555" s="174"/>
      <c r="J1555" s="174"/>
      <c r="K1555" s="174"/>
      <c r="L1555" s="174"/>
      <c r="M1555" s="174"/>
      <c r="N1555" s="174"/>
      <c r="O1555" s="174"/>
      <c r="P1555" s="174"/>
      <c r="Q1555" s="174"/>
      <c r="R1555" s="174"/>
      <c r="S1555" s="174"/>
      <c r="T1555" s="174"/>
      <c r="U1555" s="174"/>
      <c r="V1555" s="174"/>
      <c r="W1555" s="174"/>
      <c r="X1555" s="174"/>
      <c r="Y1555" s="174"/>
      <c r="Z1555" s="174"/>
      <c r="AA1555" s="174"/>
    </row>
    <row r="1556">
      <c r="A1556" s="174"/>
      <c r="B1556" s="174"/>
      <c r="C1556" s="174"/>
      <c r="D1556" s="174"/>
      <c r="E1556" s="174"/>
      <c r="F1556" s="175"/>
      <c r="G1556" s="175"/>
      <c r="H1556" s="174"/>
      <c r="I1556" s="174"/>
      <c r="J1556" s="174"/>
      <c r="K1556" s="174"/>
      <c r="L1556" s="174"/>
      <c r="M1556" s="174"/>
      <c r="N1556" s="174"/>
      <c r="O1556" s="174"/>
      <c r="P1556" s="174"/>
      <c r="Q1556" s="174"/>
      <c r="R1556" s="174"/>
      <c r="S1556" s="174"/>
      <c r="T1556" s="174"/>
      <c r="U1556" s="174"/>
      <c r="V1556" s="174"/>
      <c r="W1556" s="174"/>
      <c r="X1556" s="174"/>
      <c r="Y1556" s="174"/>
      <c r="Z1556" s="174"/>
      <c r="AA1556" s="174"/>
    </row>
    <row r="1557">
      <c r="A1557" s="174"/>
      <c r="B1557" s="174"/>
      <c r="C1557" s="174"/>
      <c r="D1557" s="174"/>
      <c r="E1557" s="174"/>
      <c r="F1557" s="175"/>
      <c r="G1557" s="175"/>
      <c r="H1557" s="174"/>
      <c r="I1557" s="174"/>
      <c r="J1557" s="174"/>
      <c r="K1557" s="174"/>
      <c r="L1557" s="174"/>
      <c r="M1557" s="174"/>
      <c r="N1557" s="174"/>
      <c r="O1557" s="174"/>
      <c r="P1557" s="174"/>
      <c r="Q1557" s="174"/>
      <c r="R1557" s="174"/>
      <c r="S1557" s="174"/>
      <c r="T1557" s="174"/>
      <c r="U1557" s="174"/>
      <c r="V1557" s="174"/>
      <c r="W1557" s="174"/>
      <c r="X1557" s="174"/>
      <c r="Y1557" s="174"/>
      <c r="Z1557" s="174"/>
      <c r="AA1557" s="174"/>
    </row>
    <row r="1558">
      <c r="A1558" s="174"/>
      <c r="B1558" s="174"/>
      <c r="C1558" s="174"/>
      <c r="D1558" s="174"/>
      <c r="E1558" s="174"/>
      <c r="F1558" s="175"/>
      <c r="G1558" s="175"/>
      <c r="H1558" s="174"/>
      <c r="I1558" s="174"/>
      <c r="J1558" s="174"/>
      <c r="K1558" s="174"/>
      <c r="L1558" s="174"/>
      <c r="M1558" s="174"/>
      <c r="N1558" s="174"/>
      <c r="O1558" s="174"/>
      <c r="P1558" s="174"/>
      <c r="Q1558" s="174"/>
      <c r="R1558" s="174"/>
      <c r="S1558" s="174"/>
      <c r="T1558" s="174"/>
      <c r="U1558" s="174"/>
      <c r="V1558" s="174"/>
      <c r="W1558" s="174"/>
      <c r="X1558" s="174"/>
      <c r="Y1558" s="174"/>
      <c r="Z1558" s="174"/>
      <c r="AA1558" s="174"/>
    </row>
    <row r="1559">
      <c r="A1559" s="174"/>
      <c r="B1559" s="174"/>
      <c r="C1559" s="174"/>
      <c r="D1559" s="174"/>
      <c r="E1559" s="174"/>
      <c r="F1559" s="175"/>
      <c r="G1559" s="175"/>
      <c r="H1559" s="174"/>
      <c r="I1559" s="174"/>
      <c r="J1559" s="174"/>
      <c r="K1559" s="174"/>
      <c r="L1559" s="174"/>
      <c r="M1559" s="174"/>
      <c r="N1559" s="174"/>
      <c r="O1559" s="174"/>
      <c r="P1559" s="174"/>
      <c r="Q1559" s="174"/>
      <c r="R1559" s="174"/>
      <c r="S1559" s="174"/>
      <c r="T1559" s="174"/>
      <c r="U1559" s="174"/>
      <c r="V1559" s="174"/>
      <c r="W1559" s="174"/>
      <c r="X1559" s="174"/>
      <c r="Y1559" s="174"/>
      <c r="Z1559" s="174"/>
      <c r="AA1559" s="174"/>
    </row>
    <row r="1560">
      <c r="A1560" s="174"/>
      <c r="B1560" s="174"/>
      <c r="C1560" s="174"/>
      <c r="D1560" s="174"/>
      <c r="E1560" s="174"/>
      <c r="F1560" s="175"/>
      <c r="G1560" s="175"/>
      <c r="H1560" s="174"/>
      <c r="I1560" s="174"/>
      <c r="J1560" s="174"/>
      <c r="K1560" s="174"/>
      <c r="L1560" s="174"/>
      <c r="M1560" s="174"/>
      <c r="N1560" s="174"/>
      <c r="O1560" s="174"/>
      <c r="P1560" s="174"/>
      <c r="Q1560" s="174"/>
      <c r="R1560" s="174"/>
      <c r="S1560" s="174"/>
      <c r="T1560" s="174"/>
      <c r="U1560" s="174"/>
      <c r="V1560" s="174"/>
      <c r="W1560" s="174"/>
      <c r="X1560" s="174"/>
      <c r="Y1560" s="174"/>
      <c r="Z1560" s="174"/>
      <c r="AA1560" s="174"/>
    </row>
    <row r="1561">
      <c r="A1561" s="174"/>
      <c r="B1561" s="174"/>
      <c r="C1561" s="174"/>
      <c r="D1561" s="174"/>
      <c r="E1561" s="174"/>
      <c r="F1561" s="175"/>
      <c r="G1561" s="175"/>
      <c r="H1561" s="174"/>
      <c r="I1561" s="174"/>
      <c r="J1561" s="174"/>
      <c r="K1561" s="174"/>
      <c r="L1561" s="174"/>
      <c r="M1561" s="174"/>
      <c r="N1561" s="174"/>
      <c r="O1561" s="174"/>
      <c r="P1561" s="174"/>
      <c r="Q1561" s="174"/>
      <c r="R1561" s="174"/>
      <c r="S1561" s="174"/>
      <c r="T1561" s="174"/>
      <c r="U1561" s="174"/>
      <c r="V1561" s="174"/>
      <c r="W1561" s="174"/>
      <c r="X1561" s="174"/>
      <c r="Y1561" s="174"/>
      <c r="Z1561" s="174"/>
      <c r="AA1561" s="174"/>
    </row>
    <row r="1562">
      <c r="A1562" s="174"/>
      <c r="B1562" s="174"/>
      <c r="C1562" s="174"/>
      <c r="D1562" s="174"/>
      <c r="E1562" s="174"/>
      <c r="F1562" s="175"/>
      <c r="G1562" s="175"/>
      <c r="H1562" s="174"/>
      <c r="I1562" s="174"/>
      <c r="J1562" s="174"/>
      <c r="K1562" s="174"/>
      <c r="L1562" s="174"/>
      <c r="M1562" s="174"/>
      <c r="N1562" s="174"/>
      <c r="O1562" s="174"/>
      <c r="P1562" s="174"/>
      <c r="Q1562" s="174"/>
      <c r="R1562" s="174"/>
      <c r="S1562" s="174"/>
      <c r="T1562" s="174"/>
      <c r="U1562" s="174"/>
      <c r="V1562" s="174"/>
      <c r="W1562" s="174"/>
      <c r="X1562" s="174"/>
      <c r="Y1562" s="174"/>
      <c r="Z1562" s="174"/>
      <c r="AA1562" s="174"/>
    </row>
    <row r="1563">
      <c r="A1563" s="174"/>
      <c r="B1563" s="174"/>
      <c r="C1563" s="174"/>
      <c r="D1563" s="174"/>
      <c r="E1563" s="174"/>
      <c r="F1563" s="175"/>
      <c r="G1563" s="175"/>
      <c r="H1563" s="174"/>
      <c r="I1563" s="174"/>
      <c r="J1563" s="174"/>
      <c r="K1563" s="174"/>
      <c r="L1563" s="174"/>
      <c r="M1563" s="174"/>
      <c r="N1563" s="174"/>
      <c r="O1563" s="174"/>
      <c r="P1563" s="174"/>
      <c r="Q1563" s="174"/>
      <c r="R1563" s="174"/>
      <c r="S1563" s="174"/>
      <c r="T1563" s="174"/>
      <c r="U1563" s="174"/>
      <c r="V1563" s="174"/>
      <c r="W1563" s="174"/>
      <c r="X1563" s="174"/>
      <c r="Y1563" s="174"/>
      <c r="Z1563" s="174"/>
      <c r="AA1563" s="174"/>
    </row>
    <row r="1564">
      <c r="A1564" s="174"/>
      <c r="B1564" s="174"/>
      <c r="C1564" s="174"/>
      <c r="D1564" s="174"/>
      <c r="E1564" s="174"/>
      <c r="F1564" s="175"/>
      <c r="G1564" s="175"/>
      <c r="H1564" s="174"/>
      <c r="I1564" s="174"/>
      <c r="J1564" s="174"/>
      <c r="K1564" s="174"/>
      <c r="L1564" s="174"/>
      <c r="M1564" s="174"/>
      <c r="N1564" s="174"/>
      <c r="O1564" s="174"/>
      <c r="P1564" s="174"/>
      <c r="Q1564" s="174"/>
      <c r="R1564" s="174"/>
      <c r="S1564" s="174"/>
      <c r="T1564" s="174"/>
      <c r="U1564" s="174"/>
      <c r="V1564" s="174"/>
      <c r="W1564" s="174"/>
      <c r="X1564" s="174"/>
      <c r="Y1564" s="174"/>
      <c r="Z1564" s="174"/>
      <c r="AA1564" s="174"/>
    </row>
    <row r="1565">
      <c r="A1565" s="174"/>
      <c r="B1565" s="174"/>
      <c r="C1565" s="174"/>
      <c r="D1565" s="174"/>
      <c r="E1565" s="174"/>
      <c r="F1565" s="175"/>
      <c r="G1565" s="175"/>
      <c r="H1565" s="174"/>
      <c r="I1565" s="174"/>
      <c r="J1565" s="174"/>
      <c r="K1565" s="174"/>
      <c r="L1565" s="174"/>
      <c r="M1565" s="174"/>
      <c r="N1565" s="174"/>
      <c r="O1565" s="174"/>
      <c r="P1565" s="174"/>
      <c r="Q1565" s="174"/>
      <c r="R1565" s="174"/>
      <c r="S1565" s="174"/>
      <c r="T1565" s="174"/>
      <c r="U1565" s="174"/>
      <c r="V1565" s="174"/>
      <c r="W1565" s="174"/>
      <c r="X1565" s="174"/>
      <c r="Y1565" s="174"/>
      <c r="Z1565" s="174"/>
      <c r="AA1565" s="174"/>
    </row>
    <row r="1566">
      <c r="A1566" s="174"/>
      <c r="B1566" s="174"/>
      <c r="C1566" s="174"/>
      <c r="D1566" s="174"/>
      <c r="E1566" s="174"/>
      <c r="F1566" s="175"/>
      <c r="G1566" s="175"/>
      <c r="H1566" s="174"/>
      <c r="I1566" s="174"/>
      <c r="J1566" s="174"/>
      <c r="K1566" s="174"/>
      <c r="L1566" s="174"/>
      <c r="M1566" s="174"/>
      <c r="N1566" s="174"/>
      <c r="O1566" s="174"/>
      <c r="P1566" s="174"/>
      <c r="Q1566" s="174"/>
      <c r="R1566" s="174"/>
      <c r="S1566" s="174"/>
      <c r="T1566" s="174"/>
      <c r="U1566" s="174"/>
      <c r="V1566" s="174"/>
      <c r="W1566" s="174"/>
      <c r="X1566" s="174"/>
      <c r="Y1566" s="174"/>
      <c r="Z1566" s="174"/>
      <c r="AA1566" s="174"/>
    </row>
    <row r="1567">
      <c r="A1567" s="174"/>
      <c r="B1567" s="174"/>
      <c r="C1567" s="174"/>
      <c r="D1567" s="174"/>
      <c r="E1567" s="174"/>
      <c r="F1567" s="175"/>
      <c r="G1567" s="175"/>
      <c r="H1567" s="174"/>
      <c r="I1567" s="174"/>
      <c r="J1567" s="174"/>
      <c r="K1567" s="174"/>
      <c r="L1567" s="174"/>
      <c r="M1567" s="174"/>
      <c r="N1567" s="174"/>
      <c r="O1567" s="174"/>
      <c r="P1567" s="174"/>
      <c r="Q1567" s="174"/>
      <c r="R1567" s="174"/>
      <c r="S1567" s="174"/>
      <c r="T1567" s="174"/>
      <c r="U1567" s="174"/>
      <c r="V1567" s="174"/>
      <c r="W1567" s="174"/>
      <c r="X1567" s="174"/>
      <c r="Y1567" s="174"/>
      <c r="Z1567" s="174"/>
      <c r="AA1567" s="174"/>
    </row>
    <row r="1568">
      <c r="A1568" s="174"/>
      <c r="B1568" s="174"/>
      <c r="C1568" s="174"/>
      <c r="D1568" s="174"/>
      <c r="E1568" s="174"/>
      <c r="F1568" s="175"/>
      <c r="G1568" s="175"/>
      <c r="H1568" s="174"/>
      <c r="I1568" s="174"/>
      <c r="J1568" s="174"/>
      <c r="K1568" s="174"/>
      <c r="L1568" s="174"/>
      <c r="M1568" s="174"/>
      <c r="N1568" s="174"/>
      <c r="O1568" s="174"/>
      <c r="P1568" s="174"/>
      <c r="Q1568" s="174"/>
      <c r="R1568" s="174"/>
      <c r="S1568" s="174"/>
      <c r="T1568" s="174"/>
      <c r="U1568" s="174"/>
      <c r="V1568" s="174"/>
      <c r="W1568" s="174"/>
      <c r="X1568" s="174"/>
      <c r="Y1568" s="174"/>
      <c r="Z1568" s="174"/>
      <c r="AA1568" s="174"/>
    </row>
    <row r="1569">
      <c r="A1569" s="174"/>
      <c r="B1569" s="174"/>
      <c r="C1569" s="174"/>
      <c r="D1569" s="174"/>
      <c r="E1569" s="174"/>
      <c r="F1569" s="175"/>
      <c r="G1569" s="175"/>
      <c r="H1569" s="174"/>
      <c r="I1569" s="174"/>
      <c r="J1569" s="174"/>
      <c r="K1569" s="174"/>
      <c r="L1569" s="174"/>
      <c r="M1569" s="174"/>
      <c r="N1569" s="174"/>
      <c r="O1569" s="174"/>
      <c r="P1569" s="174"/>
      <c r="Q1569" s="174"/>
      <c r="R1569" s="174"/>
      <c r="S1569" s="174"/>
      <c r="T1569" s="174"/>
      <c r="U1569" s="174"/>
      <c r="V1569" s="174"/>
      <c r="W1569" s="174"/>
      <c r="X1569" s="174"/>
      <c r="Y1569" s="174"/>
      <c r="Z1569" s="174"/>
      <c r="AA1569" s="174"/>
    </row>
    <row r="1570">
      <c r="A1570" s="174"/>
      <c r="B1570" s="174"/>
      <c r="C1570" s="174"/>
      <c r="D1570" s="174"/>
      <c r="E1570" s="174"/>
      <c r="F1570" s="175"/>
      <c r="G1570" s="175"/>
      <c r="H1570" s="174"/>
      <c r="I1570" s="174"/>
      <c r="J1570" s="174"/>
      <c r="K1570" s="174"/>
      <c r="L1570" s="174"/>
      <c r="M1570" s="174"/>
      <c r="N1570" s="174"/>
      <c r="O1570" s="174"/>
      <c r="P1570" s="174"/>
      <c r="Q1570" s="174"/>
      <c r="R1570" s="174"/>
      <c r="S1570" s="174"/>
      <c r="T1570" s="174"/>
      <c r="U1570" s="174"/>
      <c r="V1570" s="174"/>
      <c r="W1570" s="174"/>
      <c r="X1570" s="174"/>
      <c r="Y1570" s="174"/>
      <c r="Z1570" s="174"/>
      <c r="AA1570" s="174"/>
    </row>
    <row r="1571">
      <c r="A1571" s="174"/>
      <c r="B1571" s="174"/>
      <c r="C1571" s="174"/>
      <c r="D1571" s="174"/>
      <c r="E1571" s="174"/>
      <c r="F1571" s="175"/>
      <c r="G1571" s="175"/>
      <c r="H1571" s="174"/>
      <c r="I1571" s="174"/>
      <c r="J1571" s="174"/>
      <c r="K1571" s="174"/>
      <c r="L1571" s="174"/>
      <c r="M1571" s="174"/>
      <c r="N1571" s="174"/>
      <c r="O1571" s="174"/>
      <c r="P1571" s="174"/>
      <c r="Q1571" s="174"/>
      <c r="R1571" s="174"/>
      <c r="S1571" s="174"/>
      <c r="T1571" s="174"/>
      <c r="U1571" s="174"/>
      <c r="V1571" s="174"/>
      <c r="W1571" s="174"/>
      <c r="X1571" s="174"/>
      <c r="Y1571" s="174"/>
      <c r="Z1571" s="174"/>
      <c r="AA1571" s="174"/>
    </row>
    <row r="1572">
      <c r="A1572" s="174"/>
      <c r="B1572" s="174"/>
      <c r="C1572" s="174"/>
      <c r="D1572" s="174"/>
      <c r="E1572" s="174"/>
      <c r="F1572" s="175"/>
      <c r="G1572" s="175"/>
      <c r="H1572" s="174"/>
      <c r="I1572" s="174"/>
      <c r="J1572" s="174"/>
      <c r="K1572" s="174"/>
      <c r="L1572" s="174"/>
      <c r="M1572" s="174"/>
      <c r="N1572" s="174"/>
      <c r="O1572" s="174"/>
      <c r="P1572" s="174"/>
      <c r="Q1572" s="174"/>
      <c r="R1572" s="174"/>
      <c r="S1572" s="174"/>
      <c r="T1572" s="174"/>
      <c r="U1572" s="174"/>
      <c r="V1572" s="174"/>
      <c r="W1572" s="174"/>
      <c r="X1572" s="174"/>
      <c r="Y1572" s="174"/>
      <c r="Z1572" s="174"/>
      <c r="AA1572" s="174"/>
    </row>
    <row r="1573">
      <c r="A1573" s="174"/>
      <c r="B1573" s="174"/>
      <c r="C1573" s="174"/>
      <c r="D1573" s="174"/>
      <c r="E1573" s="174"/>
      <c r="F1573" s="175"/>
      <c r="G1573" s="175"/>
      <c r="H1573" s="174"/>
      <c r="I1573" s="174"/>
      <c r="J1573" s="174"/>
      <c r="K1573" s="174"/>
      <c r="L1573" s="174"/>
      <c r="M1573" s="174"/>
      <c r="N1573" s="174"/>
      <c r="O1573" s="174"/>
      <c r="P1573" s="174"/>
      <c r="Q1573" s="174"/>
      <c r="R1573" s="174"/>
      <c r="S1573" s="174"/>
      <c r="T1573" s="174"/>
      <c r="U1573" s="174"/>
      <c r="V1573" s="174"/>
      <c r="W1573" s="174"/>
      <c r="X1573" s="174"/>
      <c r="Y1573" s="174"/>
      <c r="Z1573" s="174"/>
      <c r="AA1573" s="174"/>
    </row>
    <row r="1574">
      <c r="A1574" s="174"/>
      <c r="B1574" s="174"/>
      <c r="C1574" s="174"/>
      <c r="D1574" s="174"/>
      <c r="E1574" s="174"/>
      <c r="F1574" s="175"/>
      <c r="G1574" s="175"/>
      <c r="H1574" s="174"/>
      <c r="I1574" s="174"/>
      <c r="J1574" s="174"/>
      <c r="K1574" s="174"/>
      <c r="L1574" s="174"/>
      <c r="M1574" s="174"/>
      <c r="N1574" s="174"/>
      <c r="O1574" s="174"/>
      <c r="P1574" s="174"/>
      <c r="Q1574" s="174"/>
      <c r="R1574" s="174"/>
      <c r="S1574" s="174"/>
      <c r="T1574" s="174"/>
      <c r="U1574" s="174"/>
      <c r="V1574" s="174"/>
      <c r="W1574" s="174"/>
      <c r="X1574" s="174"/>
      <c r="Y1574" s="174"/>
      <c r="Z1574" s="174"/>
      <c r="AA1574" s="174"/>
    </row>
    <row r="1575">
      <c r="A1575" s="174"/>
      <c r="B1575" s="174"/>
      <c r="C1575" s="174"/>
      <c r="D1575" s="174"/>
      <c r="E1575" s="174"/>
      <c r="F1575" s="175"/>
      <c r="G1575" s="175"/>
      <c r="H1575" s="174"/>
      <c r="I1575" s="174"/>
      <c r="J1575" s="174"/>
      <c r="K1575" s="174"/>
      <c r="L1575" s="174"/>
      <c r="M1575" s="174"/>
      <c r="N1575" s="174"/>
      <c r="O1575" s="174"/>
      <c r="P1575" s="174"/>
      <c r="Q1575" s="174"/>
      <c r="R1575" s="174"/>
      <c r="S1575" s="174"/>
      <c r="T1575" s="174"/>
      <c r="U1575" s="174"/>
      <c r="V1575" s="174"/>
      <c r="W1575" s="174"/>
      <c r="X1575" s="174"/>
      <c r="Y1575" s="174"/>
      <c r="Z1575" s="174"/>
      <c r="AA1575" s="174"/>
    </row>
    <row r="1576">
      <c r="A1576" s="174"/>
      <c r="B1576" s="174"/>
      <c r="C1576" s="174"/>
      <c r="D1576" s="174"/>
      <c r="E1576" s="174"/>
      <c r="F1576" s="175"/>
      <c r="G1576" s="175"/>
      <c r="H1576" s="174"/>
      <c r="I1576" s="174"/>
      <c r="J1576" s="174"/>
      <c r="K1576" s="174"/>
      <c r="L1576" s="174"/>
      <c r="M1576" s="174"/>
      <c r="N1576" s="174"/>
      <c r="O1576" s="174"/>
      <c r="P1576" s="174"/>
      <c r="Q1576" s="174"/>
      <c r="R1576" s="174"/>
      <c r="S1576" s="174"/>
      <c r="T1576" s="174"/>
      <c r="U1576" s="174"/>
      <c r="V1576" s="174"/>
      <c r="W1576" s="174"/>
      <c r="X1576" s="174"/>
      <c r="Y1576" s="174"/>
      <c r="Z1576" s="174"/>
      <c r="AA1576" s="174"/>
    </row>
    <row r="1577">
      <c r="A1577" s="174"/>
      <c r="B1577" s="174"/>
      <c r="C1577" s="174"/>
      <c r="D1577" s="174"/>
      <c r="E1577" s="174"/>
      <c r="F1577" s="175"/>
      <c r="G1577" s="175"/>
      <c r="H1577" s="174"/>
      <c r="I1577" s="174"/>
      <c r="J1577" s="174"/>
      <c r="K1577" s="174"/>
      <c r="L1577" s="174"/>
      <c r="M1577" s="174"/>
      <c r="N1577" s="174"/>
      <c r="O1577" s="174"/>
      <c r="P1577" s="174"/>
      <c r="Q1577" s="174"/>
      <c r="R1577" s="174"/>
      <c r="S1577" s="174"/>
      <c r="T1577" s="174"/>
      <c r="U1577" s="174"/>
      <c r="V1577" s="174"/>
      <c r="W1577" s="174"/>
      <c r="X1577" s="174"/>
      <c r="Y1577" s="174"/>
      <c r="Z1577" s="174"/>
      <c r="AA1577" s="174"/>
    </row>
    <row r="1578">
      <c r="A1578" s="174"/>
      <c r="B1578" s="174"/>
      <c r="C1578" s="174"/>
      <c r="D1578" s="174"/>
      <c r="E1578" s="174"/>
      <c r="F1578" s="175"/>
      <c r="G1578" s="175"/>
      <c r="H1578" s="174"/>
      <c r="I1578" s="174"/>
      <c r="J1578" s="174"/>
      <c r="K1578" s="174"/>
      <c r="L1578" s="174"/>
      <c r="M1578" s="174"/>
      <c r="N1578" s="174"/>
      <c r="O1578" s="174"/>
      <c r="P1578" s="174"/>
      <c r="Q1578" s="174"/>
      <c r="R1578" s="174"/>
      <c r="S1578" s="174"/>
      <c r="T1578" s="174"/>
      <c r="U1578" s="174"/>
      <c r="V1578" s="174"/>
      <c r="W1578" s="174"/>
      <c r="X1578" s="174"/>
      <c r="Y1578" s="174"/>
      <c r="Z1578" s="174"/>
      <c r="AA1578" s="174"/>
    </row>
    <row r="1579">
      <c r="A1579" s="174"/>
      <c r="B1579" s="174"/>
      <c r="C1579" s="174"/>
      <c r="D1579" s="174"/>
      <c r="E1579" s="174"/>
      <c r="F1579" s="175"/>
      <c r="G1579" s="175"/>
      <c r="H1579" s="174"/>
      <c r="I1579" s="174"/>
      <c r="J1579" s="174"/>
      <c r="K1579" s="174"/>
      <c r="L1579" s="174"/>
      <c r="M1579" s="174"/>
      <c r="N1579" s="174"/>
      <c r="O1579" s="174"/>
      <c r="P1579" s="174"/>
      <c r="Q1579" s="174"/>
      <c r="R1579" s="174"/>
      <c r="S1579" s="174"/>
      <c r="T1579" s="174"/>
      <c r="U1579" s="174"/>
      <c r="V1579" s="174"/>
      <c r="W1579" s="174"/>
      <c r="X1579" s="174"/>
      <c r="Y1579" s="174"/>
      <c r="Z1579" s="174"/>
      <c r="AA1579" s="174"/>
    </row>
    <row r="1580">
      <c r="A1580" s="174"/>
      <c r="B1580" s="174"/>
      <c r="C1580" s="174"/>
      <c r="D1580" s="174"/>
      <c r="E1580" s="174"/>
      <c r="F1580" s="175"/>
      <c r="G1580" s="175"/>
      <c r="H1580" s="174"/>
      <c r="I1580" s="174"/>
      <c r="J1580" s="174"/>
      <c r="K1580" s="174"/>
      <c r="L1580" s="174"/>
      <c r="M1580" s="174"/>
      <c r="N1580" s="174"/>
      <c r="O1580" s="174"/>
      <c r="P1580" s="174"/>
      <c r="Q1580" s="174"/>
      <c r="R1580" s="174"/>
      <c r="S1580" s="174"/>
      <c r="T1580" s="174"/>
      <c r="U1580" s="174"/>
      <c r="V1580" s="174"/>
      <c r="W1580" s="174"/>
      <c r="X1580" s="174"/>
      <c r="Y1580" s="174"/>
      <c r="Z1580" s="174"/>
      <c r="AA1580" s="174"/>
    </row>
    <row r="1581">
      <c r="A1581" s="174"/>
      <c r="B1581" s="174"/>
      <c r="C1581" s="174"/>
      <c r="D1581" s="174"/>
      <c r="E1581" s="174"/>
      <c r="F1581" s="175"/>
      <c r="G1581" s="175"/>
      <c r="H1581" s="174"/>
      <c r="I1581" s="174"/>
      <c r="J1581" s="174"/>
      <c r="K1581" s="174"/>
      <c r="L1581" s="174"/>
      <c r="M1581" s="174"/>
      <c r="N1581" s="174"/>
      <c r="O1581" s="174"/>
      <c r="P1581" s="174"/>
      <c r="Q1581" s="174"/>
      <c r="R1581" s="174"/>
      <c r="S1581" s="174"/>
      <c r="T1581" s="174"/>
      <c r="U1581" s="174"/>
      <c r="V1581" s="174"/>
      <c r="W1581" s="174"/>
      <c r="X1581" s="174"/>
      <c r="Y1581" s="174"/>
      <c r="Z1581" s="174"/>
      <c r="AA1581" s="174"/>
    </row>
    <row r="1582">
      <c r="A1582" s="174"/>
      <c r="B1582" s="174"/>
      <c r="C1582" s="174"/>
      <c r="D1582" s="174"/>
      <c r="E1582" s="174"/>
      <c r="F1582" s="175"/>
      <c r="G1582" s="175"/>
      <c r="H1582" s="174"/>
      <c r="I1582" s="174"/>
      <c r="J1582" s="174"/>
      <c r="K1582" s="174"/>
      <c r="L1582" s="174"/>
      <c r="M1582" s="174"/>
      <c r="N1582" s="174"/>
      <c r="O1582" s="174"/>
      <c r="P1582" s="174"/>
      <c r="Q1582" s="174"/>
      <c r="R1582" s="174"/>
      <c r="S1582" s="174"/>
      <c r="T1582" s="174"/>
      <c r="U1582" s="174"/>
      <c r="V1582" s="174"/>
      <c r="W1582" s="174"/>
      <c r="X1582" s="174"/>
      <c r="Y1582" s="174"/>
      <c r="Z1582" s="174"/>
      <c r="AA1582" s="174"/>
    </row>
    <row r="1583">
      <c r="A1583" s="174"/>
      <c r="B1583" s="174"/>
      <c r="C1583" s="174"/>
      <c r="D1583" s="174"/>
      <c r="E1583" s="174"/>
      <c r="F1583" s="175"/>
      <c r="G1583" s="175"/>
      <c r="H1583" s="174"/>
      <c r="I1583" s="174"/>
      <c r="J1583" s="174"/>
      <c r="K1583" s="174"/>
      <c r="L1583" s="174"/>
      <c r="M1583" s="174"/>
      <c r="N1583" s="174"/>
      <c r="O1583" s="174"/>
      <c r="P1583" s="174"/>
      <c r="Q1583" s="174"/>
      <c r="R1583" s="174"/>
      <c r="S1583" s="174"/>
      <c r="T1583" s="174"/>
      <c r="U1583" s="174"/>
      <c r="V1583" s="174"/>
      <c r="W1583" s="174"/>
      <c r="X1583" s="174"/>
      <c r="Y1583" s="174"/>
      <c r="Z1583" s="174"/>
      <c r="AA1583" s="174"/>
    </row>
    <row r="1584">
      <c r="A1584" s="174"/>
      <c r="B1584" s="174"/>
      <c r="C1584" s="174"/>
      <c r="D1584" s="174"/>
      <c r="E1584" s="174"/>
      <c r="F1584" s="175"/>
      <c r="G1584" s="175"/>
      <c r="H1584" s="174"/>
      <c r="I1584" s="174"/>
      <c r="J1584" s="174"/>
      <c r="K1584" s="174"/>
      <c r="L1584" s="174"/>
      <c r="M1584" s="174"/>
      <c r="N1584" s="174"/>
      <c r="O1584" s="174"/>
      <c r="P1584" s="174"/>
      <c r="Q1584" s="174"/>
      <c r="R1584" s="174"/>
      <c r="S1584" s="174"/>
      <c r="T1584" s="174"/>
      <c r="U1584" s="174"/>
      <c r="V1584" s="174"/>
      <c r="W1584" s="174"/>
      <c r="X1584" s="174"/>
      <c r="Y1584" s="174"/>
      <c r="Z1584" s="174"/>
      <c r="AA1584" s="174"/>
    </row>
    <row r="1585">
      <c r="A1585" s="174"/>
      <c r="B1585" s="174"/>
      <c r="C1585" s="174"/>
      <c r="D1585" s="174"/>
      <c r="E1585" s="174"/>
      <c r="F1585" s="175"/>
      <c r="G1585" s="175"/>
      <c r="H1585" s="174"/>
      <c r="I1585" s="174"/>
      <c r="J1585" s="174"/>
      <c r="K1585" s="174"/>
      <c r="L1585" s="174"/>
      <c r="M1585" s="174"/>
      <c r="N1585" s="174"/>
      <c r="O1585" s="174"/>
      <c r="P1585" s="174"/>
      <c r="Q1585" s="174"/>
      <c r="R1585" s="174"/>
      <c r="S1585" s="174"/>
      <c r="T1585" s="174"/>
      <c r="U1585" s="174"/>
      <c r="V1585" s="174"/>
      <c r="W1585" s="174"/>
      <c r="X1585" s="174"/>
      <c r="Y1585" s="174"/>
      <c r="Z1585" s="174"/>
      <c r="AA1585" s="174"/>
    </row>
    <row r="1586">
      <c r="A1586" s="174"/>
      <c r="B1586" s="174"/>
      <c r="C1586" s="174"/>
      <c r="D1586" s="174"/>
      <c r="E1586" s="174"/>
      <c r="F1586" s="175"/>
      <c r="G1586" s="175"/>
      <c r="H1586" s="174"/>
      <c r="I1586" s="174"/>
      <c r="J1586" s="174"/>
      <c r="K1586" s="174"/>
      <c r="L1586" s="174"/>
      <c r="M1586" s="174"/>
      <c r="N1586" s="174"/>
      <c r="O1586" s="174"/>
      <c r="P1586" s="174"/>
      <c r="Q1586" s="174"/>
      <c r="R1586" s="174"/>
      <c r="S1586" s="174"/>
      <c r="T1586" s="174"/>
      <c r="U1586" s="174"/>
      <c r="V1586" s="174"/>
      <c r="W1586" s="174"/>
      <c r="X1586" s="174"/>
      <c r="Y1586" s="174"/>
      <c r="Z1586" s="174"/>
      <c r="AA1586" s="174"/>
    </row>
    <row r="1587">
      <c r="A1587" s="174"/>
      <c r="B1587" s="174"/>
      <c r="C1587" s="174"/>
      <c r="D1587" s="174"/>
      <c r="E1587" s="174"/>
      <c r="F1587" s="175"/>
      <c r="G1587" s="175"/>
      <c r="H1587" s="174"/>
      <c r="I1587" s="174"/>
      <c r="J1587" s="174"/>
      <c r="K1587" s="174"/>
      <c r="L1587" s="174"/>
      <c r="M1587" s="174"/>
      <c r="N1587" s="174"/>
      <c r="O1587" s="174"/>
      <c r="P1587" s="174"/>
      <c r="Q1587" s="174"/>
      <c r="R1587" s="174"/>
      <c r="S1587" s="174"/>
      <c r="T1587" s="174"/>
      <c r="U1587" s="174"/>
      <c r="V1587" s="174"/>
      <c r="W1587" s="174"/>
      <c r="X1587" s="174"/>
      <c r="Y1587" s="174"/>
      <c r="Z1587" s="174"/>
      <c r="AA1587" s="174"/>
    </row>
    <row r="1588">
      <c r="A1588" s="174"/>
      <c r="B1588" s="174"/>
      <c r="C1588" s="174"/>
      <c r="D1588" s="174"/>
      <c r="E1588" s="174"/>
      <c r="F1588" s="175"/>
      <c r="G1588" s="175"/>
      <c r="H1588" s="174"/>
      <c r="I1588" s="174"/>
      <c r="J1588" s="174"/>
      <c r="K1588" s="174"/>
      <c r="L1588" s="174"/>
      <c r="M1588" s="174"/>
      <c r="N1588" s="174"/>
      <c r="O1588" s="174"/>
      <c r="P1588" s="174"/>
      <c r="Q1588" s="174"/>
      <c r="R1588" s="174"/>
      <c r="S1588" s="174"/>
      <c r="T1588" s="174"/>
      <c r="U1588" s="174"/>
      <c r="V1588" s="174"/>
      <c r="W1588" s="174"/>
      <c r="X1588" s="174"/>
      <c r="Y1588" s="174"/>
      <c r="Z1588" s="174"/>
      <c r="AA1588" s="174"/>
    </row>
    <row r="1589">
      <c r="A1589" s="174"/>
      <c r="B1589" s="174"/>
      <c r="C1589" s="174"/>
      <c r="D1589" s="174"/>
      <c r="E1589" s="174"/>
      <c r="F1589" s="175"/>
      <c r="G1589" s="175"/>
      <c r="H1589" s="174"/>
      <c r="I1589" s="174"/>
      <c r="J1589" s="174"/>
      <c r="K1589" s="174"/>
      <c r="L1589" s="174"/>
      <c r="M1589" s="174"/>
      <c r="N1589" s="174"/>
      <c r="O1589" s="174"/>
      <c r="P1589" s="174"/>
      <c r="Q1589" s="174"/>
      <c r="R1589" s="174"/>
      <c r="S1589" s="174"/>
      <c r="T1589" s="174"/>
      <c r="U1589" s="174"/>
      <c r="V1589" s="174"/>
      <c r="W1589" s="174"/>
      <c r="X1589" s="174"/>
      <c r="Y1589" s="174"/>
      <c r="Z1589" s="174"/>
      <c r="AA1589" s="174"/>
    </row>
    <row r="1590">
      <c r="A1590" s="174"/>
      <c r="B1590" s="174"/>
      <c r="C1590" s="174"/>
      <c r="D1590" s="174"/>
      <c r="E1590" s="174"/>
      <c r="F1590" s="175"/>
      <c r="G1590" s="175"/>
      <c r="H1590" s="174"/>
      <c r="I1590" s="174"/>
      <c r="J1590" s="174"/>
      <c r="K1590" s="174"/>
      <c r="L1590" s="174"/>
      <c r="M1590" s="174"/>
      <c r="N1590" s="174"/>
      <c r="O1590" s="174"/>
      <c r="P1590" s="174"/>
      <c r="Q1590" s="174"/>
      <c r="R1590" s="174"/>
      <c r="S1590" s="174"/>
      <c r="T1590" s="174"/>
      <c r="U1590" s="174"/>
      <c r="V1590" s="174"/>
      <c r="W1590" s="174"/>
      <c r="X1590" s="174"/>
      <c r="Y1590" s="174"/>
      <c r="Z1590" s="174"/>
      <c r="AA1590" s="174"/>
    </row>
    <row r="1591">
      <c r="A1591" s="174"/>
      <c r="B1591" s="174"/>
      <c r="C1591" s="174"/>
      <c r="D1591" s="174"/>
      <c r="E1591" s="174"/>
      <c r="F1591" s="175"/>
      <c r="G1591" s="175"/>
      <c r="H1591" s="174"/>
      <c r="I1591" s="174"/>
      <c r="J1591" s="174"/>
      <c r="K1591" s="174"/>
      <c r="L1591" s="174"/>
      <c r="M1591" s="174"/>
      <c r="N1591" s="174"/>
      <c r="O1591" s="174"/>
      <c r="P1591" s="174"/>
      <c r="Q1591" s="174"/>
      <c r="R1591" s="174"/>
      <c r="S1591" s="174"/>
      <c r="T1591" s="174"/>
      <c r="U1591" s="174"/>
      <c r="V1591" s="174"/>
      <c r="W1591" s="174"/>
      <c r="X1591" s="174"/>
      <c r="Y1591" s="174"/>
      <c r="Z1591" s="174"/>
      <c r="AA1591" s="174"/>
    </row>
    <row r="1592">
      <c r="A1592" s="174"/>
      <c r="B1592" s="174"/>
      <c r="C1592" s="174"/>
      <c r="D1592" s="174"/>
      <c r="E1592" s="174"/>
      <c r="F1592" s="175"/>
      <c r="G1592" s="175"/>
      <c r="H1592" s="174"/>
      <c r="I1592" s="174"/>
      <c r="J1592" s="174"/>
      <c r="K1592" s="174"/>
      <c r="L1592" s="174"/>
      <c r="M1592" s="174"/>
      <c r="N1592" s="174"/>
      <c r="O1592" s="174"/>
      <c r="P1592" s="174"/>
      <c r="Q1592" s="174"/>
      <c r="R1592" s="174"/>
      <c r="S1592" s="174"/>
      <c r="T1592" s="174"/>
      <c r="U1592" s="174"/>
      <c r="V1592" s="174"/>
      <c r="W1592" s="174"/>
      <c r="X1592" s="174"/>
      <c r="Y1592" s="174"/>
      <c r="Z1592" s="174"/>
      <c r="AA1592" s="174"/>
    </row>
    <row r="1593">
      <c r="A1593" s="174"/>
      <c r="B1593" s="174"/>
      <c r="C1593" s="174"/>
      <c r="D1593" s="174"/>
      <c r="E1593" s="174"/>
      <c r="F1593" s="175"/>
      <c r="G1593" s="175"/>
      <c r="H1593" s="174"/>
      <c r="I1593" s="174"/>
      <c r="J1593" s="174"/>
      <c r="K1593" s="174"/>
      <c r="L1593" s="174"/>
      <c r="M1593" s="174"/>
      <c r="N1593" s="174"/>
      <c r="O1593" s="174"/>
      <c r="P1593" s="174"/>
      <c r="Q1593" s="174"/>
      <c r="R1593" s="174"/>
      <c r="S1593" s="174"/>
      <c r="T1593" s="174"/>
      <c r="U1593" s="174"/>
      <c r="V1593" s="174"/>
      <c r="W1593" s="174"/>
      <c r="X1593" s="174"/>
      <c r="Y1593" s="174"/>
      <c r="Z1593" s="174"/>
      <c r="AA1593" s="174"/>
    </row>
    <row r="1594">
      <c r="A1594" s="174"/>
      <c r="B1594" s="174"/>
      <c r="C1594" s="174"/>
      <c r="D1594" s="174"/>
      <c r="E1594" s="174"/>
      <c r="F1594" s="175"/>
      <c r="G1594" s="175"/>
      <c r="H1594" s="174"/>
      <c r="I1594" s="174"/>
      <c r="J1594" s="174"/>
      <c r="K1594" s="174"/>
      <c r="L1594" s="174"/>
      <c r="M1594" s="174"/>
      <c r="N1594" s="174"/>
      <c r="O1594" s="174"/>
      <c r="P1594" s="174"/>
      <c r="Q1594" s="174"/>
      <c r="R1594" s="174"/>
      <c r="S1594" s="174"/>
      <c r="T1594" s="174"/>
      <c r="U1594" s="174"/>
      <c r="V1594" s="174"/>
      <c r="W1594" s="174"/>
      <c r="X1594" s="174"/>
      <c r="Y1594" s="174"/>
      <c r="Z1594" s="174"/>
      <c r="AA1594" s="174"/>
    </row>
    <row r="1595">
      <c r="A1595" s="174"/>
      <c r="B1595" s="174"/>
      <c r="C1595" s="174"/>
      <c r="D1595" s="174"/>
      <c r="E1595" s="174"/>
      <c r="F1595" s="175"/>
      <c r="G1595" s="175"/>
      <c r="H1595" s="174"/>
      <c r="I1595" s="174"/>
      <c r="J1595" s="174"/>
      <c r="K1595" s="174"/>
      <c r="L1595" s="174"/>
      <c r="M1595" s="174"/>
      <c r="N1595" s="174"/>
      <c r="O1595" s="174"/>
      <c r="P1595" s="174"/>
      <c r="Q1595" s="174"/>
      <c r="R1595" s="174"/>
      <c r="S1595" s="174"/>
      <c r="T1595" s="174"/>
      <c r="U1595" s="174"/>
      <c r="V1595" s="174"/>
      <c r="W1595" s="174"/>
      <c r="X1595" s="174"/>
      <c r="Y1595" s="174"/>
      <c r="Z1595" s="174"/>
      <c r="AA1595" s="174"/>
    </row>
    <row r="1596">
      <c r="A1596" s="174"/>
      <c r="B1596" s="174"/>
      <c r="C1596" s="174"/>
      <c r="D1596" s="174"/>
      <c r="E1596" s="174"/>
      <c r="F1596" s="175"/>
      <c r="G1596" s="175"/>
      <c r="H1596" s="174"/>
      <c r="I1596" s="174"/>
      <c r="J1596" s="174"/>
      <c r="K1596" s="174"/>
      <c r="L1596" s="174"/>
      <c r="M1596" s="174"/>
      <c r="N1596" s="174"/>
      <c r="O1596" s="174"/>
      <c r="P1596" s="174"/>
      <c r="Q1596" s="174"/>
      <c r="R1596" s="174"/>
      <c r="S1596" s="174"/>
      <c r="T1596" s="174"/>
      <c r="U1596" s="174"/>
      <c r="V1596" s="174"/>
      <c r="W1596" s="174"/>
      <c r="X1596" s="174"/>
      <c r="Y1596" s="174"/>
      <c r="Z1596" s="174"/>
      <c r="AA1596" s="174"/>
    </row>
    <row r="1597">
      <c r="A1597" s="174"/>
      <c r="B1597" s="174"/>
      <c r="C1597" s="174"/>
      <c r="D1597" s="174"/>
      <c r="E1597" s="174"/>
      <c r="F1597" s="175"/>
      <c r="G1597" s="175"/>
      <c r="H1597" s="174"/>
      <c r="I1597" s="174"/>
      <c r="J1597" s="174"/>
      <c r="K1597" s="174"/>
      <c r="L1597" s="174"/>
      <c r="M1597" s="174"/>
      <c r="N1597" s="174"/>
      <c r="O1597" s="174"/>
      <c r="P1597" s="174"/>
      <c r="Q1597" s="174"/>
      <c r="R1597" s="174"/>
      <c r="S1597" s="174"/>
      <c r="T1597" s="174"/>
      <c r="U1597" s="174"/>
      <c r="V1597" s="174"/>
      <c r="W1597" s="174"/>
      <c r="X1597" s="174"/>
      <c r="Y1597" s="174"/>
      <c r="Z1597" s="174"/>
      <c r="AA1597" s="174"/>
    </row>
    <row r="1598">
      <c r="A1598" s="174"/>
      <c r="B1598" s="174"/>
      <c r="C1598" s="174"/>
      <c r="D1598" s="174"/>
      <c r="E1598" s="174"/>
      <c r="F1598" s="175"/>
      <c r="G1598" s="175"/>
      <c r="H1598" s="174"/>
      <c r="I1598" s="174"/>
      <c r="J1598" s="174"/>
      <c r="K1598" s="174"/>
      <c r="L1598" s="174"/>
      <c r="M1598" s="174"/>
      <c r="N1598" s="174"/>
      <c r="O1598" s="174"/>
      <c r="P1598" s="174"/>
      <c r="Q1598" s="174"/>
      <c r="R1598" s="174"/>
      <c r="S1598" s="174"/>
      <c r="T1598" s="174"/>
      <c r="U1598" s="174"/>
      <c r="V1598" s="174"/>
      <c r="W1598" s="174"/>
      <c r="X1598" s="174"/>
      <c r="Y1598" s="174"/>
      <c r="Z1598" s="174"/>
      <c r="AA1598" s="174"/>
    </row>
    <row r="1599">
      <c r="A1599" s="174"/>
      <c r="B1599" s="174"/>
      <c r="C1599" s="174"/>
      <c r="D1599" s="174"/>
      <c r="E1599" s="174"/>
      <c r="F1599" s="175"/>
      <c r="G1599" s="175"/>
      <c r="H1599" s="174"/>
      <c r="I1599" s="174"/>
      <c r="J1599" s="174"/>
      <c r="K1599" s="174"/>
      <c r="L1599" s="174"/>
      <c r="M1599" s="174"/>
      <c r="N1599" s="174"/>
      <c r="O1599" s="174"/>
      <c r="P1599" s="174"/>
      <c r="Q1599" s="174"/>
      <c r="R1599" s="174"/>
      <c r="S1599" s="174"/>
      <c r="T1599" s="174"/>
      <c r="U1599" s="174"/>
      <c r="V1599" s="174"/>
      <c r="W1599" s="174"/>
      <c r="X1599" s="174"/>
      <c r="Y1599" s="174"/>
      <c r="Z1599" s="174"/>
      <c r="AA1599" s="174"/>
    </row>
    <row r="1600">
      <c r="A1600" s="174"/>
      <c r="B1600" s="174"/>
      <c r="C1600" s="174"/>
      <c r="D1600" s="174"/>
      <c r="E1600" s="174"/>
      <c r="F1600" s="175"/>
      <c r="G1600" s="175"/>
      <c r="H1600" s="174"/>
      <c r="I1600" s="174"/>
      <c r="J1600" s="174"/>
      <c r="K1600" s="174"/>
      <c r="L1600" s="174"/>
      <c r="M1600" s="174"/>
      <c r="N1600" s="174"/>
      <c r="O1600" s="174"/>
      <c r="P1600" s="174"/>
      <c r="Q1600" s="174"/>
      <c r="R1600" s="174"/>
      <c r="S1600" s="174"/>
      <c r="T1600" s="174"/>
      <c r="U1600" s="174"/>
      <c r="V1600" s="174"/>
      <c r="W1600" s="174"/>
      <c r="X1600" s="174"/>
      <c r="Y1600" s="174"/>
      <c r="Z1600" s="174"/>
      <c r="AA1600" s="174"/>
    </row>
    <row r="1601">
      <c r="A1601" s="174"/>
      <c r="B1601" s="174"/>
      <c r="C1601" s="174"/>
      <c r="D1601" s="174"/>
      <c r="E1601" s="174"/>
      <c r="F1601" s="175"/>
      <c r="G1601" s="175"/>
      <c r="H1601" s="174"/>
      <c r="I1601" s="174"/>
      <c r="J1601" s="174"/>
      <c r="K1601" s="174"/>
      <c r="L1601" s="174"/>
      <c r="M1601" s="174"/>
      <c r="N1601" s="174"/>
      <c r="O1601" s="174"/>
      <c r="P1601" s="174"/>
      <c r="Q1601" s="174"/>
      <c r="R1601" s="174"/>
      <c r="S1601" s="174"/>
      <c r="T1601" s="174"/>
      <c r="U1601" s="174"/>
      <c r="V1601" s="174"/>
      <c r="W1601" s="174"/>
      <c r="X1601" s="174"/>
      <c r="Y1601" s="174"/>
      <c r="Z1601" s="174"/>
      <c r="AA1601" s="174"/>
    </row>
    <row r="1602">
      <c r="A1602" s="174"/>
      <c r="B1602" s="174"/>
      <c r="C1602" s="174"/>
      <c r="D1602" s="174"/>
      <c r="E1602" s="174"/>
      <c r="F1602" s="175"/>
      <c r="G1602" s="175"/>
      <c r="H1602" s="174"/>
      <c r="I1602" s="174"/>
      <c r="J1602" s="174"/>
      <c r="K1602" s="174"/>
      <c r="L1602" s="174"/>
      <c r="M1602" s="174"/>
      <c r="N1602" s="174"/>
      <c r="O1602" s="174"/>
      <c r="P1602" s="174"/>
      <c r="Q1602" s="174"/>
      <c r="R1602" s="174"/>
      <c r="S1602" s="174"/>
      <c r="T1602" s="174"/>
      <c r="U1602" s="174"/>
      <c r="V1602" s="174"/>
      <c r="W1602" s="174"/>
      <c r="X1602" s="174"/>
      <c r="Y1602" s="174"/>
      <c r="Z1602" s="174"/>
      <c r="AA1602" s="174"/>
    </row>
    <row r="1603">
      <c r="A1603" s="174"/>
      <c r="B1603" s="174"/>
      <c r="C1603" s="174"/>
      <c r="D1603" s="174"/>
      <c r="E1603" s="174"/>
      <c r="F1603" s="175"/>
      <c r="G1603" s="175"/>
      <c r="H1603" s="174"/>
      <c r="I1603" s="174"/>
      <c r="J1603" s="174"/>
      <c r="K1603" s="174"/>
      <c r="L1603" s="174"/>
      <c r="M1603" s="174"/>
      <c r="N1603" s="174"/>
      <c r="O1603" s="174"/>
      <c r="P1603" s="174"/>
      <c r="Q1603" s="174"/>
      <c r="R1603" s="174"/>
      <c r="S1603" s="174"/>
      <c r="T1603" s="174"/>
      <c r="U1603" s="174"/>
      <c r="V1603" s="174"/>
      <c r="W1603" s="174"/>
      <c r="X1603" s="174"/>
      <c r="Y1603" s="174"/>
      <c r="Z1603" s="174"/>
      <c r="AA1603" s="174"/>
    </row>
    <row r="1604">
      <c r="A1604" s="174"/>
      <c r="B1604" s="174"/>
      <c r="C1604" s="174"/>
      <c r="D1604" s="174"/>
      <c r="E1604" s="174"/>
      <c r="F1604" s="175"/>
      <c r="G1604" s="175"/>
      <c r="H1604" s="174"/>
      <c r="I1604" s="174"/>
      <c r="J1604" s="174"/>
      <c r="K1604" s="174"/>
      <c r="L1604" s="174"/>
      <c r="M1604" s="174"/>
      <c r="N1604" s="174"/>
      <c r="O1604" s="174"/>
      <c r="P1604" s="174"/>
      <c r="Q1604" s="174"/>
      <c r="R1604" s="174"/>
      <c r="S1604" s="174"/>
      <c r="T1604" s="174"/>
      <c r="U1604" s="174"/>
      <c r="V1604" s="174"/>
      <c r="W1604" s="174"/>
      <c r="X1604" s="174"/>
      <c r="Y1604" s="174"/>
      <c r="Z1604" s="174"/>
      <c r="AA1604" s="174"/>
    </row>
    <row r="1605">
      <c r="A1605" s="174"/>
      <c r="B1605" s="174"/>
      <c r="C1605" s="174"/>
      <c r="D1605" s="174"/>
      <c r="E1605" s="174"/>
      <c r="F1605" s="175"/>
      <c r="G1605" s="175"/>
      <c r="H1605" s="174"/>
      <c r="I1605" s="174"/>
      <c r="J1605" s="174"/>
      <c r="K1605" s="174"/>
      <c r="L1605" s="174"/>
      <c r="M1605" s="174"/>
      <c r="N1605" s="174"/>
      <c r="O1605" s="174"/>
      <c r="P1605" s="174"/>
      <c r="Q1605" s="174"/>
      <c r="R1605" s="174"/>
      <c r="S1605" s="174"/>
      <c r="T1605" s="174"/>
      <c r="U1605" s="174"/>
      <c r="V1605" s="174"/>
      <c r="W1605" s="174"/>
      <c r="X1605" s="174"/>
      <c r="Y1605" s="174"/>
      <c r="Z1605" s="174"/>
      <c r="AA1605" s="174"/>
    </row>
    <row r="1606">
      <c r="A1606" s="174"/>
      <c r="B1606" s="174"/>
      <c r="C1606" s="174"/>
      <c r="D1606" s="174"/>
      <c r="E1606" s="174"/>
      <c r="F1606" s="175"/>
      <c r="G1606" s="175"/>
      <c r="H1606" s="174"/>
      <c r="I1606" s="174"/>
      <c r="J1606" s="174"/>
      <c r="K1606" s="174"/>
      <c r="L1606" s="174"/>
      <c r="M1606" s="174"/>
      <c r="N1606" s="174"/>
      <c r="O1606" s="174"/>
      <c r="P1606" s="174"/>
      <c r="Q1606" s="174"/>
      <c r="R1606" s="174"/>
      <c r="S1606" s="174"/>
      <c r="T1606" s="174"/>
      <c r="U1606" s="174"/>
      <c r="V1606" s="174"/>
      <c r="W1606" s="174"/>
      <c r="X1606" s="174"/>
      <c r="Y1606" s="174"/>
      <c r="Z1606" s="174"/>
      <c r="AA1606" s="174"/>
    </row>
    <row r="1607">
      <c r="A1607" s="174"/>
      <c r="B1607" s="174"/>
      <c r="C1607" s="174"/>
      <c r="D1607" s="174"/>
      <c r="E1607" s="174"/>
      <c r="F1607" s="175"/>
      <c r="G1607" s="175"/>
      <c r="H1607" s="174"/>
      <c r="I1607" s="174"/>
      <c r="J1607" s="174"/>
      <c r="K1607" s="174"/>
      <c r="L1607" s="174"/>
      <c r="M1607" s="174"/>
      <c r="N1607" s="174"/>
      <c r="O1607" s="174"/>
      <c r="P1607" s="174"/>
      <c r="Q1607" s="174"/>
      <c r="R1607" s="174"/>
      <c r="S1607" s="174"/>
      <c r="T1607" s="174"/>
      <c r="U1607" s="174"/>
      <c r="V1607" s="174"/>
      <c r="W1607" s="174"/>
      <c r="X1607" s="174"/>
      <c r="Y1607" s="174"/>
      <c r="Z1607" s="174"/>
      <c r="AA1607" s="174"/>
    </row>
    <row r="1608">
      <c r="A1608" s="174"/>
      <c r="B1608" s="174"/>
      <c r="C1608" s="174"/>
      <c r="D1608" s="174"/>
      <c r="E1608" s="174"/>
      <c r="F1608" s="175"/>
      <c r="G1608" s="175"/>
      <c r="H1608" s="174"/>
      <c r="I1608" s="174"/>
      <c r="J1608" s="174"/>
      <c r="K1608" s="174"/>
      <c r="L1608" s="174"/>
      <c r="M1608" s="174"/>
      <c r="N1608" s="174"/>
      <c r="O1608" s="174"/>
      <c r="P1608" s="174"/>
      <c r="Q1608" s="174"/>
      <c r="R1608" s="174"/>
      <c r="S1608" s="174"/>
      <c r="T1608" s="174"/>
      <c r="U1608" s="174"/>
      <c r="V1608" s="174"/>
      <c r="W1608" s="174"/>
      <c r="X1608" s="174"/>
      <c r="Y1608" s="174"/>
      <c r="Z1608" s="174"/>
      <c r="AA1608" s="174"/>
    </row>
    <row r="1609">
      <c r="A1609" s="174"/>
      <c r="B1609" s="174"/>
      <c r="C1609" s="174"/>
      <c r="D1609" s="174"/>
      <c r="E1609" s="174"/>
      <c r="F1609" s="175"/>
      <c r="G1609" s="175"/>
      <c r="H1609" s="174"/>
      <c r="I1609" s="174"/>
      <c r="J1609" s="174"/>
      <c r="K1609" s="174"/>
      <c r="L1609" s="174"/>
      <c r="M1609" s="174"/>
      <c r="N1609" s="174"/>
      <c r="O1609" s="174"/>
      <c r="P1609" s="174"/>
      <c r="Q1609" s="174"/>
      <c r="R1609" s="174"/>
      <c r="S1609" s="174"/>
      <c r="T1609" s="174"/>
      <c r="U1609" s="174"/>
      <c r="V1609" s="174"/>
      <c r="W1609" s="174"/>
      <c r="X1609" s="174"/>
      <c r="Y1609" s="174"/>
      <c r="Z1609" s="174"/>
      <c r="AA1609" s="174"/>
    </row>
    <row r="1610">
      <c r="A1610" s="174"/>
      <c r="B1610" s="174"/>
      <c r="C1610" s="174"/>
      <c r="D1610" s="174"/>
      <c r="E1610" s="174"/>
      <c r="F1610" s="175"/>
      <c r="G1610" s="175"/>
      <c r="H1610" s="174"/>
      <c r="I1610" s="174"/>
      <c r="J1610" s="174"/>
      <c r="K1610" s="174"/>
      <c r="L1610" s="174"/>
      <c r="M1610" s="174"/>
      <c r="N1610" s="174"/>
      <c r="O1610" s="174"/>
      <c r="P1610" s="174"/>
      <c r="Q1610" s="174"/>
      <c r="R1610" s="174"/>
      <c r="S1610" s="174"/>
      <c r="T1610" s="174"/>
      <c r="U1610" s="174"/>
      <c r="V1610" s="174"/>
      <c r="W1610" s="174"/>
      <c r="X1610" s="174"/>
      <c r="Y1610" s="174"/>
      <c r="Z1610" s="174"/>
      <c r="AA1610" s="174"/>
    </row>
    <row r="1611">
      <c r="A1611" s="174"/>
      <c r="B1611" s="174"/>
      <c r="C1611" s="174"/>
      <c r="D1611" s="174"/>
      <c r="E1611" s="174"/>
      <c r="F1611" s="175"/>
      <c r="G1611" s="175"/>
      <c r="H1611" s="174"/>
      <c r="I1611" s="174"/>
      <c r="J1611" s="174"/>
      <c r="K1611" s="174"/>
      <c r="L1611" s="174"/>
      <c r="M1611" s="174"/>
      <c r="N1611" s="174"/>
      <c r="O1611" s="174"/>
      <c r="P1611" s="174"/>
      <c r="Q1611" s="174"/>
      <c r="R1611" s="174"/>
      <c r="S1611" s="174"/>
      <c r="T1611" s="174"/>
      <c r="U1611" s="174"/>
      <c r="V1611" s="174"/>
      <c r="W1611" s="174"/>
      <c r="X1611" s="174"/>
      <c r="Y1611" s="174"/>
      <c r="Z1611" s="174"/>
      <c r="AA1611" s="174"/>
    </row>
    <row r="1612">
      <c r="A1612" s="174"/>
      <c r="B1612" s="174"/>
      <c r="C1612" s="174"/>
      <c r="D1612" s="174"/>
      <c r="E1612" s="174"/>
      <c r="F1612" s="175"/>
      <c r="G1612" s="175"/>
      <c r="H1612" s="174"/>
      <c r="I1612" s="174"/>
      <c r="J1612" s="174"/>
      <c r="K1612" s="174"/>
      <c r="L1612" s="174"/>
      <c r="M1612" s="174"/>
      <c r="N1612" s="174"/>
      <c r="O1612" s="174"/>
      <c r="P1612" s="174"/>
      <c r="Q1612" s="174"/>
      <c r="R1612" s="174"/>
      <c r="S1612" s="174"/>
      <c r="T1612" s="174"/>
      <c r="U1612" s="174"/>
      <c r="V1612" s="174"/>
      <c r="W1612" s="174"/>
      <c r="X1612" s="174"/>
      <c r="Y1612" s="174"/>
      <c r="Z1612" s="174"/>
      <c r="AA1612" s="174"/>
    </row>
    <row r="1613">
      <c r="A1613" s="174"/>
      <c r="B1613" s="174"/>
      <c r="C1613" s="174"/>
      <c r="D1613" s="174"/>
      <c r="E1613" s="174"/>
      <c r="F1613" s="175"/>
      <c r="G1613" s="175"/>
      <c r="H1613" s="174"/>
      <c r="I1613" s="174"/>
      <c r="J1613" s="174"/>
      <c r="K1613" s="174"/>
      <c r="L1613" s="174"/>
      <c r="M1613" s="174"/>
      <c r="N1613" s="174"/>
      <c r="O1613" s="174"/>
      <c r="P1613" s="174"/>
      <c r="Q1613" s="174"/>
      <c r="R1613" s="174"/>
      <c r="S1613" s="174"/>
      <c r="T1613" s="174"/>
      <c r="U1613" s="174"/>
      <c r="V1613" s="174"/>
      <c r="W1613" s="174"/>
      <c r="X1613" s="174"/>
      <c r="Y1613" s="174"/>
      <c r="Z1613" s="174"/>
      <c r="AA1613" s="174"/>
    </row>
    <row r="1614">
      <c r="A1614" s="174"/>
      <c r="B1614" s="174"/>
      <c r="C1614" s="174"/>
      <c r="D1614" s="174"/>
      <c r="E1614" s="174"/>
      <c r="F1614" s="175"/>
      <c r="G1614" s="175"/>
      <c r="H1614" s="174"/>
      <c r="I1614" s="174"/>
      <c r="J1614" s="174"/>
      <c r="K1614" s="174"/>
      <c r="L1614" s="174"/>
      <c r="M1614" s="174"/>
      <c r="N1614" s="174"/>
      <c r="O1614" s="174"/>
      <c r="P1614" s="174"/>
      <c r="Q1614" s="174"/>
      <c r="R1614" s="174"/>
      <c r="S1614" s="174"/>
      <c r="T1614" s="174"/>
      <c r="U1614" s="174"/>
      <c r="V1614" s="174"/>
      <c r="W1614" s="174"/>
      <c r="X1614" s="174"/>
      <c r="Y1614" s="174"/>
      <c r="Z1614" s="174"/>
      <c r="AA1614" s="174"/>
    </row>
    <row r="1615">
      <c r="A1615" s="174"/>
      <c r="B1615" s="174"/>
      <c r="C1615" s="174"/>
      <c r="D1615" s="174"/>
      <c r="E1615" s="174"/>
      <c r="F1615" s="175"/>
      <c r="G1615" s="175"/>
      <c r="H1615" s="174"/>
      <c r="I1615" s="174"/>
      <c r="J1615" s="174"/>
      <c r="K1615" s="174"/>
      <c r="L1615" s="174"/>
      <c r="M1615" s="174"/>
      <c r="N1615" s="174"/>
      <c r="O1615" s="174"/>
      <c r="P1615" s="174"/>
      <c r="Q1615" s="174"/>
      <c r="R1615" s="174"/>
      <c r="S1615" s="174"/>
      <c r="T1615" s="174"/>
      <c r="U1615" s="174"/>
      <c r="V1615" s="174"/>
      <c r="W1615" s="174"/>
      <c r="X1615" s="174"/>
      <c r="Y1615" s="174"/>
      <c r="Z1615" s="174"/>
      <c r="AA1615" s="174"/>
    </row>
    <row r="1616">
      <c r="A1616" s="174"/>
      <c r="B1616" s="174"/>
      <c r="C1616" s="174"/>
      <c r="D1616" s="174"/>
      <c r="E1616" s="174"/>
      <c r="F1616" s="175"/>
      <c r="G1616" s="175"/>
      <c r="H1616" s="174"/>
      <c r="I1616" s="174"/>
      <c r="J1616" s="174"/>
      <c r="K1616" s="174"/>
      <c r="L1616" s="174"/>
      <c r="M1616" s="174"/>
      <c r="N1616" s="174"/>
      <c r="O1616" s="174"/>
      <c r="P1616" s="174"/>
      <c r="Q1616" s="174"/>
      <c r="R1616" s="174"/>
      <c r="S1616" s="174"/>
      <c r="T1616" s="174"/>
      <c r="U1616" s="174"/>
      <c r="V1616" s="174"/>
      <c r="W1616" s="174"/>
      <c r="X1616" s="174"/>
      <c r="Y1616" s="174"/>
      <c r="Z1616" s="174"/>
      <c r="AA1616" s="174"/>
    </row>
    <row r="1617">
      <c r="A1617" s="174"/>
      <c r="B1617" s="174"/>
      <c r="C1617" s="174"/>
      <c r="D1617" s="174"/>
      <c r="E1617" s="174"/>
      <c r="F1617" s="175"/>
      <c r="G1617" s="175"/>
      <c r="H1617" s="174"/>
      <c r="I1617" s="174"/>
      <c r="J1617" s="174"/>
      <c r="K1617" s="174"/>
      <c r="L1617" s="174"/>
      <c r="M1617" s="174"/>
      <c r="N1617" s="174"/>
      <c r="O1617" s="174"/>
      <c r="P1617" s="174"/>
      <c r="Q1617" s="174"/>
      <c r="R1617" s="174"/>
      <c r="S1617" s="174"/>
      <c r="T1617" s="174"/>
      <c r="U1617" s="174"/>
      <c r="V1617" s="174"/>
      <c r="W1617" s="174"/>
      <c r="X1617" s="174"/>
      <c r="Y1617" s="174"/>
      <c r="Z1617" s="174"/>
      <c r="AA1617" s="174"/>
    </row>
    <row r="1618">
      <c r="A1618" s="174"/>
      <c r="B1618" s="174"/>
      <c r="C1618" s="174"/>
      <c r="D1618" s="174"/>
      <c r="E1618" s="174"/>
      <c r="F1618" s="175"/>
      <c r="G1618" s="175"/>
      <c r="H1618" s="174"/>
      <c r="I1618" s="174"/>
      <c r="J1618" s="174"/>
      <c r="K1618" s="174"/>
      <c r="L1618" s="174"/>
      <c r="M1618" s="174"/>
      <c r="N1618" s="174"/>
      <c r="O1618" s="174"/>
      <c r="P1618" s="174"/>
      <c r="Q1618" s="174"/>
      <c r="R1618" s="174"/>
      <c r="S1618" s="174"/>
      <c r="T1618" s="174"/>
      <c r="U1618" s="174"/>
      <c r="V1618" s="174"/>
      <c r="W1618" s="174"/>
      <c r="X1618" s="174"/>
      <c r="Y1618" s="174"/>
      <c r="Z1618" s="174"/>
      <c r="AA1618" s="174"/>
    </row>
    <row r="1619">
      <c r="A1619" s="174"/>
      <c r="B1619" s="174"/>
      <c r="C1619" s="174"/>
      <c r="D1619" s="174"/>
      <c r="E1619" s="174"/>
      <c r="F1619" s="175"/>
      <c r="G1619" s="175"/>
      <c r="H1619" s="174"/>
      <c r="I1619" s="174"/>
      <c r="J1619" s="174"/>
      <c r="K1619" s="174"/>
      <c r="L1619" s="174"/>
      <c r="M1619" s="174"/>
      <c r="N1619" s="174"/>
      <c r="O1619" s="174"/>
      <c r="P1619" s="174"/>
      <c r="Q1619" s="174"/>
      <c r="R1619" s="174"/>
      <c r="S1619" s="174"/>
      <c r="T1619" s="174"/>
      <c r="U1619" s="174"/>
      <c r="V1619" s="174"/>
      <c r="W1619" s="174"/>
      <c r="X1619" s="174"/>
      <c r="Y1619" s="174"/>
      <c r="Z1619" s="174"/>
      <c r="AA1619" s="174"/>
    </row>
    <row r="1620">
      <c r="A1620" s="174"/>
      <c r="B1620" s="174"/>
      <c r="C1620" s="174"/>
      <c r="D1620" s="174"/>
      <c r="E1620" s="174"/>
      <c r="F1620" s="175"/>
      <c r="G1620" s="175"/>
      <c r="H1620" s="174"/>
      <c r="I1620" s="174"/>
      <c r="J1620" s="174"/>
      <c r="K1620" s="174"/>
      <c r="L1620" s="174"/>
      <c r="M1620" s="174"/>
      <c r="N1620" s="174"/>
      <c r="O1620" s="174"/>
      <c r="P1620" s="174"/>
      <c r="Q1620" s="174"/>
      <c r="R1620" s="174"/>
      <c r="S1620" s="174"/>
      <c r="T1620" s="174"/>
      <c r="U1620" s="174"/>
      <c r="V1620" s="174"/>
      <c r="W1620" s="174"/>
      <c r="X1620" s="174"/>
      <c r="Y1620" s="174"/>
      <c r="Z1620" s="174"/>
      <c r="AA1620" s="174"/>
    </row>
    <row r="1621">
      <c r="A1621" s="174"/>
      <c r="B1621" s="174"/>
      <c r="C1621" s="174"/>
      <c r="D1621" s="174"/>
      <c r="E1621" s="174"/>
      <c r="F1621" s="175"/>
      <c r="G1621" s="175"/>
      <c r="H1621" s="174"/>
      <c r="I1621" s="174"/>
      <c r="J1621" s="174"/>
      <c r="K1621" s="174"/>
      <c r="L1621" s="174"/>
      <c r="M1621" s="174"/>
      <c r="N1621" s="174"/>
      <c r="O1621" s="174"/>
      <c r="P1621" s="174"/>
      <c r="Q1621" s="174"/>
      <c r="R1621" s="174"/>
      <c r="S1621" s="174"/>
      <c r="T1621" s="174"/>
      <c r="U1621" s="174"/>
      <c r="V1621" s="174"/>
      <c r="W1621" s="174"/>
      <c r="X1621" s="174"/>
      <c r="Y1621" s="174"/>
      <c r="Z1621" s="174"/>
      <c r="AA1621" s="174"/>
    </row>
    <row r="1622">
      <c r="A1622" s="174"/>
      <c r="B1622" s="174"/>
      <c r="C1622" s="174"/>
      <c r="D1622" s="174"/>
      <c r="E1622" s="174"/>
      <c r="F1622" s="175"/>
      <c r="G1622" s="175"/>
      <c r="H1622" s="174"/>
      <c r="I1622" s="174"/>
      <c r="J1622" s="174"/>
      <c r="K1622" s="174"/>
      <c r="L1622" s="174"/>
      <c r="M1622" s="174"/>
      <c r="N1622" s="174"/>
      <c r="O1622" s="174"/>
      <c r="P1622" s="174"/>
      <c r="Q1622" s="174"/>
      <c r="R1622" s="174"/>
      <c r="S1622" s="174"/>
      <c r="T1622" s="174"/>
      <c r="U1622" s="174"/>
      <c r="V1622" s="174"/>
      <c r="W1622" s="174"/>
      <c r="X1622" s="174"/>
      <c r="Y1622" s="174"/>
      <c r="Z1622" s="174"/>
      <c r="AA1622" s="174"/>
    </row>
    <row r="1623">
      <c r="A1623" s="174"/>
      <c r="B1623" s="174"/>
      <c r="C1623" s="174"/>
      <c r="D1623" s="174"/>
      <c r="E1623" s="174"/>
      <c r="F1623" s="175"/>
      <c r="G1623" s="175"/>
      <c r="H1623" s="174"/>
      <c r="I1623" s="174"/>
      <c r="J1623" s="174"/>
      <c r="K1623" s="174"/>
      <c r="L1623" s="174"/>
      <c r="M1623" s="174"/>
      <c r="N1623" s="174"/>
      <c r="O1623" s="174"/>
      <c r="P1623" s="174"/>
      <c r="Q1623" s="174"/>
      <c r="R1623" s="174"/>
      <c r="S1623" s="174"/>
      <c r="T1623" s="174"/>
      <c r="U1623" s="174"/>
      <c r="V1623" s="174"/>
      <c r="W1623" s="174"/>
      <c r="X1623" s="174"/>
      <c r="Y1623" s="174"/>
      <c r="Z1623" s="174"/>
      <c r="AA1623" s="174"/>
    </row>
    <row r="1624">
      <c r="A1624" s="174"/>
      <c r="B1624" s="174"/>
      <c r="C1624" s="174"/>
      <c r="D1624" s="174"/>
      <c r="E1624" s="174"/>
      <c r="F1624" s="175"/>
      <c r="G1624" s="175"/>
      <c r="H1624" s="174"/>
      <c r="I1624" s="174"/>
      <c r="J1624" s="174"/>
      <c r="K1624" s="174"/>
      <c r="L1624" s="174"/>
      <c r="M1624" s="174"/>
      <c r="N1624" s="174"/>
      <c r="O1624" s="174"/>
      <c r="P1624" s="174"/>
      <c r="Q1624" s="174"/>
      <c r="R1624" s="174"/>
      <c r="S1624" s="174"/>
      <c r="T1624" s="174"/>
      <c r="U1624" s="174"/>
      <c r="V1624" s="174"/>
      <c r="W1624" s="174"/>
      <c r="X1624" s="174"/>
      <c r="Y1624" s="174"/>
      <c r="Z1624" s="174"/>
      <c r="AA1624" s="174"/>
    </row>
    <row r="1625">
      <c r="A1625" s="174"/>
      <c r="B1625" s="174"/>
      <c r="C1625" s="174"/>
      <c r="D1625" s="174"/>
      <c r="E1625" s="174"/>
      <c r="F1625" s="175"/>
      <c r="G1625" s="175"/>
      <c r="H1625" s="174"/>
      <c r="I1625" s="174"/>
      <c r="J1625" s="174"/>
      <c r="K1625" s="174"/>
      <c r="L1625" s="174"/>
      <c r="M1625" s="174"/>
      <c r="N1625" s="174"/>
      <c r="O1625" s="174"/>
      <c r="P1625" s="174"/>
      <c r="Q1625" s="174"/>
      <c r="R1625" s="174"/>
      <c r="S1625" s="174"/>
      <c r="T1625" s="174"/>
      <c r="U1625" s="174"/>
      <c r="V1625" s="174"/>
      <c r="W1625" s="174"/>
      <c r="X1625" s="174"/>
      <c r="Y1625" s="174"/>
      <c r="Z1625" s="174"/>
      <c r="AA1625" s="174"/>
    </row>
    <row r="1626">
      <c r="A1626" s="174"/>
      <c r="B1626" s="174"/>
      <c r="C1626" s="174"/>
      <c r="D1626" s="174"/>
      <c r="E1626" s="174"/>
      <c r="F1626" s="175"/>
      <c r="G1626" s="175"/>
      <c r="H1626" s="174"/>
      <c r="I1626" s="174"/>
      <c r="J1626" s="174"/>
      <c r="K1626" s="174"/>
      <c r="L1626" s="174"/>
      <c r="M1626" s="174"/>
      <c r="N1626" s="174"/>
      <c r="O1626" s="174"/>
      <c r="P1626" s="174"/>
      <c r="Q1626" s="174"/>
      <c r="R1626" s="174"/>
      <c r="S1626" s="174"/>
      <c r="T1626" s="174"/>
      <c r="U1626" s="174"/>
      <c r="V1626" s="174"/>
      <c r="W1626" s="174"/>
      <c r="X1626" s="174"/>
      <c r="Y1626" s="174"/>
      <c r="Z1626" s="174"/>
      <c r="AA1626" s="174"/>
    </row>
    <row r="1627">
      <c r="A1627" s="174"/>
      <c r="B1627" s="174"/>
      <c r="C1627" s="174"/>
      <c r="D1627" s="174"/>
      <c r="E1627" s="174"/>
      <c r="F1627" s="175"/>
      <c r="G1627" s="175"/>
      <c r="H1627" s="174"/>
      <c r="I1627" s="174"/>
      <c r="J1627" s="174"/>
      <c r="K1627" s="174"/>
      <c r="L1627" s="174"/>
      <c r="M1627" s="174"/>
      <c r="N1627" s="174"/>
      <c r="O1627" s="174"/>
      <c r="P1627" s="174"/>
      <c r="Q1627" s="174"/>
      <c r="R1627" s="174"/>
      <c r="S1627" s="174"/>
      <c r="T1627" s="174"/>
      <c r="U1627" s="174"/>
      <c r="V1627" s="174"/>
      <c r="W1627" s="174"/>
      <c r="X1627" s="174"/>
      <c r="Y1627" s="174"/>
      <c r="Z1627" s="174"/>
      <c r="AA1627" s="174"/>
    </row>
    <row r="1628">
      <c r="A1628" s="174"/>
      <c r="B1628" s="174"/>
      <c r="C1628" s="174"/>
      <c r="D1628" s="174"/>
      <c r="E1628" s="174"/>
      <c r="F1628" s="175"/>
      <c r="G1628" s="175"/>
      <c r="H1628" s="174"/>
      <c r="I1628" s="174"/>
      <c r="J1628" s="174"/>
      <c r="K1628" s="174"/>
      <c r="L1628" s="174"/>
      <c r="M1628" s="174"/>
      <c r="N1628" s="174"/>
      <c r="O1628" s="174"/>
      <c r="P1628" s="174"/>
      <c r="Q1628" s="174"/>
      <c r="R1628" s="174"/>
      <c r="S1628" s="174"/>
      <c r="T1628" s="174"/>
      <c r="U1628" s="174"/>
      <c r="V1628" s="174"/>
      <c r="W1628" s="174"/>
      <c r="X1628" s="174"/>
      <c r="Y1628" s="174"/>
      <c r="Z1628" s="174"/>
      <c r="AA1628" s="174"/>
    </row>
    <row r="1629">
      <c r="A1629" s="174"/>
      <c r="B1629" s="174"/>
      <c r="C1629" s="174"/>
      <c r="D1629" s="174"/>
      <c r="E1629" s="174"/>
      <c r="F1629" s="175"/>
      <c r="G1629" s="175"/>
      <c r="H1629" s="174"/>
      <c r="I1629" s="174"/>
      <c r="J1629" s="174"/>
      <c r="K1629" s="174"/>
      <c r="L1629" s="174"/>
      <c r="M1629" s="174"/>
      <c r="N1629" s="174"/>
      <c r="O1629" s="174"/>
      <c r="P1629" s="174"/>
      <c r="Q1629" s="174"/>
      <c r="R1629" s="174"/>
      <c r="S1629" s="174"/>
      <c r="T1629" s="174"/>
      <c r="U1629" s="174"/>
      <c r="V1629" s="174"/>
      <c r="W1629" s="174"/>
      <c r="X1629" s="174"/>
      <c r="Y1629" s="174"/>
      <c r="Z1629" s="174"/>
      <c r="AA1629" s="174"/>
    </row>
    <row r="1630">
      <c r="A1630" s="174"/>
      <c r="B1630" s="174"/>
      <c r="C1630" s="174"/>
      <c r="D1630" s="174"/>
      <c r="E1630" s="174"/>
      <c r="F1630" s="175"/>
      <c r="G1630" s="175"/>
      <c r="H1630" s="174"/>
      <c r="I1630" s="174"/>
      <c r="J1630" s="174"/>
      <c r="K1630" s="174"/>
      <c r="L1630" s="174"/>
      <c r="M1630" s="174"/>
      <c r="N1630" s="174"/>
      <c r="O1630" s="174"/>
      <c r="P1630" s="174"/>
      <c r="Q1630" s="174"/>
      <c r="R1630" s="174"/>
      <c r="S1630" s="174"/>
      <c r="T1630" s="174"/>
      <c r="U1630" s="174"/>
      <c r="V1630" s="174"/>
      <c r="W1630" s="174"/>
      <c r="X1630" s="174"/>
      <c r="Y1630" s="174"/>
      <c r="Z1630" s="174"/>
      <c r="AA1630" s="174"/>
    </row>
    <row r="1631">
      <c r="A1631" s="174"/>
      <c r="B1631" s="174"/>
      <c r="C1631" s="174"/>
      <c r="D1631" s="174"/>
      <c r="E1631" s="174"/>
      <c r="F1631" s="175"/>
      <c r="G1631" s="175"/>
      <c r="H1631" s="174"/>
      <c r="I1631" s="174"/>
      <c r="J1631" s="174"/>
      <c r="K1631" s="174"/>
      <c r="L1631" s="174"/>
      <c r="M1631" s="174"/>
      <c r="N1631" s="174"/>
      <c r="O1631" s="174"/>
      <c r="P1631" s="174"/>
      <c r="Q1631" s="174"/>
      <c r="R1631" s="174"/>
      <c r="S1631" s="174"/>
      <c r="T1631" s="174"/>
      <c r="U1631" s="174"/>
      <c r="V1631" s="174"/>
      <c r="W1631" s="174"/>
      <c r="X1631" s="174"/>
      <c r="Y1631" s="174"/>
      <c r="Z1631" s="174"/>
      <c r="AA1631" s="174"/>
    </row>
    <row r="1632">
      <c r="A1632" s="174"/>
      <c r="B1632" s="174"/>
      <c r="C1632" s="174"/>
      <c r="D1632" s="174"/>
      <c r="E1632" s="174"/>
      <c r="F1632" s="175"/>
      <c r="G1632" s="175"/>
      <c r="H1632" s="174"/>
      <c r="I1632" s="174"/>
      <c r="J1632" s="174"/>
      <c r="K1632" s="174"/>
      <c r="L1632" s="174"/>
      <c r="M1632" s="174"/>
      <c r="N1632" s="174"/>
      <c r="O1632" s="174"/>
      <c r="P1632" s="174"/>
      <c r="Q1632" s="174"/>
      <c r="R1632" s="174"/>
      <c r="S1632" s="174"/>
      <c r="T1632" s="174"/>
      <c r="U1632" s="174"/>
      <c r="V1632" s="174"/>
      <c r="W1632" s="174"/>
      <c r="X1632" s="174"/>
      <c r="Y1632" s="174"/>
      <c r="Z1632" s="174"/>
      <c r="AA1632" s="174"/>
    </row>
    <row r="1633">
      <c r="A1633" s="174"/>
      <c r="B1633" s="174"/>
      <c r="C1633" s="174"/>
      <c r="D1633" s="174"/>
      <c r="E1633" s="174"/>
      <c r="F1633" s="175"/>
      <c r="G1633" s="175"/>
      <c r="H1633" s="174"/>
      <c r="I1633" s="174"/>
      <c r="J1633" s="174"/>
      <c r="K1633" s="174"/>
      <c r="L1633" s="174"/>
      <c r="M1633" s="174"/>
      <c r="N1633" s="174"/>
      <c r="O1633" s="174"/>
      <c r="P1633" s="174"/>
      <c r="Q1633" s="174"/>
      <c r="R1633" s="174"/>
      <c r="S1633" s="174"/>
      <c r="T1633" s="174"/>
      <c r="U1633" s="174"/>
      <c r="V1633" s="174"/>
      <c r="W1633" s="174"/>
      <c r="X1633" s="174"/>
      <c r="Y1633" s="174"/>
      <c r="Z1633" s="174"/>
      <c r="AA1633" s="174"/>
    </row>
    <row r="1634">
      <c r="A1634" s="174"/>
      <c r="B1634" s="174"/>
      <c r="C1634" s="174"/>
      <c r="D1634" s="174"/>
      <c r="E1634" s="174"/>
      <c r="F1634" s="175"/>
      <c r="G1634" s="175"/>
      <c r="H1634" s="174"/>
      <c r="I1634" s="174"/>
      <c r="J1634" s="174"/>
      <c r="K1634" s="174"/>
      <c r="L1634" s="174"/>
      <c r="M1634" s="174"/>
      <c r="N1634" s="174"/>
      <c r="O1634" s="174"/>
      <c r="P1634" s="174"/>
      <c r="Q1634" s="174"/>
      <c r="R1634" s="174"/>
      <c r="S1634" s="174"/>
      <c r="T1634" s="174"/>
      <c r="U1634" s="174"/>
      <c r="V1634" s="174"/>
      <c r="W1634" s="174"/>
      <c r="X1634" s="174"/>
      <c r="Y1634" s="174"/>
      <c r="Z1634" s="174"/>
      <c r="AA1634" s="174"/>
    </row>
    <row r="1635">
      <c r="A1635" s="174"/>
      <c r="B1635" s="174"/>
      <c r="C1635" s="174"/>
      <c r="D1635" s="174"/>
      <c r="E1635" s="174"/>
      <c r="F1635" s="175"/>
      <c r="G1635" s="175"/>
      <c r="H1635" s="174"/>
      <c r="I1635" s="174"/>
      <c r="J1635" s="174"/>
      <c r="K1635" s="174"/>
      <c r="L1635" s="174"/>
      <c r="M1635" s="174"/>
      <c r="N1635" s="174"/>
      <c r="O1635" s="174"/>
      <c r="P1635" s="174"/>
      <c r="Q1635" s="174"/>
      <c r="R1635" s="174"/>
      <c r="S1635" s="174"/>
      <c r="T1635" s="174"/>
      <c r="U1635" s="174"/>
      <c r="V1635" s="174"/>
      <c r="W1635" s="174"/>
      <c r="X1635" s="174"/>
      <c r="Y1635" s="174"/>
      <c r="Z1635" s="174"/>
      <c r="AA1635" s="174"/>
    </row>
    <row r="1636">
      <c r="A1636" s="174"/>
      <c r="B1636" s="174"/>
      <c r="C1636" s="174"/>
      <c r="D1636" s="174"/>
      <c r="E1636" s="174"/>
      <c r="F1636" s="175"/>
      <c r="G1636" s="175"/>
      <c r="H1636" s="174"/>
      <c r="I1636" s="174"/>
      <c r="J1636" s="174"/>
      <c r="K1636" s="174"/>
      <c r="L1636" s="174"/>
      <c r="M1636" s="174"/>
      <c r="N1636" s="174"/>
      <c r="O1636" s="174"/>
      <c r="P1636" s="174"/>
      <c r="Q1636" s="174"/>
      <c r="R1636" s="174"/>
      <c r="S1636" s="174"/>
      <c r="T1636" s="174"/>
      <c r="U1636" s="174"/>
      <c r="V1636" s="174"/>
      <c r="W1636" s="174"/>
      <c r="X1636" s="174"/>
      <c r="Y1636" s="174"/>
      <c r="Z1636" s="174"/>
      <c r="AA1636" s="174"/>
    </row>
    <row r="1637">
      <c r="A1637" s="174"/>
      <c r="B1637" s="174"/>
      <c r="C1637" s="174"/>
      <c r="D1637" s="174"/>
      <c r="E1637" s="174"/>
      <c r="F1637" s="175"/>
      <c r="G1637" s="175"/>
      <c r="H1637" s="174"/>
      <c r="I1637" s="174"/>
      <c r="J1637" s="174"/>
      <c r="K1637" s="174"/>
      <c r="L1637" s="174"/>
      <c r="M1637" s="174"/>
      <c r="N1637" s="174"/>
      <c r="O1637" s="174"/>
      <c r="P1637" s="174"/>
      <c r="Q1637" s="174"/>
      <c r="R1637" s="174"/>
      <c r="S1637" s="174"/>
      <c r="T1637" s="174"/>
      <c r="U1637" s="174"/>
      <c r="V1637" s="174"/>
      <c r="W1637" s="174"/>
      <c r="X1637" s="174"/>
      <c r="Y1637" s="174"/>
      <c r="Z1637" s="174"/>
      <c r="AA1637" s="174"/>
    </row>
    <row r="1638">
      <c r="A1638" s="174"/>
      <c r="B1638" s="174"/>
      <c r="C1638" s="174"/>
      <c r="D1638" s="174"/>
      <c r="E1638" s="174"/>
      <c r="F1638" s="175"/>
      <c r="G1638" s="175"/>
      <c r="H1638" s="174"/>
      <c r="I1638" s="174"/>
      <c r="J1638" s="174"/>
      <c r="K1638" s="174"/>
      <c r="L1638" s="174"/>
      <c r="M1638" s="174"/>
      <c r="N1638" s="174"/>
      <c r="O1638" s="174"/>
      <c r="P1638" s="174"/>
      <c r="Q1638" s="174"/>
      <c r="R1638" s="174"/>
      <c r="S1638" s="174"/>
      <c r="T1638" s="174"/>
      <c r="U1638" s="174"/>
      <c r="V1638" s="174"/>
      <c r="W1638" s="174"/>
      <c r="X1638" s="174"/>
      <c r="Y1638" s="174"/>
      <c r="Z1638" s="174"/>
      <c r="AA1638" s="174"/>
    </row>
    <row r="1639">
      <c r="A1639" s="174"/>
      <c r="B1639" s="174"/>
      <c r="C1639" s="174"/>
      <c r="D1639" s="174"/>
      <c r="E1639" s="174"/>
      <c r="F1639" s="175"/>
      <c r="G1639" s="175"/>
      <c r="H1639" s="174"/>
      <c r="I1639" s="174"/>
      <c r="J1639" s="174"/>
      <c r="K1639" s="174"/>
      <c r="L1639" s="174"/>
      <c r="M1639" s="174"/>
      <c r="N1639" s="174"/>
      <c r="O1639" s="174"/>
      <c r="P1639" s="174"/>
      <c r="Q1639" s="174"/>
      <c r="R1639" s="174"/>
      <c r="S1639" s="174"/>
      <c r="T1639" s="174"/>
      <c r="U1639" s="174"/>
      <c r="V1639" s="174"/>
      <c r="W1639" s="174"/>
      <c r="X1639" s="174"/>
      <c r="Y1639" s="174"/>
      <c r="Z1639" s="174"/>
      <c r="AA1639" s="174"/>
    </row>
    <row r="1640">
      <c r="A1640" s="174"/>
      <c r="B1640" s="174"/>
      <c r="C1640" s="174"/>
      <c r="D1640" s="174"/>
      <c r="E1640" s="174"/>
      <c r="F1640" s="175"/>
      <c r="G1640" s="175"/>
      <c r="H1640" s="174"/>
      <c r="I1640" s="174"/>
      <c r="J1640" s="174"/>
      <c r="K1640" s="174"/>
      <c r="L1640" s="174"/>
      <c r="M1640" s="174"/>
      <c r="N1640" s="174"/>
      <c r="O1640" s="174"/>
      <c r="P1640" s="174"/>
      <c r="Q1640" s="174"/>
      <c r="R1640" s="174"/>
      <c r="S1640" s="174"/>
      <c r="T1640" s="174"/>
      <c r="U1640" s="174"/>
      <c r="V1640" s="174"/>
      <c r="W1640" s="174"/>
      <c r="X1640" s="174"/>
      <c r="Y1640" s="174"/>
      <c r="Z1640" s="174"/>
      <c r="AA1640" s="174"/>
    </row>
    <row r="1641">
      <c r="A1641" s="174"/>
      <c r="B1641" s="174"/>
      <c r="C1641" s="174"/>
      <c r="D1641" s="174"/>
      <c r="E1641" s="174"/>
      <c r="F1641" s="175"/>
      <c r="G1641" s="175"/>
      <c r="H1641" s="174"/>
      <c r="I1641" s="174"/>
      <c r="J1641" s="174"/>
      <c r="K1641" s="174"/>
      <c r="L1641" s="174"/>
      <c r="M1641" s="174"/>
      <c r="N1641" s="174"/>
      <c r="O1641" s="174"/>
      <c r="P1641" s="174"/>
      <c r="Q1641" s="174"/>
      <c r="R1641" s="174"/>
      <c r="S1641" s="174"/>
      <c r="T1641" s="174"/>
      <c r="U1641" s="174"/>
      <c r="V1641" s="174"/>
      <c r="W1641" s="174"/>
      <c r="X1641" s="174"/>
      <c r="Y1641" s="174"/>
      <c r="Z1641" s="174"/>
      <c r="AA1641" s="174"/>
    </row>
    <row r="1642">
      <c r="A1642" s="174"/>
      <c r="B1642" s="174"/>
      <c r="C1642" s="174"/>
      <c r="D1642" s="174"/>
      <c r="E1642" s="174"/>
      <c r="F1642" s="175"/>
      <c r="G1642" s="175"/>
      <c r="H1642" s="174"/>
      <c r="I1642" s="174"/>
      <c r="J1642" s="174"/>
      <c r="K1642" s="174"/>
      <c r="L1642" s="174"/>
      <c r="M1642" s="174"/>
      <c r="N1642" s="174"/>
      <c r="O1642" s="174"/>
      <c r="P1642" s="174"/>
      <c r="Q1642" s="174"/>
      <c r="R1642" s="174"/>
      <c r="S1642" s="174"/>
      <c r="T1642" s="174"/>
      <c r="U1642" s="174"/>
      <c r="V1642" s="174"/>
      <c r="W1642" s="174"/>
      <c r="X1642" s="174"/>
      <c r="Y1642" s="174"/>
      <c r="Z1642" s="174"/>
      <c r="AA1642" s="174"/>
    </row>
    <row r="1643">
      <c r="A1643" s="174"/>
      <c r="B1643" s="174"/>
      <c r="C1643" s="174"/>
      <c r="D1643" s="174"/>
      <c r="E1643" s="174"/>
      <c r="F1643" s="175"/>
      <c r="G1643" s="175"/>
      <c r="H1643" s="174"/>
      <c r="I1643" s="174"/>
      <c r="J1643" s="174"/>
      <c r="K1643" s="174"/>
      <c r="L1643" s="174"/>
      <c r="M1643" s="174"/>
      <c r="N1643" s="174"/>
      <c r="O1643" s="174"/>
      <c r="P1643" s="174"/>
      <c r="Q1643" s="174"/>
      <c r="R1643" s="174"/>
      <c r="S1643" s="174"/>
      <c r="T1643" s="174"/>
      <c r="U1643" s="174"/>
      <c r="V1643" s="174"/>
      <c r="W1643" s="174"/>
      <c r="X1643" s="174"/>
      <c r="Y1643" s="174"/>
      <c r="Z1643" s="174"/>
      <c r="AA1643" s="174"/>
    </row>
    <row r="1644">
      <c r="A1644" s="174"/>
      <c r="B1644" s="174"/>
      <c r="C1644" s="174"/>
      <c r="D1644" s="174"/>
      <c r="E1644" s="174"/>
      <c r="F1644" s="175"/>
      <c r="G1644" s="175"/>
      <c r="H1644" s="174"/>
      <c r="I1644" s="174"/>
      <c r="J1644" s="174"/>
      <c r="K1644" s="174"/>
      <c r="L1644" s="174"/>
      <c r="M1644" s="174"/>
      <c r="N1644" s="174"/>
      <c r="O1644" s="174"/>
      <c r="P1644" s="174"/>
      <c r="Q1644" s="174"/>
      <c r="R1644" s="174"/>
      <c r="S1644" s="174"/>
      <c r="T1644" s="174"/>
      <c r="U1644" s="174"/>
      <c r="V1644" s="174"/>
      <c r="W1644" s="174"/>
      <c r="X1644" s="174"/>
      <c r="Y1644" s="174"/>
      <c r="Z1644" s="174"/>
      <c r="AA1644" s="174"/>
    </row>
    <row r="1645">
      <c r="A1645" s="174"/>
      <c r="B1645" s="174"/>
      <c r="C1645" s="174"/>
      <c r="D1645" s="174"/>
      <c r="E1645" s="174"/>
      <c r="F1645" s="175"/>
      <c r="G1645" s="175"/>
      <c r="H1645" s="174"/>
      <c r="I1645" s="174"/>
      <c r="J1645" s="174"/>
      <c r="K1645" s="174"/>
      <c r="L1645" s="174"/>
      <c r="M1645" s="174"/>
      <c r="N1645" s="174"/>
      <c r="O1645" s="174"/>
      <c r="P1645" s="174"/>
      <c r="Q1645" s="174"/>
      <c r="R1645" s="174"/>
      <c r="S1645" s="174"/>
      <c r="T1645" s="174"/>
      <c r="U1645" s="174"/>
      <c r="V1645" s="174"/>
      <c r="W1645" s="174"/>
      <c r="X1645" s="174"/>
      <c r="Y1645" s="174"/>
      <c r="Z1645" s="174"/>
      <c r="AA1645" s="174"/>
    </row>
    <row r="1646">
      <c r="A1646" s="174"/>
      <c r="B1646" s="174"/>
      <c r="C1646" s="174"/>
      <c r="D1646" s="174"/>
      <c r="E1646" s="174"/>
      <c r="F1646" s="175"/>
      <c r="G1646" s="175"/>
      <c r="H1646" s="174"/>
      <c r="I1646" s="174"/>
      <c r="J1646" s="174"/>
      <c r="K1646" s="174"/>
      <c r="L1646" s="174"/>
      <c r="M1646" s="174"/>
      <c r="N1646" s="174"/>
      <c r="O1646" s="174"/>
      <c r="P1646" s="174"/>
      <c r="Q1646" s="174"/>
      <c r="R1646" s="174"/>
      <c r="S1646" s="174"/>
      <c r="T1646" s="174"/>
      <c r="U1646" s="174"/>
      <c r="V1646" s="174"/>
      <c r="W1646" s="174"/>
      <c r="X1646" s="174"/>
      <c r="Y1646" s="174"/>
      <c r="Z1646" s="174"/>
      <c r="AA1646" s="174"/>
    </row>
    <row r="1647">
      <c r="A1647" s="174"/>
      <c r="B1647" s="174"/>
      <c r="C1647" s="174"/>
      <c r="D1647" s="174"/>
      <c r="E1647" s="174"/>
      <c r="F1647" s="175"/>
      <c r="G1647" s="175"/>
      <c r="H1647" s="174"/>
      <c r="I1647" s="174"/>
      <c r="J1647" s="174"/>
      <c r="K1647" s="174"/>
      <c r="L1647" s="174"/>
      <c r="M1647" s="174"/>
      <c r="N1647" s="174"/>
      <c r="O1647" s="174"/>
      <c r="P1647" s="174"/>
      <c r="Q1647" s="174"/>
      <c r="R1647" s="174"/>
      <c r="S1647" s="174"/>
      <c r="T1647" s="174"/>
      <c r="U1647" s="174"/>
      <c r="V1647" s="174"/>
      <c r="W1647" s="174"/>
      <c r="X1647" s="174"/>
      <c r="Y1647" s="174"/>
      <c r="Z1647" s="174"/>
      <c r="AA1647" s="174"/>
    </row>
    <row r="1648">
      <c r="A1648" s="174"/>
      <c r="B1648" s="174"/>
      <c r="C1648" s="174"/>
      <c r="D1648" s="174"/>
      <c r="E1648" s="174"/>
      <c r="F1648" s="175"/>
      <c r="G1648" s="175"/>
      <c r="H1648" s="174"/>
      <c r="I1648" s="174"/>
      <c r="J1648" s="174"/>
      <c r="K1648" s="174"/>
      <c r="L1648" s="174"/>
      <c r="M1648" s="174"/>
      <c r="N1648" s="174"/>
      <c r="O1648" s="174"/>
      <c r="P1648" s="174"/>
      <c r="Q1648" s="174"/>
      <c r="R1648" s="174"/>
      <c r="S1648" s="174"/>
      <c r="T1648" s="174"/>
      <c r="U1648" s="174"/>
      <c r="V1648" s="174"/>
      <c r="W1648" s="174"/>
      <c r="X1648" s="174"/>
      <c r="Y1648" s="174"/>
      <c r="Z1648" s="174"/>
      <c r="AA1648" s="174"/>
    </row>
    <row r="1649">
      <c r="A1649" s="174"/>
      <c r="B1649" s="174"/>
      <c r="C1649" s="174"/>
      <c r="D1649" s="174"/>
      <c r="E1649" s="174"/>
      <c r="F1649" s="175"/>
      <c r="G1649" s="175"/>
      <c r="H1649" s="174"/>
      <c r="I1649" s="174"/>
      <c r="J1649" s="174"/>
      <c r="K1649" s="174"/>
      <c r="L1649" s="174"/>
      <c r="M1649" s="174"/>
      <c r="N1649" s="174"/>
      <c r="O1649" s="174"/>
      <c r="P1649" s="174"/>
      <c r="Q1649" s="174"/>
      <c r="R1649" s="174"/>
      <c r="S1649" s="174"/>
      <c r="T1649" s="174"/>
      <c r="U1649" s="174"/>
      <c r="V1649" s="174"/>
      <c r="W1649" s="174"/>
      <c r="X1649" s="174"/>
      <c r="Y1649" s="174"/>
      <c r="Z1649" s="174"/>
      <c r="AA1649" s="174"/>
    </row>
    <row r="1650">
      <c r="A1650" s="174"/>
      <c r="B1650" s="174"/>
      <c r="C1650" s="174"/>
      <c r="D1650" s="174"/>
      <c r="E1650" s="174"/>
      <c r="F1650" s="175"/>
      <c r="G1650" s="175"/>
      <c r="H1650" s="174"/>
      <c r="I1650" s="174"/>
      <c r="J1650" s="174"/>
      <c r="K1650" s="174"/>
      <c r="L1650" s="174"/>
      <c r="M1650" s="174"/>
      <c r="N1650" s="174"/>
      <c r="O1650" s="174"/>
      <c r="P1650" s="174"/>
      <c r="Q1650" s="174"/>
      <c r="R1650" s="174"/>
      <c r="S1650" s="174"/>
      <c r="T1650" s="174"/>
      <c r="U1650" s="174"/>
      <c r="V1650" s="174"/>
      <c r="W1650" s="174"/>
      <c r="X1650" s="174"/>
      <c r="Y1650" s="174"/>
      <c r="Z1650" s="174"/>
      <c r="AA1650" s="174"/>
    </row>
    <row r="1651">
      <c r="A1651" s="174"/>
      <c r="B1651" s="174"/>
      <c r="C1651" s="174"/>
      <c r="D1651" s="174"/>
      <c r="E1651" s="174"/>
      <c r="F1651" s="175"/>
      <c r="G1651" s="175"/>
      <c r="H1651" s="174"/>
      <c r="I1651" s="174"/>
      <c r="J1651" s="174"/>
      <c r="K1651" s="174"/>
      <c r="L1651" s="174"/>
      <c r="M1651" s="174"/>
      <c r="N1651" s="174"/>
      <c r="O1651" s="174"/>
      <c r="P1651" s="174"/>
      <c r="Q1651" s="174"/>
      <c r="R1651" s="174"/>
      <c r="S1651" s="174"/>
      <c r="T1651" s="174"/>
      <c r="U1651" s="174"/>
      <c r="V1651" s="174"/>
      <c r="W1651" s="174"/>
      <c r="X1651" s="174"/>
      <c r="Y1651" s="174"/>
      <c r="Z1651" s="174"/>
      <c r="AA1651" s="174"/>
    </row>
    <row r="1652">
      <c r="A1652" s="174"/>
      <c r="B1652" s="174"/>
      <c r="C1652" s="174"/>
      <c r="D1652" s="174"/>
      <c r="E1652" s="174"/>
      <c r="F1652" s="175"/>
      <c r="G1652" s="175"/>
      <c r="H1652" s="174"/>
      <c r="I1652" s="174"/>
      <c r="J1652" s="174"/>
      <c r="K1652" s="174"/>
      <c r="L1652" s="174"/>
      <c r="M1652" s="174"/>
      <c r="N1652" s="174"/>
      <c r="O1652" s="174"/>
      <c r="P1652" s="174"/>
      <c r="Q1652" s="174"/>
      <c r="R1652" s="174"/>
      <c r="S1652" s="174"/>
      <c r="T1652" s="174"/>
      <c r="U1652" s="174"/>
      <c r="V1652" s="174"/>
      <c r="W1652" s="174"/>
      <c r="X1652" s="174"/>
      <c r="Y1652" s="174"/>
      <c r="Z1652" s="174"/>
      <c r="AA1652" s="174"/>
    </row>
    <row r="1653">
      <c r="A1653" s="174"/>
      <c r="B1653" s="174"/>
      <c r="C1653" s="174"/>
      <c r="D1653" s="174"/>
      <c r="E1653" s="174"/>
      <c r="F1653" s="175"/>
      <c r="G1653" s="175"/>
      <c r="H1653" s="174"/>
      <c r="I1653" s="174"/>
      <c r="J1653" s="174"/>
      <c r="K1653" s="174"/>
      <c r="L1653" s="174"/>
      <c r="M1653" s="174"/>
      <c r="N1653" s="174"/>
      <c r="O1653" s="174"/>
      <c r="P1653" s="174"/>
      <c r="Q1653" s="174"/>
      <c r="R1653" s="174"/>
      <c r="S1653" s="174"/>
      <c r="T1653" s="174"/>
      <c r="U1653" s="174"/>
      <c r="V1653" s="174"/>
      <c r="W1653" s="174"/>
      <c r="X1653" s="174"/>
      <c r="Y1653" s="174"/>
      <c r="Z1653" s="174"/>
      <c r="AA1653" s="174"/>
    </row>
    <row r="1654">
      <c r="A1654" s="174"/>
      <c r="B1654" s="174"/>
      <c r="C1654" s="174"/>
      <c r="D1654" s="174"/>
      <c r="E1654" s="174"/>
      <c r="F1654" s="175"/>
      <c r="G1654" s="175"/>
      <c r="H1654" s="174"/>
      <c r="I1654" s="174"/>
      <c r="J1654" s="174"/>
      <c r="K1654" s="174"/>
      <c r="L1654" s="174"/>
      <c r="M1654" s="174"/>
      <c r="N1654" s="174"/>
      <c r="O1654" s="174"/>
      <c r="P1654" s="174"/>
      <c r="Q1654" s="174"/>
      <c r="R1654" s="174"/>
      <c r="S1654" s="174"/>
      <c r="T1654" s="174"/>
      <c r="U1654" s="174"/>
      <c r="V1654" s="174"/>
      <c r="W1654" s="174"/>
      <c r="X1654" s="174"/>
      <c r="Y1654" s="174"/>
      <c r="Z1654" s="174"/>
      <c r="AA1654" s="174"/>
    </row>
    <row r="1655">
      <c r="A1655" s="174"/>
      <c r="B1655" s="174"/>
      <c r="C1655" s="174"/>
      <c r="D1655" s="174"/>
      <c r="E1655" s="174"/>
      <c r="F1655" s="175"/>
      <c r="G1655" s="175"/>
      <c r="H1655" s="174"/>
      <c r="I1655" s="174"/>
      <c r="J1655" s="174"/>
      <c r="K1655" s="174"/>
      <c r="L1655" s="174"/>
      <c r="M1655" s="174"/>
      <c r="N1655" s="174"/>
      <c r="O1655" s="174"/>
      <c r="P1655" s="174"/>
      <c r="Q1655" s="174"/>
      <c r="R1655" s="174"/>
      <c r="S1655" s="174"/>
      <c r="T1655" s="174"/>
      <c r="U1655" s="174"/>
      <c r="V1655" s="174"/>
      <c r="W1655" s="174"/>
      <c r="X1655" s="174"/>
      <c r="Y1655" s="174"/>
      <c r="Z1655" s="174"/>
      <c r="AA1655" s="174"/>
    </row>
    <row r="1656">
      <c r="A1656" s="174"/>
      <c r="B1656" s="174"/>
      <c r="C1656" s="174"/>
      <c r="D1656" s="174"/>
      <c r="E1656" s="174"/>
      <c r="F1656" s="175"/>
      <c r="G1656" s="175"/>
      <c r="H1656" s="174"/>
      <c r="I1656" s="174"/>
      <c r="J1656" s="174"/>
      <c r="K1656" s="174"/>
      <c r="L1656" s="174"/>
      <c r="M1656" s="174"/>
      <c r="N1656" s="174"/>
      <c r="O1656" s="174"/>
      <c r="P1656" s="174"/>
      <c r="Q1656" s="174"/>
      <c r="R1656" s="174"/>
      <c r="S1656" s="174"/>
      <c r="T1656" s="174"/>
      <c r="U1656" s="174"/>
      <c r="V1656" s="174"/>
      <c r="W1656" s="174"/>
      <c r="X1656" s="174"/>
      <c r="Y1656" s="174"/>
      <c r="Z1656" s="174"/>
      <c r="AA1656" s="174"/>
    </row>
    <row r="1657">
      <c r="A1657" s="174"/>
      <c r="B1657" s="174"/>
      <c r="C1657" s="174"/>
      <c r="D1657" s="174"/>
      <c r="E1657" s="174"/>
      <c r="F1657" s="175"/>
      <c r="G1657" s="175"/>
      <c r="H1657" s="174"/>
      <c r="I1657" s="174"/>
      <c r="J1657" s="174"/>
      <c r="K1657" s="174"/>
      <c r="L1657" s="174"/>
      <c r="M1657" s="174"/>
      <c r="N1657" s="174"/>
      <c r="O1657" s="174"/>
      <c r="P1657" s="174"/>
      <c r="Q1657" s="174"/>
      <c r="R1657" s="174"/>
      <c r="S1657" s="174"/>
      <c r="T1657" s="174"/>
      <c r="U1657" s="174"/>
      <c r="V1657" s="174"/>
      <c r="W1657" s="174"/>
      <c r="X1657" s="174"/>
      <c r="Y1657" s="174"/>
      <c r="Z1657" s="174"/>
      <c r="AA1657" s="174"/>
    </row>
    <row r="1658">
      <c r="A1658" s="174"/>
      <c r="B1658" s="174"/>
      <c r="C1658" s="174"/>
      <c r="D1658" s="174"/>
      <c r="E1658" s="174"/>
      <c r="F1658" s="175"/>
      <c r="G1658" s="175"/>
      <c r="H1658" s="174"/>
      <c r="I1658" s="174"/>
      <c r="J1658" s="174"/>
      <c r="K1658" s="174"/>
      <c r="L1658" s="174"/>
      <c r="M1658" s="174"/>
      <c r="N1658" s="174"/>
      <c r="O1658" s="174"/>
      <c r="P1658" s="174"/>
      <c r="Q1658" s="174"/>
      <c r="R1658" s="174"/>
      <c r="S1658" s="174"/>
      <c r="T1658" s="174"/>
      <c r="U1658" s="174"/>
      <c r="V1658" s="174"/>
      <c r="W1658" s="174"/>
      <c r="X1658" s="174"/>
      <c r="Y1658" s="174"/>
      <c r="Z1658" s="174"/>
      <c r="AA1658" s="174"/>
    </row>
    <row r="1659">
      <c r="A1659" s="174"/>
      <c r="B1659" s="174"/>
      <c r="C1659" s="174"/>
      <c r="D1659" s="174"/>
      <c r="E1659" s="174"/>
      <c r="F1659" s="175"/>
      <c r="G1659" s="175"/>
      <c r="H1659" s="174"/>
      <c r="I1659" s="174"/>
      <c r="J1659" s="174"/>
      <c r="K1659" s="174"/>
      <c r="L1659" s="174"/>
      <c r="M1659" s="174"/>
      <c r="N1659" s="174"/>
      <c r="O1659" s="174"/>
      <c r="P1659" s="174"/>
      <c r="Q1659" s="174"/>
      <c r="R1659" s="174"/>
      <c r="S1659" s="174"/>
      <c r="T1659" s="174"/>
      <c r="U1659" s="174"/>
      <c r="V1659" s="174"/>
      <c r="W1659" s="174"/>
      <c r="X1659" s="174"/>
      <c r="Y1659" s="174"/>
      <c r="Z1659" s="174"/>
      <c r="AA1659" s="174"/>
    </row>
    <row r="1660">
      <c r="A1660" s="174"/>
      <c r="B1660" s="174"/>
      <c r="C1660" s="174"/>
      <c r="D1660" s="174"/>
      <c r="E1660" s="174"/>
      <c r="F1660" s="175"/>
      <c r="G1660" s="175"/>
      <c r="H1660" s="174"/>
      <c r="I1660" s="174"/>
      <c r="J1660" s="174"/>
      <c r="K1660" s="174"/>
      <c r="L1660" s="174"/>
      <c r="M1660" s="174"/>
      <c r="N1660" s="174"/>
      <c r="O1660" s="174"/>
      <c r="P1660" s="174"/>
      <c r="Q1660" s="174"/>
      <c r="R1660" s="174"/>
      <c r="S1660" s="174"/>
      <c r="T1660" s="174"/>
      <c r="U1660" s="174"/>
      <c r="V1660" s="174"/>
      <c r="W1660" s="174"/>
      <c r="X1660" s="174"/>
      <c r="Y1660" s="174"/>
      <c r="Z1660" s="174"/>
      <c r="AA1660" s="174"/>
    </row>
    <row r="1661">
      <c r="A1661" s="174"/>
      <c r="B1661" s="174"/>
      <c r="C1661" s="174"/>
      <c r="D1661" s="174"/>
      <c r="E1661" s="174"/>
      <c r="F1661" s="175"/>
      <c r="G1661" s="175"/>
      <c r="H1661" s="174"/>
      <c r="I1661" s="174"/>
      <c r="J1661" s="174"/>
      <c r="K1661" s="174"/>
      <c r="L1661" s="174"/>
      <c r="M1661" s="174"/>
      <c r="N1661" s="174"/>
      <c r="O1661" s="174"/>
      <c r="P1661" s="174"/>
      <c r="Q1661" s="174"/>
      <c r="R1661" s="174"/>
      <c r="S1661" s="174"/>
      <c r="T1661" s="174"/>
      <c r="U1661" s="174"/>
      <c r="V1661" s="174"/>
      <c r="W1661" s="174"/>
      <c r="X1661" s="174"/>
      <c r="Y1661" s="174"/>
      <c r="Z1661" s="174"/>
      <c r="AA1661" s="174"/>
    </row>
    <row r="1662">
      <c r="A1662" s="174"/>
      <c r="B1662" s="174"/>
      <c r="C1662" s="174"/>
      <c r="D1662" s="174"/>
      <c r="E1662" s="174"/>
      <c r="F1662" s="175"/>
      <c r="G1662" s="175"/>
      <c r="H1662" s="174"/>
      <c r="I1662" s="174"/>
      <c r="J1662" s="174"/>
      <c r="K1662" s="174"/>
      <c r="L1662" s="174"/>
      <c r="M1662" s="174"/>
      <c r="N1662" s="174"/>
      <c r="O1662" s="174"/>
      <c r="P1662" s="174"/>
      <c r="Q1662" s="174"/>
      <c r="R1662" s="174"/>
      <c r="S1662" s="174"/>
      <c r="T1662" s="174"/>
      <c r="U1662" s="174"/>
      <c r="V1662" s="174"/>
      <c r="W1662" s="174"/>
      <c r="X1662" s="174"/>
      <c r="Y1662" s="174"/>
      <c r="Z1662" s="174"/>
      <c r="AA1662" s="174"/>
    </row>
    <row r="1663">
      <c r="A1663" s="174"/>
      <c r="B1663" s="174"/>
      <c r="C1663" s="174"/>
      <c r="D1663" s="174"/>
      <c r="E1663" s="174"/>
      <c r="F1663" s="175"/>
      <c r="G1663" s="175"/>
      <c r="H1663" s="174"/>
      <c r="I1663" s="174"/>
      <c r="J1663" s="174"/>
      <c r="K1663" s="174"/>
      <c r="L1663" s="174"/>
      <c r="M1663" s="174"/>
      <c r="N1663" s="174"/>
      <c r="O1663" s="174"/>
      <c r="P1663" s="174"/>
      <c r="Q1663" s="174"/>
      <c r="R1663" s="174"/>
      <c r="S1663" s="174"/>
      <c r="T1663" s="174"/>
      <c r="U1663" s="174"/>
      <c r="V1663" s="174"/>
      <c r="W1663" s="174"/>
      <c r="X1663" s="174"/>
      <c r="Y1663" s="174"/>
      <c r="Z1663" s="174"/>
      <c r="AA1663" s="174"/>
    </row>
    <row r="1664">
      <c r="A1664" s="174"/>
      <c r="B1664" s="174"/>
      <c r="C1664" s="174"/>
      <c r="D1664" s="174"/>
      <c r="E1664" s="174"/>
      <c r="F1664" s="175"/>
      <c r="G1664" s="175"/>
      <c r="H1664" s="174"/>
      <c r="I1664" s="174"/>
      <c r="J1664" s="174"/>
      <c r="K1664" s="174"/>
      <c r="L1664" s="174"/>
      <c r="M1664" s="174"/>
      <c r="N1664" s="174"/>
      <c r="O1664" s="174"/>
      <c r="P1664" s="174"/>
      <c r="Q1664" s="174"/>
      <c r="R1664" s="174"/>
      <c r="S1664" s="174"/>
      <c r="T1664" s="174"/>
      <c r="U1664" s="174"/>
      <c r="V1664" s="174"/>
      <c r="W1664" s="174"/>
      <c r="X1664" s="174"/>
      <c r="Y1664" s="174"/>
      <c r="Z1664" s="174"/>
      <c r="AA1664" s="174"/>
    </row>
    <row r="1665">
      <c r="A1665" s="174"/>
      <c r="B1665" s="174"/>
      <c r="C1665" s="174"/>
      <c r="D1665" s="174"/>
      <c r="E1665" s="174"/>
      <c r="F1665" s="175"/>
      <c r="G1665" s="175"/>
      <c r="H1665" s="174"/>
      <c r="I1665" s="174"/>
      <c r="J1665" s="174"/>
      <c r="K1665" s="174"/>
      <c r="L1665" s="174"/>
      <c r="M1665" s="174"/>
      <c r="N1665" s="174"/>
      <c r="O1665" s="174"/>
      <c r="P1665" s="174"/>
      <c r="Q1665" s="174"/>
      <c r="R1665" s="174"/>
      <c r="S1665" s="174"/>
      <c r="T1665" s="174"/>
      <c r="U1665" s="174"/>
      <c r="V1665" s="174"/>
      <c r="W1665" s="174"/>
      <c r="X1665" s="174"/>
      <c r="Y1665" s="174"/>
      <c r="Z1665" s="174"/>
      <c r="AA1665" s="174"/>
    </row>
    <row r="1666">
      <c r="A1666" s="174"/>
      <c r="B1666" s="174"/>
      <c r="C1666" s="174"/>
      <c r="D1666" s="174"/>
      <c r="E1666" s="174"/>
      <c r="F1666" s="175"/>
      <c r="G1666" s="175"/>
      <c r="H1666" s="174"/>
      <c r="I1666" s="174"/>
      <c r="J1666" s="174"/>
      <c r="K1666" s="174"/>
      <c r="L1666" s="174"/>
      <c r="M1666" s="174"/>
      <c r="N1666" s="174"/>
      <c r="O1666" s="174"/>
      <c r="P1666" s="174"/>
      <c r="Q1666" s="174"/>
      <c r="R1666" s="174"/>
      <c r="S1666" s="174"/>
      <c r="T1666" s="174"/>
      <c r="U1666" s="174"/>
      <c r="V1666" s="174"/>
      <c r="W1666" s="174"/>
      <c r="X1666" s="174"/>
      <c r="Y1666" s="174"/>
      <c r="Z1666" s="174"/>
      <c r="AA1666" s="174"/>
    </row>
    <row r="1667">
      <c r="A1667" s="174"/>
      <c r="B1667" s="174"/>
      <c r="C1667" s="174"/>
      <c r="D1667" s="174"/>
      <c r="E1667" s="174"/>
      <c r="F1667" s="175"/>
      <c r="G1667" s="175"/>
      <c r="H1667" s="174"/>
      <c r="I1667" s="174"/>
      <c r="J1667" s="174"/>
      <c r="K1667" s="174"/>
      <c r="L1667" s="174"/>
      <c r="M1667" s="174"/>
      <c r="N1667" s="174"/>
      <c r="O1667" s="174"/>
      <c r="P1667" s="174"/>
      <c r="Q1667" s="174"/>
      <c r="R1667" s="174"/>
      <c r="S1667" s="174"/>
      <c r="T1667" s="174"/>
      <c r="U1667" s="174"/>
      <c r="V1667" s="174"/>
      <c r="W1667" s="174"/>
      <c r="X1667" s="174"/>
      <c r="Y1667" s="174"/>
      <c r="Z1667" s="174"/>
      <c r="AA1667" s="174"/>
    </row>
    <row r="1668">
      <c r="A1668" s="174"/>
      <c r="B1668" s="174"/>
      <c r="C1668" s="174"/>
      <c r="D1668" s="174"/>
      <c r="E1668" s="174"/>
      <c r="F1668" s="175"/>
      <c r="G1668" s="175"/>
      <c r="H1668" s="174"/>
      <c r="I1668" s="174"/>
      <c r="J1668" s="174"/>
      <c r="K1668" s="174"/>
      <c r="L1668" s="174"/>
      <c r="M1668" s="174"/>
      <c r="N1668" s="174"/>
      <c r="O1668" s="174"/>
      <c r="P1668" s="174"/>
      <c r="Q1668" s="174"/>
      <c r="R1668" s="174"/>
      <c r="S1668" s="174"/>
      <c r="T1668" s="174"/>
      <c r="U1668" s="174"/>
      <c r="V1668" s="174"/>
      <c r="W1668" s="174"/>
      <c r="X1668" s="174"/>
      <c r="Y1668" s="174"/>
      <c r="Z1668" s="174"/>
      <c r="AA1668" s="174"/>
    </row>
    <row r="1669">
      <c r="A1669" s="174"/>
      <c r="B1669" s="174"/>
      <c r="C1669" s="174"/>
      <c r="D1669" s="174"/>
      <c r="E1669" s="174"/>
      <c r="F1669" s="175"/>
      <c r="G1669" s="175"/>
      <c r="H1669" s="174"/>
      <c r="I1669" s="174"/>
      <c r="J1669" s="174"/>
      <c r="K1669" s="174"/>
      <c r="L1669" s="174"/>
      <c r="M1669" s="174"/>
      <c r="N1669" s="174"/>
      <c r="O1669" s="174"/>
      <c r="P1669" s="174"/>
      <c r="Q1669" s="174"/>
      <c r="R1669" s="174"/>
      <c r="S1669" s="174"/>
      <c r="T1669" s="174"/>
      <c r="U1669" s="174"/>
      <c r="V1669" s="174"/>
      <c r="W1669" s="174"/>
      <c r="X1669" s="174"/>
      <c r="Y1669" s="174"/>
      <c r="Z1669" s="174"/>
      <c r="AA1669" s="174"/>
    </row>
    <row r="1670">
      <c r="A1670" s="174"/>
      <c r="B1670" s="174"/>
      <c r="C1670" s="174"/>
      <c r="D1670" s="174"/>
      <c r="E1670" s="174"/>
      <c r="F1670" s="175"/>
      <c r="G1670" s="175"/>
      <c r="H1670" s="174"/>
      <c r="I1670" s="174"/>
      <c r="J1670" s="174"/>
      <c r="K1670" s="174"/>
      <c r="L1670" s="174"/>
      <c r="M1670" s="174"/>
      <c r="N1670" s="174"/>
      <c r="O1670" s="174"/>
      <c r="P1670" s="174"/>
      <c r="Q1670" s="174"/>
      <c r="R1670" s="174"/>
      <c r="S1670" s="174"/>
      <c r="T1670" s="174"/>
      <c r="U1670" s="174"/>
      <c r="V1670" s="174"/>
      <c r="W1670" s="174"/>
      <c r="X1670" s="174"/>
      <c r="Y1670" s="174"/>
      <c r="Z1670" s="174"/>
      <c r="AA1670" s="174"/>
    </row>
    <row r="1671">
      <c r="A1671" s="174"/>
      <c r="B1671" s="174"/>
      <c r="C1671" s="174"/>
      <c r="D1671" s="174"/>
      <c r="E1671" s="174"/>
      <c r="F1671" s="175"/>
      <c r="G1671" s="175"/>
      <c r="H1671" s="174"/>
      <c r="I1671" s="174"/>
      <c r="J1671" s="174"/>
      <c r="K1671" s="174"/>
      <c r="L1671" s="174"/>
      <c r="M1671" s="174"/>
      <c r="N1671" s="174"/>
      <c r="O1671" s="174"/>
      <c r="P1671" s="174"/>
      <c r="Q1671" s="174"/>
      <c r="R1671" s="174"/>
      <c r="S1671" s="174"/>
      <c r="T1671" s="174"/>
      <c r="U1671" s="174"/>
      <c r="V1671" s="174"/>
      <c r="W1671" s="174"/>
      <c r="X1671" s="174"/>
      <c r="Y1671" s="174"/>
      <c r="Z1671" s="174"/>
      <c r="AA1671" s="174"/>
    </row>
    <row r="1672">
      <c r="A1672" s="174"/>
      <c r="B1672" s="174"/>
      <c r="C1672" s="174"/>
      <c r="D1672" s="174"/>
      <c r="E1672" s="174"/>
      <c r="F1672" s="175"/>
      <c r="G1672" s="175"/>
      <c r="H1672" s="174"/>
      <c r="I1672" s="174"/>
      <c r="J1672" s="174"/>
      <c r="K1672" s="174"/>
      <c r="L1672" s="174"/>
      <c r="M1672" s="174"/>
      <c r="N1672" s="174"/>
      <c r="O1672" s="174"/>
      <c r="P1672" s="174"/>
      <c r="Q1672" s="174"/>
      <c r="R1672" s="174"/>
      <c r="S1672" s="174"/>
      <c r="T1672" s="174"/>
      <c r="U1672" s="174"/>
      <c r="V1672" s="174"/>
      <c r="W1672" s="174"/>
      <c r="X1672" s="174"/>
      <c r="Y1672" s="174"/>
      <c r="Z1672" s="174"/>
      <c r="AA1672" s="174"/>
    </row>
    <row r="1673">
      <c r="A1673" s="174"/>
      <c r="B1673" s="174"/>
      <c r="C1673" s="174"/>
      <c r="D1673" s="174"/>
      <c r="E1673" s="174"/>
      <c r="F1673" s="175"/>
      <c r="G1673" s="175"/>
      <c r="H1673" s="174"/>
      <c r="I1673" s="174"/>
      <c r="J1673" s="174"/>
      <c r="K1673" s="174"/>
      <c r="L1673" s="174"/>
      <c r="M1673" s="174"/>
      <c r="N1673" s="174"/>
      <c r="O1673" s="174"/>
      <c r="P1673" s="174"/>
      <c r="Q1673" s="174"/>
      <c r="R1673" s="174"/>
      <c r="S1673" s="174"/>
      <c r="T1673" s="174"/>
      <c r="U1673" s="174"/>
      <c r="V1673" s="174"/>
      <c r="W1673" s="174"/>
      <c r="X1673" s="174"/>
      <c r="Y1673" s="174"/>
      <c r="Z1673" s="174"/>
      <c r="AA1673" s="174"/>
    </row>
    <row r="1674">
      <c r="A1674" s="174"/>
      <c r="B1674" s="174"/>
      <c r="C1674" s="174"/>
      <c r="D1674" s="174"/>
      <c r="E1674" s="174"/>
      <c r="F1674" s="175"/>
      <c r="G1674" s="175"/>
      <c r="H1674" s="174"/>
      <c r="I1674" s="174"/>
      <c r="J1674" s="174"/>
      <c r="K1674" s="174"/>
      <c r="L1674" s="174"/>
      <c r="M1674" s="174"/>
      <c r="N1674" s="174"/>
      <c r="O1674" s="174"/>
      <c r="P1674" s="174"/>
      <c r="Q1674" s="174"/>
      <c r="R1674" s="174"/>
      <c r="S1674" s="174"/>
      <c r="T1674" s="174"/>
      <c r="U1674" s="174"/>
      <c r="V1674" s="174"/>
      <c r="W1674" s="174"/>
      <c r="X1674" s="174"/>
      <c r="Y1674" s="174"/>
      <c r="Z1674" s="174"/>
      <c r="AA1674" s="174"/>
    </row>
    <row r="1675">
      <c r="A1675" s="174"/>
      <c r="B1675" s="174"/>
      <c r="C1675" s="174"/>
      <c r="D1675" s="174"/>
      <c r="E1675" s="174"/>
      <c r="F1675" s="175"/>
      <c r="G1675" s="175"/>
      <c r="H1675" s="174"/>
      <c r="I1675" s="174"/>
      <c r="J1675" s="174"/>
      <c r="K1675" s="174"/>
      <c r="L1675" s="174"/>
      <c r="M1675" s="174"/>
      <c r="N1675" s="174"/>
      <c r="O1675" s="174"/>
      <c r="P1675" s="174"/>
      <c r="Q1675" s="174"/>
      <c r="R1675" s="174"/>
      <c r="S1675" s="174"/>
      <c r="T1675" s="174"/>
      <c r="U1675" s="174"/>
      <c r="V1675" s="174"/>
      <c r="W1675" s="174"/>
      <c r="X1675" s="174"/>
      <c r="Y1675" s="174"/>
      <c r="Z1675" s="174"/>
      <c r="AA1675" s="174"/>
    </row>
    <row r="1676">
      <c r="A1676" s="174"/>
      <c r="B1676" s="174"/>
      <c r="C1676" s="174"/>
      <c r="D1676" s="174"/>
      <c r="E1676" s="174"/>
      <c r="F1676" s="175"/>
      <c r="G1676" s="175"/>
      <c r="H1676" s="174"/>
      <c r="I1676" s="174"/>
      <c r="J1676" s="174"/>
      <c r="K1676" s="174"/>
      <c r="L1676" s="174"/>
      <c r="M1676" s="174"/>
      <c r="N1676" s="174"/>
      <c r="O1676" s="174"/>
      <c r="P1676" s="174"/>
      <c r="Q1676" s="174"/>
      <c r="R1676" s="174"/>
      <c r="S1676" s="174"/>
      <c r="T1676" s="174"/>
      <c r="U1676" s="174"/>
      <c r="V1676" s="174"/>
      <c r="W1676" s="174"/>
      <c r="X1676" s="174"/>
      <c r="Y1676" s="174"/>
      <c r="Z1676" s="174"/>
      <c r="AA1676" s="174"/>
    </row>
    <row r="1677">
      <c r="A1677" s="174"/>
      <c r="B1677" s="174"/>
      <c r="C1677" s="174"/>
      <c r="D1677" s="174"/>
      <c r="E1677" s="174"/>
      <c r="F1677" s="175"/>
      <c r="G1677" s="175"/>
      <c r="H1677" s="174"/>
      <c r="I1677" s="174"/>
      <c r="J1677" s="174"/>
      <c r="K1677" s="174"/>
      <c r="L1677" s="174"/>
      <c r="M1677" s="174"/>
      <c r="N1677" s="174"/>
      <c r="O1677" s="174"/>
      <c r="P1677" s="174"/>
      <c r="Q1677" s="174"/>
      <c r="R1677" s="174"/>
      <c r="S1677" s="174"/>
      <c r="T1677" s="174"/>
      <c r="U1677" s="174"/>
      <c r="V1677" s="174"/>
      <c r="W1677" s="174"/>
      <c r="X1677" s="174"/>
      <c r="Y1677" s="174"/>
      <c r="Z1677" s="174"/>
      <c r="AA1677" s="174"/>
    </row>
    <row r="1678">
      <c r="A1678" s="174"/>
      <c r="B1678" s="174"/>
      <c r="C1678" s="174"/>
      <c r="D1678" s="174"/>
      <c r="E1678" s="174"/>
      <c r="F1678" s="175"/>
      <c r="G1678" s="175"/>
      <c r="H1678" s="174"/>
      <c r="I1678" s="174"/>
      <c r="J1678" s="174"/>
      <c r="K1678" s="174"/>
      <c r="L1678" s="174"/>
      <c r="M1678" s="174"/>
      <c r="N1678" s="174"/>
      <c r="O1678" s="174"/>
      <c r="P1678" s="174"/>
      <c r="Q1678" s="174"/>
      <c r="R1678" s="174"/>
      <c r="S1678" s="174"/>
      <c r="T1678" s="174"/>
      <c r="U1678" s="174"/>
      <c r="V1678" s="174"/>
      <c r="W1678" s="174"/>
      <c r="X1678" s="174"/>
      <c r="Y1678" s="174"/>
      <c r="Z1678" s="174"/>
      <c r="AA1678" s="174"/>
    </row>
    <row r="1679">
      <c r="A1679" s="174"/>
      <c r="B1679" s="174"/>
      <c r="C1679" s="174"/>
      <c r="D1679" s="174"/>
      <c r="E1679" s="174"/>
      <c r="F1679" s="175"/>
      <c r="G1679" s="175"/>
      <c r="H1679" s="174"/>
      <c r="I1679" s="174"/>
      <c r="J1679" s="174"/>
      <c r="K1679" s="174"/>
      <c r="L1679" s="174"/>
      <c r="M1679" s="174"/>
      <c r="N1679" s="174"/>
      <c r="O1679" s="174"/>
      <c r="P1679" s="174"/>
      <c r="Q1679" s="174"/>
      <c r="R1679" s="174"/>
      <c r="S1679" s="174"/>
      <c r="T1679" s="174"/>
      <c r="U1679" s="174"/>
      <c r="V1679" s="174"/>
      <c r="W1679" s="174"/>
      <c r="X1679" s="174"/>
      <c r="Y1679" s="174"/>
      <c r="Z1679" s="174"/>
      <c r="AA1679" s="174"/>
    </row>
    <row r="1680">
      <c r="A1680" s="174"/>
      <c r="B1680" s="174"/>
      <c r="C1680" s="174"/>
      <c r="D1680" s="174"/>
      <c r="E1680" s="174"/>
      <c r="F1680" s="175"/>
      <c r="G1680" s="175"/>
      <c r="H1680" s="174"/>
      <c r="I1680" s="174"/>
      <c r="J1680" s="174"/>
      <c r="K1680" s="174"/>
      <c r="L1680" s="174"/>
      <c r="M1680" s="174"/>
      <c r="N1680" s="174"/>
      <c r="O1680" s="174"/>
      <c r="P1680" s="174"/>
      <c r="Q1680" s="174"/>
      <c r="R1680" s="174"/>
      <c r="S1680" s="174"/>
      <c r="T1680" s="174"/>
      <c r="U1680" s="174"/>
      <c r="V1680" s="174"/>
      <c r="W1680" s="174"/>
      <c r="X1680" s="174"/>
      <c r="Y1680" s="174"/>
      <c r="Z1680" s="174"/>
      <c r="AA1680" s="174"/>
    </row>
    <row r="1681">
      <c r="A1681" s="174"/>
      <c r="B1681" s="174"/>
      <c r="C1681" s="174"/>
      <c r="D1681" s="174"/>
      <c r="E1681" s="174"/>
      <c r="F1681" s="175"/>
      <c r="G1681" s="175"/>
      <c r="H1681" s="174"/>
      <c r="I1681" s="174"/>
      <c r="J1681" s="174"/>
      <c r="K1681" s="174"/>
      <c r="L1681" s="174"/>
      <c r="M1681" s="174"/>
      <c r="N1681" s="174"/>
      <c r="O1681" s="174"/>
      <c r="P1681" s="174"/>
      <c r="Q1681" s="174"/>
      <c r="R1681" s="174"/>
      <c r="S1681" s="174"/>
      <c r="T1681" s="174"/>
      <c r="U1681" s="174"/>
      <c r="V1681" s="174"/>
      <c r="W1681" s="174"/>
      <c r="X1681" s="174"/>
      <c r="Y1681" s="174"/>
      <c r="Z1681" s="174"/>
      <c r="AA1681" s="174"/>
    </row>
    <row r="1682">
      <c r="A1682" s="174"/>
      <c r="B1682" s="174"/>
      <c r="C1682" s="174"/>
      <c r="D1682" s="174"/>
      <c r="E1682" s="174"/>
      <c r="F1682" s="175"/>
      <c r="G1682" s="175"/>
      <c r="H1682" s="174"/>
      <c r="I1682" s="174"/>
      <c r="J1682" s="174"/>
      <c r="K1682" s="174"/>
      <c r="L1682" s="174"/>
      <c r="M1682" s="174"/>
      <c r="N1682" s="174"/>
      <c r="O1682" s="174"/>
      <c r="P1682" s="174"/>
      <c r="Q1682" s="174"/>
      <c r="R1682" s="174"/>
      <c r="S1682" s="174"/>
      <c r="T1682" s="174"/>
      <c r="U1682" s="174"/>
      <c r="V1682" s="174"/>
      <c r="W1682" s="174"/>
      <c r="X1682" s="174"/>
      <c r="Y1682" s="174"/>
      <c r="Z1682" s="174"/>
      <c r="AA1682" s="174"/>
    </row>
    <row r="1683">
      <c r="A1683" s="174"/>
      <c r="B1683" s="174"/>
      <c r="C1683" s="174"/>
      <c r="D1683" s="174"/>
      <c r="E1683" s="174"/>
      <c r="F1683" s="175"/>
      <c r="G1683" s="175"/>
      <c r="H1683" s="174"/>
      <c r="I1683" s="174"/>
      <c r="J1683" s="174"/>
      <c r="K1683" s="174"/>
      <c r="L1683" s="174"/>
      <c r="M1683" s="174"/>
      <c r="N1683" s="174"/>
      <c r="O1683" s="174"/>
      <c r="P1683" s="174"/>
      <c r="Q1683" s="174"/>
      <c r="R1683" s="174"/>
      <c r="S1683" s="174"/>
      <c r="T1683" s="174"/>
      <c r="U1683" s="174"/>
      <c r="V1683" s="174"/>
      <c r="W1683" s="174"/>
      <c r="X1683" s="174"/>
      <c r="Y1683" s="174"/>
      <c r="Z1683" s="174"/>
      <c r="AA1683" s="174"/>
    </row>
    <row r="1684">
      <c r="A1684" s="174"/>
      <c r="B1684" s="174"/>
      <c r="C1684" s="174"/>
      <c r="D1684" s="174"/>
      <c r="E1684" s="174"/>
      <c r="F1684" s="175"/>
      <c r="G1684" s="175"/>
      <c r="H1684" s="174"/>
      <c r="I1684" s="174"/>
      <c r="J1684" s="174"/>
      <c r="K1684" s="174"/>
      <c r="L1684" s="174"/>
      <c r="M1684" s="174"/>
      <c r="N1684" s="174"/>
      <c r="O1684" s="174"/>
      <c r="P1684" s="174"/>
      <c r="Q1684" s="174"/>
      <c r="R1684" s="174"/>
      <c r="S1684" s="174"/>
      <c r="T1684" s="174"/>
      <c r="U1684" s="174"/>
      <c r="V1684" s="174"/>
      <c r="W1684" s="174"/>
      <c r="X1684" s="174"/>
      <c r="Y1684" s="174"/>
      <c r="Z1684" s="174"/>
      <c r="AA1684" s="174"/>
    </row>
    <row r="1685">
      <c r="A1685" s="174"/>
      <c r="B1685" s="174"/>
      <c r="C1685" s="174"/>
      <c r="D1685" s="174"/>
      <c r="E1685" s="174"/>
      <c r="F1685" s="175"/>
      <c r="G1685" s="175"/>
      <c r="H1685" s="174"/>
      <c r="I1685" s="174"/>
      <c r="J1685" s="174"/>
      <c r="K1685" s="174"/>
      <c r="L1685" s="174"/>
      <c r="M1685" s="174"/>
      <c r="N1685" s="174"/>
      <c r="O1685" s="174"/>
      <c r="P1685" s="174"/>
      <c r="Q1685" s="174"/>
      <c r="R1685" s="174"/>
      <c r="S1685" s="174"/>
      <c r="T1685" s="174"/>
      <c r="U1685" s="174"/>
      <c r="V1685" s="174"/>
      <c r="W1685" s="174"/>
      <c r="X1685" s="174"/>
      <c r="Y1685" s="174"/>
      <c r="Z1685" s="174"/>
      <c r="AA1685" s="174"/>
    </row>
    <row r="1686">
      <c r="A1686" s="174"/>
      <c r="B1686" s="174"/>
      <c r="C1686" s="174"/>
      <c r="D1686" s="174"/>
      <c r="E1686" s="174"/>
      <c r="F1686" s="175"/>
      <c r="G1686" s="175"/>
      <c r="H1686" s="174"/>
      <c r="I1686" s="174"/>
      <c r="J1686" s="174"/>
      <c r="K1686" s="174"/>
      <c r="L1686" s="174"/>
      <c r="M1686" s="174"/>
      <c r="N1686" s="174"/>
      <c r="O1686" s="174"/>
      <c r="P1686" s="174"/>
      <c r="Q1686" s="174"/>
      <c r="R1686" s="174"/>
      <c r="S1686" s="174"/>
      <c r="T1686" s="174"/>
      <c r="U1686" s="174"/>
      <c r="V1686" s="174"/>
      <c r="W1686" s="174"/>
      <c r="X1686" s="174"/>
      <c r="Y1686" s="174"/>
      <c r="Z1686" s="174"/>
      <c r="AA1686" s="174"/>
    </row>
    <row r="1687">
      <c r="A1687" s="174"/>
      <c r="B1687" s="174"/>
      <c r="C1687" s="174"/>
      <c r="D1687" s="174"/>
      <c r="E1687" s="174"/>
      <c r="F1687" s="175"/>
      <c r="G1687" s="175"/>
      <c r="H1687" s="174"/>
      <c r="I1687" s="174"/>
      <c r="J1687" s="174"/>
      <c r="K1687" s="174"/>
      <c r="L1687" s="174"/>
      <c r="M1687" s="174"/>
      <c r="N1687" s="174"/>
      <c r="O1687" s="174"/>
      <c r="P1687" s="174"/>
      <c r="Q1687" s="174"/>
      <c r="R1687" s="174"/>
      <c r="S1687" s="174"/>
      <c r="T1687" s="174"/>
      <c r="U1687" s="174"/>
      <c r="V1687" s="174"/>
      <c r="W1687" s="174"/>
      <c r="X1687" s="174"/>
      <c r="Y1687" s="174"/>
      <c r="Z1687" s="174"/>
      <c r="AA1687" s="174"/>
    </row>
    <row r="1688">
      <c r="A1688" s="174"/>
      <c r="B1688" s="174"/>
      <c r="C1688" s="174"/>
      <c r="D1688" s="174"/>
      <c r="E1688" s="174"/>
      <c r="F1688" s="175"/>
      <c r="G1688" s="175"/>
      <c r="H1688" s="174"/>
      <c r="I1688" s="174"/>
      <c r="J1688" s="174"/>
      <c r="K1688" s="174"/>
      <c r="L1688" s="174"/>
      <c r="M1688" s="174"/>
      <c r="N1688" s="174"/>
      <c r="O1688" s="174"/>
      <c r="P1688" s="174"/>
      <c r="Q1688" s="174"/>
      <c r="R1688" s="174"/>
      <c r="S1688" s="174"/>
      <c r="T1688" s="174"/>
      <c r="U1688" s="174"/>
      <c r="V1688" s="174"/>
      <c r="W1688" s="174"/>
      <c r="X1688" s="174"/>
      <c r="Y1688" s="174"/>
      <c r="Z1688" s="174"/>
      <c r="AA1688" s="174"/>
    </row>
    <row r="1689">
      <c r="A1689" s="174"/>
      <c r="B1689" s="174"/>
      <c r="C1689" s="174"/>
      <c r="D1689" s="174"/>
      <c r="E1689" s="174"/>
      <c r="F1689" s="175"/>
      <c r="G1689" s="175"/>
      <c r="H1689" s="174"/>
      <c r="I1689" s="174"/>
      <c r="J1689" s="174"/>
      <c r="K1689" s="174"/>
      <c r="L1689" s="174"/>
      <c r="M1689" s="174"/>
      <c r="N1689" s="174"/>
      <c r="O1689" s="174"/>
      <c r="P1689" s="174"/>
      <c r="Q1689" s="174"/>
      <c r="R1689" s="174"/>
      <c r="S1689" s="174"/>
      <c r="T1689" s="174"/>
      <c r="U1689" s="174"/>
      <c r="V1689" s="174"/>
      <c r="W1689" s="174"/>
      <c r="X1689" s="174"/>
      <c r="Y1689" s="174"/>
      <c r="Z1689" s="174"/>
      <c r="AA1689" s="174"/>
    </row>
    <row r="1690">
      <c r="A1690" s="174"/>
      <c r="B1690" s="174"/>
      <c r="C1690" s="174"/>
      <c r="D1690" s="174"/>
      <c r="E1690" s="174"/>
      <c r="F1690" s="175"/>
      <c r="G1690" s="175"/>
      <c r="H1690" s="174"/>
      <c r="I1690" s="174"/>
      <c r="J1690" s="174"/>
      <c r="K1690" s="174"/>
      <c r="L1690" s="174"/>
      <c r="M1690" s="174"/>
      <c r="N1690" s="174"/>
      <c r="O1690" s="174"/>
      <c r="P1690" s="174"/>
      <c r="Q1690" s="174"/>
      <c r="R1690" s="174"/>
      <c r="S1690" s="174"/>
      <c r="T1690" s="174"/>
      <c r="U1690" s="174"/>
      <c r="V1690" s="174"/>
      <c r="W1690" s="174"/>
      <c r="X1690" s="174"/>
      <c r="Y1690" s="174"/>
      <c r="Z1690" s="174"/>
      <c r="AA1690" s="174"/>
    </row>
    <row r="1691">
      <c r="A1691" s="174"/>
      <c r="B1691" s="174"/>
      <c r="C1691" s="174"/>
      <c r="D1691" s="174"/>
      <c r="E1691" s="174"/>
      <c r="F1691" s="175"/>
      <c r="G1691" s="175"/>
      <c r="H1691" s="174"/>
      <c r="I1691" s="174"/>
      <c r="J1691" s="174"/>
      <c r="K1691" s="174"/>
      <c r="L1691" s="174"/>
      <c r="M1691" s="174"/>
      <c r="N1691" s="174"/>
      <c r="O1691" s="174"/>
      <c r="P1691" s="174"/>
      <c r="Q1691" s="174"/>
      <c r="R1691" s="174"/>
      <c r="S1691" s="174"/>
      <c r="T1691" s="174"/>
      <c r="U1691" s="174"/>
      <c r="V1691" s="174"/>
      <c r="W1691" s="174"/>
      <c r="X1691" s="174"/>
      <c r="Y1691" s="174"/>
      <c r="Z1691" s="174"/>
      <c r="AA1691" s="174"/>
    </row>
    <row r="1692">
      <c r="A1692" s="174"/>
      <c r="B1692" s="174"/>
      <c r="C1692" s="174"/>
      <c r="D1692" s="174"/>
      <c r="E1692" s="174"/>
      <c r="F1692" s="175"/>
      <c r="G1692" s="175"/>
      <c r="H1692" s="174"/>
      <c r="I1692" s="174"/>
      <c r="J1692" s="174"/>
      <c r="K1692" s="174"/>
      <c r="L1692" s="174"/>
      <c r="M1692" s="174"/>
      <c r="N1692" s="174"/>
      <c r="O1692" s="174"/>
      <c r="P1692" s="174"/>
      <c r="Q1692" s="174"/>
      <c r="R1692" s="174"/>
      <c r="S1692" s="174"/>
      <c r="T1692" s="174"/>
      <c r="U1692" s="174"/>
      <c r="V1692" s="174"/>
      <c r="W1692" s="174"/>
      <c r="X1692" s="174"/>
      <c r="Y1692" s="174"/>
      <c r="Z1692" s="174"/>
      <c r="AA1692" s="174"/>
    </row>
    <row r="1693">
      <c r="A1693" s="174"/>
      <c r="B1693" s="174"/>
      <c r="C1693" s="174"/>
      <c r="D1693" s="174"/>
      <c r="E1693" s="174"/>
      <c r="F1693" s="175"/>
      <c r="G1693" s="175"/>
      <c r="H1693" s="174"/>
      <c r="I1693" s="174"/>
      <c r="J1693" s="174"/>
      <c r="K1693" s="174"/>
      <c r="L1693" s="174"/>
      <c r="M1693" s="174"/>
      <c r="N1693" s="174"/>
      <c r="O1693" s="174"/>
      <c r="P1693" s="174"/>
      <c r="Q1693" s="174"/>
      <c r="R1693" s="174"/>
      <c r="S1693" s="174"/>
      <c r="T1693" s="174"/>
      <c r="U1693" s="174"/>
      <c r="V1693" s="174"/>
      <c r="W1693" s="174"/>
      <c r="X1693" s="174"/>
      <c r="Y1693" s="174"/>
      <c r="Z1693" s="174"/>
      <c r="AA1693" s="174"/>
    </row>
    <row r="1694">
      <c r="A1694" s="174"/>
      <c r="B1694" s="174"/>
      <c r="C1694" s="174"/>
      <c r="D1694" s="174"/>
      <c r="E1694" s="174"/>
      <c r="F1694" s="175"/>
      <c r="G1694" s="175"/>
      <c r="H1694" s="174"/>
      <c r="I1694" s="174"/>
      <c r="J1694" s="174"/>
      <c r="K1694" s="174"/>
      <c r="L1694" s="174"/>
      <c r="M1694" s="174"/>
      <c r="N1694" s="174"/>
      <c r="O1694" s="174"/>
      <c r="P1694" s="174"/>
      <c r="Q1694" s="174"/>
      <c r="R1694" s="174"/>
      <c r="S1694" s="174"/>
      <c r="T1694" s="174"/>
      <c r="U1694" s="174"/>
      <c r="V1694" s="174"/>
      <c r="W1694" s="174"/>
      <c r="X1694" s="174"/>
      <c r="Y1694" s="174"/>
      <c r="Z1694" s="174"/>
      <c r="AA1694" s="174"/>
    </row>
    <row r="1695">
      <c r="A1695" s="174"/>
      <c r="B1695" s="174"/>
      <c r="C1695" s="174"/>
      <c r="D1695" s="174"/>
      <c r="E1695" s="174"/>
      <c r="F1695" s="175"/>
      <c r="G1695" s="175"/>
      <c r="H1695" s="174"/>
      <c r="I1695" s="174"/>
      <c r="J1695" s="174"/>
      <c r="K1695" s="174"/>
      <c r="L1695" s="174"/>
      <c r="M1695" s="174"/>
      <c r="N1695" s="174"/>
      <c r="O1695" s="174"/>
      <c r="P1695" s="174"/>
      <c r="Q1695" s="174"/>
      <c r="R1695" s="174"/>
      <c r="S1695" s="174"/>
      <c r="T1695" s="174"/>
      <c r="U1695" s="174"/>
      <c r="V1695" s="174"/>
      <c r="W1695" s="174"/>
      <c r="X1695" s="174"/>
      <c r="Y1695" s="174"/>
      <c r="Z1695" s="174"/>
      <c r="AA1695" s="174"/>
    </row>
    <row r="1696">
      <c r="A1696" s="174"/>
      <c r="B1696" s="174"/>
      <c r="C1696" s="174"/>
      <c r="D1696" s="174"/>
      <c r="E1696" s="174"/>
      <c r="F1696" s="175"/>
      <c r="G1696" s="175"/>
      <c r="H1696" s="174"/>
      <c r="I1696" s="174"/>
      <c r="J1696" s="174"/>
      <c r="K1696" s="174"/>
      <c r="L1696" s="174"/>
      <c r="M1696" s="174"/>
      <c r="N1696" s="174"/>
      <c r="O1696" s="174"/>
      <c r="P1696" s="174"/>
      <c r="Q1696" s="174"/>
      <c r="R1696" s="174"/>
      <c r="S1696" s="174"/>
      <c r="T1696" s="174"/>
      <c r="U1696" s="174"/>
      <c r="V1696" s="174"/>
      <c r="W1696" s="174"/>
      <c r="X1696" s="174"/>
      <c r="Y1696" s="174"/>
      <c r="Z1696" s="174"/>
      <c r="AA1696" s="174"/>
    </row>
    <row r="1697">
      <c r="A1697" s="174"/>
      <c r="B1697" s="174"/>
      <c r="C1697" s="174"/>
      <c r="D1697" s="174"/>
      <c r="E1697" s="174"/>
      <c r="F1697" s="175"/>
      <c r="G1697" s="175"/>
      <c r="H1697" s="174"/>
      <c r="I1697" s="174"/>
      <c r="J1697" s="174"/>
      <c r="K1697" s="174"/>
      <c r="L1697" s="174"/>
      <c r="M1697" s="174"/>
      <c r="N1697" s="174"/>
      <c r="O1697" s="174"/>
      <c r="P1697" s="174"/>
      <c r="Q1697" s="174"/>
      <c r="R1697" s="174"/>
      <c r="S1697" s="174"/>
      <c r="T1697" s="174"/>
      <c r="U1697" s="174"/>
      <c r="V1697" s="174"/>
      <c r="W1697" s="174"/>
      <c r="X1697" s="174"/>
      <c r="Y1697" s="174"/>
      <c r="Z1697" s="174"/>
      <c r="AA1697" s="174"/>
    </row>
    <row r="1698">
      <c r="A1698" s="174"/>
      <c r="B1698" s="174"/>
      <c r="C1698" s="174"/>
      <c r="D1698" s="174"/>
      <c r="E1698" s="174"/>
      <c r="F1698" s="175"/>
      <c r="G1698" s="175"/>
      <c r="H1698" s="174"/>
      <c r="I1698" s="174"/>
      <c r="J1698" s="174"/>
      <c r="K1698" s="174"/>
      <c r="L1698" s="174"/>
      <c r="M1698" s="174"/>
      <c r="N1698" s="174"/>
      <c r="O1698" s="174"/>
      <c r="P1698" s="174"/>
      <c r="Q1698" s="174"/>
      <c r="R1698" s="174"/>
      <c r="S1698" s="174"/>
      <c r="T1698" s="174"/>
      <c r="U1698" s="174"/>
      <c r="V1698" s="174"/>
      <c r="W1698" s="174"/>
      <c r="X1698" s="174"/>
      <c r="Y1698" s="174"/>
      <c r="Z1698" s="174"/>
      <c r="AA1698" s="174"/>
    </row>
    <row r="1699">
      <c r="A1699" s="174"/>
      <c r="B1699" s="174"/>
      <c r="C1699" s="174"/>
      <c r="D1699" s="174"/>
      <c r="E1699" s="174"/>
      <c r="F1699" s="175"/>
      <c r="G1699" s="175"/>
      <c r="H1699" s="174"/>
      <c r="I1699" s="174"/>
      <c r="J1699" s="174"/>
      <c r="K1699" s="174"/>
      <c r="L1699" s="174"/>
      <c r="M1699" s="174"/>
      <c r="N1699" s="174"/>
      <c r="O1699" s="174"/>
      <c r="P1699" s="174"/>
      <c r="Q1699" s="174"/>
      <c r="R1699" s="174"/>
      <c r="S1699" s="174"/>
      <c r="T1699" s="174"/>
      <c r="U1699" s="174"/>
      <c r="V1699" s="174"/>
      <c r="W1699" s="174"/>
      <c r="X1699" s="174"/>
      <c r="Y1699" s="174"/>
      <c r="Z1699" s="174"/>
      <c r="AA1699" s="174"/>
    </row>
    <row r="1700">
      <c r="A1700" s="174"/>
      <c r="B1700" s="174"/>
      <c r="C1700" s="174"/>
      <c r="D1700" s="174"/>
      <c r="E1700" s="174"/>
      <c r="F1700" s="175"/>
      <c r="G1700" s="175"/>
      <c r="H1700" s="174"/>
      <c r="I1700" s="174"/>
      <c r="J1700" s="174"/>
      <c r="K1700" s="174"/>
      <c r="L1700" s="174"/>
      <c r="M1700" s="174"/>
      <c r="N1700" s="174"/>
      <c r="O1700" s="174"/>
      <c r="P1700" s="174"/>
      <c r="Q1700" s="174"/>
      <c r="R1700" s="174"/>
      <c r="S1700" s="174"/>
      <c r="T1700" s="174"/>
      <c r="U1700" s="174"/>
      <c r="V1700" s="174"/>
      <c r="W1700" s="174"/>
      <c r="X1700" s="174"/>
      <c r="Y1700" s="174"/>
      <c r="Z1700" s="174"/>
      <c r="AA1700" s="174"/>
    </row>
    <row r="1701">
      <c r="A1701" s="174"/>
      <c r="B1701" s="174"/>
      <c r="C1701" s="174"/>
      <c r="D1701" s="174"/>
      <c r="E1701" s="174"/>
      <c r="F1701" s="175"/>
      <c r="G1701" s="175"/>
      <c r="H1701" s="174"/>
      <c r="I1701" s="174"/>
      <c r="J1701" s="174"/>
      <c r="K1701" s="174"/>
      <c r="L1701" s="174"/>
      <c r="M1701" s="174"/>
      <c r="N1701" s="174"/>
      <c r="O1701" s="174"/>
      <c r="P1701" s="174"/>
      <c r="Q1701" s="174"/>
      <c r="R1701" s="174"/>
      <c r="S1701" s="174"/>
      <c r="T1701" s="174"/>
      <c r="U1701" s="174"/>
      <c r="V1701" s="174"/>
      <c r="W1701" s="174"/>
      <c r="X1701" s="174"/>
      <c r="Y1701" s="174"/>
      <c r="Z1701" s="174"/>
      <c r="AA1701" s="174"/>
    </row>
    <row r="1702">
      <c r="A1702" s="174"/>
      <c r="B1702" s="174"/>
      <c r="C1702" s="174"/>
      <c r="D1702" s="174"/>
      <c r="E1702" s="174"/>
      <c r="F1702" s="175"/>
      <c r="G1702" s="175"/>
      <c r="H1702" s="174"/>
      <c r="I1702" s="174"/>
      <c r="J1702" s="174"/>
      <c r="K1702" s="174"/>
      <c r="L1702" s="174"/>
      <c r="M1702" s="174"/>
      <c r="N1702" s="174"/>
      <c r="O1702" s="174"/>
      <c r="P1702" s="174"/>
      <c r="Q1702" s="174"/>
      <c r="R1702" s="174"/>
      <c r="S1702" s="174"/>
      <c r="T1702" s="174"/>
      <c r="U1702" s="174"/>
      <c r="V1702" s="174"/>
      <c r="W1702" s="174"/>
      <c r="X1702" s="174"/>
      <c r="Y1702" s="174"/>
      <c r="Z1702" s="174"/>
      <c r="AA1702" s="174"/>
    </row>
    <row r="1703">
      <c r="A1703" s="174"/>
      <c r="B1703" s="174"/>
      <c r="C1703" s="174"/>
      <c r="D1703" s="174"/>
      <c r="E1703" s="174"/>
      <c r="F1703" s="175"/>
      <c r="G1703" s="175"/>
      <c r="H1703" s="174"/>
      <c r="I1703" s="174"/>
      <c r="J1703" s="174"/>
      <c r="K1703" s="174"/>
      <c r="L1703" s="174"/>
      <c r="M1703" s="174"/>
      <c r="N1703" s="174"/>
      <c r="O1703" s="174"/>
      <c r="P1703" s="174"/>
      <c r="Q1703" s="174"/>
      <c r="R1703" s="174"/>
      <c r="S1703" s="174"/>
      <c r="T1703" s="174"/>
      <c r="U1703" s="174"/>
      <c r="V1703" s="174"/>
      <c r="W1703" s="174"/>
      <c r="X1703" s="174"/>
      <c r="Y1703" s="174"/>
      <c r="Z1703" s="174"/>
      <c r="AA1703" s="174"/>
    </row>
    <row r="1704">
      <c r="A1704" s="174"/>
      <c r="B1704" s="174"/>
      <c r="C1704" s="174"/>
      <c r="D1704" s="174"/>
      <c r="E1704" s="174"/>
      <c r="F1704" s="175"/>
      <c r="G1704" s="175"/>
      <c r="H1704" s="174"/>
      <c r="I1704" s="174"/>
      <c r="J1704" s="174"/>
      <c r="K1704" s="174"/>
      <c r="L1704" s="174"/>
      <c r="M1704" s="174"/>
      <c r="N1704" s="174"/>
      <c r="O1704" s="174"/>
      <c r="P1704" s="174"/>
      <c r="Q1704" s="174"/>
      <c r="R1704" s="174"/>
      <c r="S1704" s="174"/>
      <c r="T1704" s="174"/>
      <c r="U1704" s="174"/>
      <c r="V1704" s="174"/>
      <c r="W1704" s="174"/>
      <c r="X1704" s="174"/>
      <c r="Y1704" s="174"/>
      <c r="Z1704" s="174"/>
      <c r="AA1704" s="174"/>
    </row>
    <row r="1705">
      <c r="A1705" s="174"/>
      <c r="B1705" s="174"/>
      <c r="C1705" s="174"/>
      <c r="D1705" s="174"/>
      <c r="E1705" s="174"/>
      <c r="F1705" s="175"/>
      <c r="G1705" s="175"/>
      <c r="H1705" s="174"/>
      <c r="I1705" s="174"/>
      <c r="J1705" s="174"/>
      <c r="K1705" s="174"/>
      <c r="L1705" s="174"/>
      <c r="M1705" s="174"/>
      <c r="N1705" s="174"/>
      <c r="O1705" s="174"/>
      <c r="P1705" s="174"/>
      <c r="Q1705" s="174"/>
      <c r="R1705" s="174"/>
      <c r="S1705" s="174"/>
      <c r="T1705" s="174"/>
      <c r="U1705" s="174"/>
      <c r="V1705" s="174"/>
      <c r="W1705" s="174"/>
      <c r="X1705" s="174"/>
      <c r="Y1705" s="174"/>
      <c r="Z1705" s="174"/>
      <c r="AA1705" s="174"/>
    </row>
    <row r="1706">
      <c r="A1706" s="174"/>
      <c r="B1706" s="174"/>
      <c r="C1706" s="174"/>
      <c r="D1706" s="174"/>
      <c r="E1706" s="174"/>
      <c r="F1706" s="175"/>
      <c r="G1706" s="175"/>
      <c r="H1706" s="174"/>
      <c r="I1706" s="174"/>
      <c r="J1706" s="174"/>
      <c r="K1706" s="174"/>
      <c r="L1706" s="174"/>
      <c r="M1706" s="174"/>
      <c r="N1706" s="174"/>
      <c r="O1706" s="174"/>
      <c r="P1706" s="174"/>
      <c r="Q1706" s="174"/>
      <c r="R1706" s="174"/>
      <c r="S1706" s="174"/>
      <c r="T1706" s="174"/>
      <c r="U1706" s="174"/>
      <c r="V1706" s="174"/>
      <c r="W1706" s="174"/>
      <c r="X1706" s="174"/>
      <c r="Y1706" s="174"/>
      <c r="Z1706" s="174"/>
      <c r="AA1706" s="174"/>
    </row>
    <row r="1707">
      <c r="A1707" s="174"/>
      <c r="B1707" s="174"/>
      <c r="C1707" s="174"/>
      <c r="D1707" s="174"/>
      <c r="E1707" s="174"/>
      <c r="F1707" s="175"/>
      <c r="G1707" s="175"/>
      <c r="H1707" s="174"/>
      <c r="I1707" s="174"/>
      <c r="J1707" s="174"/>
      <c r="K1707" s="174"/>
      <c r="L1707" s="174"/>
      <c r="M1707" s="174"/>
      <c r="N1707" s="174"/>
      <c r="O1707" s="174"/>
      <c r="P1707" s="174"/>
      <c r="Q1707" s="174"/>
      <c r="R1707" s="174"/>
      <c r="S1707" s="174"/>
      <c r="T1707" s="174"/>
      <c r="U1707" s="174"/>
      <c r="V1707" s="174"/>
      <c r="W1707" s="174"/>
      <c r="X1707" s="174"/>
      <c r="Y1707" s="174"/>
      <c r="Z1707" s="174"/>
      <c r="AA1707" s="174"/>
    </row>
    <row r="1708">
      <c r="A1708" s="174"/>
      <c r="B1708" s="174"/>
      <c r="C1708" s="174"/>
      <c r="D1708" s="174"/>
      <c r="E1708" s="174"/>
      <c r="F1708" s="175"/>
      <c r="G1708" s="175"/>
      <c r="H1708" s="174"/>
      <c r="I1708" s="174"/>
      <c r="J1708" s="174"/>
      <c r="K1708" s="174"/>
      <c r="L1708" s="174"/>
      <c r="M1708" s="174"/>
      <c r="N1708" s="174"/>
      <c r="O1708" s="174"/>
      <c r="P1708" s="174"/>
      <c r="Q1708" s="174"/>
      <c r="R1708" s="174"/>
      <c r="S1708" s="174"/>
      <c r="T1708" s="174"/>
      <c r="U1708" s="174"/>
      <c r="V1708" s="174"/>
      <c r="W1708" s="174"/>
      <c r="X1708" s="174"/>
      <c r="Y1708" s="174"/>
      <c r="Z1708" s="174"/>
      <c r="AA1708" s="174"/>
    </row>
    <row r="1709">
      <c r="A1709" s="174"/>
      <c r="B1709" s="174"/>
      <c r="C1709" s="174"/>
      <c r="D1709" s="174"/>
      <c r="E1709" s="174"/>
      <c r="F1709" s="175"/>
      <c r="G1709" s="175"/>
      <c r="H1709" s="174"/>
      <c r="I1709" s="174"/>
      <c r="J1709" s="174"/>
      <c r="K1709" s="174"/>
      <c r="L1709" s="174"/>
      <c r="M1709" s="174"/>
      <c r="N1709" s="174"/>
      <c r="O1709" s="174"/>
      <c r="P1709" s="174"/>
      <c r="Q1709" s="174"/>
      <c r="R1709" s="174"/>
      <c r="S1709" s="174"/>
      <c r="T1709" s="174"/>
      <c r="U1709" s="174"/>
      <c r="V1709" s="174"/>
      <c r="W1709" s="174"/>
      <c r="X1709" s="174"/>
      <c r="Y1709" s="174"/>
      <c r="Z1709" s="174"/>
      <c r="AA1709" s="174"/>
    </row>
    <row r="1710">
      <c r="A1710" s="174"/>
      <c r="B1710" s="174"/>
      <c r="C1710" s="174"/>
      <c r="D1710" s="174"/>
      <c r="E1710" s="174"/>
      <c r="F1710" s="175"/>
      <c r="G1710" s="175"/>
      <c r="H1710" s="174"/>
      <c r="I1710" s="174"/>
      <c r="J1710" s="174"/>
      <c r="K1710" s="174"/>
      <c r="L1710" s="174"/>
      <c r="M1710" s="174"/>
      <c r="N1710" s="174"/>
      <c r="O1710" s="174"/>
      <c r="P1710" s="174"/>
      <c r="Q1710" s="174"/>
      <c r="R1710" s="174"/>
      <c r="S1710" s="174"/>
      <c r="T1710" s="174"/>
      <c r="U1710" s="174"/>
      <c r="V1710" s="174"/>
      <c r="W1710" s="174"/>
      <c r="X1710" s="174"/>
      <c r="Y1710" s="174"/>
      <c r="Z1710" s="174"/>
      <c r="AA1710" s="174"/>
    </row>
    <row r="1711">
      <c r="A1711" s="174"/>
      <c r="B1711" s="174"/>
      <c r="C1711" s="174"/>
      <c r="D1711" s="174"/>
      <c r="E1711" s="174"/>
      <c r="F1711" s="175"/>
      <c r="G1711" s="175"/>
      <c r="H1711" s="174"/>
      <c r="I1711" s="174"/>
      <c r="J1711" s="174"/>
      <c r="K1711" s="174"/>
      <c r="L1711" s="174"/>
      <c r="M1711" s="174"/>
      <c r="N1711" s="174"/>
      <c r="O1711" s="174"/>
      <c r="P1711" s="174"/>
      <c r="Q1711" s="174"/>
      <c r="R1711" s="174"/>
      <c r="S1711" s="174"/>
      <c r="T1711" s="174"/>
      <c r="U1711" s="174"/>
      <c r="V1711" s="174"/>
      <c r="W1711" s="174"/>
      <c r="X1711" s="174"/>
      <c r="Y1711" s="174"/>
      <c r="Z1711" s="174"/>
      <c r="AA1711" s="174"/>
    </row>
    <row r="1712">
      <c r="A1712" s="174"/>
      <c r="B1712" s="174"/>
      <c r="C1712" s="174"/>
      <c r="D1712" s="174"/>
      <c r="E1712" s="174"/>
      <c r="F1712" s="175"/>
      <c r="G1712" s="175"/>
      <c r="H1712" s="174"/>
      <c r="I1712" s="174"/>
      <c r="J1712" s="174"/>
      <c r="K1712" s="174"/>
      <c r="L1712" s="174"/>
      <c r="M1712" s="174"/>
      <c r="N1712" s="174"/>
      <c r="O1712" s="174"/>
      <c r="P1712" s="174"/>
      <c r="Q1712" s="174"/>
      <c r="R1712" s="174"/>
      <c r="S1712" s="174"/>
      <c r="T1712" s="174"/>
      <c r="U1712" s="174"/>
      <c r="V1712" s="174"/>
      <c r="W1712" s="174"/>
      <c r="X1712" s="174"/>
      <c r="Y1712" s="174"/>
      <c r="Z1712" s="174"/>
      <c r="AA1712" s="174"/>
    </row>
    <row r="1713">
      <c r="A1713" s="174"/>
      <c r="B1713" s="174"/>
      <c r="C1713" s="174"/>
      <c r="D1713" s="174"/>
      <c r="E1713" s="174"/>
      <c r="F1713" s="175"/>
      <c r="G1713" s="175"/>
      <c r="H1713" s="174"/>
      <c r="I1713" s="174"/>
      <c r="J1713" s="174"/>
      <c r="K1713" s="174"/>
      <c r="L1713" s="174"/>
      <c r="M1713" s="174"/>
      <c r="N1713" s="174"/>
      <c r="O1713" s="174"/>
      <c r="P1713" s="174"/>
      <c r="Q1713" s="174"/>
      <c r="R1713" s="174"/>
      <c r="S1713" s="174"/>
      <c r="T1713" s="174"/>
      <c r="U1713" s="174"/>
      <c r="V1713" s="174"/>
      <c r="W1713" s="174"/>
      <c r="X1713" s="174"/>
      <c r="Y1713" s="174"/>
      <c r="Z1713" s="174"/>
      <c r="AA1713" s="174"/>
    </row>
    <row r="1714">
      <c r="A1714" s="174"/>
      <c r="B1714" s="174"/>
      <c r="C1714" s="174"/>
      <c r="D1714" s="174"/>
      <c r="E1714" s="174"/>
      <c r="F1714" s="175"/>
      <c r="G1714" s="175"/>
      <c r="H1714" s="174"/>
      <c r="I1714" s="174"/>
      <c r="J1714" s="174"/>
      <c r="K1714" s="174"/>
      <c r="L1714" s="174"/>
      <c r="M1714" s="174"/>
      <c r="N1714" s="174"/>
      <c r="O1714" s="174"/>
      <c r="P1714" s="174"/>
      <c r="Q1714" s="174"/>
      <c r="R1714" s="174"/>
      <c r="S1714" s="174"/>
      <c r="T1714" s="174"/>
      <c r="U1714" s="174"/>
      <c r="V1714" s="174"/>
      <c r="W1714" s="174"/>
      <c r="X1714" s="174"/>
      <c r="Y1714" s="174"/>
      <c r="Z1714" s="174"/>
      <c r="AA1714" s="174"/>
    </row>
    <row r="1715">
      <c r="A1715" s="174"/>
      <c r="B1715" s="174"/>
      <c r="C1715" s="174"/>
      <c r="D1715" s="174"/>
      <c r="E1715" s="174"/>
      <c r="F1715" s="175"/>
      <c r="G1715" s="175"/>
      <c r="H1715" s="174"/>
      <c r="I1715" s="174"/>
      <c r="J1715" s="174"/>
      <c r="K1715" s="174"/>
      <c r="L1715" s="174"/>
      <c r="M1715" s="174"/>
      <c r="N1715" s="174"/>
      <c r="O1715" s="174"/>
      <c r="P1715" s="174"/>
      <c r="Q1715" s="174"/>
      <c r="R1715" s="174"/>
      <c r="S1715" s="174"/>
      <c r="T1715" s="174"/>
      <c r="U1715" s="174"/>
      <c r="V1715" s="174"/>
      <c r="W1715" s="174"/>
      <c r="X1715" s="174"/>
      <c r="Y1715" s="174"/>
      <c r="Z1715" s="174"/>
      <c r="AA1715" s="174"/>
    </row>
    <row r="1716">
      <c r="A1716" s="174"/>
      <c r="B1716" s="174"/>
      <c r="C1716" s="174"/>
      <c r="D1716" s="174"/>
      <c r="E1716" s="174"/>
      <c r="F1716" s="175"/>
      <c r="G1716" s="175"/>
      <c r="H1716" s="174"/>
      <c r="I1716" s="174"/>
      <c r="J1716" s="174"/>
      <c r="K1716" s="174"/>
      <c r="L1716" s="174"/>
      <c r="M1716" s="174"/>
      <c r="N1716" s="174"/>
      <c r="O1716" s="174"/>
      <c r="P1716" s="174"/>
      <c r="Q1716" s="174"/>
      <c r="R1716" s="174"/>
      <c r="S1716" s="174"/>
      <c r="T1716" s="174"/>
      <c r="U1716" s="174"/>
      <c r="V1716" s="174"/>
      <c r="W1716" s="174"/>
      <c r="X1716" s="174"/>
      <c r="Y1716" s="174"/>
      <c r="Z1716" s="174"/>
      <c r="AA1716" s="174"/>
    </row>
    <row r="1717">
      <c r="A1717" s="174"/>
      <c r="B1717" s="174"/>
      <c r="C1717" s="174"/>
      <c r="D1717" s="174"/>
      <c r="E1717" s="174"/>
      <c r="F1717" s="175"/>
      <c r="G1717" s="175"/>
      <c r="H1717" s="174"/>
      <c r="I1717" s="174"/>
      <c r="J1717" s="174"/>
      <c r="K1717" s="174"/>
      <c r="L1717" s="174"/>
      <c r="M1717" s="174"/>
      <c r="N1717" s="174"/>
      <c r="O1717" s="174"/>
      <c r="P1717" s="174"/>
      <c r="Q1717" s="174"/>
      <c r="R1717" s="174"/>
      <c r="S1717" s="174"/>
      <c r="T1717" s="174"/>
      <c r="U1717" s="174"/>
      <c r="V1717" s="174"/>
      <c r="W1717" s="174"/>
      <c r="X1717" s="174"/>
      <c r="Y1717" s="174"/>
      <c r="Z1717" s="174"/>
      <c r="AA1717" s="174"/>
    </row>
    <row r="1718">
      <c r="A1718" s="174"/>
      <c r="B1718" s="174"/>
      <c r="C1718" s="174"/>
      <c r="D1718" s="174"/>
      <c r="E1718" s="174"/>
      <c r="F1718" s="175"/>
      <c r="G1718" s="175"/>
      <c r="H1718" s="174"/>
      <c r="I1718" s="174"/>
      <c r="J1718" s="174"/>
      <c r="K1718" s="174"/>
      <c r="L1718" s="174"/>
      <c r="M1718" s="174"/>
      <c r="N1718" s="174"/>
      <c r="O1718" s="174"/>
      <c r="P1718" s="174"/>
      <c r="Q1718" s="174"/>
      <c r="R1718" s="174"/>
      <c r="S1718" s="174"/>
      <c r="T1718" s="174"/>
      <c r="U1718" s="174"/>
      <c r="V1718" s="174"/>
      <c r="W1718" s="174"/>
      <c r="X1718" s="174"/>
      <c r="Y1718" s="174"/>
      <c r="Z1718" s="174"/>
      <c r="AA1718" s="174"/>
    </row>
    <row r="1719">
      <c r="A1719" s="174"/>
      <c r="B1719" s="174"/>
      <c r="C1719" s="174"/>
      <c r="D1719" s="174"/>
      <c r="E1719" s="174"/>
      <c r="F1719" s="175"/>
      <c r="G1719" s="175"/>
      <c r="H1719" s="174"/>
      <c r="I1719" s="174"/>
      <c r="J1719" s="174"/>
      <c r="K1719" s="174"/>
      <c r="L1719" s="174"/>
      <c r="M1719" s="174"/>
      <c r="N1719" s="174"/>
      <c r="O1719" s="174"/>
      <c r="P1719" s="174"/>
      <c r="Q1719" s="174"/>
      <c r="R1719" s="174"/>
      <c r="S1719" s="174"/>
      <c r="T1719" s="174"/>
      <c r="U1719" s="174"/>
      <c r="V1719" s="174"/>
      <c r="W1719" s="174"/>
      <c r="X1719" s="174"/>
      <c r="Y1719" s="174"/>
      <c r="Z1719" s="174"/>
      <c r="AA1719" s="174"/>
    </row>
    <row r="1720">
      <c r="A1720" s="174"/>
      <c r="B1720" s="174"/>
      <c r="C1720" s="174"/>
      <c r="D1720" s="174"/>
      <c r="E1720" s="174"/>
      <c r="F1720" s="175"/>
      <c r="G1720" s="175"/>
      <c r="H1720" s="174"/>
      <c r="I1720" s="174"/>
      <c r="J1720" s="174"/>
      <c r="K1720" s="174"/>
      <c r="L1720" s="174"/>
      <c r="M1720" s="174"/>
      <c r="N1720" s="174"/>
      <c r="O1720" s="174"/>
      <c r="P1720" s="174"/>
      <c r="Q1720" s="174"/>
      <c r="R1720" s="174"/>
      <c r="S1720" s="174"/>
      <c r="T1720" s="174"/>
      <c r="U1720" s="174"/>
      <c r="V1720" s="174"/>
      <c r="W1720" s="174"/>
      <c r="X1720" s="174"/>
      <c r="Y1720" s="174"/>
      <c r="Z1720" s="174"/>
      <c r="AA1720" s="174"/>
    </row>
    <row r="1721">
      <c r="A1721" s="174"/>
      <c r="B1721" s="174"/>
      <c r="C1721" s="174"/>
      <c r="D1721" s="174"/>
      <c r="E1721" s="174"/>
      <c r="F1721" s="175"/>
      <c r="G1721" s="175"/>
      <c r="H1721" s="174"/>
      <c r="I1721" s="174"/>
      <c r="J1721" s="174"/>
      <c r="K1721" s="174"/>
      <c r="L1721" s="174"/>
      <c r="M1721" s="174"/>
      <c r="N1721" s="174"/>
      <c r="O1721" s="174"/>
      <c r="P1721" s="174"/>
      <c r="Q1721" s="174"/>
      <c r="R1721" s="174"/>
      <c r="S1721" s="174"/>
      <c r="T1721" s="174"/>
      <c r="U1721" s="174"/>
      <c r="V1721" s="174"/>
      <c r="W1721" s="174"/>
      <c r="X1721" s="174"/>
      <c r="Y1721" s="174"/>
      <c r="Z1721" s="174"/>
      <c r="AA1721" s="174"/>
    </row>
    <row r="1722">
      <c r="A1722" s="174"/>
      <c r="B1722" s="174"/>
      <c r="C1722" s="174"/>
      <c r="D1722" s="174"/>
      <c r="E1722" s="174"/>
      <c r="F1722" s="175"/>
      <c r="G1722" s="175"/>
      <c r="H1722" s="174"/>
      <c r="I1722" s="174"/>
      <c r="J1722" s="174"/>
      <c r="K1722" s="174"/>
      <c r="L1722" s="174"/>
      <c r="M1722" s="174"/>
      <c r="N1722" s="174"/>
      <c r="O1722" s="174"/>
      <c r="P1722" s="174"/>
      <c r="Q1722" s="174"/>
      <c r="R1722" s="174"/>
      <c r="S1722" s="174"/>
      <c r="T1722" s="174"/>
      <c r="U1722" s="174"/>
      <c r="V1722" s="174"/>
      <c r="W1722" s="174"/>
      <c r="X1722" s="174"/>
      <c r="Y1722" s="174"/>
      <c r="Z1722" s="174"/>
      <c r="AA1722" s="174"/>
    </row>
    <row r="1723">
      <c r="A1723" s="174"/>
      <c r="B1723" s="174"/>
      <c r="C1723" s="174"/>
      <c r="D1723" s="174"/>
      <c r="E1723" s="174"/>
      <c r="F1723" s="175"/>
      <c r="G1723" s="175"/>
      <c r="H1723" s="174"/>
      <c r="I1723" s="174"/>
      <c r="J1723" s="174"/>
      <c r="K1723" s="174"/>
      <c r="L1723" s="174"/>
      <c r="M1723" s="174"/>
      <c r="N1723" s="174"/>
      <c r="O1723" s="174"/>
      <c r="P1723" s="174"/>
      <c r="Q1723" s="174"/>
      <c r="R1723" s="174"/>
      <c r="S1723" s="174"/>
      <c r="T1723" s="174"/>
      <c r="U1723" s="174"/>
      <c r="V1723" s="174"/>
      <c r="W1723" s="174"/>
      <c r="X1723" s="174"/>
      <c r="Y1723" s="174"/>
      <c r="Z1723" s="174"/>
      <c r="AA1723" s="174"/>
    </row>
    <row r="1724">
      <c r="A1724" s="174"/>
      <c r="B1724" s="174"/>
      <c r="C1724" s="174"/>
      <c r="D1724" s="174"/>
      <c r="E1724" s="174"/>
      <c r="F1724" s="175"/>
      <c r="G1724" s="175"/>
      <c r="H1724" s="174"/>
      <c r="I1724" s="174"/>
      <c r="J1724" s="174"/>
      <c r="K1724" s="174"/>
      <c r="L1724" s="174"/>
      <c r="M1724" s="174"/>
      <c r="N1724" s="174"/>
      <c r="O1724" s="174"/>
      <c r="P1724" s="174"/>
      <c r="Q1724" s="174"/>
      <c r="R1724" s="174"/>
      <c r="S1724" s="174"/>
      <c r="T1724" s="174"/>
      <c r="U1724" s="174"/>
      <c r="V1724" s="174"/>
      <c r="W1724" s="174"/>
      <c r="X1724" s="174"/>
      <c r="Y1724" s="174"/>
      <c r="Z1724" s="174"/>
      <c r="AA1724" s="174"/>
    </row>
    <row r="1725">
      <c r="A1725" s="174"/>
      <c r="B1725" s="174"/>
      <c r="C1725" s="174"/>
      <c r="D1725" s="174"/>
      <c r="E1725" s="174"/>
      <c r="F1725" s="175"/>
      <c r="G1725" s="175"/>
      <c r="H1725" s="174"/>
      <c r="I1725" s="174"/>
      <c r="J1725" s="174"/>
      <c r="K1725" s="174"/>
      <c r="L1725" s="174"/>
      <c r="M1725" s="174"/>
      <c r="N1725" s="174"/>
      <c r="O1725" s="174"/>
      <c r="P1725" s="174"/>
      <c r="Q1725" s="174"/>
      <c r="R1725" s="174"/>
      <c r="S1725" s="174"/>
      <c r="T1725" s="174"/>
      <c r="U1725" s="174"/>
      <c r="V1725" s="174"/>
      <c r="W1725" s="174"/>
      <c r="X1725" s="174"/>
      <c r="Y1725" s="174"/>
      <c r="Z1725" s="174"/>
      <c r="AA1725" s="174"/>
    </row>
    <row r="1726">
      <c r="A1726" s="174"/>
      <c r="B1726" s="174"/>
      <c r="C1726" s="174"/>
      <c r="D1726" s="174"/>
      <c r="E1726" s="174"/>
      <c r="F1726" s="175"/>
      <c r="G1726" s="175"/>
      <c r="H1726" s="174"/>
      <c r="I1726" s="174"/>
      <c r="J1726" s="174"/>
      <c r="K1726" s="174"/>
      <c r="L1726" s="174"/>
      <c r="M1726" s="174"/>
      <c r="N1726" s="174"/>
      <c r="O1726" s="174"/>
      <c r="P1726" s="174"/>
      <c r="Q1726" s="174"/>
      <c r="R1726" s="174"/>
      <c r="S1726" s="174"/>
      <c r="T1726" s="174"/>
      <c r="U1726" s="174"/>
      <c r="V1726" s="174"/>
      <c r="W1726" s="174"/>
      <c r="X1726" s="174"/>
      <c r="Y1726" s="174"/>
      <c r="Z1726" s="174"/>
      <c r="AA1726" s="174"/>
    </row>
    <row r="1727">
      <c r="A1727" s="174"/>
      <c r="B1727" s="174"/>
      <c r="C1727" s="174"/>
      <c r="D1727" s="174"/>
      <c r="E1727" s="174"/>
      <c r="F1727" s="175"/>
      <c r="G1727" s="175"/>
      <c r="H1727" s="174"/>
      <c r="I1727" s="174"/>
      <c r="J1727" s="174"/>
      <c r="K1727" s="174"/>
      <c r="L1727" s="174"/>
      <c r="M1727" s="174"/>
      <c r="N1727" s="174"/>
      <c r="O1727" s="174"/>
      <c r="P1727" s="174"/>
      <c r="Q1727" s="174"/>
      <c r="R1727" s="174"/>
      <c r="S1727" s="174"/>
      <c r="T1727" s="174"/>
      <c r="U1727" s="174"/>
      <c r="V1727" s="174"/>
      <c r="W1727" s="174"/>
      <c r="X1727" s="174"/>
      <c r="Y1727" s="174"/>
      <c r="Z1727" s="174"/>
      <c r="AA1727" s="174"/>
    </row>
    <row r="1728">
      <c r="A1728" s="174"/>
      <c r="B1728" s="174"/>
      <c r="C1728" s="174"/>
      <c r="D1728" s="174"/>
      <c r="E1728" s="174"/>
      <c r="F1728" s="175"/>
      <c r="G1728" s="175"/>
      <c r="H1728" s="174"/>
      <c r="I1728" s="174"/>
      <c r="J1728" s="174"/>
      <c r="K1728" s="174"/>
      <c r="L1728" s="174"/>
      <c r="M1728" s="174"/>
      <c r="N1728" s="174"/>
      <c r="O1728" s="174"/>
      <c r="P1728" s="174"/>
      <c r="Q1728" s="174"/>
      <c r="R1728" s="174"/>
      <c r="S1728" s="174"/>
      <c r="T1728" s="174"/>
      <c r="U1728" s="174"/>
      <c r="V1728" s="174"/>
      <c r="W1728" s="174"/>
      <c r="X1728" s="174"/>
      <c r="Y1728" s="174"/>
      <c r="Z1728" s="174"/>
      <c r="AA1728" s="174"/>
    </row>
    <row r="1729">
      <c r="A1729" s="174"/>
      <c r="B1729" s="174"/>
      <c r="C1729" s="174"/>
      <c r="D1729" s="174"/>
      <c r="E1729" s="174"/>
      <c r="F1729" s="175"/>
      <c r="G1729" s="175"/>
      <c r="H1729" s="174"/>
      <c r="I1729" s="174"/>
      <c r="J1729" s="174"/>
      <c r="K1729" s="174"/>
      <c r="L1729" s="174"/>
      <c r="M1729" s="174"/>
      <c r="N1729" s="174"/>
      <c r="O1729" s="174"/>
      <c r="P1729" s="174"/>
      <c r="Q1729" s="174"/>
      <c r="R1729" s="174"/>
      <c r="S1729" s="174"/>
      <c r="T1729" s="174"/>
      <c r="U1729" s="174"/>
      <c r="V1729" s="174"/>
      <c r="W1729" s="174"/>
      <c r="X1729" s="174"/>
      <c r="Y1729" s="174"/>
      <c r="Z1729" s="174"/>
      <c r="AA1729" s="174"/>
    </row>
    <row r="1730">
      <c r="A1730" s="174"/>
      <c r="B1730" s="174"/>
      <c r="C1730" s="174"/>
      <c r="D1730" s="174"/>
      <c r="E1730" s="174"/>
      <c r="F1730" s="175"/>
      <c r="G1730" s="175"/>
      <c r="H1730" s="174"/>
      <c r="I1730" s="174"/>
      <c r="J1730" s="174"/>
      <c r="K1730" s="174"/>
      <c r="L1730" s="174"/>
      <c r="M1730" s="174"/>
      <c r="N1730" s="174"/>
      <c r="O1730" s="174"/>
      <c r="P1730" s="174"/>
      <c r="Q1730" s="174"/>
      <c r="R1730" s="174"/>
      <c r="S1730" s="174"/>
      <c r="T1730" s="174"/>
      <c r="U1730" s="174"/>
      <c r="V1730" s="174"/>
      <c r="W1730" s="174"/>
      <c r="X1730" s="174"/>
      <c r="Y1730" s="174"/>
      <c r="Z1730" s="174"/>
      <c r="AA1730" s="174"/>
    </row>
    <row r="1731">
      <c r="A1731" s="174"/>
      <c r="B1731" s="174"/>
      <c r="C1731" s="174"/>
      <c r="D1731" s="174"/>
      <c r="E1731" s="174"/>
      <c r="F1731" s="175"/>
      <c r="G1731" s="175"/>
      <c r="H1731" s="174"/>
      <c r="I1731" s="174"/>
      <c r="J1731" s="174"/>
      <c r="K1731" s="174"/>
      <c r="L1731" s="174"/>
      <c r="M1731" s="174"/>
      <c r="N1731" s="174"/>
      <c r="O1731" s="174"/>
      <c r="P1731" s="174"/>
      <c r="Q1731" s="174"/>
      <c r="R1731" s="174"/>
      <c r="S1731" s="174"/>
      <c r="T1731" s="174"/>
      <c r="U1731" s="174"/>
      <c r="V1731" s="174"/>
      <c r="W1731" s="174"/>
      <c r="X1731" s="174"/>
      <c r="Y1731" s="174"/>
      <c r="Z1731" s="174"/>
      <c r="AA1731" s="174"/>
    </row>
    <row r="1732">
      <c r="A1732" s="174"/>
      <c r="B1732" s="174"/>
      <c r="C1732" s="174"/>
      <c r="D1732" s="174"/>
      <c r="E1732" s="174"/>
      <c r="F1732" s="175"/>
      <c r="G1732" s="175"/>
      <c r="H1732" s="174"/>
      <c r="I1732" s="174"/>
      <c r="J1732" s="174"/>
      <c r="K1732" s="174"/>
      <c r="L1732" s="174"/>
      <c r="M1732" s="174"/>
      <c r="N1732" s="174"/>
      <c r="O1732" s="174"/>
      <c r="P1732" s="174"/>
      <c r="Q1732" s="174"/>
      <c r="R1732" s="174"/>
      <c r="S1732" s="174"/>
      <c r="T1732" s="174"/>
      <c r="U1732" s="174"/>
      <c r="V1732" s="174"/>
      <c r="W1732" s="174"/>
      <c r="X1732" s="174"/>
      <c r="Y1732" s="174"/>
      <c r="Z1732" s="174"/>
      <c r="AA1732" s="174"/>
    </row>
    <row r="1733">
      <c r="A1733" s="174"/>
      <c r="B1733" s="174"/>
      <c r="C1733" s="174"/>
      <c r="D1733" s="174"/>
      <c r="E1733" s="174"/>
      <c r="F1733" s="175"/>
      <c r="G1733" s="175"/>
      <c r="H1733" s="174"/>
      <c r="I1733" s="174"/>
      <c r="J1733" s="174"/>
      <c r="K1733" s="174"/>
      <c r="L1733" s="174"/>
      <c r="M1733" s="174"/>
      <c r="N1733" s="174"/>
      <c r="O1733" s="174"/>
      <c r="P1733" s="174"/>
      <c r="Q1733" s="174"/>
      <c r="R1733" s="174"/>
      <c r="S1733" s="174"/>
      <c r="T1733" s="174"/>
      <c r="U1733" s="174"/>
      <c r="V1733" s="174"/>
      <c r="W1733" s="174"/>
      <c r="X1733" s="174"/>
      <c r="Y1733" s="174"/>
      <c r="Z1733" s="174"/>
      <c r="AA1733" s="174"/>
    </row>
    <row r="1734">
      <c r="A1734" s="174"/>
      <c r="B1734" s="174"/>
      <c r="C1734" s="174"/>
      <c r="D1734" s="174"/>
      <c r="E1734" s="174"/>
      <c r="F1734" s="175"/>
      <c r="G1734" s="175"/>
      <c r="H1734" s="174"/>
      <c r="I1734" s="174"/>
      <c r="J1734" s="174"/>
      <c r="K1734" s="174"/>
      <c r="L1734" s="174"/>
      <c r="M1734" s="174"/>
      <c r="N1734" s="174"/>
      <c r="O1734" s="174"/>
      <c r="P1734" s="174"/>
      <c r="Q1734" s="174"/>
      <c r="R1734" s="174"/>
      <c r="S1734" s="174"/>
      <c r="T1734" s="174"/>
      <c r="U1734" s="174"/>
      <c r="V1734" s="174"/>
      <c r="W1734" s="174"/>
      <c r="X1734" s="174"/>
      <c r="Y1734" s="174"/>
      <c r="Z1734" s="174"/>
      <c r="AA1734" s="174"/>
    </row>
    <row r="1735">
      <c r="A1735" s="174"/>
      <c r="B1735" s="174"/>
      <c r="C1735" s="174"/>
      <c r="D1735" s="174"/>
      <c r="E1735" s="174"/>
      <c r="F1735" s="175"/>
      <c r="G1735" s="175"/>
      <c r="H1735" s="174"/>
      <c r="I1735" s="174"/>
      <c r="J1735" s="174"/>
      <c r="K1735" s="174"/>
      <c r="L1735" s="174"/>
      <c r="M1735" s="174"/>
      <c r="N1735" s="174"/>
      <c r="O1735" s="174"/>
      <c r="P1735" s="174"/>
      <c r="Q1735" s="174"/>
      <c r="R1735" s="174"/>
      <c r="S1735" s="174"/>
      <c r="T1735" s="174"/>
      <c r="U1735" s="174"/>
      <c r="V1735" s="174"/>
      <c r="W1735" s="174"/>
      <c r="X1735" s="174"/>
      <c r="Y1735" s="174"/>
      <c r="Z1735" s="174"/>
      <c r="AA1735" s="174"/>
    </row>
    <row r="1736">
      <c r="A1736" s="174"/>
      <c r="B1736" s="174"/>
      <c r="C1736" s="174"/>
      <c r="D1736" s="174"/>
      <c r="E1736" s="174"/>
      <c r="F1736" s="175"/>
      <c r="G1736" s="175"/>
      <c r="H1736" s="174"/>
      <c r="I1736" s="174"/>
      <c r="J1736" s="174"/>
      <c r="K1736" s="174"/>
      <c r="L1736" s="174"/>
      <c r="M1736" s="174"/>
      <c r="N1736" s="174"/>
      <c r="O1736" s="174"/>
      <c r="P1736" s="174"/>
      <c r="Q1736" s="174"/>
      <c r="R1736" s="174"/>
      <c r="S1736" s="174"/>
      <c r="T1736" s="174"/>
      <c r="U1736" s="174"/>
      <c r="V1736" s="174"/>
      <c r="W1736" s="174"/>
      <c r="X1736" s="174"/>
      <c r="Y1736" s="174"/>
      <c r="Z1736" s="174"/>
      <c r="AA1736" s="174"/>
    </row>
    <row r="1737">
      <c r="A1737" s="174"/>
      <c r="B1737" s="174"/>
      <c r="C1737" s="174"/>
      <c r="D1737" s="174"/>
      <c r="E1737" s="174"/>
      <c r="F1737" s="175"/>
      <c r="G1737" s="175"/>
      <c r="H1737" s="174"/>
      <c r="I1737" s="174"/>
      <c r="J1737" s="174"/>
      <c r="K1737" s="174"/>
      <c r="L1737" s="174"/>
      <c r="M1737" s="174"/>
      <c r="N1737" s="174"/>
      <c r="O1737" s="174"/>
      <c r="P1737" s="174"/>
      <c r="Q1737" s="174"/>
      <c r="R1737" s="174"/>
      <c r="S1737" s="174"/>
      <c r="T1737" s="174"/>
      <c r="U1737" s="174"/>
      <c r="V1737" s="174"/>
      <c r="W1737" s="174"/>
      <c r="X1737" s="174"/>
      <c r="Y1737" s="174"/>
      <c r="Z1737" s="174"/>
      <c r="AA1737" s="174"/>
    </row>
    <row r="1738">
      <c r="A1738" s="174"/>
      <c r="B1738" s="174"/>
      <c r="C1738" s="174"/>
      <c r="D1738" s="174"/>
      <c r="E1738" s="174"/>
      <c r="F1738" s="175"/>
      <c r="G1738" s="175"/>
      <c r="H1738" s="174"/>
      <c r="I1738" s="174"/>
      <c r="J1738" s="174"/>
      <c r="K1738" s="174"/>
      <c r="L1738" s="174"/>
      <c r="M1738" s="174"/>
      <c r="N1738" s="174"/>
      <c r="O1738" s="174"/>
      <c r="P1738" s="174"/>
      <c r="Q1738" s="174"/>
      <c r="R1738" s="174"/>
      <c r="S1738" s="174"/>
      <c r="T1738" s="174"/>
      <c r="U1738" s="174"/>
      <c r="V1738" s="174"/>
      <c r="W1738" s="174"/>
      <c r="X1738" s="174"/>
      <c r="Y1738" s="174"/>
      <c r="Z1738" s="174"/>
      <c r="AA1738" s="174"/>
    </row>
    <row r="1739">
      <c r="A1739" s="174"/>
      <c r="B1739" s="174"/>
      <c r="C1739" s="174"/>
      <c r="D1739" s="174"/>
      <c r="E1739" s="174"/>
      <c r="F1739" s="175"/>
      <c r="G1739" s="175"/>
      <c r="H1739" s="174"/>
      <c r="I1739" s="174"/>
      <c r="J1739" s="174"/>
      <c r="K1739" s="174"/>
      <c r="L1739" s="174"/>
      <c r="M1739" s="174"/>
      <c r="N1739" s="174"/>
      <c r="O1739" s="174"/>
      <c r="P1739" s="174"/>
      <c r="Q1739" s="174"/>
      <c r="R1739" s="174"/>
      <c r="S1739" s="174"/>
      <c r="T1739" s="174"/>
      <c r="U1739" s="174"/>
      <c r="V1739" s="174"/>
      <c r="W1739" s="174"/>
      <c r="X1739" s="174"/>
      <c r="Y1739" s="174"/>
      <c r="Z1739" s="174"/>
      <c r="AA1739" s="174"/>
    </row>
    <row r="1740">
      <c r="A1740" s="174"/>
      <c r="B1740" s="174"/>
      <c r="C1740" s="174"/>
      <c r="D1740" s="174"/>
      <c r="E1740" s="174"/>
      <c r="F1740" s="175"/>
      <c r="G1740" s="175"/>
      <c r="H1740" s="174"/>
      <c r="I1740" s="174"/>
      <c r="J1740" s="174"/>
      <c r="K1740" s="174"/>
      <c r="L1740" s="174"/>
      <c r="M1740" s="174"/>
      <c r="N1740" s="174"/>
      <c r="O1740" s="174"/>
      <c r="P1740" s="174"/>
      <c r="Q1740" s="174"/>
      <c r="R1740" s="174"/>
      <c r="S1740" s="174"/>
      <c r="T1740" s="174"/>
      <c r="U1740" s="174"/>
      <c r="V1740" s="174"/>
      <c r="W1740" s="174"/>
      <c r="X1740" s="174"/>
      <c r="Y1740" s="174"/>
      <c r="Z1740" s="174"/>
      <c r="AA1740" s="174"/>
    </row>
    <row r="1741">
      <c r="A1741" s="174"/>
      <c r="B1741" s="174"/>
      <c r="C1741" s="174"/>
      <c r="D1741" s="174"/>
      <c r="E1741" s="174"/>
      <c r="F1741" s="175"/>
      <c r="G1741" s="175"/>
      <c r="H1741" s="174"/>
      <c r="I1741" s="174"/>
      <c r="J1741" s="174"/>
      <c r="K1741" s="174"/>
      <c r="L1741" s="174"/>
      <c r="M1741" s="174"/>
      <c r="N1741" s="174"/>
      <c r="O1741" s="174"/>
      <c r="P1741" s="174"/>
      <c r="Q1741" s="174"/>
      <c r="R1741" s="174"/>
      <c r="S1741" s="174"/>
      <c r="T1741" s="174"/>
      <c r="U1741" s="174"/>
      <c r="V1741" s="174"/>
      <c r="W1741" s="174"/>
      <c r="X1741" s="174"/>
      <c r="Y1741" s="174"/>
      <c r="Z1741" s="174"/>
      <c r="AA1741" s="174"/>
    </row>
    <row r="1742">
      <c r="A1742" s="174"/>
      <c r="B1742" s="174"/>
      <c r="C1742" s="174"/>
      <c r="D1742" s="174"/>
      <c r="E1742" s="174"/>
      <c r="F1742" s="175"/>
      <c r="G1742" s="175"/>
      <c r="H1742" s="174"/>
      <c r="I1742" s="174"/>
      <c r="J1742" s="174"/>
      <c r="K1742" s="174"/>
      <c r="L1742" s="174"/>
      <c r="M1742" s="174"/>
      <c r="N1742" s="174"/>
      <c r="O1742" s="174"/>
      <c r="P1742" s="174"/>
      <c r="Q1742" s="174"/>
      <c r="R1742" s="174"/>
      <c r="S1742" s="174"/>
      <c r="T1742" s="174"/>
      <c r="U1742" s="174"/>
      <c r="V1742" s="174"/>
      <c r="W1742" s="174"/>
      <c r="X1742" s="174"/>
      <c r="Y1742" s="174"/>
      <c r="Z1742" s="174"/>
      <c r="AA1742" s="174"/>
    </row>
    <row r="1743">
      <c r="A1743" s="174"/>
      <c r="B1743" s="174"/>
      <c r="C1743" s="174"/>
      <c r="D1743" s="174"/>
      <c r="E1743" s="174"/>
      <c r="F1743" s="175"/>
      <c r="G1743" s="175"/>
      <c r="H1743" s="174"/>
      <c r="I1743" s="174"/>
      <c r="J1743" s="174"/>
      <c r="K1743" s="174"/>
      <c r="L1743" s="174"/>
      <c r="M1743" s="174"/>
      <c r="N1743" s="174"/>
      <c r="O1743" s="174"/>
      <c r="P1743" s="174"/>
      <c r="Q1743" s="174"/>
      <c r="R1743" s="174"/>
      <c r="S1743" s="174"/>
      <c r="T1743" s="174"/>
      <c r="U1743" s="174"/>
      <c r="V1743" s="174"/>
      <c r="W1743" s="174"/>
      <c r="X1743" s="174"/>
      <c r="Y1743" s="174"/>
      <c r="Z1743" s="174"/>
      <c r="AA1743" s="174"/>
    </row>
    <row r="1744">
      <c r="A1744" s="174"/>
      <c r="B1744" s="174"/>
      <c r="C1744" s="174"/>
      <c r="D1744" s="174"/>
      <c r="E1744" s="174"/>
      <c r="F1744" s="175"/>
      <c r="G1744" s="175"/>
      <c r="H1744" s="174"/>
      <c r="I1744" s="174"/>
      <c r="J1744" s="174"/>
      <c r="K1744" s="174"/>
      <c r="L1744" s="174"/>
      <c r="M1744" s="174"/>
      <c r="N1744" s="174"/>
      <c r="O1744" s="174"/>
      <c r="P1744" s="174"/>
      <c r="Q1744" s="174"/>
      <c r="R1744" s="174"/>
      <c r="S1744" s="174"/>
      <c r="T1744" s="174"/>
      <c r="U1744" s="174"/>
      <c r="V1744" s="174"/>
      <c r="W1744" s="174"/>
      <c r="X1744" s="174"/>
      <c r="Y1744" s="174"/>
      <c r="Z1744" s="174"/>
      <c r="AA1744" s="174"/>
    </row>
    <row r="1745">
      <c r="A1745" s="174"/>
      <c r="B1745" s="174"/>
      <c r="C1745" s="174"/>
      <c r="D1745" s="174"/>
      <c r="E1745" s="174"/>
      <c r="F1745" s="175"/>
      <c r="G1745" s="175"/>
      <c r="H1745" s="174"/>
      <c r="I1745" s="174"/>
      <c r="J1745" s="174"/>
      <c r="K1745" s="174"/>
      <c r="L1745" s="174"/>
      <c r="M1745" s="174"/>
      <c r="N1745" s="174"/>
      <c r="O1745" s="174"/>
      <c r="P1745" s="174"/>
      <c r="Q1745" s="174"/>
      <c r="R1745" s="174"/>
      <c r="S1745" s="174"/>
      <c r="T1745" s="174"/>
      <c r="U1745" s="174"/>
      <c r="V1745" s="174"/>
      <c r="W1745" s="174"/>
      <c r="X1745" s="174"/>
      <c r="Y1745" s="174"/>
      <c r="Z1745" s="174"/>
      <c r="AA1745" s="174"/>
    </row>
    <row r="1746">
      <c r="A1746" s="174"/>
      <c r="B1746" s="174"/>
      <c r="C1746" s="174"/>
      <c r="D1746" s="174"/>
      <c r="E1746" s="174"/>
      <c r="F1746" s="175"/>
      <c r="G1746" s="175"/>
      <c r="H1746" s="174"/>
      <c r="I1746" s="174"/>
      <c r="J1746" s="174"/>
      <c r="K1746" s="174"/>
      <c r="L1746" s="174"/>
      <c r="M1746" s="174"/>
      <c r="N1746" s="174"/>
      <c r="O1746" s="174"/>
      <c r="P1746" s="174"/>
      <c r="Q1746" s="174"/>
      <c r="R1746" s="174"/>
      <c r="S1746" s="174"/>
      <c r="T1746" s="174"/>
      <c r="U1746" s="174"/>
      <c r="V1746" s="174"/>
      <c r="W1746" s="174"/>
      <c r="X1746" s="174"/>
      <c r="Y1746" s="174"/>
      <c r="Z1746" s="174"/>
      <c r="AA1746" s="174"/>
    </row>
    <row r="1747">
      <c r="A1747" s="174"/>
      <c r="B1747" s="174"/>
      <c r="C1747" s="174"/>
      <c r="D1747" s="174"/>
      <c r="E1747" s="174"/>
      <c r="F1747" s="175"/>
      <c r="G1747" s="175"/>
      <c r="H1747" s="174"/>
      <c r="I1747" s="174"/>
      <c r="J1747" s="174"/>
      <c r="K1747" s="174"/>
      <c r="L1747" s="174"/>
      <c r="M1747" s="174"/>
      <c r="N1747" s="174"/>
      <c r="O1747" s="174"/>
      <c r="P1747" s="174"/>
      <c r="Q1747" s="174"/>
      <c r="R1747" s="174"/>
      <c r="S1747" s="174"/>
      <c r="T1747" s="174"/>
      <c r="U1747" s="174"/>
      <c r="V1747" s="174"/>
      <c r="W1747" s="174"/>
      <c r="X1747" s="174"/>
      <c r="Y1747" s="174"/>
      <c r="Z1747" s="174"/>
      <c r="AA1747" s="174"/>
    </row>
    <row r="1748">
      <c r="A1748" s="174"/>
      <c r="B1748" s="174"/>
      <c r="C1748" s="174"/>
      <c r="D1748" s="174"/>
      <c r="E1748" s="174"/>
      <c r="F1748" s="175"/>
      <c r="G1748" s="175"/>
      <c r="H1748" s="174"/>
      <c r="I1748" s="174"/>
      <c r="J1748" s="174"/>
      <c r="K1748" s="174"/>
      <c r="L1748" s="174"/>
      <c r="M1748" s="174"/>
      <c r="N1748" s="174"/>
      <c r="O1748" s="174"/>
      <c r="P1748" s="174"/>
      <c r="Q1748" s="174"/>
      <c r="R1748" s="174"/>
      <c r="S1748" s="174"/>
      <c r="T1748" s="174"/>
      <c r="U1748" s="174"/>
      <c r="V1748" s="174"/>
      <c r="W1748" s="174"/>
      <c r="X1748" s="174"/>
      <c r="Y1748" s="174"/>
      <c r="Z1748" s="174"/>
      <c r="AA1748" s="174"/>
    </row>
    <row r="1749">
      <c r="A1749" s="174"/>
      <c r="B1749" s="174"/>
      <c r="C1749" s="174"/>
      <c r="D1749" s="174"/>
      <c r="E1749" s="174"/>
      <c r="F1749" s="175"/>
      <c r="G1749" s="175"/>
      <c r="H1749" s="174"/>
      <c r="I1749" s="174"/>
      <c r="J1749" s="174"/>
      <c r="K1749" s="174"/>
      <c r="L1749" s="174"/>
      <c r="M1749" s="174"/>
      <c r="N1749" s="174"/>
      <c r="O1749" s="174"/>
      <c r="P1749" s="174"/>
      <c r="Q1749" s="174"/>
      <c r="R1749" s="174"/>
      <c r="S1749" s="174"/>
      <c r="T1749" s="174"/>
      <c r="U1749" s="174"/>
      <c r="V1749" s="174"/>
      <c r="W1749" s="174"/>
      <c r="X1749" s="174"/>
      <c r="Y1749" s="174"/>
      <c r="Z1749" s="174"/>
      <c r="AA1749" s="174"/>
    </row>
    <row r="1750">
      <c r="A1750" s="174"/>
      <c r="B1750" s="174"/>
      <c r="C1750" s="174"/>
      <c r="D1750" s="174"/>
      <c r="E1750" s="174"/>
      <c r="F1750" s="175"/>
      <c r="G1750" s="175"/>
      <c r="H1750" s="174"/>
      <c r="I1750" s="174"/>
      <c r="J1750" s="174"/>
      <c r="K1750" s="174"/>
      <c r="L1750" s="174"/>
      <c r="M1750" s="174"/>
      <c r="N1750" s="174"/>
      <c r="O1750" s="174"/>
      <c r="P1750" s="174"/>
      <c r="Q1750" s="174"/>
      <c r="R1750" s="174"/>
      <c r="S1750" s="174"/>
      <c r="T1750" s="174"/>
      <c r="U1750" s="174"/>
      <c r="V1750" s="174"/>
      <c r="W1750" s="174"/>
      <c r="X1750" s="174"/>
      <c r="Y1750" s="174"/>
      <c r="Z1750" s="174"/>
      <c r="AA1750" s="174"/>
    </row>
    <row r="1751">
      <c r="A1751" s="174"/>
      <c r="B1751" s="174"/>
      <c r="C1751" s="174"/>
      <c r="D1751" s="174"/>
      <c r="E1751" s="174"/>
      <c r="F1751" s="175"/>
      <c r="G1751" s="175"/>
      <c r="H1751" s="174"/>
      <c r="I1751" s="174"/>
      <c r="J1751" s="174"/>
      <c r="K1751" s="174"/>
      <c r="L1751" s="174"/>
      <c r="M1751" s="174"/>
      <c r="N1751" s="174"/>
      <c r="O1751" s="174"/>
      <c r="P1751" s="174"/>
      <c r="Q1751" s="174"/>
      <c r="R1751" s="174"/>
      <c r="S1751" s="174"/>
      <c r="T1751" s="174"/>
      <c r="U1751" s="174"/>
      <c r="V1751" s="174"/>
      <c r="W1751" s="174"/>
      <c r="X1751" s="174"/>
      <c r="Y1751" s="174"/>
      <c r="Z1751" s="174"/>
      <c r="AA1751" s="174"/>
    </row>
    <row r="1752">
      <c r="A1752" s="174"/>
      <c r="B1752" s="174"/>
      <c r="C1752" s="174"/>
      <c r="D1752" s="174"/>
      <c r="E1752" s="174"/>
      <c r="F1752" s="175"/>
      <c r="G1752" s="175"/>
      <c r="H1752" s="174"/>
      <c r="I1752" s="174"/>
      <c r="J1752" s="174"/>
      <c r="K1752" s="174"/>
      <c r="L1752" s="174"/>
      <c r="M1752" s="174"/>
      <c r="N1752" s="174"/>
      <c r="O1752" s="174"/>
      <c r="P1752" s="174"/>
      <c r="Q1752" s="174"/>
      <c r="R1752" s="174"/>
      <c r="S1752" s="174"/>
      <c r="T1752" s="174"/>
      <c r="U1752" s="174"/>
      <c r="V1752" s="174"/>
      <c r="W1752" s="174"/>
      <c r="X1752" s="174"/>
      <c r="Y1752" s="174"/>
      <c r="Z1752" s="174"/>
      <c r="AA1752" s="174"/>
    </row>
    <row r="1753">
      <c r="A1753" s="174"/>
      <c r="B1753" s="174"/>
      <c r="C1753" s="174"/>
      <c r="D1753" s="174"/>
      <c r="E1753" s="174"/>
      <c r="F1753" s="175"/>
      <c r="G1753" s="175"/>
      <c r="H1753" s="174"/>
      <c r="I1753" s="174"/>
      <c r="J1753" s="174"/>
      <c r="K1753" s="174"/>
      <c r="L1753" s="174"/>
      <c r="M1753" s="174"/>
      <c r="N1753" s="174"/>
      <c r="O1753" s="174"/>
      <c r="P1753" s="174"/>
      <c r="Q1753" s="174"/>
      <c r="R1753" s="174"/>
      <c r="S1753" s="174"/>
      <c r="T1753" s="174"/>
      <c r="U1753" s="174"/>
      <c r="V1753" s="174"/>
      <c r="W1753" s="174"/>
      <c r="X1753" s="174"/>
      <c r="Y1753" s="174"/>
      <c r="Z1753" s="174"/>
      <c r="AA1753" s="174"/>
    </row>
    <row r="1754">
      <c r="A1754" s="174"/>
      <c r="B1754" s="174"/>
      <c r="C1754" s="174"/>
      <c r="D1754" s="174"/>
      <c r="E1754" s="174"/>
      <c r="F1754" s="175"/>
      <c r="G1754" s="175"/>
      <c r="H1754" s="174"/>
      <c r="I1754" s="174"/>
      <c r="J1754" s="174"/>
      <c r="K1754" s="174"/>
      <c r="L1754" s="174"/>
      <c r="M1754" s="174"/>
      <c r="N1754" s="174"/>
      <c r="O1754" s="174"/>
      <c r="P1754" s="174"/>
      <c r="Q1754" s="174"/>
      <c r="R1754" s="174"/>
      <c r="S1754" s="174"/>
      <c r="T1754" s="174"/>
      <c r="U1754" s="174"/>
      <c r="V1754" s="174"/>
      <c r="W1754" s="174"/>
      <c r="X1754" s="174"/>
      <c r="Y1754" s="174"/>
      <c r="Z1754" s="174"/>
      <c r="AA1754" s="174"/>
    </row>
    <row r="1755">
      <c r="A1755" s="174"/>
      <c r="B1755" s="174"/>
      <c r="C1755" s="174"/>
      <c r="D1755" s="174"/>
      <c r="E1755" s="174"/>
      <c r="F1755" s="175"/>
      <c r="G1755" s="175"/>
      <c r="H1755" s="174"/>
      <c r="I1755" s="174"/>
      <c r="J1755" s="174"/>
      <c r="K1755" s="174"/>
      <c r="L1755" s="174"/>
      <c r="M1755" s="174"/>
      <c r="N1755" s="174"/>
      <c r="O1755" s="174"/>
      <c r="P1755" s="174"/>
      <c r="Q1755" s="174"/>
      <c r="R1755" s="174"/>
      <c r="S1755" s="174"/>
      <c r="T1755" s="174"/>
      <c r="U1755" s="174"/>
      <c r="V1755" s="174"/>
      <c r="W1755" s="174"/>
      <c r="X1755" s="174"/>
      <c r="Y1755" s="174"/>
      <c r="Z1755" s="174"/>
      <c r="AA1755" s="174"/>
    </row>
    <row r="1756">
      <c r="A1756" s="174"/>
      <c r="B1756" s="174"/>
      <c r="C1756" s="174"/>
      <c r="D1756" s="174"/>
      <c r="E1756" s="174"/>
      <c r="F1756" s="175"/>
      <c r="G1756" s="175"/>
      <c r="H1756" s="174"/>
      <c r="I1756" s="174"/>
      <c r="J1756" s="174"/>
      <c r="K1756" s="174"/>
      <c r="L1756" s="174"/>
      <c r="M1756" s="174"/>
      <c r="N1756" s="174"/>
      <c r="O1756" s="174"/>
      <c r="P1756" s="174"/>
      <c r="Q1756" s="174"/>
      <c r="R1756" s="174"/>
      <c r="S1756" s="174"/>
      <c r="T1756" s="174"/>
      <c r="U1756" s="174"/>
      <c r="V1756" s="174"/>
      <c r="W1756" s="174"/>
      <c r="X1756" s="174"/>
      <c r="Y1756" s="174"/>
      <c r="Z1756" s="174"/>
      <c r="AA1756" s="174"/>
    </row>
    <row r="1757">
      <c r="A1757" s="174"/>
      <c r="B1757" s="174"/>
      <c r="C1757" s="174"/>
      <c r="D1757" s="174"/>
      <c r="E1757" s="174"/>
      <c r="F1757" s="175"/>
      <c r="G1757" s="175"/>
      <c r="H1757" s="174"/>
      <c r="I1757" s="174"/>
      <c r="J1757" s="174"/>
      <c r="K1757" s="174"/>
      <c r="L1757" s="174"/>
      <c r="M1757" s="174"/>
      <c r="N1757" s="174"/>
      <c r="O1757" s="174"/>
      <c r="P1757" s="174"/>
      <c r="Q1757" s="174"/>
      <c r="R1757" s="174"/>
      <c r="S1757" s="174"/>
      <c r="T1757" s="174"/>
      <c r="U1757" s="174"/>
      <c r="V1757" s="174"/>
      <c r="W1757" s="174"/>
      <c r="X1757" s="174"/>
      <c r="Y1757" s="174"/>
      <c r="Z1757" s="174"/>
      <c r="AA1757" s="174"/>
    </row>
    <row r="1758">
      <c r="A1758" s="174"/>
      <c r="B1758" s="174"/>
      <c r="C1758" s="174"/>
      <c r="D1758" s="174"/>
      <c r="E1758" s="174"/>
      <c r="F1758" s="175"/>
      <c r="G1758" s="175"/>
      <c r="H1758" s="174"/>
      <c r="I1758" s="174"/>
      <c r="J1758" s="174"/>
      <c r="K1758" s="174"/>
      <c r="L1758" s="174"/>
      <c r="M1758" s="174"/>
      <c r="N1758" s="174"/>
      <c r="O1758" s="174"/>
      <c r="P1758" s="174"/>
      <c r="Q1758" s="174"/>
      <c r="R1758" s="174"/>
      <c r="S1758" s="174"/>
      <c r="T1758" s="174"/>
      <c r="U1758" s="174"/>
      <c r="V1758" s="174"/>
      <c r="W1758" s="174"/>
      <c r="X1758" s="174"/>
      <c r="Y1758" s="174"/>
      <c r="Z1758" s="174"/>
      <c r="AA1758" s="174"/>
    </row>
    <row r="1759">
      <c r="A1759" s="174"/>
      <c r="B1759" s="174"/>
      <c r="C1759" s="174"/>
      <c r="D1759" s="174"/>
      <c r="E1759" s="174"/>
      <c r="F1759" s="175"/>
      <c r="G1759" s="175"/>
      <c r="H1759" s="174"/>
      <c r="I1759" s="174"/>
      <c r="J1759" s="174"/>
      <c r="K1759" s="174"/>
      <c r="L1759" s="174"/>
      <c r="M1759" s="174"/>
      <c r="N1759" s="174"/>
      <c r="O1759" s="174"/>
      <c r="P1759" s="174"/>
      <c r="Q1759" s="174"/>
      <c r="R1759" s="174"/>
      <c r="S1759" s="174"/>
      <c r="T1759" s="174"/>
      <c r="U1759" s="174"/>
      <c r="V1759" s="174"/>
      <c r="W1759" s="174"/>
      <c r="X1759" s="174"/>
      <c r="Y1759" s="174"/>
      <c r="Z1759" s="174"/>
      <c r="AA1759" s="174"/>
    </row>
    <row r="1760">
      <c r="A1760" s="174"/>
      <c r="B1760" s="174"/>
      <c r="C1760" s="174"/>
      <c r="D1760" s="174"/>
      <c r="E1760" s="174"/>
      <c r="F1760" s="175"/>
      <c r="G1760" s="175"/>
      <c r="H1760" s="174"/>
      <c r="I1760" s="174"/>
      <c r="J1760" s="174"/>
      <c r="K1760" s="174"/>
      <c r="L1760" s="174"/>
      <c r="M1760" s="174"/>
      <c r="N1760" s="174"/>
      <c r="O1760" s="174"/>
      <c r="P1760" s="174"/>
      <c r="Q1760" s="174"/>
      <c r="R1760" s="174"/>
      <c r="S1760" s="174"/>
      <c r="T1760" s="174"/>
      <c r="U1760" s="174"/>
      <c r="V1760" s="174"/>
      <c r="W1760" s="174"/>
      <c r="X1760" s="174"/>
      <c r="Y1760" s="174"/>
      <c r="Z1760" s="174"/>
      <c r="AA1760" s="174"/>
    </row>
    <row r="1761">
      <c r="A1761" s="174"/>
      <c r="B1761" s="174"/>
      <c r="C1761" s="174"/>
      <c r="D1761" s="174"/>
      <c r="E1761" s="174"/>
      <c r="F1761" s="175"/>
      <c r="G1761" s="175"/>
      <c r="H1761" s="174"/>
      <c r="I1761" s="174"/>
      <c r="J1761" s="174"/>
      <c r="K1761" s="174"/>
      <c r="L1761" s="174"/>
      <c r="M1761" s="174"/>
      <c r="N1761" s="174"/>
      <c r="O1761" s="174"/>
      <c r="P1761" s="174"/>
      <c r="Q1761" s="174"/>
      <c r="R1761" s="174"/>
      <c r="S1761" s="174"/>
      <c r="T1761" s="174"/>
      <c r="U1761" s="174"/>
      <c r="V1761" s="174"/>
      <c r="W1761" s="174"/>
      <c r="X1761" s="174"/>
      <c r="Y1761" s="174"/>
      <c r="Z1761" s="174"/>
      <c r="AA1761" s="174"/>
    </row>
    <row r="1762">
      <c r="A1762" s="174"/>
      <c r="B1762" s="174"/>
      <c r="C1762" s="174"/>
      <c r="D1762" s="174"/>
      <c r="E1762" s="174"/>
      <c r="F1762" s="175"/>
      <c r="G1762" s="175"/>
      <c r="H1762" s="174"/>
      <c r="I1762" s="174"/>
      <c r="J1762" s="174"/>
      <c r="K1762" s="174"/>
      <c r="L1762" s="174"/>
      <c r="M1762" s="174"/>
      <c r="N1762" s="174"/>
      <c r="O1762" s="174"/>
      <c r="P1762" s="174"/>
      <c r="Q1762" s="174"/>
      <c r="R1762" s="174"/>
      <c r="S1762" s="174"/>
      <c r="T1762" s="174"/>
      <c r="U1762" s="174"/>
      <c r="V1762" s="174"/>
      <c r="W1762" s="174"/>
      <c r="X1762" s="174"/>
      <c r="Y1762" s="174"/>
      <c r="Z1762" s="174"/>
      <c r="AA1762" s="174"/>
    </row>
    <row r="1763">
      <c r="A1763" s="174"/>
      <c r="B1763" s="174"/>
      <c r="C1763" s="174"/>
      <c r="D1763" s="174"/>
      <c r="E1763" s="174"/>
      <c r="F1763" s="175"/>
      <c r="G1763" s="175"/>
      <c r="H1763" s="174"/>
      <c r="I1763" s="174"/>
      <c r="J1763" s="174"/>
      <c r="K1763" s="174"/>
      <c r="L1763" s="174"/>
      <c r="M1763" s="174"/>
      <c r="N1763" s="174"/>
      <c r="O1763" s="174"/>
      <c r="P1763" s="174"/>
      <c r="Q1763" s="174"/>
      <c r="R1763" s="174"/>
      <c r="S1763" s="174"/>
      <c r="T1763" s="174"/>
      <c r="U1763" s="174"/>
      <c r="V1763" s="174"/>
      <c r="W1763" s="174"/>
      <c r="X1763" s="174"/>
      <c r="Y1763" s="174"/>
      <c r="Z1763" s="174"/>
      <c r="AA1763" s="174"/>
    </row>
    <row r="1764">
      <c r="A1764" s="174"/>
      <c r="B1764" s="174"/>
      <c r="C1764" s="174"/>
      <c r="D1764" s="174"/>
      <c r="E1764" s="174"/>
      <c r="F1764" s="175"/>
      <c r="G1764" s="175"/>
      <c r="H1764" s="174"/>
      <c r="I1764" s="174"/>
      <c r="J1764" s="174"/>
      <c r="K1764" s="174"/>
      <c r="L1764" s="174"/>
      <c r="M1764" s="174"/>
      <c r="N1764" s="174"/>
      <c r="O1764" s="174"/>
      <c r="P1764" s="174"/>
      <c r="Q1764" s="174"/>
      <c r="R1764" s="174"/>
      <c r="S1764" s="174"/>
      <c r="T1764" s="174"/>
      <c r="U1764" s="174"/>
      <c r="V1764" s="174"/>
      <c r="W1764" s="174"/>
      <c r="X1764" s="174"/>
      <c r="Y1764" s="174"/>
      <c r="Z1764" s="174"/>
      <c r="AA1764" s="174"/>
    </row>
    <row r="1765">
      <c r="A1765" s="174"/>
      <c r="B1765" s="174"/>
      <c r="C1765" s="174"/>
      <c r="D1765" s="174"/>
      <c r="E1765" s="174"/>
      <c r="F1765" s="175"/>
      <c r="G1765" s="175"/>
      <c r="H1765" s="174"/>
      <c r="I1765" s="174"/>
      <c r="J1765" s="174"/>
      <c r="K1765" s="174"/>
      <c r="L1765" s="174"/>
      <c r="M1765" s="174"/>
      <c r="N1765" s="174"/>
      <c r="O1765" s="174"/>
      <c r="P1765" s="174"/>
      <c r="Q1765" s="174"/>
      <c r="R1765" s="174"/>
      <c r="S1765" s="174"/>
      <c r="T1765" s="174"/>
      <c r="U1765" s="174"/>
      <c r="V1765" s="174"/>
      <c r="W1765" s="174"/>
      <c r="X1765" s="174"/>
      <c r="Y1765" s="174"/>
      <c r="Z1765" s="174"/>
      <c r="AA1765" s="174"/>
    </row>
    <row r="1766">
      <c r="A1766" s="174"/>
      <c r="B1766" s="174"/>
      <c r="C1766" s="174"/>
      <c r="D1766" s="174"/>
      <c r="E1766" s="174"/>
      <c r="F1766" s="175"/>
      <c r="G1766" s="175"/>
      <c r="H1766" s="174"/>
      <c r="I1766" s="174"/>
      <c r="J1766" s="174"/>
      <c r="K1766" s="174"/>
      <c r="L1766" s="174"/>
      <c r="M1766" s="174"/>
      <c r="N1766" s="174"/>
      <c r="O1766" s="174"/>
      <c r="P1766" s="174"/>
      <c r="Q1766" s="174"/>
      <c r="R1766" s="174"/>
      <c r="S1766" s="174"/>
      <c r="T1766" s="174"/>
      <c r="U1766" s="174"/>
      <c r="V1766" s="174"/>
      <c r="W1766" s="174"/>
      <c r="X1766" s="174"/>
      <c r="Y1766" s="174"/>
      <c r="Z1766" s="174"/>
      <c r="AA1766" s="174"/>
    </row>
    <row r="1767">
      <c r="A1767" s="174"/>
      <c r="B1767" s="174"/>
      <c r="C1767" s="174"/>
      <c r="D1767" s="174"/>
      <c r="E1767" s="174"/>
      <c r="F1767" s="175"/>
      <c r="G1767" s="175"/>
      <c r="H1767" s="174"/>
      <c r="I1767" s="174"/>
      <c r="J1767" s="174"/>
      <c r="K1767" s="174"/>
      <c r="L1767" s="174"/>
      <c r="M1767" s="174"/>
      <c r="N1767" s="174"/>
      <c r="O1767" s="174"/>
      <c r="P1767" s="174"/>
      <c r="Q1767" s="174"/>
      <c r="R1767" s="174"/>
      <c r="S1767" s="174"/>
      <c r="T1767" s="174"/>
      <c r="U1767" s="174"/>
      <c r="V1767" s="174"/>
      <c r="W1767" s="174"/>
      <c r="X1767" s="174"/>
      <c r="Y1767" s="174"/>
      <c r="Z1767" s="174"/>
      <c r="AA1767" s="174"/>
    </row>
    <row r="1768">
      <c r="A1768" s="174"/>
      <c r="B1768" s="174"/>
      <c r="C1768" s="174"/>
      <c r="D1768" s="174"/>
      <c r="E1768" s="174"/>
      <c r="F1768" s="175"/>
      <c r="G1768" s="175"/>
      <c r="H1768" s="174"/>
      <c r="I1768" s="174"/>
      <c r="J1768" s="174"/>
      <c r="K1768" s="174"/>
      <c r="L1768" s="174"/>
      <c r="M1768" s="174"/>
      <c r="N1768" s="174"/>
      <c r="O1768" s="174"/>
      <c r="P1768" s="174"/>
      <c r="Q1768" s="174"/>
      <c r="R1768" s="174"/>
      <c r="S1768" s="174"/>
      <c r="T1768" s="174"/>
      <c r="U1768" s="174"/>
      <c r="V1768" s="174"/>
      <c r="W1768" s="174"/>
      <c r="X1768" s="174"/>
      <c r="Y1768" s="174"/>
      <c r="Z1768" s="174"/>
      <c r="AA1768" s="174"/>
    </row>
    <row r="1769">
      <c r="A1769" s="174"/>
      <c r="B1769" s="174"/>
      <c r="C1769" s="174"/>
      <c r="D1769" s="174"/>
      <c r="E1769" s="174"/>
      <c r="F1769" s="175"/>
      <c r="G1769" s="175"/>
      <c r="H1769" s="174"/>
      <c r="I1769" s="174"/>
      <c r="J1769" s="174"/>
      <c r="K1769" s="174"/>
      <c r="L1769" s="174"/>
      <c r="M1769" s="174"/>
      <c r="N1769" s="174"/>
      <c r="O1769" s="174"/>
      <c r="P1769" s="174"/>
      <c r="Q1769" s="174"/>
      <c r="R1769" s="174"/>
      <c r="S1769" s="174"/>
      <c r="T1769" s="174"/>
      <c r="U1769" s="174"/>
      <c r="V1769" s="174"/>
      <c r="W1769" s="174"/>
      <c r="X1769" s="174"/>
      <c r="Y1769" s="174"/>
      <c r="Z1769" s="174"/>
      <c r="AA1769" s="174"/>
    </row>
    <row r="1770">
      <c r="A1770" s="174"/>
      <c r="B1770" s="174"/>
      <c r="C1770" s="174"/>
      <c r="D1770" s="174"/>
      <c r="E1770" s="174"/>
      <c r="F1770" s="175"/>
      <c r="G1770" s="175"/>
      <c r="H1770" s="174"/>
      <c r="I1770" s="174"/>
      <c r="J1770" s="174"/>
      <c r="K1770" s="174"/>
      <c r="L1770" s="174"/>
      <c r="M1770" s="174"/>
      <c r="N1770" s="174"/>
      <c r="O1770" s="174"/>
      <c r="P1770" s="174"/>
      <c r="Q1770" s="174"/>
      <c r="R1770" s="174"/>
      <c r="S1770" s="174"/>
      <c r="T1770" s="174"/>
      <c r="U1770" s="174"/>
      <c r="V1770" s="174"/>
      <c r="W1770" s="174"/>
      <c r="X1770" s="174"/>
      <c r="Y1770" s="174"/>
      <c r="Z1770" s="174"/>
      <c r="AA1770" s="174"/>
    </row>
    <row r="1771">
      <c r="A1771" s="174"/>
      <c r="B1771" s="174"/>
      <c r="C1771" s="174"/>
      <c r="D1771" s="174"/>
      <c r="E1771" s="174"/>
      <c r="F1771" s="175"/>
      <c r="G1771" s="175"/>
      <c r="H1771" s="174"/>
      <c r="I1771" s="174"/>
      <c r="J1771" s="174"/>
      <c r="K1771" s="174"/>
      <c r="L1771" s="174"/>
      <c r="M1771" s="174"/>
      <c r="N1771" s="174"/>
      <c r="O1771" s="174"/>
      <c r="P1771" s="174"/>
      <c r="Q1771" s="174"/>
      <c r="R1771" s="174"/>
      <c r="S1771" s="174"/>
      <c r="T1771" s="174"/>
      <c r="U1771" s="174"/>
      <c r="V1771" s="174"/>
      <c r="W1771" s="174"/>
      <c r="X1771" s="174"/>
      <c r="Y1771" s="174"/>
      <c r="Z1771" s="174"/>
      <c r="AA1771" s="174"/>
    </row>
    <row r="1772">
      <c r="A1772" s="174"/>
      <c r="B1772" s="174"/>
      <c r="C1772" s="174"/>
      <c r="D1772" s="174"/>
      <c r="E1772" s="174"/>
      <c r="F1772" s="175"/>
      <c r="G1772" s="175"/>
      <c r="H1772" s="174"/>
      <c r="I1772" s="174"/>
      <c r="J1772" s="174"/>
      <c r="K1772" s="174"/>
      <c r="L1772" s="174"/>
      <c r="M1772" s="174"/>
      <c r="N1772" s="174"/>
      <c r="O1772" s="174"/>
      <c r="P1772" s="174"/>
      <c r="Q1772" s="174"/>
      <c r="R1772" s="174"/>
      <c r="S1772" s="174"/>
      <c r="T1772" s="174"/>
      <c r="U1772" s="174"/>
      <c r="V1772" s="174"/>
      <c r="W1772" s="174"/>
      <c r="X1772" s="174"/>
      <c r="Y1772" s="174"/>
      <c r="Z1772" s="174"/>
      <c r="AA1772" s="174"/>
    </row>
    <row r="1773">
      <c r="A1773" s="174"/>
      <c r="B1773" s="174"/>
      <c r="C1773" s="174"/>
      <c r="D1773" s="174"/>
      <c r="E1773" s="174"/>
      <c r="F1773" s="175"/>
      <c r="G1773" s="175"/>
      <c r="H1773" s="174"/>
      <c r="I1773" s="174"/>
      <c r="J1773" s="174"/>
      <c r="K1773" s="174"/>
      <c r="L1773" s="174"/>
      <c r="M1773" s="174"/>
      <c r="N1773" s="174"/>
      <c r="O1773" s="174"/>
      <c r="P1773" s="174"/>
      <c r="Q1773" s="174"/>
      <c r="R1773" s="174"/>
      <c r="S1773" s="174"/>
      <c r="T1773" s="174"/>
      <c r="U1773" s="174"/>
      <c r="V1773" s="174"/>
      <c r="W1773" s="174"/>
      <c r="X1773" s="174"/>
      <c r="Y1773" s="174"/>
      <c r="Z1773" s="174"/>
      <c r="AA1773" s="174"/>
    </row>
    <row r="1774">
      <c r="A1774" s="174"/>
      <c r="B1774" s="174"/>
      <c r="C1774" s="174"/>
      <c r="D1774" s="174"/>
      <c r="E1774" s="174"/>
      <c r="F1774" s="175"/>
      <c r="G1774" s="175"/>
      <c r="H1774" s="174"/>
      <c r="I1774" s="174"/>
      <c r="J1774" s="174"/>
      <c r="K1774" s="174"/>
      <c r="L1774" s="174"/>
      <c r="M1774" s="174"/>
      <c r="N1774" s="174"/>
      <c r="O1774" s="174"/>
      <c r="P1774" s="174"/>
      <c r="Q1774" s="174"/>
      <c r="R1774" s="174"/>
      <c r="S1774" s="174"/>
      <c r="T1774" s="174"/>
      <c r="U1774" s="174"/>
      <c r="V1774" s="174"/>
      <c r="W1774" s="174"/>
      <c r="X1774" s="174"/>
      <c r="Y1774" s="174"/>
      <c r="Z1774" s="174"/>
      <c r="AA1774" s="174"/>
    </row>
    <row r="1775">
      <c r="A1775" s="174"/>
      <c r="B1775" s="174"/>
      <c r="C1775" s="174"/>
      <c r="D1775" s="174"/>
      <c r="E1775" s="174"/>
      <c r="F1775" s="175"/>
      <c r="G1775" s="175"/>
      <c r="H1775" s="174"/>
      <c r="I1775" s="174"/>
      <c r="J1775" s="174"/>
      <c r="K1775" s="174"/>
      <c r="L1775" s="174"/>
      <c r="M1775" s="174"/>
      <c r="N1775" s="174"/>
      <c r="O1775" s="174"/>
      <c r="P1775" s="174"/>
      <c r="Q1775" s="174"/>
      <c r="R1775" s="174"/>
      <c r="S1775" s="174"/>
      <c r="T1775" s="174"/>
      <c r="U1775" s="174"/>
      <c r="V1775" s="174"/>
      <c r="W1775" s="174"/>
      <c r="X1775" s="174"/>
      <c r="Y1775" s="174"/>
      <c r="Z1775" s="174"/>
      <c r="AA1775" s="174"/>
    </row>
    <row r="1776">
      <c r="A1776" s="174"/>
      <c r="B1776" s="174"/>
      <c r="C1776" s="174"/>
      <c r="D1776" s="174"/>
      <c r="E1776" s="174"/>
      <c r="F1776" s="175"/>
      <c r="G1776" s="175"/>
      <c r="H1776" s="174"/>
      <c r="I1776" s="174"/>
      <c r="J1776" s="174"/>
      <c r="K1776" s="174"/>
      <c r="L1776" s="174"/>
      <c r="M1776" s="174"/>
      <c r="N1776" s="174"/>
      <c r="O1776" s="174"/>
      <c r="P1776" s="174"/>
      <c r="Q1776" s="174"/>
      <c r="R1776" s="174"/>
      <c r="S1776" s="174"/>
      <c r="T1776" s="174"/>
      <c r="U1776" s="174"/>
      <c r="V1776" s="174"/>
      <c r="W1776" s="174"/>
      <c r="X1776" s="174"/>
      <c r="Y1776" s="174"/>
      <c r="Z1776" s="174"/>
      <c r="AA1776" s="174"/>
    </row>
    <row r="1777">
      <c r="A1777" s="174"/>
      <c r="B1777" s="174"/>
      <c r="C1777" s="174"/>
      <c r="D1777" s="174"/>
      <c r="E1777" s="174"/>
      <c r="F1777" s="175"/>
      <c r="G1777" s="175"/>
      <c r="H1777" s="174"/>
      <c r="I1777" s="174"/>
      <c r="J1777" s="174"/>
      <c r="K1777" s="174"/>
      <c r="L1777" s="174"/>
      <c r="M1777" s="174"/>
      <c r="N1777" s="174"/>
      <c r="O1777" s="174"/>
      <c r="P1777" s="174"/>
      <c r="Q1777" s="174"/>
      <c r="R1777" s="174"/>
      <c r="S1777" s="174"/>
      <c r="T1777" s="174"/>
      <c r="U1777" s="174"/>
      <c r="V1777" s="174"/>
      <c r="W1777" s="174"/>
      <c r="X1777" s="174"/>
      <c r="Y1777" s="174"/>
      <c r="Z1777" s="174"/>
      <c r="AA1777" s="174"/>
    </row>
    <row r="1778">
      <c r="A1778" s="174"/>
      <c r="B1778" s="174"/>
      <c r="C1778" s="174"/>
      <c r="D1778" s="174"/>
      <c r="E1778" s="174"/>
      <c r="F1778" s="175"/>
      <c r="G1778" s="175"/>
      <c r="H1778" s="174"/>
      <c r="I1778" s="174"/>
      <c r="J1778" s="174"/>
      <c r="K1778" s="174"/>
      <c r="L1778" s="174"/>
      <c r="M1778" s="174"/>
      <c r="N1778" s="174"/>
      <c r="O1778" s="174"/>
      <c r="P1778" s="174"/>
      <c r="Q1778" s="174"/>
      <c r="R1778" s="174"/>
      <c r="S1778" s="174"/>
      <c r="T1778" s="174"/>
      <c r="U1778" s="174"/>
      <c r="V1778" s="174"/>
      <c r="W1778" s="174"/>
      <c r="X1778" s="174"/>
      <c r="Y1778" s="174"/>
      <c r="Z1778" s="174"/>
      <c r="AA1778" s="174"/>
    </row>
    <row r="1779">
      <c r="A1779" s="174"/>
      <c r="B1779" s="174"/>
      <c r="C1779" s="174"/>
      <c r="D1779" s="174"/>
      <c r="E1779" s="174"/>
      <c r="F1779" s="175"/>
      <c r="G1779" s="175"/>
      <c r="H1779" s="174"/>
      <c r="I1779" s="174"/>
      <c r="J1779" s="174"/>
      <c r="K1779" s="174"/>
      <c r="L1779" s="174"/>
      <c r="M1779" s="174"/>
      <c r="N1779" s="174"/>
      <c r="O1779" s="174"/>
      <c r="P1779" s="174"/>
      <c r="Q1779" s="174"/>
      <c r="R1779" s="174"/>
      <c r="S1779" s="174"/>
      <c r="T1779" s="174"/>
      <c r="U1779" s="174"/>
      <c r="V1779" s="174"/>
      <c r="W1779" s="174"/>
      <c r="X1779" s="174"/>
      <c r="Y1779" s="174"/>
      <c r="Z1779" s="174"/>
      <c r="AA1779" s="174"/>
    </row>
    <row r="1780">
      <c r="A1780" s="174"/>
      <c r="B1780" s="174"/>
      <c r="C1780" s="174"/>
      <c r="D1780" s="174"/>
      <c r="E1780" s="174"/>
      <c r="F1780" s="175"/>
      <c r="G1780" s="175"/>
      <c r="H1780" s="174"/>
      <c r="I1780" s="174"/>
      <c r="J1780" s="174"/>
      <c r="K1780" s="174"/>
      <c r="L1780" s="174"/>
      <c r="M1780" s="174"/>
      <c r="N1780" s="174"/>
      <c r="O1780" s="174"/>
      <c r="P1780" s="174"/>
      <c r="Q1780" s="174"/>
      <c r="R1780" s="174"/>
      <c r="S1780" s="174"/>
      <c r="T1780" s="174"/>
      <c r="U1780" s="174"/>
      <c r="V1780" s="174"/>
      <c r="W1780" s="174"/>
      <c r="X1780" s="174"/>
      <c r="Y1780" s="174"/>
      <c r="Z1780" s="174"/>
      <c r="AA1780" s="174"/>
    </row>
    <row r="1781">
      <c r="A1781" s="174"/>
      <c r="B1781" s="174"/>
      <c r="C1781" s="174"/>
      <c r="D1781" s="174"/>
      <c r="E1781" s="174"/>
      <c r="F1781" s="175"/>
      <c r="G1781" s="175"/>
      <c r="H1781" s="174"/>
      <c r="I1781" s="174"/>
      <c r="J1781" s="174"/>
      <c r="K1781" s="174"/>
      <c r="L1781" s="174"/>
      <c r="M1781" s="174"/>
      <c r="N1781" s="174"/>
      <c r="O1781" s="174"/>
      <c r="P1781" s="174"/>
      <c r="Q1781" s="174"/>
      <c r="R1781" s="174"/>
      <c r="S1781" s="174"/>
      <c r="T1781" s="174"/>
      <c r="U1781" s="174"/>
      <c r="V1781" s="174"/>
      <c r="W1781" s="174"/>
      <c r="X1781" s="174"/>
      <c r="Y1781" s="174"/>
      <c r="Z1781" s="174"/>
      <c r="AA1781" s="174"/>
    </row>
    <row r="1782">
      <c r="A1782" s="174"/>
      <c r="B1782" s="174"/>
      <c r="C1782" s="174"/>
      <c r="D1782" s="174"/>
      <c r="E1782" s="174"/>
      <c r="F1782" s="175"/>
      <c r="G1782" s="175"/>
      <c r="H1782" s="174"/>
      <c r="I1782" s="174"/>
      <c r="J1782" s="174"/>
      <c r="K1782" s="174"/>
      <c r="L1782" s="174"/>
      <c r="M1782" s="174"/>
      <c r="N1782" s="174"/>
      <c r="O1782" s="174"/>
      <c r="P1782" s="174"/>
      <c r="Q1782" s="174"/>
      <c r="R1782" s="174"/>
      <c r="S1782" s="174"/>
      <c r="T1782" s="174"/>
      <c r="U1782" s="174"/>
      <c r="V1782" s="174"/>
      <c r="W1782" s="174"/>
      <c r="X1782" s="174"/>
      <c r="Y1782" s="174"/>
      <c r="Z1782" s="174"/>
      <c r="AA1782" s="174"/>
    </row>
    <row r="1783">
      <c r="A1783" s="174"/>
      <c r="B1783" s="174"/>
      <c r="C1783" s="174"/>
      <c r="D1783" s="174"/>
      <c r="E1783" s="174"/>
      <c r="F1783" s="175"/>
      <c r="G1783" s="175"/>
      <c r="H1783" s="174"/>
      <c r="I1783" s="174"/>
      <c r="J1783" s="174"/>
      <c r="K1783" s="174"/>
      <c r="L1783" s="174"/>
      <c r="M1783" s="174"/>
      <c r="N1783" s="174"/>
      <c r="O1783" s="174"/>
      <c r="P1783" s="174"/>
      <c r="Q1783" s="174"/>
      <c r="R1783" s="174"/>
      <c r="S1783" s="174"/>
      <c r="T1783" s="174"/>
      <c r="U1783" s="174"/>
      <c r="V1783" s="174"/>
      <c r="W1783" s="174"/>
      <c r="X1783" s="174"/>
      <c r="Y1783" s="174"/>
      <c r="Z1783" s="174"/>
      <c r="AA1783" s="174"/>
    </row>
    <row r="1784">
      <c r="A1784" s="174"/>
      <c r="B1784" s="174"/>
      <c r="C1784" s="174"/>
      <c r="D1784" s="174"/>
      <c r="E1784" s="174"/>
      <c r="F1784" s="175"/>
      <c r="G1784" s="175"/>
      <c r="H1784" s="174"/>
      <c r="I1784" s="174"/>
      <c r="J1784" s="174"/>
      <c r="K1784" s="174"/>
      <c r="L1784" s="174"/>
      <c r="M1784" s="174"/>
      <c r="N1784" s="174"/>
      <c r="O1784" s="174"/>
      <c r="P1784" s="174"/>
      <c r="Q1784" s="174"/>
      <c r="R1784" s="174"/>
      <c r="S1784" s="174"/>
      <c r="T1784" s="174"/>
      <c r="U1784" s="174"/>
      <c r="V1784" s="174"/>
      <c r="W1784" s="174"/>
      <c r="X1784" s="174"/>
      <c r="Y1784" s="174"/>
      <c r="Z1784" s="174"/>
      <c r="AA1784" s="174"/>
    </row>
    <row r="1785">
      <c r="A1785" s="174"/>
      <c r="B1785" s="174"/>
      <c r="C1785" s="174"/>
      <c r="D1785" s="174"/>
      <c r="E1785" s="174"/>
      <c r="F1785" s="175"/>
      <c r="G1785" s="175"/>
      <c r="H1785" s="174"/>
      <c r="I1785" s="174"/>
      <c r="J1785" s="174"/>
      <c r="K1785" s="174"/>
      <c r="L1785" s="174"/>
      <c r="M1785" s="174"/>
      <c r="N1785" s="174"/>
      <c r="O1785" s="174"/>
      <c r="P1785" s="174"/>
      <c r="Q1785" s="174"/>
      <c r="R1785" s="174"/>
      <c r="S1785" s="174"/>
      <c r="T1785" s="174"/>
      <c r="U1785" s="174"/>
      <c r="V1785" s="174"/>
      <c r="W1785" s="174"/>
      <c r="X1785" s="174"/>
      <c r="Y1785" s="174"/>
      <c r="Z1785" s="174"/>
      <c r="AA1785" s="174"/>
    </row>
    <row r="1786">
      <c r="A1786" s="174"/>
      <c r="B1786" s="174"/>
      <c r="C1786" s="174"/>
      <c r="D1786" s="174"/>
      <c r="E1786" s="174"/>
      <c r="F1786" s="175"/>
      <c r="G1786" s="175"/>
      <c r="H1786" s="174"/>
      <c r="I1786" s="174"/>
      <c r="J1786" s="174"/>
      <c r="K1786" s="174"/>
      <c r="L1786" s="174"/>
      <c r="M1786" s="174"/>
      <c r="N1786" s="174"/>
      <c r="O1786" s="174"/>
      <c r="P1786" s="174"/>
      <c r="Q1786" s="174"/>
      <c r="R1786" s="174"/>
      <c r="S1786" s="174"/>
      <c r="T1786" s="174"/>
      <c r="U1786" s="174"/>
      <c r="V1786" s="174"/>
      <c r="W1786" s="174"/>
      <c r="X1786" s="174"/>
      <c r="Y1786" s="174"/>
      <c r="Z1786" s="174"/>
      <c r="AA1786" s="174"/>
    </row>
    <row r="1787">
      <c r="A1787" s="174"/>
      <c r="B1787" s="174"/>
      <c r="C1787" s="174"/>
      <c r="D1787" s="174"/>
      <c r="E1787" s="174"/>
      <c r="F1787" s="175"/>
      <c r="G1787" s="175"/>
      <c r="H1787" s="174"/>
      <c r="I1787" s="174"/>
      <c r="J1787" s="174"/>
      <c r="K1787" s="174"/>
      <c r="L1787" s="174"/>
      <c r="M1787" s="174"/>
      <c r="N1787" s="174"/>
      <c r="O1787" s="174"/>
      <c r="P1787" s="174"/>
      <c r="Q1787" s="174"/>
      <c r="R1787" s="174"/>
      <c r="S1787" s="174"/>
      <c r="T1787" s="174"/>
      <c r="U1787" s="174"/>
      <c r="V1787" s="174"/>
      <c r="W1787" s="174"/>
      <c r="X1787" s="174"/>
      <c r="Y1787" s="174"/>
      <c r="Z1787" s="174"/>
      <c r="AA1787" s="174"/>
    </row>
    <row r="1788">
      <c r="A1788" s="174"/>
      <c r="B1788" s="174"/>
      <c r="C1788" s="174"/>
      <c r="D1788" s="174"/>
      <c r="E1788" s="174"/>
      <c r="F1788" s="175"/>
      <c r="G1788" s="175"/>
      <c r="H1788" s="174"/>
      <c r="I1788" s="174"/>
      <c r="J1788" s="174"/>
      <c r="K1788" s="174"/>
      <c r="L1788" s="174"/>
      <c r="M1788" s="174"/>
      <c r="N1788" s="174"/>
      <c r="O1788" s="174"/>
      <c r="P1788" s="174"/>
      <c r="Q1788" s="174"/>
      <c r="R1788" s="174"/>
      <c r="S1788" s="174"/>
      <c r="T1788" s="174"/>
      <c r="U1788" s="174"/>
      <c r="V1788" s="174"/>
      <c r="W1788" s="174"/>
      <c r="X1788" s="174"/>
      <c r="Y1788" s="174"/>
      <c r="Z1788" s="174"/>
      <c r="AA1788" s="174"/>
    </row>
    <row r="1789">
      <c r="A1789" s="174"/>
      <c r="B1789" s="174"/>
      <c r="C1789" s="174"/>
      <c r="D1789" s="174"/>
      <c r="E1789" s="174"/>
      <c r="F1789" s="175"/>
      <c r="G1789" s="175"/>
      <c r="H1789" s="174"/>
      <c r="I1789" s="174"/>
      <c r="J1789" s="174"/>
      <c r="K1789" s="174"/>
      <c r="L1789" s="174"/>
      <c r="M1789" s="174"/>
      <c r="N1789" s="174"/>
      <c r="O1789" s="174"/>
      <c r="P1789" s="174"/>
      <c r="Q1789" s="174"/>
      <c r="R1789" s="174"/>
      <c r="S1789" s="174"/>
      <c r="T1789" s="174"/>
      <c r="U1789" s="174"/>
      <c r="V1789" s="174"/>
      <c r="W1789" s="174"/>
      <c r="X1789" s="174"/>
      <c r="Y1789" s="174"/>
      <c r="Z1789" s="174"/>
      <c r="AA1789" s="174"/>
    </row>
    <row r="1790">
      <c r="A1790" s="174"/>
      <c r="B1790" s="174"/>
      <c r="C1790" s="174"/>
      <c r="D1790" s="174"/>
      <c r="E1790" s="174"/>
      <c r="F1790" s="175"/>
      <c r="G1790" s="175"/>
      <c r="H1790" s="174"/>
      <c r="I1790" s="174"/>
      <c r="J1790" s="174"/>
      <c r="K1790" s="174"/>
      <c r="L1790" s="174"/>
      <c r="M1790" s="174"/>
      <c r="N1790" s="174"/>
      <c r="O1790" s="174"/>
      <c r="P1790" s="174"/>
      <c r="Q1790" s="174"/>
      <c r="R1790" s="174"/>
      <c r="S1790" s="174"/>
      <c r="T1790" s="174"/>
      <c r="U1790" s="174"/>
      <c r="V1790" s="174"/>
      <c r="W1790" s="174"/>
      <c r="X1790" s="174"/>
      <c r="Y1790" s="174"/>
      <c r="Z1790" s="174"/>
      <c r="AA1790" s="174"/>
    </row>
    <row r="1791">
      <c r="A1791" s="174"/>
      <c r="B1791" s="174"/>
      <c r="C1791" s="174"/>
      <c r="D1791" s="174"/>
      <c r="E1791" s="174"/>
      <c r="F1791" s="175"/>
      <c r="G1791" s="175"/>
      <c r="H1791" s="174"/>
      <c r="I1791" s="174"/>
      <c r="J1791" s="174"/>
      <c r="K1791" s="174"/>
      <c r="L1791" s="174"/>
      <c r="M1791" s="174"/>
      <c r="N1791" s="174"/>
      <c r="O1791" s="174"/>
      <c r="P1791" s="174"/>
      <c r="Q1791" s="174"/>
      <c r="R1791" s="174"/>
      <c r="S1791" s="174"/>
      <c r="T1791" s="174"/>
      <c r="U1791" s="174"/>
      <c r="V1791" s="174"/>
      <c r="W1791" s="174"/>
      <c r="X1791" s="174"/>
      <c r="Y1791" s="174"/>
      <c r="Z1791" s="174"/>
      <c r="AA1791" s="174"/>
    </row>
    <row r="1792">
      <c r="A1792" s="174"/>
      <c r="B1792" s="174"/>
      <c r="C1792" s="174"/>
      <c r="D1792" s="174"/>
      <c r="E1792" s="174"/>
      <c r="F1792" s="175"/>
      <c r="G1792" s="175"/>
      <c r="H1792" s="174"/>
      <c r="I1792" s="174"/>
      <c r="J1792" s="174"/>
      <c r="K1792" s="174"/>
      <c r="L1792" s="174"/>
      <c r="M1792" s="174"/>
      <c r="N1792" s="174"/>
      <c r="O1792" s="174"/>
      <c r="P1792" s="174"/>
      <c r="Q1792" s="174"/>
      <c r="R1792" s="174"/>
      <c r="S1792" s="174"/>
      <c r="T1792" s="174"/>
      <c r="U1792" s="174"/>
      <c r="V1792" s="174"/>
      <c r="W1792" s="174"/>
      <c r="X1792" s="174"/>
      <c r="Y1792" s="174"/>
      <c r="Z1792" s="174"/>
      <c r="AA1792" s="174"/>
    </row>
    <row r="1793">
      <c r="A1793" s="174"/>
      <c r="B1793" s="174"/>
      <c r="C1793" s="174"/>
      <c r="D1793" s="174"/>
      <c r="E1793" s="174"/>
      <c r="F1793" s="175"/>
      <c r="G1793" s="175"/>
      <c r="H1793" s="174"/>
      <c r="I1793" s="174"/>
      <c r="J1793" s="174"/>
      <c r="K1793" s="174"/>
      <c r="L1793" s="174"/>
      <c r="M1793" s="174"/>
      <c r="N1793" s="174"/>
      <c r="O1793" s="174"/>
      <c r="P1793" s="174"/>
      <c r="Q1793" s="174"/>
      <c r="R1793" s="174"/>
      <c r="S1793" s="174"/>
      <c r="T1793" s="174"/>
      <c r="U1793" s="174"/>
      <c r="V1793" s="174"/>
      <c r="W1793" s="174"/>
      <c r="X1793" s="174"/>
      <c r="Y1793" s="174"/>
      <c r="Z1793" s="174"/>
      <c r="AA1793" s="174"/>
    </row>
    <row r="1794">
      <c r="A1794" s="174"/>
      <c r="B1794" s="174"/>
      <c r="C1794" s="174"/>
      <c r="D1794" s="174"/>
      <c r="E1794" s="174"/>
      <c r="F1794" s="175"/>
      <c r="G1794" s="175"/>
      <c r="H1794" s="174"/>
      <c r="I1794" s="174"/>
      <c r="J1794" s="174"/>
      <c r="K1794" s="174"/>
      <c r="L1794" s="174"/>
      <c r="M1794" s="174"/>
      <c r="N1794" s="174"/>
      <c r="O1794" s="174"/>
      <c r="P1794" s="174"/>
      <c r="Q1794" s="174"/>
      <c r="R1794" s="174"/>
      <c r="S1794" s="174"/>
      <c r="T1794" s="174"/>
      <c r="U1794" s="174"/>
      <c r="V1794" s="174"/>
      <c r="W1794" s="174"/>
      <c r="X1794" s="174"/>
      <c r="Y1794" s="174"/>
      <c r="Z1794" s="174"/>
      <c r="AA1794" s="174"/>
    </row>
    <row r="1795">
      <c r="A1795" s="174"/>
      <c r="B1795" s="174"/>
      <c r="C1795" s="174"/>
      <c r="D1795" s="174"/>
      <c r="E1795" s="174"/>
      <c r="F1795" s="175"/>
      <c r="G1795" s="175"/>
      <c r="H1795" s="174"/>
      <c r="I1795" s="174"/>
      <c r="J1795" s="174"/>
      <c r="K1795" s="174"/>
      <c r="L1795" s="174"/>
      <c r="M1795" s="174"/>
      <c r="N1795" s="174"/>
      <c r="O1795" s="174"/>
      <c r="P1795" s="174"/>
      <c r="Q1795" s="174"/>
      <c r="R1795" s="174"/>
      <c r="S1795" s="174"/>
      <c r="T1795" s="174"/>
      <c r="U1795" s="174"/>
      <c r="V1795" s="174"/>
      <c r="W1795" s="174"/>
      <c r="X1795" s="174"/>
      <c r="Y1795" s="174"/>
      <c r="Z1795" s="174"/>
      <c r="AA1795" s="174"/>
    </row>
    <row r="1796">
      <c r="A1796" s="174"/>
      <c r="B1796" s="174"/>
      <c r="C1796" s="174"/>
      <c r="D1796" s="174"/>
      <c r="E1796" s="174"/>
      <c r="F1796" s="175"/>
      <c r="G1796" s="175"/>
      <c r="H1796" s="174"/>
      <c r="I1796" s="174"/>
      <c r="J1796" s="174"/>
      <c r="K1796" s="174"/>
      <c r="L1796" s="174"/>
      <c r="M1796" s="174"/>
      <c r="N1796" s="174"/>
      <c r="O1796" s="174"/>
      <c r="P1796" s="174"/>
      <c r="Q1796" s="174"/>
      <c r="R1796" s="174"/>
      <c r="S1796" s="174"/>
      <c r="T1796" s="174"/>
      <c r="U1796" s="174"/>
      <c r="V1796" s="174"/>
      <c r="W1796" s="174"/>
      <c r="X1796" s="174"/>
      <c r="Y1796" s="174"/>
      <c r="Z1796" s="174"/>
      <c r="AA1796" s="174"/>
    </row>
    <row r="1797">
      <c r="A1797" s="174"/>
      <c r="B1797" s="174"/>
      <c r="C1797" s="174"/>
      <c r="D1797" s="174"/>
      <c r="E1797" s="174"/>
      <c r="F1797" s="175"/>
      <c r="G1797" s="175"/>
      <c r="H1797" s="174"/>
      <c r="I1797" s="174"/>
      <c r="J1797" s="174"/>
      <c r="K1797" s="174"/>
      <c r="L1797" s="174"/>
      <c r="M1797" s="174"/>
      <c r="N1797" s="174"/>
      <c r="O1797" s="174"/>
      <c r="P1797" s="174"/>
      <c r="Q1797" s="174"/>
      <c r="R1797" s="174"/>
      <c r="S1797" s="174"/>
      <c r="T1797" s="174"/>
      <c r="U1797" s="174"/>
      <c r="V1797" s="174"/>
      <c r="W1797" s="174"/>
      <c r="X1797" s="174"/>
      <c r="Y1797" s="174"/>
      <c r="Z1797" s="174"/>
      <c r="AA1797" s="174"/>
    </row>
    <row r="1798">
      <c r="A1798" s="174"/>
      <c r="B1798" s="174"/>
      <c r="C1798" s="174"/>
      <c r="D1798" s="174"/>
      <c r="E1798" s="174"/>
      <c r="F1798" s="175"/>
      <c r="G1798" s="175"/>
      <c r="H1798" s="174"/>
      <c r="I1798" s="174"/>
      <c r="J1798" s="174"/>
      <c r="K1798" s="174"/>
      <c r="L1798" s="174"/>
      <c r="M1798" s="174"/>
      <c r="N1798" s="174"/>
      <c r="O1798" s="174"/>
      <c r="P1798" s="174"/>
      <c r="Q1798" s="174"/>
      <c r="R1798" s="174"/>
      <c r="S1798" s="174"/>
      <c r="T1798" s="174"/>
      <c r="U1798" s="174"/>
      <c r="V1798" s="174"/>
      <c r="W1798" s="174"/>
      <c r="X1798" s="174"/>
      <c r="Y1798" s="174"/>
      <c r="Z1798" s="174"/>
      <c r="AA1798" s="174"/>
    </row>
    <row r="1799">
      <c r="A1799" s="174"/>
      <c r="B1799" s="174"/>
      <c r="C1799" s="174"/>
      <c r="D1799" s="174"/>
      <c r="E1799" s="174"/>
      <c r="F1799" s="175"/>
      <c r="G1799" s="175"/>
      <c r="H1799" s="174"/>
      <c r="I1799" s="174"/>
      <c r="J1799" s="174"/>
      <c r="K1799" s="174"/>
      <c r="L1799" s="174"/>
      <c r="M1799" s="174"/>
      <c r="N1799" s="174"/>
      <c r="O1799" s="174"/>
      <c r="P1799" s="174"/>
      <c r="Q1799" s="174"/>
      <c r="R1799" s="174"/>
      <c r="S1799" s="174"/>
      <c r="T1799" s="174"/>
      <c r="U1799" s="174"/>
      <c r="V1799" s="174"/>
      <c r="W1799" s="174"/>
      <c r="X1799" s="174"/>
      <c r="Y1799" s="174"/>
      <c r="Z1799" s="174"/>
      <c r="AA1799" s="174"/>
    </row>
    <row r="1800">
      <c r="A1800" s="174"/>
      <c r="B1800" s="174"/>
      <c r="C1800" s="174"/>
      <c r="D1800" s="174"/>
      <c r="E1800" s="174"/>
      <c r="F1800" s="175"/>
      <c r="G1800" s="175"/>
      <c r="H1800" s="174"/>
      <c r="I1800" s="174"/>
      <c r="J1800" s="174"/>
      <c r="K1800" s="174"/>
      <c r="L1800" s="174"/>
      <c r="M1800" s="174"/>
      <c r="N1800" s="174"/>
      <c r="O1800" s="174"/>
      <c r="P1800" s="174"/>
      <c r="Q1800" s="174"/>
      <c r="R1800" s="174"/>
      <c r="S1800" s="174"/>
      <c r="T1800" s="174"/>
      <c r="U1800" s="174"/>
      <c r="V1800" s="174"/>
      <c r="W1800" s="174"/>
      <c r="X1800" s="174"/>
      <c r="Y1800" s="174"/>
      <c r="Z1800" s="174"/>
      <c r="AA1800" s="174"/>
    </row>
    <row r="1801">
      <c r="A1801" s="174"/>
      <c r="B1801" s="174"/>
      <c r="C1801" s="174"/>
      <c r="D1801" s="174"/>
      <c r="E1801" s="174"/>
      <c r="F1801" s="175"/>
      <c r="G1801" s="175"/>
      <c r="H1801" s="174"/>
      <c r="I1801" s="174"/>
      <c r="J1801" s="174"/>
      <c r="K1801" s="174"/>
      <c r="L1801" s="174"/>
      <c r="M1801" s="174"/>
      <c r="N1801" s="174"/>
      <c r="O1801" s="174"/>
      <c r="P1801" s="174"/>
      <c r="Q1801" s="174"/>
      <c r="R1801" s="174"/>
      <c r="S1801" s="174"/>
      <c r="T1801" s="174"/>
      <c r="U1801" s="174"/>
      <c r="V1801" s="174"/>
      <c r="W1801" s="174"/>
      <c r="X1801" s="174"/>
      <c r="Y1801" s="174"/>
      <c r="Z1801" s="174"/>
      <c r="AA1801" s="174"/>
    </row>
    <row r="1802">
      <c r="A1802" s="174"/>
      <c r="B1802" s="174"/>
      <c r="C1802" s="174"/>
      <c r="D1802" s="174"/>
      <c r="E1802" s="174"/>
      <c r="F1802" s="175"/>
      <c r="G1802" s="175"/>
      <c r="H1802" s="174"/>
      <c r="I1802" s="174"/>
      <c r="J1802" s="174"/>
      <c r="K1802" s="174"/>
      <c r="L1802" s="174"/>
      <c r="M1802" s="174"/>
      <c r="N1802" s="174"/>
      <c r="O1802" s="174"/>
      <c r="P1802" s="174"/>
      <c r="Q1802" s="174"/>
      <c r="R1802" s="174"/>
      <c r="S1802" s="174"/>
      <c r="T1802" s="174"/>
      <c r="U1802" s="174"/>
      <c r="V1802" s="174"/>
      <c r="W1802" s="174"/>
      <c r="X1802" s="174"/>
      <c r="Y1802" s="174"/>
      <c r="Z1802" s="174"/>
      <c r="AA1802" s="174"/>
    </row>
    <row r="1803">
      <c r="A1803" s="174"/>
      <c r="B1803" s="174"/>
      <c r="C1803" s="174"/>
      <c r="D1803" s="174"/>
      <c r="E1803" s="174"/>
      <c r="F1803" s="175"/>
      <c r="G1803" s="175"/>
      <c r="H1803" s="174"/>
      <c r="I1803" s="174"/>
      <c r="J1803" s="174"/>
      <c r="K1803" s="174"/>
      <c r="L1803" s="174"/>
      <c r="M1803" s="174"/>
      <c r="N1803" s="174"/>
      <c r="O1803" s="174"/>
      <c r="P1803" s="174"/>
      <c r="Q1803" s="174"/>
      <c r="R1803" s="174"/>
      <c r="S1803" s="174"/>
      <c r="T1803" s="174"/>
      <c r="U1803" s="174"/>
      <c r="V1803" s="174"/>
      <c r="W1803" s="174"/>
      <c r="X1803" s="174"/>
      <c r="Y1803" s="174"/>
      <c r="Z1803" s="174"/>
      <c r="AA1803" s="174"/>
    </row>
    <row r="1804">
      <c r="A1804" s="174"/>
      <c r="B1804" s="174"/>
      <c r="C1804" s="174"/>
      <c r="D1804" s="174"/>
      <c r="E1804" s="174"/>
      <c r="F1804" s="175"/>
      <c r="G1804" s="175"/>
      <c r="H1804" s="174"/>
      <c r="I1804" s="174"/>
      <c r="J1804" s="174"/>
      <c r="K1804" s="174"/>
      <c r="L1804" s="174"/>
      <c r="M1804" s="174"/>
      <c r="N1804" s="174"/>
      <c r="O1804" s="174"/>
      <c r="P1804" s="174"/>
      <c r="Q1804" s="174"/>
      <c r="R1804" s="174"/>
      <c r="S1804" s="174"/>
      <c r="T1804" s="174"/>
      <c r="U1804" s="174"/>
      <c r="V1804" s="174"/>
      <c r="W1804" s="174"/>
      <c r="X1804" s="174"/>
      <c r="Y1804" s="174"/>
      <c r="Z1804" s="174"/>
      <c r="AA1804" s="174"/>
    </row>
    <row r="1805">
      <c r="A1805" s="174"/>
      <c r="B1805" s="174"/>
      <c r="C1805" s="174"/>
      <c r="D1805" s="174"/>
      <c r="E1805" s="174"/>
      <c r="F1805" s="175"/>
      <c r="G1805" s="175"/>
      <c r="H1805" s="174"/>
      <c r="I1805" s="174"/>
      <c r="J1805" s="174"/>
      <c r="K1805" s="174"/>
      <c r="L1805" s="174"/>
      <c r="M1805" s="174"/>
      <c r="N1805" s="174"/>
      <c r="O1805" s="174"/>
      <c r="P1805" s="174"/>
      <c r="Q1805" s="174"/>
      <c r="R1805" s="174"/>
      <c r="S1805" s="174"/>
      <c r="T1805" s="174"/>
      <c r="U1805" s="174"/>
      <c r="V1805" s="174"/>
      <c r="W1805" s="174"/>
      <c r="X1805" s="174"/>
      <c r="Y1805" s="174"/>
      <c r="Z1805" s="174"/>
      <c r="AA1805" s="174"/>
    </row>
    <row r="1806">
      <c r="A1806" s="174"/>
      <c r="B1806" s="174"/>
      <c r="C1806" s="174"/>
      <c r="D1806" s="174"/>
      <c r="E1806" s="174"/>
      <c r="F1806" s="175"/>
      <c r="G1806" s="175"/>
      <c r="H1806" s="174"/>
      <c r="I1806" s="174"/>
      <c r="J1806" s="174"/>
      <c r="K1806" s="174"/>
      <c r="L1806" s="174"/>
      <c r="M1806" s="174"/>
      <c r="N1806" s="174"/>
      <c r="O1806" s="174"/>
      <c r="P1806" s="174"/>
      <c r="Q1806" s="174"/>
      <c r="R1806" s="174"/>
      <c r="S1806" s="174"/>
      <c r="T1806" s="174"/>
      <c r="U1806" s="174"/>
      <c r="V1806" s="174"/>
      <c r="W1806" s="174"/>
      <c r="X1806" s="174"/>
      <c r="Y1806" s="174"/>
      <c r="Z1806" s="174"/>
      <c r="AA1806" s="174"/>
    </row>
    <row r="1807">
      <c r="A1807" s="174"/>
      <c r="B1807" s="174"/>
      <c r="C1807" s="174"/>
      <c r="D1807" s="174"/>
      <c r="E1807" s="174"/>
      <c r="F1807" s="175"/>
      <c r="G1807" s="175"/>
      <c r="H1807" s="174"/>
      <c r="I1807" s="174"/>
      <c r="J1807" s="174"/>
      <c r="K1807" s="174"/>
      <c r="L1807" s="174"/>
      <c r="M1807" s="174"/>
      <c r="N1807" s="174"/>
      <c r="O1807" s="174"/>
      <c r="P1807" s="174"/>
      <c r="Q1807" s="174"/>
      <c r="R1807" s="174"/>
      <c r="S1807" s="174"/>
      <c r="T1807" s="174"/>
      <c r="U1807" s="174"/>
      <c r="V1807" s="174"/>
      <c r="W1807" s="174"/>
      <c r="X1807" s="174"/>
      <c r="Y1807" s="174"/>
      <c r="Z1807" s="174"/>
      <c r="AA1807" s="174"/>
    </row>
    <row r="1808">
      <c r="A1808" s="174"/>
      <c r="B1808" s="174"/>
      <c r="C1808" s="174"/>
      <c r="D1808" s="174"/>
      <c r="E1808" s="174"/>
      <c r="F1808" s="175"/>
      <c r="G1808" s="175"/>
      <c r="H1808" s="174"/>
      <c r="I1808" s="174"/>
      <c r="J1808" s="174"/>
      <c r="K1808" s="174"/>
      <c r="L1808" s="174"/>
      <c r="M1808" s="174"/>
      <c r="N1808" s="174"/>
      <c r="O1808" s="174"/>
      <c r="P1808" s="174"/>
      <c r="Q1808" s="174"/>
      <c r="R1808" s="174"/>
      <c r="S1808" s="174"/>
      <c r="T1808" s="174"/>
      <c r="U1808" s="174"/>
      <c r="V1808" s="174"/>
      <c r="W1808" s="174"/>
      <c r="X1808" s="174"/>
      <c r="Y1808" s="174"/>
      <c r="Z1808" s="174"/>
      <c r="AA1808" s="174"/>
    </row>
    <row r="1809">
      <c r="A1809" s="174"/>
      <c r="B1809" s="174"/>
      <c r="C1809" s="174"/>
      <c r="D1809" s="174"/>
      <c r="E1809" s="174"/>
      <c r="F1809" s="175"/>
      <c r="G1809" s="175"/>
      <c r="H1809" s="174"/>
      <c r="I1809" s="174"/>
      <c r="J1809" s="174"/>
      <c r="K1809" s="174"/>
      <c r="L1809" s="174"/>
      <c r="M1809" s="174"/>
      <c r="N1809" s="174"/>
      <c r="O1809" s="174"/>
      <c r="P1809" s="174"/>
      <c r="Q1809" s="174"/>
      <c r="R1809" s="174"/>
      <c r="S1809" s="174"/>
      <c r="T1809" s="174"/>
      <c r="U1809" s="174"/>
      <c r="V1809" s="174"/>
      <c r="W1809" s="174"/>
      <c r="X1809" s="174"/>
      <c r="Y1809" s="174"/>
      <c r="Z1809" s="174"/>
      <c r="AA1809" s="174"/>
    </row>
    <row r="1810">
      <c r="A1810" s="174"/>
      <c r="B1810" s="174"/>
      <c r="C1810" s="174"/>
      <c r="D1810" s="174"/>
      <c r="E1810" s="174"/>
      <c r="F1810" s="175"/>
      <c r="G1810" s="175"/>
      <c r="H1810" s="174"/>
      <c r="I1810" s="174"/>
      <c r="J1810" s="174"/>
      <c r="K1810" s="174"/>
      <c r="L1810" s="174"/>
      <c r="M1810" s="174"/>
      <c r="N1810" s="174"/>
      <c r="O1810" s="174"/>
      <c r="P1810" s="174"/>
      <c r="Q1810" s="174"/>
      <c r="R1810" s="174"/>
      <c r="S1810" s="174"/>
      <c r="T1810" s="174"/>
      <c r="U1810" s="174"/>
      <c r="V1810" s="174"/>
      <c r="W1810" s="174"/>
      <c r="X1810" s="174"/>
      <c r="Y1810" s="174"/>
      <c r="Z1810" s="174"/>
      <c r="AA1810" s="174"/>
    </row>
    <row r="1811">
      <c r="A1811" s="174"/>
      <c r="B1811" s="174"/>
      <c r="C1811" s="174"/>
      <c r="D1811" s="174"/>
      <c r="E1811" s="174"/>
      <c r="F1811" s="175"/>
      <c r="G1811" s="175"/>
      <c r="H1811" s="174"/>
      <c r="I1811" s="174"/>
      <c r="J1811" s="174"/>
      <c r="K1811" s="174"/>
      <c r="L1811" s="174"/>
      <c r="M1811" s="174"/>
      <c r="N1811" s="174"/>
      <c r="O1811" s="174"/>
      <c r="P1811" s="174"/>
      <c r="Q1811" s="174"/>
      <c r="R1811" s="174"/>
      <c r="S1811" s="174"/>
      <c r="T1811" s="174"/>
      <c r="U1811" s="174"/>
      <c r="V1811" s="174"/>
      <c r="W1811" s="174"/>
      <c r="X1811" s="174"/>
      <c r="Y1811" s="174"/>
      <c r="Z1811" s="174"/>
      <c r="AA1811" s="174"/>
    </row>
    <row r="1812">
      <c r="A1812" s="174"/>
      <c r="B1812" s="174"/>
      <c r="C1812" s="174"/>
      <c r="D1812" s="174"/>
      <c r="E1812" s="174"/>
      <c r="F1812" s="175"/>
      <c r="G1812" s="175"/>
      <c r="H1812" s="174"/>
      <c r="I1812" s="174"/>
      <c r="J1812" s="174"/>
      <c r="K1812" s="174"/>
      <c r="L1812" s="174"/>
      <c r="M1812" s="174"/>
      <c r="N1812" s="174"/>
      <c r="O1812" s="174"/>
      <c r="P1812" s="174"/>
      <c r="Q1812" s="174"/>
      <c r="R1812" s="174"/>
      <c r="S1812" s="174"/>
      <c r="T1812" s="174"/>
      <c r="U1812" s="174"/>
      <c r="V1812" s="174"/>
      <c r="W1812" s="174"/>
      <c r="X1812" s="174"/>
      <c r="Y1812" s="174"/>
      <c r="Z1812" s="174"/>
      <c r="AA1812" s="174"/>
    </row>
    <row r="1813">
      <c r="A1813" s="174"/>
      <c r="B1813" s="174"/>
      <c r="C1813" s="174"/>
      <c r="D1813" s="174"/>
      <c r="E1813" s="174"/>
      <c r="F1813" s="175"/>
      <c r="G1813" s="175"/>
      <c r="H1813" s="174"/>
      <c r="I1813" s="174"/>
      <c r="J1813" s="174"/>
      <c r="K1813" s="174"/>
      <c r="L1813" s="174"/>
      <c r="M1813" s="174"/>
      <c r="N1813" s="174"/>
      <c r="O1813" s="174"/>
      <c r="P1813" s="174"/>
      <c r="Q1813" s="174"/>
      <c r="R1813" s="174"/>
      <c r="S1813" s="174"/>
      <c r="T1813" s="174"/>
      <c r="U1813" s="174"/>
      <c r="V1813" s="174"/>
      <c r="W1813" s="174"/>
      <c r="X1813" s="174"/>
      <c r="Y1813" s="174"/>
      <c r="Z1813" s="174"/>
      <c r="AA1813" s="174"/>
    </row>
    <row r="1814">
      <c r="A1814" s="174"/>
      <c r="B1814" s="174"/>
      <c r="C1814" s="174"/>
      <c r="D1814" s="174"/>
      <c r="E1814" s="174"/>
      <c r="F1814" s="175"/>
      <c r="G1814" s="175"/>
      <c r="H1814" s="174"/>
      <c r="I1814" s="174"/>
      <c r="J1814" s="174"/>
      <c r="K1814" s="174"/>
      <c r="L1814" s="174"/>
      <c r="M1814" s="174"/>
      <c r="N1814" s="174"/>
      <c r="O1814" s="174"/>
      <c r="P1814" s="174"/>
      <c r="Q1814" s="174"/>
      <c r="R1814" s="174"/>
      <c r="S1814" s="174"/>
      <c r="T1814" s="174"/>
      <c r="U1814" s="174"/>
      <c r="V1814" s="174"/>
      <c r="W1814" s="174"/>
      <c r="X1814" s="174"/>
      <c r="Y1814" s="174"/>
      <c r="Z1814" s="174"/>
      <c r="AA1814" s="174"/>
    </row>
    <row r="1815">
      <c r="A1815" s="174"/>
      <c r="B1815" s="174"/>
      <c r="C1815" s="174"/>
      <c r="D1815" s="174"/>
      <c r="E1815" s="174"/>
      <c r="F1815" s="175"/>
      <c r="G1815" s="175"/>
      <c r="H1815" s="174"/>
      <c r="I1815" s="174"/>
      <c r="J1815" s="174"/>
      <c r="K1815" s="174"/>
      <c r="L1815" s="174"/>
      <c r="M1815" s="174"/>
      <c r="N1815" s="174"/>
      <c r="O1815" s="174"/>
      <c r="P1815" s="174"/>
      <c r="Q1815" s="174"/>
      <c r="R1815" s="174"/>
      <c r="S1815" s="174"/>
      <c r="T1815" s="174"/>
      <c r="U1815" s="174"/>
      <c r="V1815" s="174"/>
      <c r="W1815" s="174"/>
      <c r="X1815" s="174"/>
      <c r="Y1815" s="174"/>
      <c r="Z1815" s="174"/>
      <c r="AA1815" s="174"/>
    </row>
    <row r="1816">
      <c r="A1816" s="174"/>
      <c r="B1816" s="174"/>
      <c r="C1816" s="174"/>
      <c r="D1816" s="174"/>
      <c r="E1816" s="174"/>
      <c r="F1816" s="175"/>
      <c r="G1816" s="175"/>
      <c r="H1816" s="174"/>
      <c r="I1816" s="174"/>
      <c r="J1816" s="174"/>
      <c r="K1816" s="174"/>
      <c r="L1816" s="174"/>
      <c r="M1816" s="174"/>
      <c r="N1816" s="174"/>
      <c r="O1816" s="174"/>
      <c r="P1816" s="174"/>
      <c r="Q1816" s="174"/>
      <c r="R1816" s="174"/>
      <c r="S1816" s="174"/>
      <c r="T1816" s="174"/>
      <c r="U1816" s="174"/>
      <c r="V1816" s="174"/>
      <c r="W1816" s="174"/>
      <c r="X1816" s="174"/>
      <c r="Y1816" s="174"/>
      <c r="Z1816" s="174"/>
      <c r="AA1816" s="174"/>
    </row>
    <row r="1817">
      <c r="A1817" s="174"/>
      <c r="B1817" s="174"/>
      <c r="C1817" s="174"/>
      <c r="D1817" s="174"/>
      <c r="E1817" s="174"/>
      <c r="F1817" s="175"/>
      <c r="G1817" s="175"/>
      <c r="H1817" s="174"/>
      <c r="I1817" s="174"/>
      <c r="J1817" s="174"/>
      <c r="K1817" s="174"/>
      <c r="L1817" s="174"/>
      <c r="M1817" s="174"/>
      <c r="N1817" s="174"/>
      <c r="O1817" s="174"/>
      <c r="P1817" s="174"/>
      <c r="Q1817" s="174"/>
      <c r="R1817" s="174"/>
      <c r="S1817" s="174"/>
      <c r="T1817" s="174"/>
      <c r="U1817" s="174"/>
      <c r="V1817" s="174"/>
      <c r="W1817" s="174"/>
      <c r="X1817" s="174"/>
      <c r="Y1817" s="174"/>
      <c r="Z1817" s="174"/>
      <c r="AA1817" s="174"/>
    </row>
    <row r="1818">
      <c r="A1818" s="174"/>
      <c r="B1818" s="174"/>
      <c r="C1818" s="174"/>
      <c r="D1818" s="174"/>
      <c r="E1818" s="174"/>
      <c r="F1818" s="175"/>
      <c r="G1818" s="175"/>
      <c r="H1818" s="174"/>
      <c r="I1818" s="174"/>
      <c r="J1818" s="174"/>
      <c r="K1818" s="174"/>
      <c r="L1818" s="174"/>
      <c r="M1818" s="174"/>
      <c r="N1818" s="174"/>
      <c r="O1818" s="174"/>
      <c r="P1818" s="174"/>
      <c r="Q1818" s="174"/>
      <c r="R1818" s="174"/>
      <c r="S1818" s="174"/>
      <c r="T1818" s="174"/>
      <c r="U1818" s="174"/>
      <c r="V1818" s="174"/>
      <c r="W1818" s="174"/>
      <c r="X1818" s="174"/>
      <c r="Y1818" s="174"/>
      <c r="Z1818" s="174"/>
      <c r="AA1818" s="174"/>
    </row>
    <row r="1819">
      <c r="A1819" s="174"/>
      <c r="B1819" s="174"/>
      <c r="C1819" s="174"/>
      <c r="D1819" s="174"/>
      <c r="E1819" s="174"/>
      <c r="F1819" s="175"/>
      <c r="G1819" s="175"/>
      <c r="H1819" s="174"/>
      <c r="I1819" s="174"/>
      <c r="J1819" s="174"/>
      <c r="K1819" s="174"/>
      <c r="L1819" s="174"/>
      <c r="M1819" s="174"/>
      <c r="N1819" s="174"/>
      <c r="O1819" s="174"/>
      <c r="P1819" s="174"/>
      <c r="Q1819" s="174"/>
      <c r="R1819" s="174"/>
      <c r="S1819" s="174"/>
      <c r="T1819" s="174"/>
      <c r="U1819" s="174"/>
      <c r="V1819" s="174"/>
      <c r="W1819" s="174"/>
      <c r="X1819" s="174"/>
      <c r="Y1819" s="174"/>
      <c r="Z1819" s="174"/>
      <c r="AA1819" s="174"/>
    </row>
    <row r="1820">
      <c r="A1820" s="174"/>
      <c r="B1820" s="174"/>
      <c r="C1820" s="174"/>
      <c r="D1820" s="174"/>
      <c r="E1820" s="174"/>
      <c r="F1820" s="175"/>
      <c r="G1820" s="175"/>
      <c r="H1820" s="174"/>
      <c r="I1820" s="174"/>
      <c r="J1820" s="174"/>
      <c r="K1820" s="174"/>
      <c r="L1820" s="174"/>
      <c r="M1820" s="174"/>
      <c r="N1820" s="174"/>
      <c r="O1820" s="174"/>
      <c r="P1820" s="174"/>
      <c r="Q1820" s="174"/>
      <c r="R1820" s="174"/>
      <c r="S1820" s="174"/>
      <c r="T1820" s="174"/>
      <c r="U1820" s="174"/>
      <c r="V1820" s="174"/>
      <c r="W1820" s="174"/>
      <c r="X1820" s="174"/>
      <c r="Y1820" s="174"/>
      <c r="Z1820" s="174"/>
      <c r="AA1820" s="174"/>
    </row>
    <row r="1821">
      <c r="A1821" s="174"/>
      <c r="B1821" s="174"/>
      <c r="C1821" s="174"/>
      <c r="D1821" s="174"/>
      <c r="E1821" s="174"/>
      <c r="F1821" s="175"/>
      <c r="G1821" s="175"/>
      <c r="H1821" s="174"/>
      <c r="I1821" s="174"/>
      <c r="J1821" s="174"/>
      <c r="K1821" s="174"/>
      <c r="L1821" s="174"/>
      <c r="M1821" s="174"/>
      <c r="N1821" s="174"/>
      <c r="O1821" s="174"/>
      <c r="P1821" s="174"/>
      <c r="Q1821" s="174"/>
      <c r="R1821" s="174"/>
      <c r="S1821" s="174"/>
      <c r="T1821" s="174"/>
      <c r="U1821" s="174"/>
      <c r="V1821" s="174"/>
      <c r="W1821" s="174"/>
      <c r="X1821" s="174"/>
      <c r="Y1821" s="174"/>
      <c r="Z1821" s="174"/>
      <c r="AA1821" s="174"/>
    </row>
    <row r="1822">
      <c r="A1822" s="174"/>
      <c r="B1822" s="174"/>
      <c r="C1822" s="174"/>
      <c r="D1822" s="174"/>
      <c r="E1822" s="174"/>
      <c r="F1822" s="175"/>
      <c r="G1822" s="175"/>
      <c r="H1822" s="174"/>
      <c r="I1822" s="174"/>
      <c r="J1822" s="174"/>
      <c r="K1822" s="174"/>
      <c r="L1822" s="174"/>
      <c r="M1822" s="174"/>
      <c r="N1822" s="174"/>
      <c r="O1822" s="174"/>
      <c r="P1822" s="174"/>
      <c r="Q1822" s="174"/>
      <c r="R1822" s="174"/>
      <c r="S1822" s="174"/>
      <c r="T1822" s="174"/>
      <c r="U1822" s="174"/>
      <c r="V1822" s="174"/>
      <c r="W1822" s="174"/>
      <c r="X1822" s="174"/>
      <c r="Y1822" s="174"/>
      <c r="Z1822" s="174"/>
      <c r="AA1822" s="174"/>
    </row>
    <row r="1823">
      <c r="A1823" s="174"/>
      <c r="B1823" s="174"/>
      <c r="C1823" s="174"/>
      <c r="D1823" s="174"/>
      <c r="E1823" s="174"/>
      <c r="F1823" s="175"/>
      <c r="G1823" s="175"/>
      <c r="H1823" s="174"/>
      <c r="I1823" s="174"/>
      <c r="J1823" s="174"/>
      <c r="K1823" s="174"/>
      <c r="L1823" s="174"/>
      <c r="M1823" s="174"/>
      <c r="N1823" s="174"/>
      <c r="O1823" s="174"/>
      <c r="P1823" s="174"/>
      <c r="Q1823" s="174"/>
      <c r="R1823" s="174"/>
      <c r="S1823" s="174"/>
      <c r="T1823" s="174"/>
      <c r="U1823" s="174"/>
      <c r="V1823" s="174"/>
      <c r="W1823" s="174"/>
      <c r="X1823" s="174"/>
      <c r="Y1823" s="174"/>
      <c r="Z1823" s="174"/>
      <c r="AA1823" s="174"/>
    </row>
    <row r="1824">
      <c r="A1824" s="174"/>
      <c r="B1824" s="174"/>
      <c r="C1824" s="174"/>
      <c r="D1824" s="174"/>
      <c r="E1824" s="174"/>
      <c r="F1824" s="175"/>
      <c r="G1824" s="175"/>
      <c r="H1824" s="174"/>
      <c r="I1824" s="174"/>
      <c r="J1824" s="174"/>
      <c r="K1824" s="174"/>
      <c r="L1824" s="174"/>
      <c r="M1824" s="174"/>
      <c r="N1824" s="174"/>
      <c r="O1824" s="174"/>
      <c r="P1824" s="174"/>
      <c r="Q1824" s="174"/>
      <c r="R1824" s="174"/>
      <c r="S1824" s="174"/>
      <c r="T1824" s="174"/>
      <c r="U1824" s="174"/>
      <c r="V1824" s="174"/>
      <c r="W1824" s="174"/>
      <c r="X1824" s="174"/>
      <c r="Y1824" s="174"/>
      <c r="Z1824" s="174"/>
      <c r="AA1824" s="174"/>
    </row>
    <row r="1825">
      <c r="A1825" s="174"/>
      <c r="B1825" s="174"/>
      <c r="C1825" s="174"/>
      <c r="D1825" s="174"/>
      <c r="E1825" s="174"/>
      <c r="F1825" s="175"/>
      <c r="G1825" s="175"/>
      <c r="H1825" s="174"/>
      <c r="I1825" s="174"/>
      <c r="J1825" s="174"/>
      <c r="K1825" s="174"/>
      <c r="L1825" s="174"/>
      <c r="M1825" s="174"/>
      <c r="N1825" s="174"/>
      <c r="O1825" s="174"/>
      <c r="P1825" s="174"/>
      <c r="Q1825" s="174"/>
      <c r="R1825" s="174"/>
      <c r="S1825" s="174"/>
      <c r="T1825" s="174"/>
      <c r="U1825" s="174"/>
      <c r="V1825" s="174"/>
      <c r="W1825" s="174"/>
      <c r="X1825" s="174"/>
      <c r="Y1825" s="174"/>
      <c r="Z1825" s="174"/>
      <c r="AA1825" s="174"/>
    </row>
    <row r="1826">
      <c r="A1826" s="174"/>
      <c r="B1826" s="174"/>
      <c r="C1826" s="174"/>
      <c r="D1826" s="174"/>
      <c r="E1826" s="174"/>
      <c r="F1826" s="175"/>
      <c r="G1826" s="175"/>
      <c r="H1826" s="174"/>
      <c r="I1826" s="174"/>
      <c r="J1826" s="174"/>
      <c r="K1826" s="174"/>
      <c r="L1826" s="174"/>
      <c r="M1826" s="174"/>
      <c r="N1826" s="174"/>
      <c r="O1826" s="174"/>
      <c r="P1826" s="174"/>
      <c r="Q1826" s="174"/>
      <c r="R1826" s="174"/>
      <c r="S1826" s="174"/>
      <c r="T1826" s="174"/>
      <c r="U1826" s="174"/>
      <c r="V1826" s="174"/>
      <c r="W1826" s="174"/>
      <c r="X1826" s="174"/>
      <c r="Y1826" s="174"/>
      <c r="Z1826" s="174"/>
      <c r="AA1826" s="174"/>
    </row>
    <row r="1827">
      <c r="A1827" s="174"/>
      <c r="B1827" s="174"/>
      <c r="C1827" s="174"/>
      <c r="D1827" s="174"/>
      <c r="E1827" s="174"/>
      <c r="F1827" s="175"/>
      <c r="G1827" s="175"/>
      <c r="H1827" s="174"/>
      <c r="I1827" s="174"/>
      <c r="J1827" s="174"/>
      <c r="K1827" s="174"/>
      <c r="L1827" s="174"/>
      <c r="M1827" s="174"/>
      <c r="N1827" s="174"/>
      <c r="O1827" s="174"/>
      <c r="P1827" s="174"/>
      <c r="Q1827" s="174"/>
      <c r="R1827" s="174"/>
      <c r="S1827" s="174"/>
      <c r="T1827" s="174"/>
      <c r="U1827" s="174"/>
      <c r="V1827" s="174"/>
      <c r="W1827" s="174"/>
      <c r="X1827" s="174"/>
      <c r="Y1827" s="174"/>
      <c r="Z1827" s="174"/>
      <c r="AA1827" s="174"/>
    </row>
    <row r="1828">
      <c r="A1828" s="174"/>
      <c r="B1828" s="174"/>
      <c r="C1828" s="174"/>
      <c r="D1828" s="174"/>
      <c r="E1828" s="174"/>
      <c r="F1828" s="175"/>
      <c r="G1828" s="175"/>
      <c r="H1828" s="174"/>
      <c r="I1828" s="174"/>
      <c r="J1828" s="174"/>
      <c r="K1828" s="174"/>
      <c r="L1828" s="174"/>
      <c r="M1828" s="174"/>
      <c r="N1828" s="174"/>
      <c r="O1828" s="174"/>
      <c r="P1828" s="174"/>
      <c r="Q1828" s="174"/>
      <c r="R1828" s="174"/>
      <c r="S1828" s="174"/>
      <c r="T1828" s="174"/>
      <c r="U1828" s="174"/>
      <c r="V1828" s="174"/>
      <c r="W1828" s="174"/>
      <c r="X1828" s="174"/>
      <c r="Y1828" s="174"/>
      <c r="Z1828" s="174"/>
      <c r="AA1828" s="174"/>
    </row>
    <row r="1829">
      <c r="A1829" s="174"/>
      <c r="B1829" s="174"/>
      <c r="C1829" s="174"/>
      <c r="D1829" s="174"/>
      <c r="E1829" s="174"/>
      <c r="F1829" s="175"/>
      <c r="G1829" s="175"/>
      <c r="H1829" s="174"/>
      <c r="I1829" s="174"/>
      <c r="J1829" s="174"/>
      <c r="K1829" s="174"/>
      <c r="L1829" s="174"/>
      <c r="M1829" s="174"/>
      <c r="N1829" s="174"/>
      <c r="O1829" s="174"/>
      <c r="P1829" s="174"/>
      <c r="Q1829" s="174"/>
      <c r="R1829" s="174"/>
      <c r="S1829" s="174"/>
      <c r="T1829" s="174"/>
      <c r="U1829" s="174"/>
      <c r="V1829" s="174"/>
      <c r="W1829" s="174"/>
      <c r="X1829" s="174"/>
      <c r="Y1829" s="174"/>
      <c r="Z1829" s="174"/>
      <c r="AA1829" s="174"/>
    </row>
    <row r="1830">
      <c r="A1830" s="174"/>
      <c r="B1830" s="174"/>
      <c r="C1830" s="174"/>
      <c r="D1830" s="174"/>
      <c r="E1830" s="174"/>
      <c r="F1830" s="175"/>
      <c r="G1830" s="175"/>
      <c r="H1830" s="174"/>
      <c r="I1830" s="174"/>
      <c r="J1830" s="174"/>
      <c r="K1830" s="174"/>
      <c r="L1830" s="174"/>
      <c r="M1830" s="174"/>
      <c r="N1830" s="174"/>
      <c r="O1830" s="174"/>
      <c r="P1830" s="174"/>
      <c r="Q1830" s="174"/>
      <c r="R1830" s="174"/>
      <c r="S1830" s="174"/>
      <c r="T1830" s="174"/>
      <c r="U1830" s="174"/>
      <c r="V1830" s="174"/>
      <c r="W1830" s="174"/>
      <c r="X1830" s="174"/>
      <c r="Y1830" s="174"/>
      <c r="Z1830" s="174"/>
      <c r="AA1830" s="174"/>
    </row>
    <row r="1831">
      <c r="A1831" s="174"/>
      <c r="B1831" s="174"/>
      <c r="C1831" s="174"/>
      <c r="D1831" s="174"/>
      <c r="E1831" s="174"/>
      <c r="F1831" s="175"/>
      <c r="G1831" s="175"/>
      <c r="H1831" s="174"/>
      <c r="I1831" s="174"/>
      <c r="J1831" s="174"/>
      <c r="K1831" s="174"/>
      <c r="L1831" s="174"/>
      <c r="M1831" s="174"/>
      <c r="N1831" s="174"/>
      <c r="O1831" s="174"/>
      <c r="P1831" s="174"/>
      <c r="Q1831" s="174"/>
      <c r="R1831" s="174"/>
      <c r="S1831" s="174"/>
      <c r="T1831" s="174"/>
      <c r="U1831" s="174"/>
      <c r="V1831" s="174"/>
      <c r="W1831" s="174"/>
      <c r="X1831" s="174"/>
      <c r="Y1831" s="174"/>
      <c r="Z1831" s="174"/>
      <c r="AA1831" s="174"/>
    </row>
    <row r="1832">
      <c r="A1832" s="174"/>
      <c r="B1832" s="174"/>
      <c r="C1832" s="174"/>
      <c r="D1832" s="174"/>
      <c r="E1832" s="174"/>
      <c r="F1832" s="175"/>
      <c r="G1832" s="175"/>
      <c r="H1832" s="174"/>
      <c r="I1832" s="174"/>
      <c r="J1832" s="174"/>
      <c r="K1832" s="174"/>
      <c r="L1832" s="174"/>
      <c r="M1832" s="174"/>
      <c r="N1832" s="174"/>
      <c r="O1832" s="174"/>
      <c r="P1832" s="174"/>
      <c r="Q1832" s="174"/>
      <c r="R1832" s="174"/>
      <c r="S1832" s="174"/>
      <c r="T1832" s="174"/>
      <c r="U1832" s="174"/>
      <c r="V1832" s="174"/>
      <c r="W1832" s="174"/>
      <c r="X1832" s="174"/>
      <c r="Y1832" s="174"/>
      <c r="Z1832" s="174"/>
      <c r="AA1832" s="174"/>
    </row>
    <row r="1833">
      <c r="A1833" s="174"/>
      <c r="B1833" s="174"/>
      <c r="C1833" s="174"/>
      <c r="D1833" s="174"/>
      <c r="E1833" s="174"/>
      <c r="F1833" s="175"/>
      <c r="G1833" s="175"/>
      <c r="H1833" s="174"/>
      <c r="I1833" s="174"/>
      <c r="J1833" s="174"/>
      <c r="K1833" s="174"/>
      <c r="L1833" s="174"/>
      <c r="M1833" s="174"/>
      <c r="N1833" s="174"/>
      <c r="O1833" s="174"/>
      <c r="P1833" s="174"/>
      <c r="Q1833" s="174"/>
      <c r="R1833" s="174"/>
      <c r="S1833" s="174"/>
      <c r="T1833" s="174"/>
      <c r="U1833" s="174"/>
      <c r="V1833" s="174"/>
      <c r="W1833" s="174"/>
      <c r="X1833" s="174"/>
      <c r="Y1833" s="174"/>
      <c r="Z1833" s="174"/>
      <c r="AA1833" s="174"/>
    </row>
    <row r="1834">
      <c r="A1834" s="174"/>
      <c r="B1834" s="174"/>
      <c r="C1834" s="174"/>
      <c r="D1834" s="174"/>
      <c r="E1834" s="174"/>
      <c r="F1834" s="175"/>
      <c r="G1834" s="175"/>
      <c r="H1834" s="174"/>
      <c r="I1834" s="174"/>
      <c r="J1834" s="174"/>
      <c r="K1834" s="174"/>
      <c r="L1834" s="174"/>
      <c r="M1834" s="174"/>
      <c r="N1834" s="174"/>
      <c r="O1834" s="174"/>
      <c r="P1834" s="174"/>
      <c r="Q1834" s="174"/>
      <c r="R1834" s="174"/>
      <c r="S1834" s="174"/>
      <c r="T1834" s="174"/>
      <c r="U1834" s="174"/>
      <c r="V1834" s="174"/>
      <c r="W1834" s="174"/>
      <c r="X1834" s="174"/>
      <c r="Y1834" s="174"/>
      <c r="Z1834" s="174"/>
      <c r="AA1834" s="174"/>
    </row>
    <row r="1835">
      <c r="A1835" s="174"/>
      <c r="B1835" s="174"/>
      <c r="C1835" s="174"/>
      <c r="D1835" s="174"/>
      <c r="E1835" s="174"/>
      <c r="F1835" s="175"/>
      <c r="G1835" s="175"/>
      <c r="H1835" s="174"/>
      <c r="I1835" s="174"/>
      <c r="J1835" s="174"/>
      <c r="K1835" s="174"/>
      <c r="L1835" s="174"/>
      <c r="M1835" s="174"/>
      <c r="N1835" s="174"/>
      <c r="O1835" s="174"/>
      <c r="P1835" s="174"/>
      <c r="Q1835" s="174"/>
      <c r="R1835" s="174"/>
      <c r="S1835" s="174"/>
      <c r="T1835" s="174"/>
      <c r="U1835" s="174"/>
      <c r="V1835" s="174"/>
      <c r="W1835" s="174"/>
      <c r="X1835" s="174"/>
      <c r="Y1835" s="174"/>
      <c r="Z1835" s="174"/>
      <c r="AA1835" s="174"/>
    </row>
    <row r="1836">
      <c r="A1836" s="174"/>
      <c r="B1836" s="174"/>
      <c r="C1836" s="174"/>
      <c r="D1836" s="174"/>
      <c r="E1836" s="174"/>
      <c r="F1836" s="175"/>
      <c r="G1836" s="175"/>
      <c r="H1836" s="174"/>
      <c r="I1836" s="174"/>
      <c r="J1836" s="174"/>
      <c r="K1836" s="174"/>
      <c r="L1836" s="174"/>
      <c r="M1836" s="174"/>
      <c r="N1836" s="174"/>
      <c r="O1836" s="174"/>
      <c r="P1836" s="174"/>
      <c r="Q1836" s="174"/>
      <c r="R1836" s="174"/>
      <c r="S1836" s="174"/>
      <c r="T1836" s="174"/>
      <c r="U1836" s="174"/>
      <c r="V1836" s="174"/>
      <c r="W1836" s="174"/>
      <c r="X1836" s="174"/>
      <c r="Y1836" s="174"/>
      <c r="Z1836" s="174"/>
      <c r="AA1836" s="174"/>
    </row>
    <row r="1837">
      <c r="A1837" s="174"/>
      <c r="B1837" s="174"/>
      <c r="C1837" s="174"/>
      <c r="D1837" s="174"/>
      <c r="E1837" s="174"/>
      <c r="F1837" s="175"/>
      <c r="G1837" s="175"/>
      <c r="H1837" s="174"/>
      <c r="I1837" s="174"/>
      <c r="J1837" s="174"/>
      <c r="K1837" s="174"/>
      <c r="L1837" s="174"/>
      <c r="M1837" s="174"/>
      <c r="N1837" s="174"/>
      <c r="O1837" s="174"/>
      <c r="P1837" s="174"/>
      <c r="Q1837" s="174"/>
      <c r="R1837" s="174"/>
      <c r="S1837" s="174"/>
      <c r="T1837" s="174"/>
      <c r="U1837" s="174"/>
      <c r="V1837" s="174"/>
      <c r="W1837" s="174"/>
      <c r="X1837" s="174"/>
      <c r="Y1837" s="174"/>
      <c r="Z1837" s="174"/>
      <c r="AA1837" s="174"/>
    </row>
    <row r="1838">
      <c r="A1838" s="174"/>
      <c r="B1838" s="174"/>
      <c r="C1838" s="174"/>
      <c r="D1838" s="174"/>
      <c r="E1838" s="174"/>
      <c r="F1838" s="175"/>
      <c r="G1838" s="175"/>
      <c r="H1838" s="174"/>
      <c r="I1838" s="174"/>
      <c r="J1838" s="174"/>
      <c r="K1838" s="174"/>
      <c r="L1838" s="174"/>
      <c r="M1838" s="174"/>
      <c r="N1838" s="174"/>
      <c r="O1838" s="174"/>
      <c r="P1838" s="174"/>
      <c r="Q1838" s="174"/>
      <c r="R1838" s="174"/>
      <c r="S1838" s="174"/>
      <c r="T1838" s="174"/>
      <c r="U1838" s="174"/>
      <c r="V1838" s="174"/>
      <c r="W1838" s="174"/>
      <c r="X1838" s="174"/>
      <c r="Y1838" s="174"/>
      <c r="Z1838" s="174"/>
      <c r="AA1838" s="174"/>
    </row>
    <row r="1839">
      <c r="A1839" s="174"/>
      <c r="B1839" s="174"/>
      <c r="C1839" s="174"/>
      <c r="D1839" s="174"/>
      <c r="E1839" s="174"/>
      <c r="F1839" s="175"/>
      <c r="G1839" s="175"/>
      <c r="H1839" s="174"/>
      <c r="I1839" s="174"/>
      <c r="J1839" s="174"/>
      <c r="K1839" s="174"/>
      <c r="L1839" s="174"/>
      <c r="M1839" s="174"/>
      <c r="N1839" s="174"/>
      <c r="O1839" s="174"/>
      <c r="P1839" s="174"/>
      <c r="Q1839" s="174"/>
      <c r="R1839" s="174"/>
      <c r="S1839" s="174"/>
      <c r="T1839" s="174"/>
      <c r="U1839" s="174"/>
      <c r="V1839" s="174"/>
      <c r="W1839" s="174"/>
      <c r="X1839" s="174"/>
      <c r="Y1839" s="174"/>
      <c r="Z1839" s="174"/>
      <c r="AA1839" s="174"/>
    </row>
    <row r="1840">
      <c r="A1840" s="174"/>
      <c r="B1840" s="174"/>
      <c r="C1840" s="174"/>
      <c r="D1840" s="174"/>
      <c r="E1840" s="174"/>
      <c r="F1840" s="175"/>
      <c r="G1840" s="175"/>
      <c r="H1840" s="174"/>
      <c r="I1840" s="174"/>
      <c r="J1840" s="174"/>
      <c r="K1840" s="174"/>
      <c r="L1840" s="174"/>
      <c r="M1840" s="174"/>
      <c r="N1840" s="174"/>
      <c r="O1840" s="174"/>
      <c r="P1840" s="174"/>
      <c r="Q1840" s="174"/>
      <c r="R1840" s="174"/>
      <c r="S1840" s="174"/>
      <c r="T1840" s="174"/>
      <c r="U1840" s="174"/>
      <c r="V1840" s="174"/>
      <c r="W1840" s="174"/>
      <c r="X1840" s="174"/>
      <c r="Y1840" s="174"/>
      <c r="Z1840" s="174"/>
      <c r="AA1840" s="174"/>
    </row>
    <row r="1841">
      <c r="A1841" s="174"/>
      <c r="B1841" s="174"/>
      <c r="C1841" s="174"/>
      <c r="D1841" s="174"/>
      <c r="E1841" s="174"/>
      <c r="F1841" s="175"/>
      <c r="G1841" s="175"/>
      <c r="H1841" s="174"/>
      <c r="I1841" s="174"/>
      <c r="J1841" s="174"/>
      <c r="K1841" s="174"/>
      <c r="L1841" s="174"/>
      <c r="M1841" s="174"/>
      <c r="N1841" s="174"/>
      <c r="O1841" s="174"/>
      <c r="P1841" s="174"/>
      <c r="Q1841" s="174"/>
      <c r="R1841" s="174"/>
      <c r="S1841" s="174"/>
      <c r="T1841" s="174"/>
      <c r="U1841" s="174"/>
      <c r="V1841" s="174"/>
      <c r="W1841" s="174"/>
      <c r="X1841" s="174"/>
      <c r="Y1841" s="174"/>
      <c r="Z1841" s="174"/>
      <c r="AA1841" s="174"/>
    </row>
    <row r="1842">
      <c r="A1842" s="174"/>
      <c r="B1842" s="174"/>
      <c r="C1842" s="174"/>
      <c r="D1842" s="174"/>
      <c r="E1842" s="174"/>
      <c r="F1842" s="175"/>
      <c r="G1842" s="175"/>
      <c r="H1842" s="174"/>
      <c r="I1842" s="174"/>
      <c r="J1842" s="174"/>
      <c r="K1842" s="174"/>
      <c r="L1842" s="174"/>
      <c r="M1842" s="174"/>
      <c r="N1842" s="174"/>
      <c r="O1842" s="174"/>
      <c r="P1842" s="174"/>
      <c r="Q1842" s="174"/>
      <c r="R1842" s="174"/>
      <c r="S1842" s="174"/>
      <c r="T1842" s="174"/>
      <c r="U1842" s="174"/>
      <c r="V1842" s="174"/>
      <c r="W1842" s="174"/>
      <c r="X1842" s="174"/>
      <c r="Y1842" s="174"/>
      <c r="Z1842" s="174"/>
      <c r="AA1842" s="174"/>
    </row>
    <row r="1843">
      <c r="A1843" s="174"/>
      <c r="B1843" s="174"/>
      <c r="C1843" s="174"/>
      <c r="D1843" s="174"/>
      <c r="E1843" s="174"/>
      <c r="F1843" s="175"/>
      <c r="G1843" s="175"/>
      <c r="H1843" s="174"/>
      <c r="I1843" s="174"/>
      <c r="J1843" s="174"/>
      <c r="K1843" s="174"/>
      <c r="L1843" s="174"/>
      <c r="M1843" s="174"/>
      <c r="N1843" s="174"/>
      <c r="O1843" s="174"/>
      <c r="P1843" s="174"/>
      <c r="Q1843" s="174"/>
      <c r="R1843" s="174"/>
      <c r="S1843" s="174"/>
      <c r="T1843" s="174"/>
      <c r="U1843" s="174"/>
      <c r="V1843" s="174"/>
      <c r="W1843" s="174"/>
      <c r="X1843" s="174"/>
      <c r="Y1843" s="174"/>
      <c r="Z1843" s="174"/>
      <c r="AA1843" s="174"/>
    </row>
    <row r="1844">
      <c r="A1844" s="174"/>
      <c r="B1844" s="174"/>
      <c r="C1844" s="174"/>
      <c r="D1844" s="174"/>
      <c r="E1844" s="174"/>
      <c r="F1844" s="175"/>
      <c r="G1844" s="175"/>
      <c r="H1844" s="174"/>
      <c r="I1844" s="174"/>
      <c r="J1844" s="174"/>
      <c r="K1844" s="174"/>
      <c r="L1844" s="174"/>
      <c r="M1844" s="174"/>
      <c r="N1844" s="174"/>
      <c r="O1844" s="174"/>
      <c r="P1844" s="174"/>
      <c r="Q1844" s="174"/>
      <c r="R1844" s="174"/>
      <c r="S1844" s="174"/>
      <c r="T1844" s="174"/>
      <c r="U1844" s="174"/>
      <c r="V1844" s="174"/>
      <c r="W1844" s="174"/>
      <c r="X1844" s="174"/>
      <c r="Y1844" s="174"/>
      <c r="Z1844" s="174"/>
      <c r="AA1844" s="174"/>
    </row>
    <row r="1845">
      <c r="A1845" s="174"/>
      <c r="B1845" s="174"/>
      <c r="C1845" s="174"/>
      <c r="D1845" s="174"/>
      <c r="E1845" s="174"/>
      <c r="F1845" s="175"/>
      <c r="G1845" s="175"/>
      <c r="H1845" s="174"/>
      <c r="I1845" s="174"/>
      <c r="J1845" s="174"/>
      <c r="K1845" s="174"/>
      <c r="L1845" s="174"/>
      <c r="M1845" s="174"/>
      <c r="N1845" s="174"/>
      <c r="O1845" s="174"/>
      <c r="P1845" s="174"/>
      <c r="Q1845" s="174"/>
      <c r="R1845" s="174"/>
      <c r="S1845" s="174"/>
      <c r="T1845" s="174"/>
      <c r="U1845" s="174"/>
      <c r="V1845" s="174"/>
      <c r="W1845" s="174"/>
      <c r="X1845" s="174"/>
      <c r="Y1845" s="174"/>
      <c r="Z1845" s="174"/>
      <c r="AA1845" s="174"/>
    </row>
    <row r="1846">
      <c r="A1846" s="174"/>
      <c r="B1846" s="174"/>
      <c r="C1846" s="174"/>
      <c r="D1846" s="174"/>
      <c r="E1846" s="174"/>
      <c r="F1846" s="175"/>
      <c r="G1846" s="175"/>
      <c r="H1846" s="174"/>
      <c r="I1846" s="174"/>
      <c r="J1846" s="174"/>
      <c r="K1846" s="174"/>
      <c r="L1846" s="174"/>
      <c r="M1846" s="174"/>
      <c r="N1846" s="174"/>
      <c r="O1846" s="174"/>
      <c r="P1846" s="174"/>
      <c r="Q1846" s="174"/>
      <c r="R1846" s="174"/>
      <c r="S1846" s="174"/>
      <c r="T1846" s="174"/>
      <c r="U1846" s="174"/>
      <c r="V1846" s="174"/>
      <c r="W1846" s="174"/>
      <c r="X1846" s="174"/>
      <c r="Y1846" s="174"/>
      <c r="Z1846" s="174"/>
      <c r="AA1846" s="174"/>
    </row>
    <row r="1847">
      <c r="A1847" s="174"/>
      <c r="B1847" s="174"/>
      <c r="C1847" s="174"/>
      <c r="D1847" s="174"/>
      <c r="E1847" s="174"/>
      <c r="F1847" s="175"/>
      <c r="G1847" s="175"/>
      <c r="H1847" s="174"/>
      <c r="I1847" s="174"/>
      <c r="J1847" s="174"/>
      <c r="K1847" s="174"/>
      <c r="L1847" s="174"/>
      <c r="M1847" s="174"/>
      <c r="N1847" s="174"/>
      <c r="O1847" s="174"/>
      <c r="P1847" s="174"/>
      <c r="Q1847" s="174"/>
      <c r="R1847" s="174"/>
      <c r="S1847" s="174"/>
      <c r="T1847" s="174"/>
      <c r="U1847" s="174"/>
      <c r="V1847" s="174"/>
      <c r="W1847" s="174"/>
      <c r="X1847" s="174"/>
      <c r="Y1847" s="174"/>
      <c r="Z1847" s="174"/>
      <c r="AA1847" s="174"/>
    </row>
    <row r="1848">
      <c r="A1848" s="174"/>
      <c r="B1848" s="174"/>
      <c r="C1848" s="174"/>
      <c r="D1848" s="174"/>
      <c r="E1848" s="174"/>
      <c r="F1848" s="175"/>
      <c r="G1848" s="175"/>
      <c r="H1848" s="174"/>
      <c r="I1848" s="174"/>
      <c r="J1848" s="174"/>
      <c r="K1848" s="174"/>
      <c r="L1848" s="174"/>
      <c r="M1848" s="174"/>
      <c r="N1848" s="174"/>
      <c r="O1848" s="174"/>
      <c r="P1848" s="174"/>
      <c r="Q1848" s="174"/>
      <c r="R1848" s="174"/>
      <c r="S1848" s="174"/>
      <c r="T1848" s="174"/>
      <c r="U1848" s="174"/>
      <c r="V1848" s="174"/>
      <c r="W1848" s="174"/>
      <c r="X1848" s="174"/>
      <c r="Y1848" s="174"/>
      <c r="Z1848" s="174"/>
      <c r="AA1848" s="174"/>
    </row>
    <row r="1849">
      <c r="A1849" s="174"/>
      <c r="B1849" s="174"/>
      <c r="C1849" s="174"/>
      <c r="D1849" s="174"/>
      <c r="E1849" s="174"/>
      <c r="F1849" s="175"/>
      <c r="G1849" s="175"/>
      <c r="H1849" s="174"/>
      <c r="I1849" s="174"/>
      <c r="J1849" s="174"/>
      <c r="K1849" s="174"/>
      <c r="L1849" s="174"/>
      <c r="M1849" s="174"/>
      <c r="N1849" s="174"/>
      <c r="O1849" s="174"/>
      <c r="P1849" s="174"/>
      <c r="Q1849" s="174"/>
      <c r="R1849" s="174"/>
      <c r="S1849" s="174"/>
      <c r="T1849" s="174"/>
      <c r="U1849" s="174"/>
      <c r="V1849" s="174"/>
      <c r="W1849" s="174"/>
      <c r="X1849" s="174"/>
      <c r="Y1849" s="174"/>
      <c r="Z1849" s="174"/>
      <c r="AA1849" s="174"/>
    </row>
    <row r="1850">
      <c r="A1850" s="174"/>
      <c r="B1850" s="174"/>
      <c r="C1850" s="174"/>
      <c r="D1850" s="174"/>
      <c r="E1850" s="174"/>
      <c r="F1850" s="175"/>
      <c r="G1850" s="175"/>
      <c r="H1850" s="174"/>
      <c r="I1850" s="174"/>
      <c r="J1850" s="174"/>
      <c r="K1850" s="174"/>
      <c r="L1850" s="174"/>
      <c r="M1850" s="174"/>
      <c r="N1850" s="174"/>
      <c r="O1850" s="174"/>
      <c r="P1850" s="174"/>
      <c r="Q1850" s="174"/>
      <c r="R1850" s="174"/>
      <c r="S1850" s="174"/>
      <c r="T1850" s="174"/>
      <c r="U1850" s="174"/>
      <c r="V1850" s="174"/>
      <c r="W1850" s="174"/>
      <c r="X1850" s="174"/>
      <c r="Y1850" s="174"/>
      <c r="Z1850" s="174"/>
      <c r="AA1850" s="174"/>
    </row>
    <row r="1851">
      <c r="A1851" s="174"/>
      <c r="B1851" s="174"/>
      <c r="C1851" s="174"/>
      <c r="D1851" s="174"/>
      <c r="E1851" s="174"/>
      <c r="F1851" s="175"/>
      <c r="G1851" s="175"/>
      <c r="H1851" s="174"/>
      <c r="I1851" s="174"/>
      <c r="J1851" s="174"/>
      <c r="K1851" s="174"/>
      <c r="L1851" s="174"/>
      <c r="M1851" s="174"/>
      <c r="N1851" s="174"/>
      <c r="O1851" s="174"/>
      <c r="P1851" s="174"/>
      <c r="Q1851" s="174"/>
      <c r="R1851" s="174"/>
      <c r="S1851" s="174"/>
      <c r="T1851" s="174"/>
      <c r="U1851" s="174"/>
      <c r="V1851" s="174"/>
      <c r="W1851" s="174"/>
      <c r="X1851" s="174"/>
      <c r="Y1851" s="174"/>
      <c r="Z1851" s="174"/>
      <c r="AA1851" s="174"/>
    </row>
    <row r="1852">
      <c r="A1852" s="174"/>
      <c r="B1852" s="174"/>
      <c r="C1852" s="174"/>
      <c r="D1852" s="174"/>
      <c r="E1852" s="174"/>
      <c r="F1852" s="175"/>
      <c r="G1852" s="175"/>
      <c r="H1852" s="174"/>
      <c r="I1852" s="174"/>
      <c r="J1852" s="174"/>
      <c r="K1852" s="174"/>
      <c r="L1852" s="174"/>
      <c r="M1852" s="174"/>
      <c r="N1852" s="174"/>
      <c r="O1852" s="174"/>
      <c r="P1852" s="174"/>
      <c r="Q1852" s="174"/>
      <c r="R1852" s="174"/>
      <c r="S1852" s="174"/>
      <c r="T1852" s="174"/>
      <c r="U1852" s="174"/>
      <c r="V1852" s="174"/>
      <c r="W1852" s="174"/>
      <c r="X1852" s="174"/>
      <c r="Y1852" s="174"/>
      <c r="Z1852" s="174"/>
      <c r="AA1852" s="174"/>
    </row>
    <row r="1853">
      <c r="A1853" s="174"/>
      <c r="B1853" s="174"/>
      <c r="C1853" s="174"/>
      <c r="D1853" s="174"/>
      <c r="E1853" s="174"/>
      <c r="F1853" s="175"/>
      <c r="G1853" s="175"/>
      <c r="H1853" s="174"/>
      <c r="I1853" s="174"/>
      <c r="J1853" s="174"/>
      <c r="K1853" s="174"/>
      <c r="L1853" s="174"/>
      <c r="M1853" s="174"/>
      <c r="N1853" s="174"/>
      <c r="O1853" s="174"/>
      <c r="P1853" s="174"/>
      <c r="Q1853" s="174"/>
      <c r="R1853" s="174"/>
      <c r="S1853" s="174"/>
      <c r="T1853" s="174"/>
      <c r="U1853" s="174"/>
      <c r="V1853" s="174"/>
      <c r="W1853" s="174"/>
      <c r="X1853" s="174"/>
      <c r="Y1853" s="174"/>
      <c r="Z1853" s="174"/>
      <c r="AA1853" s="174"/>
    </row>
    <row r="1854">
      <c r="A1854" s="174"/>
      <c r="B1854" s="174"/>
      <c r="C1854" s="174"/>
      <c r="D1854" s="174"/>
      <c r="E1854" s="174"/>
      <c r="F1854" s="175"/>
      <c r="G1854" s="175"/>
      <c r="H1854" s="174"/>
      <c r="I1854" s="174"/>
      <c r="J1854" s="174"/>
      <c r="K1854" s="174"/>
      <c r="L1854" s="174"/>
      <c r="M1854" s="174"/>
      <c r="N1854" s="174"/>
      <c r="O1854" s="174"/>
      <c r="P1854" s="174"/>
      <c r="Q1854" s="174"/>
      <c r="R1854" s="174"/>
      <c r="S1854" s="174"/>
      <c r="T1854" s="174"/>
      <c r="U1854" s="174"/>
      <c r="V1854" s="174"/>
      <c r="W1854" s="174"/>
      <c r="X1854" s="174"/>
      <c r="Y1854" s="174"/>
      <c r="Z1854" s="174"/>
      <c r="AA1854" s="174"/>
    </row>
    <row r="1855">
      <c r="A1855" s="174"/>
      <c r="B1855" s="174"/>
      <c r="C1855" s="174"/>
      <c r="D1855" s="174"/>
      <c r="E1855" s="174"/>
      <c r="F1855" s="175"/>
      <c r="G1855" s="175"/>
      <c r="H1855" s="174"/>
      <c r="I1855" s="174"/>
      <c r="J1855" s="174"/>
      <c r="K1855" s="174"/>
      <c r="L1855" s="174"/>
      <c r="M1855" s="174"/>
      <c r="N1855" s="174"/>
      <c r="O1855" s="174"/>
      <c r="P1855" s="174"/>
      <c r="Q1855" s="174"/>
      <c r="R1855" s="174"/>
      <c r="S1855" s="174"/>
      <c r="T1855" s="174"/>
      <c r="U1855" s="174"/>
      <c r="V1855" s="174"/>
      <c r="W1855" s="174"/>
      <c r="X1855" s="174"/>
      <c r="Y1855" s="174"/>
      <c r="Z1855" s="174"/>
      <c r="AA1855" s="174"/>
    </row>
    <row r="1856">
      <c r="A1856" s="174"/>
      <c r="B1856" s="174"/>
      <c r="C1856" s="174"/>
      <c r="D1856" s="174"/>
      <c r="E1856" s="174"/>
      <c r="F1856" s="175"/>
      <c r="G1856" s="175"/>
      <c r="H1856" s="174"/>
      <c r="I1856" s="174"/>
      <c r="J1856" s="174"/>
      <c r="K1856" s="174"/>
      <c r="L1856" s="174"/>
      <c r="M1856" s="174"/>
      <c r="N1856" s="174"/>
      <c r="O1856" s="174"/>
      <c r="P1856" s="174"/>
      <c r="Q1856" s="174"/>
      <c r="R1856" s="174"/>
      <c r="S1856" s="174"/>
      <c r="T1856" s="174"/>
      <c r="U1856" s="174"/>
      <c r="V1856" s="174"/>
      <c r="W1856" s="174"/>
      <c r="X1856" s="174"/>
      <c r="Y1856" s="174"/>
      <c r="Z1856" s="174"/>
      <c r="AA1856" s="174"/>
    </row>
    <row r="1857">
      <c r="A1857" s="174"/>
      <c r="B1857" s="174"/>
      <c r="C1857" s="174"/>
      <c r="D1857" s="174"/>
      <c r="E1857" s="174"/>
      <c r="F1857" s="175"/>
      <c r="G1857" s="175"/>
      <c r="H1857" s="174"/>
      <c r="I1857" s="174"/>
      <c r="J1857" s="174"/>
      <c r="K1857" s="174"/>
      <c r="L1857" s="174"/>
      <c r="M1857" s="174"/>
      <c r="N1857" s="174"/>
      <c r="O1857" s="174"/>
      <c r="P1857" s="174"/>
      <c r="Q1857" s="174"/>
      <c r="R1857" s="174"/>
      <c r="S1857" s="174"/>
      <c r="T1857" s="174"/>
      <c r="U1857" s="174"/>
      <c r="V1857" s="174"/>
      <c r="W1857" s="174"/>
      <c r="X1857" s="174"/>
      <c r="Y1857" s="174"/>
      <c r="Z1857" s="174"/>
      <c r="AA1857" s="174"/>
    </row>
    <row r="1858">
      <c r="A1858" s="174"/>
      <c r="B1858" s="174"/>
      <c r="C1858" s="174"/>
      <c r="D1858" s="174"/>
      <c r="E1858" s="174"/>
      <c r="F1858" s="175"/>
      <c r="G1858" s="175"/>
      <c r="H1858" s="174"/>
      <c r="I1858" s="174"/>
      <c r="J1858" s="174"/>
      <c r="K1858" s="174"/>
      <c r="L1858" s="174"/>
      <c r="M1858" s="174"/>
      <c r="N1858" s="174"/>
      <c r="O1858" s="174"/>
      <c r="P1858" s="174"/>
      <c r="Q1858" s="174"/>
      <c r="R1858" s="174"/>
      <c r="S1858" s="174"/>
      <c r="T1858" s="174"/>
      <c r="U1858" s="174"/>
      <c r="V1858" s="174"/>
      <c r="W1858" s="174"/>
      <c r="X1858" s="174"/>
      <c r="Y1858" s="174"/>
      <c r="Z1858" s="174"/>
      <c r="AA1858" s="174"/>
    </row>
    <row r="1859">
      <c r="A1859" s="174"/>
      <c r="B1859" s="174"/>
      <c r="C1859" s="174"/>
      <c r="D1859" s="174"/>
      <c r="E1859" s="174"/>
      <c r="F1859" s="175"/>
      <c r="G1859" s="175"/>
      <c r="H1859" s="174"/>
      <c r="I1859" s="174"/>
      <c r="J1859" s="174"/>
      <c r="K1859" s="174"/>
      <c r="L1859" s="174"/>
      <c r="M1859" s="174"/>
      <c r="N1859" s="174"/>
      <c r="O1859" s="174"/>
      <c r="P1859" s="174"/>
      <c r="Q1859" s="174"/>
      <c r="R1859" s="174"/>
      <c r="S1859" s="174"/>
      <c r="T1859" s="174"/>
      <c r="U1859" s="174"/>
      <c r="V1859" s="174"/>
      <c r="W1859" s="174"/>
      <c r="X1859" s="174"/>
      <c r="Y1859" s="174"/>
      <c r="Z1859" s="174"/>
      <c r="AA1859" s="174"/>
    </row>
    <row r="1860">
      <c r="A1860" s="174"/>
      <c r="B1860" s="174"/>
      <c r="C1860" s="174"/>
      <c r="D1860" s="174"/>
      <c r="E1860" s="174"/>
      <c r="F1860" s="175"/>
      <c r="G1860" s="175"/>
      <c r="H1860" s="174"/>
      <c r="I1860" s="174"/>
      <c r="J1860" s="174"/>
      <c r="K1860" s="174"/>
      <c r="L1860" s="174"/>
      <c r="M1860" s="174"/>
      <c r="N1860" s="174"/>
      <c r="O1860" s="174"/>
      <c r="P1860" s="174"/>
      <c r="Q1860" s="174"/>
      <c r="R1860" s="174"/>
      <c r="S1860" s="174"/>
      <c r="T1860" s="174"/>
      <c r="U1860" s="174"/>
      <c r="V1860" s="174"/>
      <c r="W1860" s="174"/>
      <c r="X1860" s="174"/>
      <c r="Y1860" s="174"/>
      <c r="Z1860" s="174"/>
      <c r="AA1860" s="174"/>
    </row>
    <row r="1861">
      <c r="A1861" s="174"/>
      <c r="B1861" s="174"/>
      <c r="C1861" s="174"/>
      <c r="D1861" s="174"/>
      <c r="E1861" s="174"/>
      <c r="F1861" s="175"/>
      <c r="G1861" s="175"/>
      <c r="H1861" s="174"/>
      <c r="I1861" s="174"/>
      <c r="J1861" s="174"/>
      <c r="K1861" s="174"/>
      <c r="L1861" s="174"/>
      <c r="M1861" s="174"/>
      <c r="N1861" s="174"/>
      <c r="O1861" s="174"/>
      <c r="P1861" s="174"/>
      <c r="Q1861" s="174"/>
      <c r="R1861" s="174"/>
      <c r="S1861" s="174"/>
      <c r="T1861" s="174"/>
      <c r="U1861" s="174"/>
      <c r="V1861" s="174"/>
      <c r="W1861" s="174"/>
      <c r="X1861" s="174"/>
      <c r="Y1861" s="174"/>
      <c r="Z1861" s="174"/>
      <c r="AA1861" s="174"/>
    </row>
    <row r="1862">
      <c r="A1862" s="174"/>
      <c r="B1862" s="174"/>
      <c r="C1862" s="174"/>
      <c r="D1862" s="174"/>
      <c r="E1862" s="174"/>
      <c r="F1862" s="175"/>
      <c r="G1862" s="175"/>
      <c r="H1862" s="174"/>
      <c r="I1862" s="174"/>
      <c r="J1862" s="174"/>
      <c r="K1862" s="174"/>
      <c r="L1862" s="174"/>
      <c r="M1862" s="174"/>
      <c r="N1862" s="174"/>
      <c r="O1862" s="174"/>
      <c r="P1862" s="174"/>
      <c r="Q1862" s="174"/>
      <c r="R1862" s="174"/>
      <c r="S1862" s="174"/>
      <c r="T1862" s="174"/>
      <c r="U1862" s="174"/>
      <c r="V1862" s="174"/>
      <c r="W1862" s="174"/>
      <c r="X1862" s="174"/>
      <c r="Y1862" s="174"/>
      <c r="Z1862" s="174"/>
      <c r="AA1862" s="174"/>
    </row>
    <row r="1863">
      <c r="A1863" s="174"/>
      <c r="B1863" s="174"/>
      <c r="C1863" s="174"/>
      <c r="D1863" s="174"/>
      <c r="E1863" s="174"/>
      <c r="F1863" s="175"/>
      <c r="G1863" s="175"/>
      <c r="H1863" s="174"/>
      <c r="I1863" s="174"/>
      <c r="J1863" s="174"/>
      <c r="K1863" s="174"/>
      <c r="L1863" s="174"/>
      <c r="M1863" s="174"/>
      <c r="N1863" s="174"/>
      <c r="O1863" s="174"/>
      <c r="P1863" s="174"/>
      <c r="Q1863" s="174"/>
      <c r="R1863" s="174"/>
      <c r="S1863" s="174"/>
      <c r="T1863" s="174"/>
      <c r="U1863" s="174"/>
      <c r="V1863" s="174"/>
      <c r="W1863" s="174"/>
      <c r="X1863" s="174"/>
      <c r="Y1863" s="174"/>
      <c r="Z1863" s="174"/>
      <c r="AA1863" s="174"/>
    </row>
    <row r="1864">
      <c r="A1864" s="174"/>
      <c r="B1864" s="174"/>
      <c r="C1864" s="174"/>
      <c r="D1864" s="174"/>
      <c r="E1864" s="174"/>
      <c r="F1864" s="175"/>
      <c r="G1864" s="175"/>
      <c r="H1864" s="174"/>
      <c r="I1864" s="174"/>
      <c r="J1864" s="174"/>
      <c r="K1864" s="174"/>
      <c r="L1864" s="174"/>
      <c r="M1864" s="174"/>
      <c r="N1864" s="174"/>
      <c r="O1864" s="174"/>
      <c r="P1864" s="174"/>
      <c r="Q1864" s="174"/>
      <c r="R1864" s="174"/>
      <c r="S1864" s="174"/>
      <c r="T1864" s="174"/>
      <c r="U1864" s="174"/>
      <c r="V1864" s="174"/>
      <c r="W1864" s="174"/>
      <c r="X1864" s="174"/>
      <c r="Y1864" s="174"/>
      <c r="Z1864" s="174"/>
      <c r="AA1864" s="174"/>
    </row>
    <row r="1865">
      <c r="A1865" s="174"/>
      <c r="B1865" s="174"/>
      <c r="C1865" s="174"/>
      <c r="D1865" s="174"/>
      <c r="E1865" s="174"/>
      <c r="F1865" s="175"/>
      <c r="G1865" s="175"/>
      <c r="H1865" s="174"/>
      <c r="I1865" s="174"/>
      <c r="J1865" s="174"/>
      <c r="K1865" s="174"/>
      <c r="L1865" s="174"/>
      <c r="M1865" s="174"/>
      <c r="N1865" s="174"/>
      <c r="O1865" s="174"/>
      <c r="P1865" s="174"/>
      <c r="Q1865" s="174"/>
      <c r="R1865" s="174"/>
      <c r="S1865" s="174"/>
      <c r="T1865" s="174"/>
      <c r="U1865" s="174"/>
      <c r="V1865" s="174"/>
      <c r="W1865" s="174"/>
      <c r="X1865" s="174"/>
      <c r="Y1865" s="174"/>
      <c r="Z1865" s="174"/>
      <c r="AA1865" s="174"/>
    </row>
    <row r="1866">
      <c r="A1866" s="174"/>
      <c r="B1866" s="174"/>
      <c r="C1866" s="174"/>
      <c r="D1866" s="174"/>
      <c r="E1866" s="174"/>
      <c r="F1866" s="175"/>
      <c r="G1866" s="175"/>
      <c r="H1866" s="174"/>
      <c r="I1866" s="174"/>
      <c r="J1866" s="174"/>
      <c r="K1866" s="174"/>
      <c r="L1866" s="174"/>
      <c r="M1866" s="174"/>
      <c r="N1866" s="174"/>
      <c r="O1866" s="174"/>
      <c r="P1866" s="174"/>
      <c r="Q1866" s="174"/>
      <c r="R1866" s="174"/>
      <c r="S1866" s="174"/>
      <c r="T1866" s="174"/>
      <c r="U1866" s="174"/>
      <c r="V1866" s="174"/>
      <c r="W1866" s="174"/>
      <c r="X1866" s="174"/>
      <c r="Y1866" s="174"/>
      <c r="Z1866" s="174"/>
      <c r="AA1866" s="174"/>
    </row>
    <row r="1867">
      <c r="A1867" s="174"/>
      <c r="B1867" s="174"/>
      <c r="C1867" s="174"/>
      <c r="D1867" s="174"/>
      <c r="E1867" s="174"/>
      <c r="F1867" s="175"/>
      <c r="G1867" s="175"/>
      <c r="H1867" s="174"/>
      <c r="I1867" s="174"/>
      <c r="J1867" s="174"/>
      <c r="K1867" s="174"/>
      <c r="L1867" s="174"/>
      <c r="M1867" s="174"/>
      <c r="N1867" s="174"/>
      <c r="O1867" s="174"/>
      <c r="P1867" s="174"/>
      <c r="Q1867" s="174"/>
      <c r="R1867" s="174"/>
      <c r="S1867" s="174"/>
      <c r="T1867" s="174"/>
      <c r="U1867" s="174"/>
      <c r="V1867" s="174"/>
      <c r="W1867" s="174"/>
      <c r="X1867" s="174"/>
      <c r="Y1867" s="174"/>
      <c r="Z1867" s="174"/>
      <c r="AA1867" s="174"/>
    </row>
    <row r="1868">
      <c r="A1868" s="174"/>
      <c r="B1868" s="174"/>
      <c r="C1868" s="174"/>
      <c r="D1868" s="174"/>
      <c r="E1868" s="174"/>
      <c r="F1868" s="175"/>
      <c r="G1868" s="175"/>
      <c r="H1868" s="174"/>
      <c r="I1868" s="174"/>
      <c r="J1868" s="174"/>
      <c r="K1868" s="174"/>
      <c r="L1868" s="174"/>
      <c r="M1868" s="174"/>
      <c r="N1868" s="174"/>
      <c r="O1868" s="174"/>
      <c r="P1868" s="174"/>
      <c r="Q1868" s="174"/>
      <c r="R1868" s="174"/>
      <c r="S1868" s="174"/>
      <c r="T1868" s="174"/>
      <c r="U1868" s="174"/>
      <c r="V1868" s="174"/>
      <c r="W1868" s="174"/>
      <c r="X1868" s="174"/>
      <c r="Y1868" s="174"/>
      <c r="Z1868" s="174"/>
      <c r="AA1868" s="174"/>
    </row>
    <row r="1869">
      <c r="A1869" s="174"/>
      <c r="B1869" s="174"/>
      <c r="C1869" s="174"/>
      <c r="D1869" s="174"/>
      <c r="E1869" s="174"/>
      <c r="F1869" s="175"/>
      <c r="G1869" s="175"/>
      <c r="H1869" s="174"/>
      <c r="I1869" s="174"/>
      <c r="J1869" s="174"/>
      <c r="K1869" s="174"/>
      <c r="L1869" s="174"/>
      <c r="M1869" s="174"/>
      <c r="N1869" s="174"/>
      <c r="O1869" s="174"/>
      <c r="P1869" s="174"/>
      <c r="Q1869" s="174"/>
      <c r="R1869" s="174"/>
      <c r="S1869" s="174"/>
      <c r="T1869" s="174"/>
      <c r="U1869" s="174"/>
      <c r="V1869" s="174"/>
      <c r="W1869" s="174"/>
      <c r="X1869" s="174"/>
      <c r="Y1869" s="174"/>
      <c r="Z1869" s="174"/>
      <c r="AA1869" s="174"/>
    </row>
    <row r="1870">
      <c r="A1870" s="174"/>
      <c r="B1870" s="174"/>
      <c r="C1870" s="174"/>
      <c r="D1870" s="174"/>
      <c r="E1870" s="174"/>
      <c r="F1870" s="175"/>
      <c r="G1870" s="175"/>
      <c r="H1870" s="174"/>
      <c r="I1870" s="174"/>
      <c r="J1870" s="174"/>
      <c r="K1870" s="174"/>
      <c r="L1870" s="174"/>
      <c r="M1870" s="174"/>
      <c r="N1870" s="174"/>
      <c r="O1870" s="174"/>
      <c r="P1870" s="174"/>
      <c r="Q1870" s="174"/>
      <c r="R1870" s="174"/>
      <c r="S1870" s="174"/>
      <c r="T1870" s="174"/>
      <c r="U1870" s="174"/>
      <c r="V1870" s="174"/>
      <c r="W1870" s="174"/>
      <c r="X1870" s="174"/>
      <c r="Y1870" s="174"/>
      <c r="Z1870" s="174"/>
      <c r="AA1870" s="174"/>
    </row>
    <row r="1871">
      <c r="A1871" s="174"/>
      <c r="B1871" s="174"/>
      <c r="C1871" s="174"/>
      <c r="D1871" s="174"/>
      <c r="E1871" s="174"/>
      <c r="F1871" s="175"/>
      <c r="G1871" s="175"/>
      <c r="H1871" s="174"/>
      <c r="I1871" s="174"/>
      <c r="J1871" s="174"/>
      <c r="K1871" s="174"/>
      <c r="L1871" s="174"/>
      <c r="M1871" s="174"/>
      <c r="N1871" s="174"/>
      <c r="O1871" s="174"/>
      <c r="P1871" s="174"/>
      <c r="Q1871" s="174"/>
      <c r="R1871" s="174"/>
      <c r="S1871" s="174"/>
      <c r="T1871" s="174"/>
      <c r="U1871" s="174"/>
      <c r="V1871" s="174"/>
      <c r="W1871" s="174"/>
      <c r="X1871" s="174"/>
      <c r="Y1871" s="174"/>
      <c r="Z1871" s="174"/>
      <c r="AA1871" s="174"/>
    </row>
    <row r="1872">
      <c r="A1872" s="174"/>
      <c r="B1872" s="174"/>
      <c r="C1872" s="174"/>
      <c r="D1872" s="174"/>
      <c r="E1872" s="174"/>
      <c r="F1872" s="175"/>
      <c r="G1872" s="175"/>
      <c r="H1872" s="174"/>
      <c r="I1872" s="174"/>
      <c r="J1872" s="174"/>
      <c r="K1872" s="174"/>
      <c r="L1872" s="174"/>
      <c r="M1872" s="174"/>
      <c r="N1872" s="174"/>
      <c r="O1872" s="174"/>
      <c r="P1872" s="174"/>
      <c r="Q1872" s="174"/>
      <c r="R1872" s="174"/>
      <c r="S1872" s="174"/>
      <c r="T1872" s="174"/>
      <c r="U1872" s="174"/>
      <c r="V1872" s="174"/>
      <c r="W1872" s="174"/>
      <c r="X1872" s="174"/>
      <c r="Y1872" s="174"/>
      <c r="Z1872" s="174"/>
      <c r="AA1872" s="174"/>
    </row>
    <row r="1873">
      <c r="A1873" s="174"/>
      <c r="B1873" s="174"/>
      <c r="C1873" s="174"/>
      <c r="D1873" s="174"/>
      <c r="E1873" s="174"/>
      <c r="F1873" s="175"/>
      <c r="G1873" s="175"/>
      <c r="H1873" s="174"/>
      <c r="I1873" s="174"/>
      <c r="J1873" s="174"/>
      <c r="K1873" s="174"/>
      <c r="L1873" s="174"/>
      <c r="M1873" s="174"/>
      <c r="N1873" s="174"/>
      <c r="O1873" s="174"/>
      <c r="P1873" s="174"/>
      <c r="Q1873" s="174"/>
      <c r="R1873" s="174"/>
      <c r="S1873" s="174"/>
      <c r="T1873" s="174"/>
      <c r="U1873" s="174"/>
      <c r="V1873" s="174"/>
      <c r="W1873" s="174"/>
      <c r="X1873" s="174"/>
      <c r="Y1873" s="174"/>
      <c r="Z1873" s="174"/>
      <c r="AA1873" s="174"/>
    </row>
    <row r="1874">
      <c r="A1874" s="174"/>
      <c r="B1874" s="174"/>
      <c r="C1874" s="174"/>
      <c r="D1874" s="174"/>
      <c r="E1874" s="174"/>
      <c r="F1874" s="175"/>
      <c r="G1874" s="175"/>
      <c r="H1874" s="174"/>
      <c r="I1874" s="174"/>
      <c r="J1874" s="174"/>
      <c r="K1874" s="174"/>
      <c r="L1874" s="174"/>
      <c r="M1874" s="174"/>
      <c r="N1874" s="174"/>
      <c r="O1874" s="174"/>
      <c r="P1874" s="174"/>
      <c r="Q1874" s="174"/>
      <c r="R1874" s="174"/>
      <c r="S1874" s="174"/>
      <c r="T1874" s="174"/>
      <c r="U1874" s="174"/>
      <c r="V1874" s="174"/>
      <c r="W1874" s="174"/>
      <c r="X1874" s="174"/>
      <c r="Y1874" s="174"/>
      <c r="Z1874" s="174"/>
      <c r="AA1874" s="174"/>
    </row>
    <row r="1875">
      <c r="A1875" s="174"/>
      <c r="B1875" s="174"/>
      <c r="C1875" s="174"/>
      <c r="D1875" s="174"/>
      <c r="E1875" s="174"/>
      <c r="F1875" s="175"/>
      <c r="G1875" s="175"/>
      <c r="H1875" s="174"/>
      <c r="I1875" s="174"/>
      <c r="J1875" s="174"/>
      <c r="K1875" s="174"/>
      <c r="L1875" s="174"/>
      <c r="M1875" s="174"/>
      <c r="N1875" s="174"/>
      <c r="O1875" s="174"/>
      <c r="P1875" s="174"/>
      <c r="Q1875" s="174"/>
      <c r="R1875" s="174"/>
      <c r="S1875" s="174"/>
      <c r="T1875" s="174"/>
      <c r="U1875" s="174"/>
      <c r="V1875" s="174"/>
      <c r="W1875" s="174"/>
      <c r="X1875" s="174"/>
      <c r="Y1875" s="174"/>
      <c r="Z1875" s="174"/>
      <c r="AA1875" s="174"/>
    </row>
    <row r="1876">
      <c r="A1876" s="174"/>
      <c r="B1876" s="174"/>
      <c r="C1876" s="174"/>
      <c r="D1876" s="174"/>
      <c r="E1876" s="174"/>
      <c r="F1876" s="175"/>
      <c r="G1876" s="175"/>
      <c r="H1876" s="174"/>
      <c r="I1876" s="174"/>
      <c r="J1876" s="174"/>
      <c r="K1876" s="174"/>
      <c r="L1876" s="174"/>
      <c r="M1876" s="174"/>
      <c r="N1876" s="174"/>
      <c r="O1876" s="174"/>
      <c r="P1876" s="174"/>
      <c r="Q1876" s="174"/>
      <c r="R1876" s="174"/>
      <c r="S1876" s="174"/>
      <c r="T1876" s="174"/>
      <c r="U1876" s="174"/>
      <c r="V1876" s="174"/>
      <c r="W1876" s="174"/>
      <c r="X1876" s="174"/>
      <c r="Y1876" s="174"/>
      <c r="Z1876" s="174"/>
      <c r="AA1876" s="174"/>
    </row>
    <row r="1877">
      <c r="A1877" s="174"/>
      <c r="B1877" s="174"/>
      <c r="C1877" s="174"/>
      <c r="D1877" s="174"/>
      <c r="E1877" s="174"/>
      <c r="F1877" s="175"/>
      <c r="G1877" s="175"/>
      <c r="H1877" s="174"/>
      <c r="I1877" s="174"/>
      <c r="J1877" s="174"/>
      <c r="K1877" s="174"/>
      <c r="L1877" s="174"/>
      <c r="M1877" s="174"/>
      <c r="N1877" s="174"/>
      <c r="O1877" s="174"/>
      <c r="P1877" s="174"/>
      <c r="Q1877" s="174"/>
      <c r="R1877" s="174"/>
      <c r="S1877" s="174"/>
      <c r="T1877" s="174"/>
      <c r="U1877" s="174"/>
      <c r="V1877" s="174"/>
      <c r="W1877" s="174"/>
      <c r="X1877" s="174"/>
      <c r="Y1877" s="174"/>
      <c r="Z1877" s="174"/>
      <c r="AA1877" s="174"/>
    </row>
    <row r="1878">
      <c r="A1878" s="174"/>
      <c r="B1878" s="174"/>
      <c r="C1878" s="174"/>
      <c r="D1878" s="174"/>
      <c r="E1878" s="174"/>
      <c r="F1878" s="175"/>
      <c r="G1878" s="175"/>
      <c r="H1878" s="174"/>
      <c r="I1878" s="174"/>
      <c r="J1878" s="174"/>
      <c r="K1878" s="174"/>
      <c r="L1878" s="174"/>
      <c r="M1878" s="174"/>
      <c r="N1878" s="174"/>
      <c r="O1878" s="174"/>
      <c r="P1878" s="174"/>
      <c r="Q1878" s="174"/>
      <c r="R1878" s="174"/>
      <c r="S1878" s="174"/>
      <c r="T1878" s="174"/>
      <c r="U1878" s="174"/>
      <c r="V1878" s="174"/>
      <c r="W1878" s="174"/>
      <c r="X1878" s="174"/>
      <c r="Y1878" s="174"/>
      <c r="Z1878" s="174"/>
      <c r="AA1878" s="174"/>
    </row>
    <row r="1879">
      <c r="A1879" s="174"/>
      <c r="B1879" s="174"/>
      <c r="C1879" s="174"/>
      <c r="D1879" s="174"/>
      <c r="E1879" s="174"/>
      <c r="F1879" s="175"/>
      <c r="G1879" s="175"/>
      <c r="H1879" s="174"/>
      <c r="I1879" s="174"/>
      <c r="J1879" s="174"/>
      <c r="K1879" s="174"/>
      <c r="L1879" s="174"/>
      <c r="M1879" s="174"/>
      <c r="N1879" s="174"/>
      <c r="O1879" s="174"/>
      <c r="P1879" s="174"/>
      <c r="Q1879" s="174"/>
      <c r="R1879" s="174"/>
      <c r="S1879" s="174"/>
      <c r="T1879" s="174"/>
      <c r="U1879" s="174"/>
      <c r="V1879" s="174"/>
      <c r="W1879" s="174"/>
      <c r="X1879" s="174"/>
      <c r="Y1879" s="174"/>
      <c r="Z1879" s="174"/>
      <c r="AA1879" s="174"/>
    </row>
    <row r="1880">
      <c r="A1880" s="174"/>
      <c r="B1880" s="174"/>
      <c r="C1880" s="174"/>
      <c r="D1880" s="174"/>
      <c r="E1880" s="174"/>
      <c r="F1880" s="175"/>
      <c r="G1880" s="175"/>
      <c r="H1880" s="174"/>
      <c r="I1880" s="174"/>
      <c r="J1880" s="174"/>
      <c r="K1880" s="174"/>
      <c r="L1880" s="174"/>
      <c r="M1880" s="174"/>
      <c r="N1880" s="174"/>
      <c r="O1880" s="174"/>
      <c r="P1880" s="174"/>
      <c r="Q1880" s="174"/>
      <c r="R1880" s="174"/>
      <c r="S1880" s="174"/>
      <c r="T1880" s="174"/>
      <c r="U1880" s="174"/>
      <c r="V1880" s="174"/>
      <c r="W1880" s="174"/>
      <c r="X1880" s="174"/>
      <c r="Y1880" s="174"/>
      <c r="Z1880" s="174"/>
      <c r="AA1880" s="174"/>
    </row>
    <row r="1881">
      <c r="A1881" s="174"/>
      <c r="B1881" s="174"/>
      <c r="C1881" s="174"/>
      <c r="D1881" s="174"/>
      <c r="E1881" s="174"/>
      <c r="F1881" s="175"/>
      <c r="G1881" s="175"/>
      <c r="H1881" s="174"/>
      <c r="I1881" s="174"/>
      <c r="J1881" s="174"/>
      <c r="K1881" s="174"/>
      <c r="L1881" s="174"/>
      <c r="M1881" s="174"/>
      <c r="N1881" s="174"/>
      <c r="O1881" s="174"/>
      <c r="P1881" s="174"/>
      <c r="Q1881" s="174"/>
      <c r="R1881" s="174"/>
      <c r="S1881" s="174"/>
      <c r="T1881" s="174"/>
      <c r="U1881" s="174"/>
      <c r="V1881" s="174"/>
      <c r="W1881" s="174"/>
      <c r="X1881" s="174"/>
      <c r="Y1881" s="174"/>
      <c r="Z1881" s="174"/>
      <c r="AA1881" s="174"/>
    </row>
    <row r="1882">
      <c r="A1882" s="174"/>
      <c r="B1882" s="174"/>
      <c r="C1882" s="174"/>
      <c r="D1882" s="174"/>
      <c r="E1882" s="174"/>
      <c r="F1882" s="175"/>
      <c r="G1882" s="175"/>
      <c r="H1882" s="174"/>
      <c r="I1882" s="174"/>
      <c r="J1882" s="174"/>
      <c r="K1882" s="174"/>
      <c r="L1882" s="174"/>
      <c r="M1882" s="174"/>
      <c r="N1882" s="174"/>
      <c r="O1882" s="174"/>
      <c r="P1882" s="174"/>
      <c r="Q1882" s="174"/>
      <c r="R1882" s="174"/>
      <c r="S1882" s="174"/>
      <c r="T1882" s="174"/>
      <c r="U1882" s="174"/>
      <c r="V1882" s="174"/>
      <c r="W1882" s="174"/>
      <c r="X1882" s="174"/>
      <c r="Y1882" s="174"/>
      <c r="Z1882" s="174"/>
      <c r="AA1882" s="174"/>
    </row>
    <row r="1883">
      <c r="A1883" s="174"/>
      <c r="B1883" s="174"/>
      <c r="C1883" s="174"/>
      <c r="D1883" s="174"/>
      <c r="E1883" s="174"/>
      <c r="F1883" s="175"/>
      <c r="G1883" s="175"/>
      <c r="H1883" s="174"/>
      <c r="I1883" s="174"/>
      <c r="J1883" s="174"/>
      <c r="K1883" s="174"/>
      <c r="L1883" s="174"/>
      <c r="M1883" s="174"/>
      <c r="N1883" s="174"/>
      <c r="O1883" s="174"/>
      <c r="P1883" s="174"/>
      <c r="Q1883" s="174"/>
      <c r="R1883" s="174"/>
      <c r="S1883" s="174"/>
      <c r="T1883" s="174"/>
      <c r="U1883" s="174"/>
      <c r="V1883" s="174"/>
      <c r="W1883" s="174"/>
      <c r="X1883" s="174"/>
      <c r="Y1883" s="174"/>
      <c r="Z1883" s="174"/>
      <c r="AA1883" s="174"/>
    </row>
    <row r="1884">
      <c r="A1884" s="174"/>
      <c r="B1884" s="174"/>
      <c r="C1884" s="174"/>
      <c r="D1884" s="174"/>
      <c r="E1884" s="174"/>
      <c r="F1884" s="175"/>
      <c r="G1884" s="175"/>
      <c r="H1884" s="174"/>
      <c r="I1884" s="174"/>
      <c r="J1884" s="174"/>
      <c r="K1884" s="174"/>
      <c r="L1884" s="174"/>
      <c r="M1884" s="174"/>
      <c r="N1884" s="174"/>
      <c r="O1884" s="174"/>
      <c r="P1884" s="174"/>
      <c r="Q1884" s="174"/>
      <c r="R1884" s="174"/>
      <c r="S1884" s="174"/>
      <c r="T1884" s="174"/>
      <c r="U1884" s="174"/>
      <c r="V1884" s="174"/>
      <c r="W1884" s="174"/>
      <c r="X1884" s="174"/>
      <c r="Y1884" s="174"/>
      <c r="Z1884" s="174"/>
      <c r="AA1884" s="174"/>
    </row>
    <row r="1885">
      <c r="A1885" s="174"/>
      <c r="B1885" s="174"/>
      <c r="C1885" s="174"/>
      <c r="D1885" s="174"/>
      <c r="E1885" s="174"/>
      <c r="F1885" s="175"/>
      <c r="G1885" s="175"/>
      <c r="H1885" s="174"/>
      <c r="I1885" s="174"/>
      <c r="J1885" s="174"/>
      <c r="K1885" s="174"/>
      <c r="L1885" s="174"/>
      <c r="M1885" s="174"/>
      <c r="N1885" s="174"/>
      <c r="O1885" s="174"/>
      <c r="P1885" s="174"/>
      <c r="Q1885" s="174"/>
      <c r="R1885" s="174"/>
      <c r="S1885" s="174"/>
      <c r="T1885" s="174"/>
      <c r="U1885" s="174"/>
      <c r="V1885" s="174"/>
      <c r="W1885" s="174"/>
      <c r="X1885" s="174"/>
      <c r="Y1885" s="174"/>
      <c r="Z1885" s="174"/>
      <c r="AA1885" s="174"/>
    </row>
    <row r="1886">
      <c r="A1886" s="174"/>
      <c r="B1886" s="174"/>
      <c r="C1886" s="174"/>
      <c r="D1886" s="174"/>
      <c r="E1886" s="174"/>
      <c r="F1886" s="175"/>
      <c r="G1886" s="175"/>
      <c r="H1886" s="174"/>
      <c r="I1886" s="174"/>
      <c r="J1886" s="174"/>
      <c r="K1886" s="174"/>
      <c r="L1886" s="174"/>
      <c r="M1886" s="174"/>
      <c r="N1886" s="174"/>
      <c r="O1886" s="174"/>
      <c r="P1886" s="174"/>
      <c r="Q1886" s="174"/>
      <c r="R1886" s="174"/>
      <c r="S1886" s="174"/>
      <c r="T1886" s="174"/>
      <c r="U1886" s="174"/>
      <c r="V1886" s="174"/>
      <c r="W1886" s="174"/>
      <c r="X1886" s="174"/>
      <c r="Y1886" s="174"/>
      <c r="Z1886" s="174"/>
      <c r="AA1886" s="174"/>
    </row>
    <row r="1887">
      <c r="A1887" s="174"/>
      <c r="B1887" s="174"/>
      <c r="C1887" s="174"/>
      <c r="D1887" s="174"/>
      <c r="E1887" s="174"/>
      <c r="F1887" s="175"/>
      <c r="G1887" s="175"/>
      <c r="H1887" s="174"/>
      <c r="I1887" s="174"/>
      <c r="J1887" s="174"/>
      <c r="K1887" s="174"/>
      <c r="L1887" s="174"/>
      <c r="M1887" s="174"/>
      <c r="N1887" s="174"/>
      <c r="O1887" s="174"/>
      <c r="P1887" s="174"/>
      <c r="Q1887" s="174"/>
      <c r="R1887" s="174"/>
      <c r="S1887" s="174"/>
      <c r="T1887" s="174"/>
      <c r="U1887" s="174"/>
      <c r="V1887" s="174"/>
      <c r="W1887" s="174"/>
      <c r="X1887" s="174"/>
      <c r="Y1887" s="174"/>
      <c r="Z1887" s="174"/>
      <c r="AA1887" s="174"/>
    </row>
    <row r="1888">
      <c r="A1888" s="174"/>
      <c r="B1888" s="174"/>
      <c r="C1888" s="174"/>
      <c r="D1888" s="174"/>
      <c r="E1888" s="174"/>
      <c r="F1888" s="175"/>
      <c r="G1888" s="175"/>
      <c r="H1888" s="174"/>
      <c r="I1888" s="174"/>
      <c r="J1888" s="174"/>
      <c r="K1888" s="174"/>
      <c r="L1888" s="174"/>
      <c r="M1888" s="174"/>
      <c r="N1888" s="174"/>
      <c r="O1888" s="174"/>
      <c r="P1888" s="174"/>
      <c r="Q1888" s="174"/>
      <c r="R1888" s="174"/>
      <c r="S1888" s="174"/>
      <c r="T1888" s="174"/>
      <c r="U1888" s="174"/>
      <c r="V1888" s="174"/>
      <c r="W1888" s="174"/>
      <c r="X1888" s="174"/>
      <c r="Y1888" s="174"/>
      <c r="Z1888" s="174"/>
      <c r="AA1888" s="174"/>
    </row>
    <row r="1889">
      <c r="A1889" s="174"/>
      <c r="B1889" s="174"/>
      <c r="C1889" s="174"/>
      <c r="D1889" s="174"/>
      <c r="E1889" s="174"/>
      <c r="F1889" s="175"/>
      <c r="G1889" s="175"/>
      <c r="H1889" s="174"/>
      <c r="I1889" s="174"/>
      <c r="J1889" s="174"/>
      <c r="K1889" s="174"/>
      <c r="L1889" s="174"/>
      <c r="M1889" s="174"/>
      <c r="N1889" s="174"/>
      <c r="O1889" s="174"/>
      <c r="P1889" s="174"/>
      <c r="Q1889" s="174"/>
      <c r="R1889" s="174"/>
      <c r="S1889" s="174"/>
      <c r="T1889" s="174"/>
      <c r="U1889" s="174"/>
      <c r="V1889" s="174"/>
      <c r="W1889" s="174"/>
      <c r="X1889" s="174"/>
      <c r="Y1889" s="174"/>
      <c r="Z1889" s="174"/>
      <c r="AA1889" s="174"/>
    </row>
    <row r="1890">
      <c r="A1890" s="174"/>
      <c r="B1890" s="174"/>
      <c r="C1890" s="174"/>
      <c r="D1890" s="174"/>
      <c r="E1890" s="174"/>
      <c r="F1890" s="175"/>
      <c r="G1890" s="175"/>
      <c r="H1890" s="174"/>
      <c r="I1890" s="174"/>
      <c r="J1890" s="174"/>
      <c r="K1890" s="174"/>
      <c r="L1890" s="174"/>
      <c r="M1890" s="174"/>
      <c r="N1890" s="174"/>
      <c r="O1890" s="174"/>
      <c r="P1890" s="174"/>
      <c r="Q1890" s="174"/>
      <c r="R1890" s="174"/>
      <c r="S1890" s="174"/>
      <c r="T1890" s="174"/>
      <c r="U1890" s="174"/>
      <c r="V1890" s="174"/>
      <c r="W1890" s="174"/>
      <c r="X1890" s="174"/>
      <c r="Y1890" s="174"/>
      <c r="Z1890" s="174"/>
      <c r="AA1890" s="174"/>
    </row>
    <row r="1891">
      <c r="A1891" s="174"/>
      <c r="B1891" s="174"/>
      <c r="C1891" s="174"/>
      <c r="D1891" s="174"/>
      <c r="E1891" s="174"/>
      <c r="F1891" s="175"/>
      <c r="G1891" s="175"/>
      <c r="H1891" s="174"/>
      <c r="I1891" s="174"/>
      <c r="J1891" s="174"/>
      <c r="K1891" s="174"/>
      <c r="L1891" s="174"/>
      <c r="M1891" s="174"/>
      <c r="N1891" s="174"/>
      <c r="O1891" s="174"/>
      <c r="P1891" s="174"/>
      <c r="Q1891" s="174"/>
      <c r="R1891" s="174"/>
      <c r="S1891" s="174"/>
      <c r="T1891" s="174"/>
      <c r="U1891" s="174"/>
      <c r="V1891" s="174"/>
      <c r="W1891" s="174"/>
      <c r="X1891" s="174"/>
      <c r="Y1891" s="174"/>
      <c r="Z1891" s="174"/>
      <c r="AA1891" s="174"/>
    </row>
    <row r="1892">
      <c r="A1892" s="174"/>
      <c r="B1892" s="174"/>
      <c r="C1892" s="174"/>
      <c r="D1892" s="174"/>
      <c r="E1892" s="174"/>
      <c r="F1892" s="175"/>
      <c r="G1892" s="175"/>
      <c r="H1892" s="174"/>
      <c r="I1892" s="174"/>
      <c r="J1892" s="174"/>
      <c r="K1892" s="174"/>
      <c r="L1892" s="174"/>
      <c r="M1892" s="174"/>
      <c r="N1892" s="174"/>
      <c r="O1892" s="174"/>
      <c r="P1892" s="174"/>
      <c r="Q1892" s="174"/>
      <c r="R1892" s="174"/>
      <c r="S1892" s="174"/>
      <c r="T1892" s="174"/>
      <c r="U1892" s="174"/>
      <c r="V1892" s="174"/>
      <c r="W1892" s="174"/>
      <c r="X1892" s="174"/>
      <c r="Y1892" s="174"/>
      <c r="Z1892" s="174"/>
      <c r="AA1892" s="174"/>
    </row>
    <row r="1893">
      <c r="A1893" s="174"/>
      <c r="B1893" s="174"/>
      <c r="C1893" s="174"/>
      <c r="D1893" s="174"/>
      <c r="E1893" s="174"/>
      <c r="F1893" s="175"/>
      <c r="G1893" s="175"/>
      <c r="H1893" s="174"/>
      <c r="I1893" s="174"/>
      <c r="J1893" s="174"/>
      <c r="K1893" s="174"/>
      <c r="L1893" s="174"/>
      <c r="M1893" s="174"/>
      <c r="N1893" s="174"/>
      <c r="O1893" s="174"/>
      <c r="P1893" s="174"/>
      <c r="Q1893" s="174"/>
      <c r="R1893" s="174"/>
      <c r="S1893" s="174"/>
      <c r="T1893" s="174"/>
      <c r="U1893" s="174"/>
      <c r="V1893" s="174"/>
      <c r="W1893" s="174"/>
      <c r="X1893" s="174"/>
      <c r="Y1893" s="174"/>
      <c r="Z1893" s="174"/>
      <c r="AA1893" s="174"/>
    </row>
    <row r="1894">
      <c r="A1894" s="174"/>
      <c r="B1894" s="174"/>
      <c r="C1894" s="174"/>
      <c r="D1894" s="174"/>
      <c r="E1894" s="174"/>
      <c r="F1894" s="175"/>
      <c r="G1894" s="175"/>
      <c r="H1894" s="174"/>
      <c r="I1894" s="174"/>
      <c r="J1894" s="174"/>
      <c r="K1894" s="174"/>
      <c r="L1894" s="174"/>
      <c r="M1894" s="174"/>
      <c r="N1894" s="174"/>
      <c r="O1894" s="174"/>
      <c r="P1894" s="174"/>
      <c r="Q1894" s="174"/>
      <c r="R1894" s="174"/>
      <c r="S1894" s="174"/>
      <c r="T1894" s="174"/>
      <c r="U1894" s="174"/>
      <c r="V1894" s="174"/>
      <c r="W1894" s="174"/>
      <c r="X1894" s="174"/>
      <c r="Y1894" s="174"/>
      <c r="Z1894" s="174"/>
      <c r="AA1894" s="174"/>
    </row>
    <row r="1895">
      <c r="A1895" s="174"/>
      <c r="B1895" s="174"/>
      <c r="C1895" s="174"/>
      <c r="D1895" s="174"/>
      <c r="E1895" s="174"/>
      <c r="F1895" s="175"/>
      <c r="G1895" s="175"/>
      <c r="H1895" s="174"/>
      <c r="I1895" s="174"/>
      <c r="J1895" s="174"/>
      <c r="K1895" s="174"/>
      <c r="L1895" s="174"/>
      <c r="M1895" s="174"/>
      <c r="N1895" s="174"/>
      <c r="O1895" s="174"/>
      <c r="P1895" s="174"/>
      <c r="Q1895" s="174"/>
      <c r="R1895" s="174"/>
      <c r="S1895" s="174"/>
      <c r="T1895" s="174"/>
      <c r="U1895" s="174"/>
      <c r="V1895" s="174"/>
      <c r="W1895" s="174"/>
      <c r="X1895" s="174"/>
      <c r="Y1895" s="174"/>
      <c r="Z1895" s="174"/>
      <c r="AA1895" s="174"/>
    </row>
    <row r="1896">
      <c r="A1896" s="174"/>
      <c r="B1896" s="174"/>
      <c r="C1896" s="174"/>
      <c r="D1896" s="174"/>
      <c r="E1896" s="174"/>
      <c r="F1896" s="175"/>
      <c r="G1896" s="175"/>
      <c r="H1896" s="174"/>
      <c r="I1896" s="174"/>
      <c r="J1896" s="174"/>
      <c r="K1896" s="174"/>
      <c r="L1896" s="174"/>
      <c r="M1896" s="174"/>
      <c r="N1896" s="174"/>
      <c r="O1896" s="174"/>
      <c r="P1896" s="174"/>
      <c r="Q1896" s="174"/>
      <c r="R1896" s="174"/>
      <c r="S1896" s="174"/>
      <c r="T1896" s="174"/>
      <c r="U1896" s="174"/>
      <c r="V1896" s="174"/>
      <c r="W1896" s="174"/>
      <c r="X1896" s="174"/>
      <c r="Y1896" s="174"/>
      <c r="Z1896" s="174"/>
      <c r="AA1896" s="174"/>
    </row>
    <row r="1897">
      <c r="A1897" s="174"/>
      <c r="B1897" s="174"/>
      <c r="C1897" s="174"/>
      <c r="D1897" s="174"/>
      <c r="E1897" s="174"/>
      <c r="F1897" s="175"/>
      <c r="G1897" s="175"/>
      <c r="H1897" s="174"/>
      <c r="I1897" s="174"/>
      <c r="J1897" s="174"/>
      <c r="K1897" s="174"/>
      <c r="L1897" s="174"/>
      <c r="M1897" s="174"/>
      <c r="N1897" s="174"/>
      <c r="O1897" s="174"/>
      <c r="P1897" s="174"/>
      <c r="Q1897" s="174"/>
      <c r="R1897" s="174"/>
      <c r="S1897" s="174"/>
      <c r="T1897" s="174"/>
      <c r="U1897" s="174"/>
      <c r="V1897" s="174"/>
      <c r="W1897" s="174"/>
      <c r="X1897" s="174"/>
      <c r="Y1897" s="174"/>
      <c r="Z1897" s="174"/>
      <c r="AA1897" s="174"/>
    </row>
    <row r="1898">
      <c r="A1898" s="174"/>
      <c r="B1898" s="174"/>
      <c r="C1898" s="174"/>
      <c r="D1898" s="174"/>
      <c r="E1898" s="174"/>
      <c r="F1898" s="175"/>
      <c r="G1898" s="175"/>
      <c r="H1898" s="174"/>
      <c r="I1898" s="174"/>
      <c r="J1898" s="174"/>
      <c r="K1898" s="174"/>
      <c r="L1898" s="174"/>
      <c r="M1898" s="174"/>
      <c r="N1898" s="174"/>
      <c r="O1898" s="174"/>
      <c r="P1898" s="174"/>
      <c r="Q1898" s="174"/>
      <c r="R1898" s="174"/>
      <c r="S1898" s="174"/>
      <c r="T1898" s="174"/>
      <c r="U1898" s="174"/>
      <c r="V1898" s="174"/>
      <c r="W1898" s="174"/>
      <c r="X1898" s="174"/>
      <c r="Y1898" s="174"/>
      <c r="Z1898" s="174"/>
      <c r="AA1898" s="174"/>
    </row>
    <row r="1899">
      <c r="A1899" s="174"/>
      <c r="B1899" s="174"/>
      <c r="C1899" s="174"/>
      <c r="D1899" s="174"/>
      <c r="E1899" s="174"/>
      <c r="F1899" s="175"/>
      <c r="G1899" s="175"/>
      <c r="H1899" s="174"/>
      <c r="I1899" s="174"/>
      <c r="J1899" s="174"/>
      <c r="K1899" s="174"/>
      <c r="L1899" s="174"/>
      <c r="M1899" s="174"/>
      <c r="N1899" s="174"/>
      <c r="O1899" s="174"/>
      <c r="P1899" s="174"/>
      <c r="Q1899" s="174"/>
      <c r="R1899" s="174"/>
      <c r="S1899" s="174"/>
      <c r="T1899" s="174"/>
      <c r="U1899" s="174"/>
      <c r="V1899" s="174"/>
      <c r="W1899" s="174"/>
      <c r="X1899" s="174"/>
      <c r="Y1899" s="174"/>
      <c r="Z1899" s="174"/>
      <c r="AA1899" s="174"/>
    </row>
    <row r="1900">
      <c r="A1900" s="174"/>
      <c r="B1900" s="174"/>
      <c r="C1900" s="174"/>
      <c r="D1900" s="174"/>
      <c r="E1900" s="174"/>
      <c r="F1900" s="175"/>
      <c r="G1900" s="175"/>
      <c r="H1900" s="174"/>
      <c r="I1900" s="174"/>
      <c r="J1900" s="174"/>
      <c r="K1900" s="174"/>
      <c r="L1900" s="174"/>
      <c r="M1900" s="174"/>
      <c r="N1900" s="174"/>
      <c r="O1900" s="174"/>
      <c r="P1900" s="174"/>
      <c r="Q1900" s="174"/>
      <c r="R1900" s="174"/>
      <c r="S1900" s="174"/>
      <c r="T1900" s="174"/>
      <c r="U1900" s="174"/>
      <c r="V1900" s="174"/>
      <c r="W1900" s="174"/>
      <c r="X1900" s="174"/>
      <c r="Y1900" s="174"/>
      <c r="Z1900" s="174"/>
      <c r="AA1900" s="174"/>
    </row>
    <row r="1901">
      <c r="A1901" s="174"/>
      <c r="B1901" s="174"/>
      <c r="C1901" s="174"/>
      <c r="D1901" s="174"/>
      <c r="E1901" s="174"/>
      <c r="F1901" s="175"/>
      <c r="G1901" s="175"/>
      <c r="H1901" s="174"/>
      <c r="I1901" s="174"/>
      <c r="J1901" s="174"/>
      <c r="K1901" s="174"/>
      <c r="L1901" s="174"/>
      <c r="M1901" s="174"/>
      <c r="N1901" s="174"/>
      <c r="O1901" s="174"/>
      <c r="P1901" s="174"/>
      <c r="Q1901" s="174"/>
      <c r="R1901" s="174"/>
      <c r="S1901" s="174"/>
      <c r="T1901" s="174"/>
      <c r="U1901" s="174"/>
      <c r="V1901" s="174"/>
      <c r="W1901" s="174"/>
      <c r="X1901" s="174"/>
      <c r="Y1901" s="174"/>
      <c r="Z1901" s="174"/>
      <c r="AA1901" s="174"/>
    </row>
    <row r="1902">
      <c r="A1902" s="174"/>
      <c r="B1902" s="174"/>
      <c r="C1902" s="174"/>
      <c r="D1902" s="174"/>
      <c r="E1902" s="174"/>
      <c r="F1902" s="175"/>
      <c r="G1902" s="175"/>
      <c r="H1902" s="174"/>
      <c r="I1902" s="174"/>
      <c r="J1902" s="174"/>
      <c r="K1902" s="174"/>
      <c r="L1902" s="174"/>
      <c r="M1902" s="174"/>
      <c r="N1902" s="174"/>
      <c r="O1902" s="174"/>
      <c r="P1902" s="174"/>
      <c r="Q1902" s="174"/>
      <c r="R1902" s="174"/>
      <c r="S1902" s="174"/>
      <c r="T1902" s="174"/>
      <c r="U1902" s="174"/>
      <c r="V1902" s="174"/>
      <c r="W1902" s="174"/>
      <c r="X1902" s="174"/>
      <c r="Y1902" s="174"/>
      <c r="Z1902" s="174"/>
      <c r="AA1902" s="174"/>
    </row>
    <row r="1903">
      <c r="A1903" s="174"/>
      <c r="B1903" s="174"/>
      <c r="C1903" s="174"/>
      <c r="D1903" s="174"/>
      <c r="E1903" s="174"/>
      <c r="F1903" s="175"/>
      <c r="G1903" s="175"/>
      <c r="H1903" s="174"/>
      <c r="I1903" s="174"/>
      <c r="J1903" s="174"/>
      <c r="K1903" s="174"/>
      <c r="L1903" s="174"/>
      <c r="M1903" s="174"/>
      <c r="N1903" s="174"/>
      <c r="O1903" s="174"/>
      <c r="P1903" s="174"/>
      <c r="Q1903" s="174"/>
      <c r="R1903" s="174"/>
      <c r="S1903" s="174"/>
      <c r="T1903" s="174"/>
      <c r="U1903" s="174"/>
      <c r="V1903" s="174"/>
      <c r="W1903" s="174"/>
      <c r="X1903" s="174"/>
      <c r="Y1903" s="174"/>
      <c r="Z1903" s="174"/>
      <c r="AA1903" s="174"/>
    </row>
    <row r="1904">
      <c r="A1904" s="174"/>
      <c r="B1904" s="174"/>
      <c r="C1904" s="174"/>
      <c r="D1904" s="174"/>
      <c r="E1904" s="174"/>
      <c r="F1904" s="175"/>
      <c r="G1904" s="175"/>
      <c r="H1904" s="174"/>
      <c r="I1904" s="174"/>
      <c r="J1904" s="174"/>
      <c r="K1904" s="174"/>
      <c r="L1904" s="174"/>
      <c r="M1904" s="174"/>
      <c r="N1904" s="174"/>
      <c r="O1904" s="174"/>
      <c r="P1904" s="174"/>
      <c r="Q1904" s="174"/>
      <c r="R1904" s="174"/>
      <c r="S1904" s="174"/>
      <c r="T1904" s="174"/>
      <c r="U1904" s="174"/>
      <c r="V1904" s="174"/>
      <c r="W1904" s="174"/>
      <c r="X1904" s="174"/>
      <c r="Y1904" s="174"/>
      <c r="Z1904" s="174"/>
      <c r="AA1904" s="174"/>
    </row>
    <row r="1905">
      <c r="A1905" s="174"/>
      <c r="B1905" s="174"/>
      <c r="C1905" s="174"/>
      <c r="D1905" s="174"/>
      <c r="E1905" s="174"/>
      <c r="F1905" s="175"/>
      <c r="G1905" s="175"/>
      <c r="H1905" s="174"/>
      <c r="I1905" s="174"/>
      <c r="J1905" s="174"/>
      <c r="K1905" s="174"/>
      <c r="L1905" s="174"/>
      <c r="M1905" s="174"/>
      <c r="N1905" s="174"/>
      <c r="O1905" s="174"/>
      <c r="P1905" s="174"/>
      <c r="Q1905" s="174"/>
      <c r="R1905" s="174"/>
      <c r="S1905" s="174"/>
      <c r="T1905" s="174"/>
      <c r="U1905" s="174"/>
      <c r="V1905" s="174"/>
      <c r="W1905" s="174"/>
      <c r="X1905" s="174"/>
      <c r="Y1905" s="174"/>
      <c r="Z1905" s="174"/>
      <c r="AA1905" s="174"/>
    </row>
    <row r="1906">
      <c r="A1906" s="174"/>
      <c r="B1906" s="174"/>
      <c r="C1906" s="174"/>
      <c r="D1906" s="174"/>
      <c r="E1906" s="174"/>
      <c r="F1906" s="175"/>
      <c r="G1906" s="175"/>
      <c r="H1906" s="174"/>
      <c r="I1906" s="174"/>
      <c r="J1906" s="174"/>
      <c r="K1906" s="174"/>
      <c r="L1906" s="174"/>
      <c r="M1906" s="174"/>
      <c r="N1906" s="174"/>
      <c r="O1906" s="174"/>
      <c r="P1906" s="174"/>
      <c r="Q1906" s="174"/>
      <c r="R1906" s="174"/>
      <c r="S1906" s="174"/>
      <c r="T1906" s="174"/>
      <c r="U1906" s="174"/>
      <c r="V1906" s="174"/>
      <c r="W1906" s="174"/>
      <c r="X1906" s="174"/>
      <c r="Y1906" s="174"/>
      <c r="Z1906" s="174"/>
      <c r="AA1906" s="174"/>
    </row>
    <row r="1907">
      <c r="A1907" s="174"/>
      <c r="B1907" s="174"/>
      <c r="C1907" s="174"/>
      <c r="D1907" s="174"/>
      <c r="E1907" s="174"/>
      <c r="F1907" s="175"/>
      <c r="G1907" s="175"/>
      <c r="H1907" s="174"/>
      <c r="I1907" s="174"/>
      <c r="J1907" s="174"/>
      <c r="K1907" s="174"/>
      <c r="L1907" s="174"/>
      <c r="M1907" s="174"/>
      <c r="N1907" s="174"/>
      <c r="O1907" s="174"/>
      <c r="P1907" s="174"/>
      <c r="Q1907" s="174"/>
      <c r="R1907" s="174"/>
      <c r="S1907" s="174"/>
      <c r="T1907" s="174"/>
      <c r="U1907" s="174"/>
      <c r="V1907" s="174"/>
      <c r="W1907" s="174"/>
      <c r="X1907" s="174"/>
      <c r="Y1907" s="174"/>
      <c r="Z1907" s="174"/>
      <c r="AA1907" s="174"/>
    </row>
    <row r="1908">
      <c r="A1908" s="174"/>
      <c r="B1908" s="174"/>
      <c r="C1908" s="174"/>
      <c r="D1908" s="174"/>
      <c r="E1908" s="174"/>
      <c r="F1908" s="175"/>
      <c r="G1908" s="175"/>
      <c r="H1908" s="174"/>
      <c r="I1908" s="174"/>
      <c r="J1908" s="174"/>
      <c r="K1908" s="174"/>
      <c r="L1908" s="174"/>
      <c r="M1908" s="174"/>
      <c r="N1908" s="174"/>
      <c r="O1908" s="174"/>
      <c r="P1908" s="174"/>
      <c r="Q1908" s="174"/>
      <c r="R1908" s="174"/>
      <c r="S1908" s="174"/>
      <c r="T1908" s="174"/>
      <c r="U1908" s="174"/>
      <c r="V1908" s="174"/>
      <c r="W1908" s="174"/>
      <c r="X1908" s="174"/>
      <c r="Y1908" s="174"/>
      <c r="Z1908" s="174"/>
      <c r="AA1908" s="174"/>
    </row>
    <row r="1909">
      <c r="A1909" s="174"/>
      <c r="B1909" s="174"/>
      <c r="C1909" s="174"/>
      <c r="D1909" s="174"/>
      <c r="E1909" s="174"/>
      <c r="F1909" s="175"/>
      <c r="G1909" s="175"/>
      <c r="H1909" s="174"/>
      <c r="I1909" s="174"/>
      <c r="J1909" s="174"/>
      <c r="K1909" s="174"/>
      <c r="L1909" s="174"/>
      <c r="M1909" s="174"/>
      <c r="N1909" s="174"/>
      <c r="O1909" s="174"/>
      <c r="P1909" s="174"/>
      <c r="Q1909" s="174"/>
      <c r="R1909" s="174"/>
      <c r="S1909" s="174"/>
      <c r="T1909" s="174"/>
      <c r="U1909" s="174"/>
      <c r="V1909" s="174"/>
      <c r="W1909" s="174"/>
      <c r="X1909" s="174"/>
      <c r="Y1909" s="174"/>
      <c r="Z1909" s="174"/>
      <c r="AA1909" s="174"/>
    </row>
    <row r="1910">
      <c r="A1910" s="174"/>
      <c r="B1910" s="174"/>
      <c r="C1910" s="174"/>
      <c r="D1910" s="174"/>
      <c r="E1910" s="174"/>
      <c r="F1910" s="175"/>
      <c r="G1910" s="175"/>
      <c r="H1910" s="174"/>
      <c r="I1910" s="174"/>
      <c r="J1910" s="174"/>
      <c r="K1910" s="174"/>
      <c r="L1910" s="174"/>
      <c r="M1910" s="174"/>
      <c r="N1910" s="174"/>
      <c r="O1910" s="174"/>
      <c r="P1910" s="174"/>
      <c r="Q1910" s="174"/>
      <c r="R1910" s="174"/>
      <c r="S1910" s="174"/>
      <c r="T1910" s="174"/>
      <c r="U1910" s="174"/>
      <c r="V1910" s="174"/>
      <c r="W1910" s="174"/>
      <c r="X1910" s="174"/>
      <c r="Y1910" s="174"/>
      <c r="Z1910" s="174"/>
      <c r="AA1910" s="174"/>
    </row>
    <row r="1911">
      <c r="A1911" s="174"/>
      <c r="B1911" s="174"/>
      <c r="C1911" s="174"/>
      <c r="D1911" s="174"/>
      <c r="E1911" s="174"/>
      <c r="F1911" s="175"/>
      <c r="G1911" s="175"/>
      <c r="H1911" s="174"/>
      <c r="I1911" s="174"/>
      <c r="J1911" s="174"/>
      <c r="K1911" s="174"/>
      <c r="L1911" s="174"/>
      <c r="M1911" s="174"/>
      <c r="N1911" s="174"/>
      <c r="O1911" s="174"/>
      <c r="P1911" s="174"/>
      <c r="Q1911" s="174"/>
      <c r="R1911" s="174"/>
      <c r="S1911" s="174"/>
      <c r="T1911" s="174"/>
      <c r="U1911" s="174"/>
      <c r="V1911" s="174"/>
      <c r="W1911" s="174"/>
      <c r="X1911" s="174"/>
      <c r="Y1911" s="174"/>
      <c r="Z1911" s="174"/>
      <c r="AA1911" s="174"/>
    </row>
    <row r="1912">
      <c r="A1912" s="174"/>
      <c r="B1912" s="174"/>
      <c r="C1912" s="174"/>
      <c r="D1912" s="174"/>
      <c r="E1912" s="174"/>
      <c r="F1912" s="175"/>
      <c r="G1912" s="175"/>
      <c r="H1912" s="174"/>
      <c r="I1912" s="174"/>
      <c r="J1912" s="174"/>
      <c r="K1912" s="174"/>
      <c r="L1912" s="174"/>
      <c r="M1912" s="174"/>
      <c r="N1912" s="174"/>
      <c r="O1912" s="174"/>
      <c r="P1912" s="174"/>
      <c r="Q1912" s="174"/>
      <c r="R1912" s="174"/>
      <c r="S1912" s="174"/>
      <c r="T1912" s="174"/>
      <c r="U1912" s="174"/>
      <c r="V1912" s="174"/>
      <c r="W1912" s="174"/>
      <c r="X1912" s="174"/>
      <c r="Y1912" s="174"/>
      <c r="Z1912" s="174"/>
      <c r="AA1912" s="174"/>
    </row>
    <row r="1913">
      <c r="A1913" s="174"/>
      <c r="B1913" s="174"/>
      <c r="C1913" s="174"/>
      <c r="D1913" s="174"/>
      <c r="E1913" s="174"/>
      <c r="F1913" s="175"/>
      <c r="G1913" s="175"/>
      <c r="H1913" s="174"/>
      <c r="I1913" s="174"/>
      <c r="J1913" s="174"/>
      <c r="K1913" s="174"/>
      <c r="L1913" s="174"/>
      <c r="M1913" s="174"/>
      <c r="N1913" s="174"/>
      <c r="O1913" s="174"/>
      <c r="P1913" s="174"/>
      <c r="Q1913" s="174"/>
      <c r="R1913" s="174"/>
      <c r="S1913" s="174"/>
      <c r="T1913" s="174"/>
      <c r="U1913" s="174"/>
      <c r="V1913" s="174"/>
      <c r="W1913" s="174"/>
      <c r="X1913" s="174"/>
      <c r="Y1913" s="174"/>
      <c r="Z1913" s="174"/>
      <c r="AA1913" s="174"/>
    </row>
    <row r="1914">
      <c r="A1914" s="174"/>
      <c r="B1914" s="174"/>
      <c r="C1914" s="174"/>
      <c r="D1914" s="174"/>
      <c r="E1914" s="174"/>
      <c r="F1914" s="175"/>
      <c r="G1914" s="175"/>
      <c r="H1914" s="174"/>
      <c r="I1914" s="174"/>
      <c r="J1914" s="174"/>
      <c r="K1914" s="174"/>
      <c r="L1914" s="174"/>
      <c r="M1914" s="174"/>
      <c r="N1914" s="174"/>
      <c r="O1914" s="174"/>
      <c r="P1914" s="174"/>
      <c r="Q1914" s="174"/>
      <c r="R1914" s="174"/>
      <c r="S1914" s="174"/>
      <c r="T1914" s="174"/>
      <c r="U1914" s="174"/>
      <c r="V1914" s="174"/>
      <c r="W1914" s="174"/>
      <c r="X1914" s="174"/>
      <c r="Y1914" s="174"/>
      <c r="Z1914" s="174"/>
      <c r="AA1914" s="174"/>
    </row>
    <row r="1915">
      <c r="A1915" s="174"/>
      <c r="B1915" s="174"/>
      <c r="C1915" s="174"/>
      <c r="D1915" s="174"/>
      <c r="E1915" s="174"/>
      <c r="F1915" s="175"/>
      <c r="G1915" s="175"/>
      <c r="H1915" s="174"/>
      <c r="I1915" s="174"/>
      <c r="J1915" s="174"/>
      <c r="K1915" s="174"/>
      <c r="L1915" s="174"/>
      <c r="M1915" s="174"/>
      <c r="N1915" s="174"/>
      <c r="O1915" s="174"/>
      <c r="P1915" s="174"/>
      <c r="Q1915" s="174"/>
      <c r="R1915" s="174"/>
      <c r="S1915" s="174"/>
      <c r="T1915" s="174"/>
      <c r="U1915" s="174"/>
      <c r="V1915" s="174"/>
      <c r="W1915" s="174"/>
      <c r="X1915" s="174"/>
      <c r="Y1915" s="174"/>
      <c r="Z1915" s="174"/>
      <c r="AA1915" s="174"/>
    </row>
    <row r="1916">
      <c r="A1916" s="174"/>
      <c r="B1916" s="174"/>
      <c r="C1916" s="174"/>
      <c r="D1916" s="174"/>
      <c r="E1916" s="174"/>
      <c r="F1916" s="175"/>
      <c r="G1916" s="175"/>
      <c r="H1916" s="174"/>
      <c r="I1916" s="174"/>
      <c r="J1916" s="174"/>
      <c r="K1916" s="174"/>
      <c r="L1916" s="174"/>
      <c r="M1916" s="174"/>
      <c r="N1916" s="174"/>
      <c r="O1916" s="174"/>
      <c r="P1916" s="174"/>
      <c r="Q1916" s="174"/>
      <c r="R1916" s="174"/>
      <c r="S1916" s="174"/>
      <c r="T1916" s="174"/>
      <c r="U1916" s="174"/>
      <c r="V1916" s="174"/>
      <c r="W1916" s="174"/>
      <c r="X1916" s="174"/>
      <c r="Y1916" s="174"/>
      <c r="Z1916" s="174"/>
      <c r="AA1916" s="174"/>
    </row>
    <row r="1917">
      <c r="A1917" s="174"/>
      <c r="B1917" s="174"/>
      <c r="C1917" s="174"/>
      <c r="D1917" s="174"/>
      <c r="E1917" s="174"/>
      <c r="F1917" s="175"/>
      <c r="G1917" s="175"/>
      <c r="H1917" s="174"/>
      <c r="I1917" s="174"/>
      <c r="J1917" s="174"/>
      <c r="K1917" s="174"/>
      <c r="L1917" s="174"/>
      <c r="M1917" s="174"/>
      <c r="N1917" s="174"/>
      <c r="O1917" s="174"/>
      <c r="P1917" s="174"/>
      <c r="Q1917" s="174"/>
      <c r="R1917" s="174"/>
      <c r="S1917" s="174"/>
      <c r="T1917" s="174"/>
      <c r="U1917" s="174"/>
      <c r="V1917" s="174"/>
      <c r="W1917" s="174"/>
      <c r="X1917" s="174"/>
      <c r="Y1917" s="174"/>
      <c r="Z1917" s="174"/>
      <c r="AA1917" s="174"/>
    </row>
    <row r="1918">
      <c r="A1918" s="174"/>
      <c r="B1918" s="174"/>
      <c r="C1918" s="174"/>
      <c r="D1918" s="174"/>
      <c r="E1918" s="174"/>
      <c r="F1918" s="175"/>
      <c r="G1918" s="175"/>
      <c r="H1918" s="174"/>
      <c r="I1918" s="174"/>
      <c r="J1918" s="174"/>
      <c r="K1918" s="174"/>
      <c r="L1918" s="174"/>
      <c r="M1918" s="174"/>
      <c r="N1918" s="174"/>
      <c r="O1918" s="174"/>
      <c r="P1918" s="174"/>
      <c r="Q1918" s="174"/>
      <c r="R1918" s="174"/>
      <c r="S1918" s="174"/>
      <c r="T1918" s="174"/>
      <c r="U1918" s="174"/>
      <c r="V1918" s="174"/>
      <c r="W1918" s="174"/>
      <c r="X1918" s="174"/>
      <c r="Y1918" s="174"/>
      <c r="Z1918" s="174"/>
      <c r="AA1918" s="174"/>
    </row>
    <row r="1919">
      <c r="A1919" s="174"/>
      <c r="B1919" s="174"/>
      <c r="C1919" s="174"/>
      <c r="D1919" s="174"/>
      <c r="E1919" s="174"/>
      <c r="F1919" s="175"/>
      <c r="G1919" s="175"/>
      <c r="H1919" s="174"/>
      <c r="I1919" s="174"/>
      <c r="J1919" s="174"/>
      <c r="K1919" s="174"/>
      <c r="L1919" s="174"/>
      <c r="M1919" s="174"/>
      <c r="N1919" s="174"/>
      <c r="O1919" s="174"/>
      <c r="P1919" s="174"/>
      <c r="Q1919" s="174"/>
      <c r="R1919" s="174"/>
      <c r="S1919" s="174"/>
      <c r="T1919" s="174"/>
      <c r="U1919" s="174"/>
      <c r="V1919" s="174"/>
      <c r="W1919" s="174"/>
      <c r="X1919" s="174"/>
      <c r="Y1919" s="174"/>
      <c r="Z1919" s="174"/>
      <c r="AA1919" s="174"/>
    </row>
    <row r="1920">
      <c r="A1920" s="174"/>
      <c r="B1920" s="174"/>
      <c r="C1920" s="174"/>
      <c r="D1920" s="174"/>
      <c r="E1920" s="174"/>
      <c r="F1920" s="175"/>
      <c r="G1920" s="175"/>
      <c r="H1920" s="174"/>
      <c r="I1920" s="174"/>
      <c r="J1920" s="174"/>
      <c r="K1920" s="174"/>
      <c r="L1920" s="174"/>
      <c r="M1920" s="174"/>
      <c r="N1920" s="174"/>
      <c r="O1920" s="174"/>
      <c r="P1920" s="174"/>
      <c r="Q1920" s="174"/>
      <c r="R1920" s="174"/>
      <c r="S1920" s="174"/>
      <c r="T1920" s="174"/>
      <c r="U1920" s="174"/>
      <c r="V1920" s="174"/>
      <c r="W1920" s="174"/>
      <c r="X1920" s="174"/>
      <c r="Y1920" s="174"/>
      <c r="Z1920" s="174"/>
      <c r="AA1920" s="174"/>
    </row>
    <row r="1921">
      <c r="A1921" s="174"/>
      <c r="B1921" s="174"/>
      <c r="C1921" s="174"/>
      <c r="D1921" s="174"/>
      <c r="E1921" s="174"/>
      <c r="F1921" s="175"/>
      <c r="G1921" s="175"/>
      <c r="H1921" s="174"/>
      <c r="I1921" s="174"/>
      <c r="J1921" s="174"/>
      <c r="K1921" s="174"/>
      <c r="L1921" s="174"/>
      <c r="M1921" s="174"/>
      <c r="N1921" s="174"/>
      <c r="O1921" s="174"/>
      <c r="P1921" s="174"/>
      <c r="Q1921" s="174"/>
      <c r="R1921" s="174"/>
      <c r="S1921" s="174"/>
      <c r="T1921" s="174"/>
      <c r="U1921" s="174"/>
      <c r="V1921" s="174"/>
      <c r="W1921" s="174"/>
      <c r="X1921" s="174"/>
      <c r="Y1921" s="174"/>
      <c r="Z1921" s="174"/>
      <c r="AA1921" s="174"/>
    </row>
    <row r="1922">
      <c r="A1922" s="174"/>
      <c r="B1922" s="174"/>
      <c r="C1922" s="174"/>
      <c r="D1922" s="174"/>
      <c r="E1922" s="174"/>
      <c r="F1922" s="175"/>
      <c r="G1922" s="175"/>
      <c r="H1922" s="174"/>
      <c r="I1922" s="174"/>
      <c r="J1922" s="174"/>
      <c r="K1922" s="174"/>
      <c r="L1922" s="174"/>
      <c r="M1922" s="174"/>
      <c r="N1922" s="174"/>
      <c r="O1922" s="174"/>
      <c r="P1922" s="174"/>
      <c r="Q1922" s="174"/>
      <c r="R1922" s="174"/>
      <c r="S1922" s="174"/>
      <c r="T1922" s="174"/>
      <c r="U1922" s="174"/>
      <c r="V1922" s="174"/>
      <c r="W1922" s="174"/>
      <c r="X1922" s="174"/>
      <c r="Y1922" s="174"/>
      <c r="Z1922" s="174"/>
      <c r="AA1922" s="174"/>
    </row>
    <row r="1923">
      <c r="A1923" s="174"/>
      <c r="B1923" s="174"/>
      <c r="C1923" s="174"/>
      <c r="D1923" s="174"/>
      <c r="E1923" s="174"/>
      <c r="F1923" s="175"/>
      <c r="G1923" s="175"/>
      <c r="H1923" s="174"/>
      <c r="I1923" s="174"/>
      <c r="J1923" s="174"/>
      <c r="K1923" s="174"/>
      <c r="L1923" s="174"/>
      <c r="M1923" s="174"/>
      <c r="N1923" s="174"/>
      <c r="O1923" s="174"/>
      <c r="P1923" s="174"/>
      <c r="Q1923" s="174"/>
      <c r="R1923" s="174"/>
      <c r="S1923" s="174"/>
      <c r="T1923" s="174"/>
      <c r="U1923" s="174"/>
      <c r="V1923" s="174"/>
      <c r="W1923" s="174"/>
      <c r="X1923" s="174"/>
      <c r="Y1923" s="174"/>
      <c r="Z1923" s="174"/>
      <c r="AA1923" s="174"/>
    </row>
    <row r="1924">
      <c r="A1924" s="174"/>
      <c r="B1924" s="174"/>
      <c r="C1924" s="174"/>
      <c r="D1924" s="174"/>
      <c r="E1924" s="174"/>
      <c r="F1924" s="175"/>
      <c r="G1924" s="175"/>
      <c r="H1924" s="174"/>
      <c r="I1924" s="174"/>
      <c r="J1924" s="174"/>
      <c r="K1924" s="174"/>
      <c r="L1924" s="174"/>
      <c r="M1924" s="174"/>
      <c r="N1924" s="174"/>
      <c r="O1924" s="174"/>
      <c r="P1924" s="174"/>
      <c r="Q1924" s="174"/>
      <c r="R1924" s="174"/>
      <c r="S1924" s="174"/>
      <c r="T1924" s="174"/>
      <c r="U1924" s="174"/>
      <c r="V1924" s="174"/>
      <c r="W1924" s="174"/>
      <c r="X1924" s="174"/>
      <c r="Y1924" s="174"/>
      <c r="Z1924" s="174"/>
      <c r="AA1924" s="174"/>
    </row>
    <row r="1925">
      <c r="A1925" s="174"/>
      <c r="B1925" s="174"/>
      <c r="C1925" s="174"/>
      <c r="D1925" s="174"/>
      <c r="E1925" s="174"/>
      <c r="F1925" s="175"/>
      <c r="G1925" s="175"/>
      <c r="H1925" s="174"/>
      <c r="I1925" s="174"/>
      <c r="J1925" s="174"/>
      <c r="K1925" s="174"/>
      <c r="L1925" s="174"/>
      <c r="M1925" s="174"/>
      <c r="N1925" s="174"/>
      <c r="O1925" s="174"/>
      <c r="P1925" s="174"/>
      <c r="Q1925" s="174"/>
      <c r="R1925" s="174"/>
      <c r="S1925" s="174"/>
      <c r="T1925" s="174"/>
      <c r="U1925" s="174"/>
      <c r="V1925" s="174"/>
      <c r="W1925" s="174"/>
      <c r="X1925" s="174"/>
      <c r="Y1925" s="174"/>
      <c r="Z1925" s="174"/>
      <c r="AA1925" s="174"/>
    </row>
    <row r="1926">
      <c r="A1926" s="174"/>
      <c r="B1926" s="174"/>
      <c r="C1926" s="174"/>
      <c r="D1926" s="174"/>
      <c r="E1926" s="174"/>
      <c r="F1926" s="175"/>
      <c r="G1926" s="175"/>
      <c r="H1926" s="174"/>
      <c r="I1926" s="174"/>
      <c r="J1926" s="174"/>
      <c r="K1926" s="174"/>
      <c r="L1926" s="174"/>
      <c r="M1926" s="174"/>
      <c r="N1926" s="174"/>
      <c r="O1926" s="174"/>
      <c r="P1926" s="174"/>
      <c r="Q1926" s="174"/>
      <c r="R1926" s="174"/>
      <c r="S1926" s="174"/>
      <c r="T1926" s="174"/>
      <c r="U1926" s="174"/>
      <c r="V1926" s="174"/>
      <c r="W1926" s="174"/>
      <c r="X1926" s="174"/>
      <c r="Y1926" s="174"/>
      <c r="Z1926" s="174"/>
      <c r="AA1926" s="174"/>
    </row>
    <row r="1927">
      <c r="A1927" s="174"/>
      <c r="B1927" s="174"/>
      <c r="C1927" s="174"/>
      <c r="D1927" s="174"/>
      <c r="E1927" s="174"/>
      <c r="F1927" s="175"/>
      <c r="G1927" s="175"/>
      <c r="H1927" s="174"/>
      <c r="I1927" s="174"/>
      <c r="J1927" s="174"/>
      <c r="K1927" s="174"/>
      <c r="L1927" s="174"/>
      <c r="M1927" s="174"/>
      <c r="N1927" s="174"/>
      <c r="O1927" s="174"/>
      <c r="P1927" s="174"/>
      <c r="Q1927" s="174"/>
      <c r="R1927" s="174"/>
      <c r="S1927" s="174"/>
      <c r="T1927" s="174"/>
      <c r="U1927" s="174"/>
      <c r="V1927" s="174"/>
      <c r="W1927" s="174"/>
      <c r="X1927" s="174"/>
      <c r="Y1927" s="174"/>
      <c r="Z1927" s="174"/>
      <c r="AA1927" s="174"/>
    </row>
    <row r="1928">
      <c r="A1928" s="174"/>
      <c r="B1928" s="174"/>
      <c r="C1928" s="174"/>
      <c r="D1928" s="174"/>
      <c r="E1928" s="174"/>
      <c r="F1928" s="175"/>
      <c r="G1928" s="175"/>
      <c r="H1928" s="174"/>
      <c r="I1928" s="174"/>
      <c r="J1928" s="174"/>
      <c r="K1928" s="174"/>
      <c r="L1928" s="174"/>
      <c r="M1928" s="174"/>
      <c r="N1928" s="174"/>
      <c r="O1928" s="174"/>
      <c r="P1928" s="174"/>
      <c r="Q1928" s="174"/>
      <c r="R1928" s="174"/>
      <c r="S1928" s="174"/>
      <c r="T1928" s="174"/>
      <c r="U1928" s="174"/>
      <c r="V1928" s="174"/>
      <c r="W1928" s="174"/>
      <c r="X1928" s="174"/>
      <c r="Y1928" s="174"/>
      <c r="Z1928" s="174"/>
      <c r="AA1928" s="174"/>
    </row>
    <row r="1929">
      <c r="A1929" s="174"/>
      <c r="B1929" s="174"/>
      <c r="C1929" s="174"/>
      <c r="D1929" s="174"/>
      <c r="E1929" s="174"/>
      <c r="F1929" s="175"/>
      <c r="G1929" s="175"/>
      <c r="H1929" s="174"/>
      <c r="I1929" s="174"/>
      <c r="J1929" s="174"/>
      <c r="K1929" s="174"/>
      <c r="L1929" s="174"/>
      <c r="M1929" s="174"/>
      <c r="N1929" s="174"/>
      <c r="O1929" s="174"/>
      <c r="P1929" s="174"/>
      <c r="Q1929" s="174"/>
      <c r="R1929" s="174"/>
      <c r="S1929" s="174"/>
      <c r="T1929" s="174"/>
      <c r="U1929" s="174"/>
      <c r="V1929" s="174"/>
      <c r="W1929" s="174"/>
      <c r="X1929" s="174"/>
      <c r="Y1929" s="174"/>
      <c r="Z1929" s="174"/>
      <c r="AA1929" s="174"/>
    </row>
    <row r="1930">
      <c r="A1930" s="174"/>
      <c r="B1930" s="174"/>
      <c r="C1930" s="174"/>
      <c r="D1930" s="174"/>
      <c r="E1930" s="174"/>
      <c r="F1930" s="175"/>
      <c r="G1930" s="175"/>
      <c r="H1930" s="174"/>
      <c r="I1930" s="174"/>
      <c r="J1930" s="174"/>
      <c r="K1930" s="174"/>
      <c r="L1930" s="174"/>
      <c r="M1930" s="174"/>
      <c r="N1930" s="174"/>
      <c r="O1930" s="174"/>
      <c r="P1930" s="174"/>
      <c r="Q1930" s="174"/>
      <c r="R1930" s="174"/>
      <c r="S1930" s="174"/>
      <c r="T1930" s="174"/>
      <c r="U1930" s="174"/>
      <c r="V1930" s="174"/>
      <c r="W1930" s="174"/>
      <c r="X1930" s="174"/>
      <c r="Y1930" s="174"/>
      <c r="Z1930" s="174"/>
      <c r="AA1930" s="174"/>
    </row>
    <row r="1931">
      <c r="A1931" s="174"/>
      <c r="B1931" s="174"/>
      <c r="C1931" s="174"/>
      <c r="D1931" s="174"/>
      <c r="E1931" s="174"/>
      <c r="F1931" s="175"/>
      <c r="G1931" s="175"/>
      <c r="H1931" s="174"/>
      <c r="I1931" s="174"/>
      <c r="J1931" s="174"/>
      <c r="K1931" s="174"/>
      <c r="L1931" s="174"/>
      <c r="M1931" s="174"/>
      <c r="N1931" s="174"/>
      <c r="O1931" s="174"/>
      <c r="P1931" s="174"/>
      <c r="Q1931" s="174"/>
      <c r="R1931" s="174"/>
      <c r="S1931" s="174"/>
      <c r="T1931" s="174"/>
      <c r="U1931" s="174"/>
      <c r="V1931" s="174"/>
      <c r="W1931" s="174"/>
      <c r="X1931" s="174"/>
      <c r="Y1931" s="174"/>
      <c r="Z1931" s="174"/>
      <c r="AA1931" s="174"/>
    </row>
    <row r="1932">
      <c r="A1932" s="174"/>
      <c r="B1932" s="174"/>
      <c r="C1932" s="174"/>
      <c r="D1932" s="174"/>
      <c r="E1932" s="174"/>
      <c r="F1932" s="175"/>
      <c r="G1932" s="175"/>
      <c r="H1932" s="174"/>
      <c r="I1932" s="174"/>
      <c r="J1932" s="174"/>
      <c r="K1932" s="174"/>
      <c r="L1932" s="174"/>
      <c r="M1932" s="174"/>
      <c r="N1932" s="174"/>
      <c r="O1932" s="174"/>
      <c r="P1932" s="174"/>
      <c r="Q1932" s="174"/>
      <c r="R1932" s="174"/>
      <c r="S1932" s="174"/>
      <c r="T1932" s="174"/>
      <c r="U1932" s="174"/>
      <c r="V1932" s="174"/>
      <c r="W1932" s="174"/>
      <c r="X1932" s="174"/>
      <c r="Y1932" s="174"/>
      <c r="Z1932" s="174"/>
      <c r="AA1932" s="174"/>
    </row>
    <row r="1933">
      <c r="A1933" s="174"/>
      <c r="B1933" s="174"/>
      <c r="C1933" s="174"/>
      <c r="D1933" s="174"/>
      <c r="E1933" s="174"/>
      <c r="F1933" s="175"/>
      <c r="G1933" s="175"/>
      <c r="H1933" s="174"/>
      <c r="I1933" s="174"/>
      <c r="J1933" s="174"/>
      <c r="K1933" s="174"/>
      <c r="L1933" s="174"/>
      <c r="M1933" s="174"/>
      <c r="N1933" s="174"/>
      <c r="O1933" s="174"/>
      <c r="P1933" s="174"/>
      <c r="Q1933" s="174"/>
      <c r="R1933" s="174"/>
      <c r="S1933" s="174"/>
      <c r="T1933" s="174"/>
      <c r="U1933" s="174"/>
      <c r="V1933" s="174"/>
      <c r="W1933" s="174"/>
      <c r="X1933" s="174"/>
      <c r="Y1933" s="174"/>
      <c r="Z1933" s="174"/>
      <c r="AA1933" s="174"/>
    </row>
    <row r="1934">
      <c r="A1934" s="174"/>
      <c r="B1934" s="174"/>
      <c r="C1934" s="174"/>
      <c r="D1934" s="174"/>
      <c r="E1934" s="174"/>
      <c r="F1934" s="175"/>
      <c r="G1934" s="175"/>
      <c r="H1934" s="174"/>
      <c r="I1934" s="174"/>
      <c r="J1934" s="174"/>
      <c r="K1934" s="174"/>
      <c r="L1934" s="174"/>
      <c r="M1934" s="174"/>
      <c r="N1934" s="174"/>
      <c r="O1934" s="174"/>
      <c r="P1934" s="174"/>
      <c r="Q1934" s="174"/>
      <c r="R1934" s="174"/>
      <c r="S1934" s="174"/>
      <c r="T1934" s="174"/>
      <c r="U1934" s="174"/>
      <c r="V1934" s="174"/>
      <c r="W1934" s="174"/>
      <c r="X1934" s="174"/>
      <c r="Y1934" s="174"/>
      <c r="Z1934" s="174"/>
      <c r="AA1934" s="174"/>
    </row>
    <row r="1935">
      <c r="A1935" s="174"/>
      <c r="B1935" s="174"/>
      <c r="C1935" s="174"/>
      <c r="D1935" s="174"/>
      <c r="E1935" s="174"/>
      <c r="F1935" s="175"/>
      <c r="G1935" s="175"/>
      <c r="H1935" s="174"/>
      <c r="I1935" s="174"/>
      <c r="J1935" s="174"/>
      <c r="K1935" s="174"/>
      <c r="L1935" s="174"/>
      <c r="M1935" s="174"/>
      <c r="N1935" s="174"/>
      <c r="O1935" s="174"/>
      <c r="P1935" s="174"/>
      <c r="Q1935" s="174"/>
      <c r="R1935" s="174"/>
      <c r="S1935" s="174"/>
      <c r="T1935" s="174"/>
      <c r="U1935" s="174"/>
      <c r="V1935" s="174"/>
      <c r="W1935" s="174"/>
      <c r="X1935" s="174"/>
      <c r="Y1935" s="174"/>
      <c r="Z1935" s="174"/>
      <c r="AA1935" s="174"/>
    </row>
    <row r="1936">
      <c r="A1936" s="174"/>
      <c r="B1936" s="174"/>
      <c r="C1936" s="174"/>
      <c r="D1936" s="174"/>
      <c r="E1936" s="174"/>
      <c r="F1936" s="175"/>
      <c r="G1936" s="175"/>
      <c r="H1936" s="174"/>
      <c r="I1936" s="174"/>
      <c r="J1936" s="174"/>
      <c r="K1936" s="174"/>
      <c r="L1936" s="174"/>
      <c r="M1936" s="174"/>
      <c r="N1936" s="174"/>
      <c r="O1936" s="174"/>
      <c r="P1936" s="174"/>
      <c r="Q1936" s="174"/>
      <c r="R1936" s="174"/>
      <c r="S1936" s="174"/>
      <c r="T1936" s="174"/>
      <c r="U1936" s="174"/>
      <c r="V1936" s="174"/>
      <c r="W1936" s="174"/>
      <c r="X1936" s="174"/>
      <c r="Y1936" s="174"/>
      <c r="Z1936" s="174"/>
      <c r="AA1936" s="174"/>
    </row>
    <row r="1937">
      <c r="A1937" s="174"/>
      <c r="B1937" s="174"/>
      <c r="C1937" s="174"/>
      <c r="D1937" s="174"/>
      <c r="E1937" s="174"/>
      <c r="F1937" s="175"/>
      <c r="G1937" s="175"/>
      <c r="H1937" s="174"/>
      <c r="I1937" s="174"/>
      <c r="J1937" s="174"/>
      <c r="K1937" s="174"/>
      <c r="L1937" s="174"/>
      <c r="M1937" s="174"/>
      <c r="N1937" s="174"/>
      <c r="O1937" s="174"/>
      <c r="P1937" s="174"/>
      <c r="Q1937" s="174"/>
      <c r="R1937" s="174"/>
      <c r="S1937" s="174"/>
      <c r="T1937" s="174"/>
      <c r="U1937" s="174"/>
      <c r="V1937" s="174"/>
      <c r="W1937" s="174"/>
      <c r="X1937" s="174"/>
      <c r="Y1937" s="174"/>
      <c r="Z1937" s="174"/>
      <c r="AA1937" s="174"/>
    </row>
    <row r="1938">
      <c r="A1938" s="174"/>
      <c r="B1938" s="174"/>
      <c r="C1938" s="174"/>
      <c r="D1938" s="174"/>
      <c r="E1938" s="174"/>
      <c r="F1938" s="175"/>
      <c r="G1938" s="175"/>
      <c r="H1938" s="174"/>
      <c r="I1938" s="174"/>
      <c r="J1938" s="174"/>
      <c r="K1938" s="174"/>
      <c r="L1938" s="174"/>
      <c r="M1938" s="174"/>
      <c r="N1938" s="174"/>
      <c r="O1938" s="174"/>
      <c r="P1938" s="174"/>
      <c r="Q1938" s="174"/>
      <c r="R1938" s="174"/>
      <c r="S1938" s="174"/>
      <c r="T1938" s="174"/>
      <c r="U1938" s="174"/>
      <c r="V1938" s="174"/>
      <c r="W1938" s="174"/>
      <c r="X1938" s="174"/>
      <c r="Y1938" s="174"/>
      <c r="Z1938" s="174"/>
      <c r="AA1938" s="174"/>
    </row>
    <row r="1939">
      <c r="A1939" s="174"/>
      <c r="B1939" s="174"/>
      <c r="C1939" s="174"/>
      <c r="D1939" s="174"/>
      <c r="E1939" s="174"/>
      <c r="F1939" s="175"/>
      <c r="G1939" s="175"/>
      <c r="H1939" s="174"/>
      <c r="I1939" s="174"/>
      <c r="J1939" s="174"/>
      <c r="K1939" s="174"/>
      <c r="L1939" s="174"/>
      <c r="M1939" s="174"/>
      <c r="N1939" s="174"/>
      <c r="O1939" s="174"/>
      <c r="P1939" s="174"/>
      <c r="Q1939" s="174"/>
      <c r="R1939" s="174"/>
      <c r="S1939" s="174"/>
      <c r="T1939" s="174"/>
      <c r="U1939" s="174"/>
      <c r="V1939" s="174"/>
      <c r="W1939" s="174"/>
      <c r="X1939" s="174"/>
      <c r="Y1939" s="174"/>
      <c r="Z1939" s="174"/>
      <c r="AA1939" s="174"/>
    </row>
    <row r="1940">
      <c r="A1940" s="174"/>
      <c r="B1940" s="174"/>
      <c r="C1940" s="174"/>
      <c r="D1940" s="174"/>
      <c r="E1940" s="174"/>
      <c r="F1940" s="175"/>
      <c r="G1940" s="175"/>
      <c r="H1940" s="174"/>
      <c r="I1940" s="174"/>
      <c r="J1940" s="174"/>
      <c r="K1940" s="174"/>
      <c r="L1940" s="174"/>
      <c r="M1940" s="174"/>
      <c r="N1940" s="174"/>
      <c r="O1940" s="174"/>
      <c r="P1940" s="174"/>
      <c r="Q1940" s="174"/>
      <c r="R1940" s="174"/>
      <c r="S1940" s="174"/>
      <c r="T1940" s="174"/>
      <c r="U1940" s="174"/>
      <c r="V1940" s="174"/>
      <c r="W1940" s="174"/>
      <c r="X1940" s="174"/>
      <c r="Y1940" s="174"/>
      <c r="Z1940" s="174"/>
      <c r="AA1940" s="174"/>
    </row>
    <row r="1941">
      <c r="A1941" s="174"/>
      <c r="B1941" s="174"/>
      <c r="C1941" s="174"/>
      <c r="D1941" s="174"/>
      <c r="E1941" s="174"/>
      <c r="F1941" s="175"/>
      <c r="G1941" s="175"/>
      <c r="H1941" s="174"/>
      <c r="I1941" s="174"/>
      <c r="J1941" s="174"/>
      <c r="K1941" s="174"/>
      <c r="L1941" s="174"/>
      <c r="M1941" s="174"/>
      <c r="N1941" s="174"/>
      <c r="O1941" s="174"/>
      <c r="P1941" s="174"/>
      <c r="Q1941" s="174"/>
      <c r="R1941" s="174"/>
      <c r="S1941" s="174"/>
      <c r="T1941" s="174"/>
      <c r="U1941" s="174"/>
      <c r="V1941" s="174"/>
      <c r="W1941" s="174"/>
      <c r="X1941" s="174"/>
      <c r="Y1941" s="174"/>
      <c r="Z1941" s="174"/>
      <c r="AA1941" s="174"/>
    </row>
    <row r="1942">
      <c r="A1942" s="174"/>
      <c r="B1942" s="174"/>
      <c r="C1942" s="174"/>
      <c r="D1942" s="174"/>
      <c r="E1942" s="174"/>
      <c r="F1942" s="175"/>
      <c r="G1942" s="175"/>
      <c r="H1942" s="174"/>
      <c r="I1942" s="174"/>
      <c r="J1942" s="174"/>
      <c r="K1942" s="174"/>
      <c r="L1942" s="174"/>
      <c r="M1942" s="174"/>
      <c r="N1942" s="174"/>
      <c r="O1942" s="174"/>
      <c r="P1942" s="174"/>
      <c r="Q1942" s="174"/>
      <c r="R1942" s="174"/>
      <c r="S1942" s="174"/>
      <c r="T1942" s="174"/>
      <c r="U1942" s="174"/>
      <c r="V1942" s="174"/>
      <c r="W1942" s="174"/>
      <c r="X1942" s="174"/>
      <c r="Y1942" s="174"/>
      <c r="Z1942" s="174"/>
      <c r="AA1942" s="174"/>
    </row>
    <row r="1943">
      <c r="A1943" s="174"/>
      <c r="B1943" s="174"/>
      <c r="C1943" s="174"/>
      <c r="D1943" s="174"/>
      <c r="E1943" s="174"/>
      <c r="F1943" s="175"/>
      <c r="G1943" s="175"/>
      <c r="H1943" s="174"/>
      <c r="I1943" s="174"/>
      <c r="J1943" s="174"/>
      <c r="K1943" s="174"/>
      <c r="L1943" s="174"/>
      <c r="M1943" s="174"/>
      <c r="N1943" s="174"/>
      <c r="O1943" s="174"/>
      <c r="P1943" s="174"/>
      <c r="Q1943" s="174"/>
      <c r="R1943" s="174"/>
      <c r="S1943" s="174"/>
      <c r="T1943" s="174"/>
      <c r="U1943" s="174"/>
      <c r="V1943" s="174"/>
      <c r="W1943" s="174"/>
      <c r="X1943" s="174"/>
      <c r="Y1943" s="174"/>
      <c r="Z1943" s="174"/>
      <c r="AA1943" s="174"/>
    </row>
    <row r="1944">
      <c r="A1944" s="174"/>
      <c r="B1944" s="174"/>
      <c r="C1944" s="174"/>
      <c r="D1944" s="174"/>
      <c r="E1944" s="174"/>
      <c r="F1944" s="175"/>
      <c r="G1944" s="175"/>
      <c r="H1944" s="174"/>
      <c r="I1944" s="174"/>
      <c r="J1944" s="174"/>
      <c r="K1944" s="174"/>
      <c r="L1944" s="174"/>
      <c r="M1944" s="174"/>
      <c r="N1944" s="174"/>
      <c r="O1944" s="174"/>
      <c r="P1944" s="174"/>
      <c r="Q1944" s="174"/>
      <c r="R1944" s="174"/>
      <c r="S1944" s="174"/>
      <c r="T1944" s="174"/>
      <c r="U1944" s="174"/>
      <c r="V1944" s="174"/>
      <c r="W1944" s="174"/>
      <c r="X1944" s="174"/>
      <c r="Y1944" s="174"/>
      <c r="Z1944" s="174"/>
      <c r="AA1944" s="174"/>
    </row>
    <row r="1945">
      <c r="A1945" s="174"/>
      <c r="B1945" s="174"/>
      <c r="C1945" s="174"/>
      <c r="D1945" s="174"/>
      <c r="E1945" s="174"/>
      <c r="F1945" s="175"/>
      <c r="G1945" s="175"/>
      <c r="H1945" s="174"/>
      <c r="I1945" s="174"/>
      <c r="J1945" s="174"/>
      <c r="K1945" s="174"/>
      <c r="L1945" s="174"/>
      <c r="M1945" s="174"/>
      <c r="N1945" s="174"/>
      <c r="O1945" s="174"/>
      <c r="P1945" s="174"/>
      <c r="Q1945" s="174"/>
      <c r="R1945" s="174"/>
      <c r="S1945" s="174"/>
      <c r="T1945" s="174"/>
      <c r="U1945" s="174"/>
      <c r="V1945" s="174"/>
      <c r="W1945" s="174"/>
      <c r="X1945" s="174"/>
      <c r="Y1945" s="174"/>
      <c r="Z1945" s="174"/>
      <c r="AA1945" s="174"/>
    </row>
    <row r="1946">
      <c r="A1946" s="174"/>
      <c r="B1946" s="174"/>
      <c r="C1946" s="174"/>
      <c r="D1946" s="174"/>
      <c r="E1946" s="174"/>
      <c r="F1946" s="175"/>
      <c r="G1946" s="175"/>
      <c r="H1946" s="174"/>
      <c r="I1946" s="174"/>
      <c r="J1946" s="174"/>
      <c r="K1946" s="174"/>
      <c r="L1946" s="174"/>
      <c r="M1946" s="174"/>
      <c r="N1946" s="174"/>
      <c r="O1946" s="174"/>
      <c r="P1946" s="174"/>
      <c r="Q1946" s="174"/>
      <c r="R1946" s="174"/>
      <c r="S1946" s="174"/>
      <c r="T1946" s="174"/>
      <c r="U1946" s="174"/>
      <c r="V1946" s="174"/>
      <c r="W1946" s="174"/>
      <c r="X1946" s="174"/>
      <c r="Y1946" s="174"/>
      <c r="Z1946" s="174"/>
      <c r="AA1946" s="174"/>
    </row>
    <row r="1947">
      <c r="A1947" s="174"/>
      <c r="B1947" s="174"/>
      <c r="C1947" s="174"/>
      <c r="D1947" s="174"/>
      <c r="E1947" s="174"/>
      <c r="F1947" s="175"/>
      <c r="G1947" s="175"/>
      <c r="H1947" s="174"/>
      <c r="I1947" s="174"/>
      <c r="J1947" s="174"/>
      <c r="K1947" s="174"/>
      <c r="L1947" s="174"/>
      <c r="M1947" s="174"/>
      <c r="N1947" s="174"/>
      <c r="O1947" s="174"/>
      <c r="P1947" s="174"/>
      <c r="Q1947" s="174"/>
      <c r="R1947" s="174"/>
      <c r="S1947" s="174"/>
      <c r="T1947" s="174"/>
      <c r="U1947" s="174"/>
      <c r="V1947" s="174"/>
      <c r="W1947" s="174"/>
      <c r="X1947" s="174"/>
      <c r="Y1947" s="174"/>
      <c r="Z1947" s="174"/>
      <c r="AA1947" s="174"/>
    </row>
    <row r="1948">
      <c r="A1948" s="174"/>
      <c r="B1948" s="174"/>
      <c r="C1948" s="174"/>
      <c r="D1948" s="174"/>
      <c r="E1948" s="174"/>
      <c r="F1948" s="175"/>
      <c r="G1948" s="175"/>
      <c r="H1948" s="174"/>
      <c r="I1948" s="174"/>
      <c r="J1948" s="174"/>
      <c r="K1948" s="174"/>
      <c r="L1948" s="174"/>
      <c r="M1948" s="174"/>
      <c r="N1948" s="174"/>
      <c r="O1948" s="174"/>
      <c r="P1948" s="174"/>
      <c r="Q1948" s="174"/>
      <c r="R1948" s="174"/>
      <c r="S1948" s="174"/>
      <c r="T1948" s="174"/>
      <c r="U1948" s="174"/>
      <c r="V1948" s="174"/>
      <c r="W1948" s="174"/>
      <c r="X1948" s="174"/>
      <c r="Y1948" s="174"/>
      <c r="Z1948" s="174"/>
      <c r="AA1948" s="174"/>
    </row>
    <row r="1949">
      <c r="A1949" s="174"/>
      <c r="B1949" s="174"/>
      <c r="C1949" s="174"/>
      <c r="D1949" s="174"/>
      <c r="E1949" s="174"/>
      <c r="F1949" s="175"/>
      <c r="G1949" s="175"/>
      <c r="H1949" s="174"/>
      <c r="I1949" s="174"/>
      <c r="J1949" s="174"/>
      <c r="K1949" s="174"/>
      <c r="L1949" s="174"/>
      <c r="M1949" s="174"/>
      <c r="N1949" s="174"/>
      <c r="O1949" s="174"/>
      <c r="P1949" s="174"/>
      <c r="Q1949" s="174"/>
      <c r="R1949" s="174"/>
      <c r="S1949" s="174"/>
      <c r="T1949" s="174"/>
      <c r="U1949" s="174"/>
      <c r="V1949" s="174"/>
      <c r="W1949" s="174"/>
      <c r="X1949" s="174"/>
      <c r="Y1949" s="174"/>
      <c r="Z1949" s="174"/>
      <c r="AA1949" s="174"/>
    </row>
    <row r="1950">
      <c r="A1950" s="174"/>
      <c r="B1950" s="174"/>
      <c r="C1950" s="174"/>
      <c r="D1950" s="174"/>
      <c r="E1950" s="174"/>
      <c r="F1950" s="175"/>
      <c r="G1950" s="175"/>
      <c r="H1950" s="174"/>
      <c r="I1950" s="174"/>
      <c r="J1950" s="174"/>
      <c r="K1950" s="174"/>
      <c r="L1950" s="174"/>
      <c r="M1950" s="174"/>
      <c r="N1950" s="174"/>
      <c r="O1950" s="174"/>
      <c r="P1950" s="174"/>
      <c r="Q1950" s="174"/>
      <c r="R1950" s="174"/>
      <c r="S1950" s="174"/>
      <c r="T1950" s="174"/>
      <c r="U1950" s="174"/>
      <c r="V1950" s="174"/>
      <c r="W1950" s="174"/>
      <c r="X1950" s="174"/>
      <c r="Y1950" s="174"/>
      <c r="Z1950" s="174"/>
      <c r="AA1950" s="174"/>
    </row>
    <row r="1951">
      <c r="A1951" s="174"/>
      <c r="B1951" s="174"/>
      <c r="C1951" s="174"/>
      <c r="D1951" s="174"/>
      <c r="E1951" s="174"/>
      <c r="F1951" s="175"/>
      <c r="G1951" s="175"/>
      <c r="H1951" s="174"/>
      <c r="I1951" s="174"/>
      <c r="J1951" s="174"/>
      <c r="K1951" s="174"/>
      <c r="L1951" s="174"/>
      <c r="M1951" s="174"/>
      <c r="N1951" s="174"/>
      <c r="O1951" s="174"/>
      <c r="P1951" s="174"/>
      <c r="Q1951" s="174"/>
      <c r="R1951" s="174"/>
      <c r="S1951" s="174"/>
      <c r="T1951" s="174"/>
      <c r="U1951" s="174"/>
      <c r="V1951" s="174"/>
      <c r="W1951" s="174"/>
      <c r="X1951" s="174"/>
      <c r="Y1951" s="174"/>
      <c r="Z1951" s="174"/>
      <c r="AA1951" s="174"/>
    </row>
    <row r="1952">
      <c r="A1952" s="174"/>
      <c r="B1952" s="174"/>
      <c r="C1952" s="174"/>
      <c r="D1952" s="174"/>
      <c r="E1952" s="174"/>
      <c r="F1952" s="175"/>
      <c r="G1952" s="175"/>
      <c r="H1952" s="174"/>
      <c r="I1952" s="174"/>
      <c r="J1952" s="174"/>
      <c r="K1952" s="174"/>
      <c r="L1952" s="174"/>
      <c r="M1952" s="174"/>
      <c r="N1952" s="174"/>
      <c r="O1952" s="174"/>
      <c r="P1952" s="174"/>
      <c r="Q1952" s="174"/>
      <c r="R1952" s="174"/>
      <c r="S1952" s="174"/>
      <c r="T1952" s="174"/>
      <c r="U1952" s="174"/>
      <c r="V1952" s="174"/>
      <c r="W1952" s="174"/>
      <c r="X1952" s="174"/>
      <c r="Y1952" s="174"/>
      <c r="Z1952" s="174"/>
      <c r="AA1952" s="174"/>
    </row>
    <row r="1953">
      <c r="A1953" s="174"/>
      <c r="B1953" s="174"/>
      <c r="C1953" s="174"/>
      <c r="D1953" s="174"/>
      <c r="E1953" s="174"/>
      <c r="F1953" s="175"/>
      <c r="G1953" s="175"/>
      <c r="H1953" s="174"/>
      <c r="I1953" s="174"/>
      <c r="J1953" s="174"/>
      <c r="K1953" s="174"/>
      <c r="L1953" s="174"/>
      <c r="M1953" s="174"/>
      <c r="N1953" s="174"/>
      <c r="O1953" s="174"/>
      <c r="P1953" s="174"/>
      <c r="Q1953" s="174"/>
      <c r="R1953" s="174"/>
      <c r="S1953" s="174"/>
      <c r="T1953" s="174"/>
      <c r="U1953" s="174"/>
      <c r="V1953" s="174"/>
      <c r="W1953" s="174"/>
      <c r="X1953" s="174"/>
      <c r="Y1953" s="174"/>
      <c r="Z1953" s="174"/>
      <c r="AA1953" s="174"/>
    </row>
    <row r="1954">
      <c r="A1954" s="174"/>
      <c r="B1954" s="174"/>
      <c r="C1954" s="174"/>
      <c r="D1954" s="174"/>
      <c r="E1954" s="174"/>
      <c r="F1954" s="175"/>
      <c r="G1954" s="175"/>
      <c r="H1954" s="174"/>
      <c r="I1954" s="174"/>
      <c r="J1954" s="174"/>
      <c r="K1954" s="174"/>
      <c r="L1954" s="174"/>
      <c r="M1954" s="174"/>
      <c r="N1954" s="174"/>
      <c r="O1954" s="174"/>
      <c r="P1954" s="174"/>
      <c r="Q1954" s="174"/>
      <c r="R1954" s="174"/>
      <c r="S1954" s="174"/>
      <c r="T1954" s="174"/>
      <c r="U1954" s="174"/>
      <c r="V1954" s="174"/>
      <c r="W1954" s="174"/>
      <c r="X1954" s="174"/>
      <c r="Y1954" s="174"/>
      <c r="Z1954" s="174"/>
      <c r="AA1954" s="174"/>
    </row>
    <row r="1955">
      <c r="A1955" s="174"/>
      <c r="B1955" s="174"/>
      <c r="C1955" s="174"/>
      <c r="D1955" s="174"/>
      <c r="E1955" s="174"/>
      <c r="F1955" s="175"/>
      <c r="G1955" s="175"/>
      <c r="H1955" s="174"/>
      <c r="I1955" s="174"/>
      <c r="J1955" s="174"/>
      <c r="K1955" s="174"/>
      <c r="L1955" s="174"/>
      <c r="M1955" s="174"/>
      <c r="N1955" s="174"/>
      <c r="O1955" s="174"/>
      <c r="P1955" s="174"/>
      <c r="Q1955" s="174"/>
      <c r="R1955" s="174"/>
      <c r="S1955" s="174"/>
      <c r="T1955" s="174"/>
      <c r="U1955" s="174"/>
      <c r="V1955" s="174"/>
      <c r="W1955" s="174"/>
      <c r="X1955" s="174"/>
      <c r="Y1955" s="174"/>
      <c r="Z1955" s="174"/>
      <c r="AA1955" s="174"/>
    </row>
    <row r="1956">
      <c r="A1956" s="174"/>
      <c r="B1956" s="174"/>
      <c r="C1956" s="174"/>
      <c r="D1956" s="174"/>
      <c r="E1956" s="174"/>
      <c r="F1956" s="175"/>
      <c r="G1956" s="175"/>
      <c r="H1956" s="174"/>
      <c r="I1956" s="174"/>
      <c r="J1956" s="174"/>
      <c r="K1956" s="174"/>
      <c r="L1956" s="174"/>
      <c r="M1956" s="174"/>
      <c r="N1956" s="174"/>
      <c r="O1956" s="174"/>
      <c r="P1956" s="174"/>
      <c r="Q1956" s="174"/>
      <c r="R1956" s="174"/>
      <c r="S1956" s="174"/>
      <c r="T1956" s="174"/>
      <c r="U1956" s="174"/>
      <c r="V1956" s="174"/>
      <c r="W1956" s="174"/>
      <c r="X1956" s="174"/>
      <c r="Y1956" s="174"/>
      <c r="Z1956" s="174"/>
      <c r="AA1956" s="174"/>
    </row>
    <row r="1957">
      <c r="A1957" s="174"/>
      <c r="B1957" s="174"/>
      <c r="C1957" s="174"/>
      <c r="D1957" s="174"/>
      <c r="E1957" s="174"/>
      <c r="F1957" s="175"/>
      <c r="G1957" s="175"/>
      <c r="H1957" s="174"/>
      <c r="I1957" s="174"/>
      <c r="J1957" s="174"/>
      <c r="K1957" s="174"/>
      <c r="L1957" s="174"/>
      <c r="M1957" s="174"/>
      <c r="N1957" s="174"/>
      <c r="O1957" s="174"/>
      <c r="P1957" s="174"/>
      <c r="Q1957" s="174"/>
      <c r="R1957" s="174"/>
      <c r="S1957" s="174"/>
      <c r="T1957" s="174"/>
      <c r="U1957" s="174"/>
      <c r="V1957" s="174"/>
      <c r="W1957" s="174"/>
      <c r="X1957" s="174"/>
      <c r="Y1957" s="174"/>
      <c r="Z1957" s="174"/>
      <c r="AA1957" s="174"/>
    </row>
    <row r="1958">
      <c r="A1958" s="174"/>
      <c r="B1958" s="174"/>
      <c r="C1958" s="174"/>
      <c r="D1958" s="174"/>
      <c r="E1958" s="174"/>
      <c r="F1958" s="175"/>
      <c r="G1958" s="175"/>
      <c r="H1958" s="174"/>
      <c r="I1958" s="174"/>
      <c r="J1958" s="174"/>
      <c r="K1958" s="174"/>
      <c r="L1958" s="174"/>
      <c r="M1958" s="174"/>
      <c r="N1958" s="174"/>
      <c r="O1958" s="174"/>
      <c r="P1958" s="174"/>
      <c r="Q1958" s="174"/>
      <c r="R1958" s="174"/>
      <c r="S1958" s="174"/>
      <c r="T1958" s="174"/>
      <c r="U1958" s="174"/>
      <c r="V1958" s="174"/>
      <c r="W1958" s="174"/>
      <c r="X1958" s="174"/>
      <c r="Y1958" s="174"/>
      <c r="Z1958" s="174"/>
      <c r="AA1958" s="174"/>
    </row>
    <row r="1959">
      <c r="A1959" s="174"/>
      <c r="B1959" s="174"/>
      <c r="C1959" s="174"/>
      <c r="D1959" s="174"/>
      <c r="E1959" s="174"/>
      <c r="F1959" s="175"/>
      <c r="G1959" s="175"/>
      <c r="H1959" s="174"/>
      <c r="I1959" s="174"/>
      <c r="J1959" s="174"/>
      <c r="K1959" s="174"/>
      <c r="L1959" s="174"/>
      <c r="M1959" s="174"/>
      <c r="N1959" s="174"/>
      <c r="O1959" s="174"/>
      <c r="P1959" s="174"/>
      <c r="Q1959" s="174"/>
      <c r="R1959" s="174"/>
      <c r="S1959" s="174"/>
      <c r="T1959" s="174"/>
      <c r="U1959" s="174"/>
      <c r="V1959" s="174"/>
      <c r="W1959" s="174"/>
      <c r="X1959" s="174"/>
      <c r="Y1959" s="174"/>
      <c r="Z1959" s="174"/>
      <c r="AA1959" s="174"/>
    </row>
    <row r="1960">
      <c r="A1960" s="174"/>
      <c r="B1960" s="174"/>
      <c r="C1960" s="174"/>
      <c r="D1960" s="174"/>
      <c r="E1960" s="174"/>
      <c r="F1960" s="175"/>
      <c r="G1960" s="175"/>
      <c r="H1960" s="174"/>
      <c r="I1960" s="174"/>
      <c r="J1960" s="174"/>
      <c r="K1960" s="174"/>
      <c r="L1960" s="174"/>
      <c r="M1960" s="174"/>
      <c r="N1960" s="174"/>
      <c r="O1960" s="174"/>
      <c r="P1960" s="174"/>
      <c r="Q1960" s="174"/>
      <c r="R1960" s="174"/>
      <c r="S1960" s="174"/>
      <c r="T1960" s="174"/>
      <c r="U1960" s="174"/>
      <c r="V1960" s="174"/>
      <c r="W1960" s="174"/>
      <c r="X1960" s="174"/>
      <c r="Y1960" s="174"/>
      <c r="Z1960" s="174"/>
      <c r="AA1960" s="174"/>
    </row>
    <row r="1961">
      <c r="A1961" s="174"/>
      <c r="B1961" s="174"/>
      <c r="C1961" s="174"/>
      <c r="D1961" s="174"/>
      <c r="E1961" s="174"/>
      <c r="F1961" s="175"/>
      <c r="G1961" s="175"/>
      <c r="H1961" s="174"/>
      <c r="I1961" s="174"/>
      <c r="J1961" s="174"/>
      <c r="K1961" s="174"/>
      <c r="L1961" s="174"/>
      <c r="M1961" s="174"/>
      <c r="N1961" s="174"/>
      <c r="O1961" s="174"/>
      <c r="P1961" s="174"/>
      <c r="Q1961" s="174"/>
      <c r="R1961" s="174"/>
      <c r="S1961" s="174"/>
      <c r="T1961" s="174"/>
      <c r="U1961" s="174"/>
      <c r="V1961" s="174"/>
      <c r="W1961" s="174"/>
      <c r="X1961" s="174"/>
      <c r="Y1961" s="174"/>
      <c r="Z1961" s="174"/>
      <c r="AA1961" s="174"/>
    </row>
    <row r="1962">
      <c r="A1962" s="174"/>
      <c r="B1962" s="174"/>
      <c r="C1962" s="174"/>
      <c r="D1962" s="174"/>
      <c r="E1962" s="174"/>
      <c r="F1962" s="175"/>
      <c r="G1962" s="175"/>
      <c r="H1962" s="174"/>
      <c r="I1962" s="174"/>
      <c r="J1962" s="174"/>
      <c r="K1962" s="174"/>
      <c r="L1962" s="174"/>
      <c r="M1962" s="174"/>
      <c r="N1962" s="174"/>
      <c r="O1962" s="174"/>
      <c r="P1962" s="174"/>
      <c r="Q1962" s="174"/>
      <c r="R1962" s="174"/>
      <c r="S1962" s="174"/>
      <c r="T1962" s="174"/>
      <c r="U1962" s="174"/>
      <c r="V1962" s="174"/>
      <c r="W1962" s="174"/>
      <c r="X1962" s="174"/>
      <c r="Y1962" s="174"/>
      <c r="Z1962" s="174"/>
      <c r="AA1962" s="174"/>
    </row>
    <row r="1963">
      <c r="A1963" s="174"/>
      <c r="B1963" s="174"/>
      <c r="C1963" s="174"/>
      <c r="D1963" s="174"/>
      <c r="E1963" s="174"/>
      <c r="F1963" s="175"/>
      <c r="G1963" s="175"/>
      <c r="H1963" s="174"/>
      <c r="I1963" s="174"/>
      <c r="J1963" s="174"/>
      <c r="K1963" s="174"/>
      <c r="L1963" s="174"/>
      <c r="M1963" s="174"/>
      <c r="N1963" s="174"/>
      <c r="O1963" s="174"/>
      <c r="P1963" s="174"/>
      <c r="Q1963" s="174"/>
      <c r="R1963" s="174"/>
      <c r="S1963" s="174"/>
      <c r="T1963" s="174"/>
      <c r="U1963" s="174"/>
      <c r="V1963" s="174"/>
      <c r="W1963" s="174"/>
      <c r="X1963" s="174"/>
      <c r="Y1963" s="174"/>
      <c r="Z1963" s="174"/>
      <c r="AA1963" s="174"/>
    </row>
    <row r="1964">
      <c r="A1964" s="174"/>
      <c r="B1964" s="174"/>
      <c r="C1964" s="174"/>
      <c r="D1964" s="174"/>
      <c r="E1964" s="174"/>
      <c r="F1964" s="175"/>
      <c r="G1964" s="175"/>
      <c r="H1964" s="174"/>
      <c r="I1964" s="174"/>
      <c r="J1964" s="174"/>
      <c r="K1964" s="174"/>
      <c r="L1964" s="174"/>
      <c r="M1964" s="174"/>
      <c r="N1964" s="174"/>
      <c r="O1964" s="174"/>
      <c r="P1964" s="174"/>
      <c r="Q1964" s="174"/>
      <c r="R1964" s="174"/>
      <c r="S1964" s="174"/>
      <c r="T1964" s="174"/>
      <c r="U1964" s="174"/>
      <c r="V1964" s="174"/>
      <c r="W1964" s="174"/>
      <c r="X1964" s="174"/>
      <c r="Y1964" s="174"/>
      <c r="Z1964" s="174"/>
      <c r="AA1964" s="174"/>
    </row>
    <row r="1965">
      <c r="A1965" s="174"/>
      <c r="B1965" s="174"/>
      <c r="C1965" s="174"/>
      <c r="D1965" s="174"/>
      <c r="E1965" s="174"/>
      <c r="F1965" s="175"/>
      <c r="G1965" s="175"/>
      <c r="H1965" s="174"/>
      <c r="I1965" s="174"/>
      <c r="J1965" s="174"/>
      <c r="K1965" s="174"/>
      <c r="L1965" s="174"/>
      <c r="M1965" s="174"/>
      <c r="N1965" s="174"/>
      <c r="O1965" s="174"/>
      <c r="P1965" s="174"/>
      <c r="Q1965" s="174"/>
      <c r="R1965" s="174"/>
      <c r="S1965" s="174"/>
      <c r="T1965" s="174"/>
      <c r="U1965" s="174"/>
      <c r="V1965" s="174"/>
      <c r="W1965" s="174"/>
      <c r="X1965" s="174"/>
      <c r="Y1965" s="174"/>
      <c r="Z1965" s="174"/>
      <c r="AA1965" s="174"/>
    </row>
    <row r="1966">
      <c r="A1966" s="174"/>
      <c r="B1966" s="174"/>
      <c r="C1966" s="174"/>
      <c r="D1966" s="174"/>
      <c r="E1966" s="174"/>
      <c r="F1966" s="175"/>
      <c r="G1966" s="175"/>
      <c r="H1966" s="174"/>
      <c r="I1966" s="174"/>
      <c r="J1966" s="174"/>
      <c r="K1966" s="174"/>
      <c r="L1966" s="174"/>
      <c r="M1966" s="174"/>
      <c r="N1966" s="174"/>
      <c r="O1966" s="174"/>
      <c r="P1966" s="174"/>
      <c r="Q1966" s="174"/>
      <c r="R1966" s="174"/>
      <c r="S1966" s="174"/>
      <c r="T1966" s="174"/>
      <c r="U1966" s="174"/>
      <c r="V1966" s="174"/>
      <c r="W1966" s="174"/>
      <c r="X1966" s="174"/>
      <c r="Y1966" s="174"/>
      <c r="Z1966" s="174"/>
      <c r="AA1966" s="174"/>
    </row>
    <row r="1967">
      <c r="A1967" s="174"/>
      <c r="B1967" s="174"/>
      <c r="C1967" s="174"/>
      <c r="D1967" s="174"/>
      <c r="E1967" s="174"/>
      <c r="F1967" s="175"/>
      <c r="G1967" s="175"/>
      <c r="H1967" s="174"/>
      <c r="I1967" s="174"/>
      <c r="J1967" s="174"/>
      <c r="K1967" s="174"/>
      <c r="L1967" s="174"/>
      <c r="M1967" s="174"/>
      <c r="N1967" s="174"/>
      <c r="O1967" s="174"/>
      <c r="P1967" s="174"/>
      <c r="Q1967" s="174"/>
      <c r="R1967" s="174"/>
      <c r="S1967" s="174"/>
      <c r="T1967" s="174"/>
      <c r="U1967" s="174"/>
      <c r="V1967" s="174"/>
      <c r="W1967" s="174"/>
      <c r="X1967" s="174"/>
      <c r="Y1967" s="174"/>
      <c r="Z1967" s="174"/>
      <c r="AA1967" s="174"/>
    </row>
    <row r="1968">
      <c r="A1968" s="174"/>
      <c r="B1968" s="174"/>
      <c r="C1968" s="174"/>
      <c r="D1968" s="174"/>
      <c r="E1968" s="174"/>
      <c r="F1968" s="175"/>
      <c r="G1968" s="175"/>
      <c r="H1968" s="174"/>
      <c r="I1968" s="174"/>
      <c r="J1968" s="174"/>
      <c r="K1968" s="174"/>
      <c r="L1968" s="174"/>
      <c r="M1968" s="174"/>
      <c r="N1968" s="174"/>
      <c r="O1968" s="174"/>
      <c r="P1968" s="174"/>
      <c r="Q1968" s="174"/>
      <c r="R1968" s="174"/>
      <c r="S1968" s="174"/>
      <c r="T1968" s="174"/>
      <c r="U1968" s="174"/>
      <c r="V1968" s="174"/>
      <c r="W1968" s="174"/>
      <c r="X1968" s="174"/>
      <c r="Y1968" s="174"/>
      <c r="Z1968" s="174"/>
      <c r="AA1968" s="174"/>
    </row>
    <row r="1969">
      <c r="A1969" s="174"/>
      <c r="B1969" s="174"/>
      <c r="C1969" s="174"/>
      <c r="D1969" s="174"/>
      <c r="E1969" s="174"/>
      <c r="F1969" s="175"/>
      <c r="G1969" s="175"/>
      <c r="H1969" s="174"/>
      <c r="I1969" s="174"/>
      <c r="J1969" s="174"/>
      <c r="K1969" s="174"/>
      <c r="L1969" s="174"/>
      <c r="M1969" s="174"/>
      <c r="N1969" s="174"/>
      <c r="O1969" s="174"/>
      <c r="P1969" s="174"/>
      <c r="Q1969" s="174"/>
      <c r="R1969" s="174"/>
      <c r="S1969" s="174"/>
      <c r="T1969" s="174"/>
      <c r="U1969" s="174"/>
      <c r="V1969" s="174"/>
      <c r="W1969" s="174"/>
      <c r="X1969" s="174"/>
      <c r="Y1969" s="174"/>
      <c r="Z1969" s="174"/>
      <c r="AA1969" s="174"/>
    </row>
    <row r="1970">
      <c r="A1970" s="174"/>
      <c r="B1970" s="174"/>
      <c r="C1970" s="174"/>
      <c r="D1970" s="174"/>
      <c r="E1970" s="174"/>
      <c r="F1970" s="175"/>
      <c r="G1970" s="175"/>
      <c r="H1970" s="174"/>
      <c r="I1970" s="174"/>
      <c r="J1970" s="174"/>
      <c r="K1970" s="174"/>
      <c r="L1970" s="174"/>
      <c r="M1970" s="174"/>
      <c r="N1970" s="174"/>
      <c r="O1970" s="174"/>
      <c r="P1970" s="174"/>
      <c r="Q1970" s="174"/>
      <c r="R1970" s="174"/>
      <c r="S1970" s="174"/>
      <c r="T1970" s="174"/>
      <c r="U1970" s="174"/>
      <c r="V1970" s="174"/>
      <c r="W1970" s="174"/>
      <c r="X1970" s="174"/>
      <c r="Y1970" s="174"/>
      <c r="Z1970" s="174"/>
      <c r="AA1970" s="174"/>
    </row>
    <row r="1971">
      <c r="A1971" s="174"/>
      <c r="B1971" s="174"/>
      <c r="C1971" s="174"/>
      <c r="D1971" s="174"/>
      <c r="E1971" s="174"/>
      <c r="F1971" s="175"/>
      <c r="G1971" s="175"/>
      <c r="H1971" s="174"/>
      <c r="I1971" s="174"/>
      <c r="J1971" s="174"/>
      <c r="K1971" s="174"/>
      <c r="L1971" s="174"/>
      <c r="M1971" s="174"/>
      <c r="N1971" s="174"/>
      <c r="O1971" s="174"/>
      <c r="P1971" s="174"/>
      <c r="Q1971" s="174"/>
      <c r="R1971" s="174"/>
      <c r="S1971" s="174"/>
      <c r="T1971" s="174"/>
      <c r="U1971" s="174"/>
      <c r="V1971" s="174"/>
      <c r="W1971" s="174"/>
      <c r="X1971" s="174"/>
      <c r="Y1971" s="174"/>
      <c r="Z1971" s="174"/>
      <c r="AA1971" s="174"/>
    </row>
    <row r="1972">
      <c r="A1972" s="174"/>
      <c r="B1972" s="174"/>
      <c r="C1972" s="174"/>
      <c r="D1972" s="174"/>
      <c r="E1972" s="174"/>
      <c r="F1972" s="175"/>
      <c r="G1972" s="175"/>
      <c r="H1972" s="174"/>
      <c r="I1972" s="174"/>
      <c r="J1972" s="174"/>
      <c r="K1972" s="174"/>
      <c r="L1972" s="174"/>
      <c r="M1972" s="174"/>
      <c r="N1972" s="174"/>
      <c r="O1972" s="174"/>
      <c r="P1972" s="174"/>
      <c r="Q1972" s="174"/>
      <c r="R1972" s="174"/>
      <c r="S1972" s="174"/>
      <c r="T1972" s="174"/>
      <c r="U1972" s="174"/>
      <c r="V1972" s="174"/>
      <c r="W1972" s="174"/>
      <c r="X1972" s="174"/>
      <c r="Y1972" s="174"/>
      <c r="Z1972" s="174"/>
      <c r="AA1972" s="174"/>
    </row>
    <row r="1973">
      <c r="A1973" s="174"/>
      <c r="B1973" s="174"/>
      <c r="C1973" s="174"/>
      <c r="D1973" s="174"/>
      <c r="E1973" s="174"/>
      <c r="F1973" s="175"/>
      <c r="G1973" s="175"/>
      <c r="H1973" s="174"/>
      <c r="I1973" s="174"/>
      <c r="J1973" s="174"/>
      <c r="K1973" s="174"/>
      <c r="L1973" s="174"/>
      <c r="M1973" s="174"/>
      <c r="N1973" s="174"/>
      <c r="O1973" s="174"/>
      <c r="P1973" s="174"/>
      <c r="Q1973" s="174"/>
      <c r="R1973" s="174"/>
      <c r="S1973" s="174"/>
      <c r="T1973" s="174"/>
      <c r="U1973" s="174"/>
      <c r="V1973" s="174"/>
      <c r="W1973" s="174"/>
      <c r="X1973" s="174"/>
      <c r="Y1973" s="174"/>
      <c r="Z1973" s="174"/>
      <c r="AA1973" s="174"/>
    </row>
    <row r="1974">
      <c r="A1974" s="174"/>
      <c r="B1974" s="174"/>
      <c r="C1974" s="174"/>
      <c r="D1974" s="174"/>
      <c r="E1974" s="174"/>
      <c r="F1974" s="175"/>
      <c r="G1974" s="175"/>
      <c r="H1974" s="174"/>
      <c r="I1974" s="174"/>
      <c r="J1974" s="174"/>
      <c r="K1974" s="174"/>
      <c r="L1974" s="174"/>
      <c r="M1974" s="174"/>
      <c r="N1974" s="174"/>
      <c r="O1974" s="174"/>
      <c r="P1974" s="174"/>
      <c r="Q1974" s="174"/>
      <c r="R1974" s="174"/>
      <c r="S1974" s="174"/>
      <c r="T1974" s="174"/>
      <c r="U1974" s="174"/>
      <c r="V1974" s="174"/>
      <c r="W1974" s="174"/>
      <c r="X1974" s="174"/>
      <c r="Y1974" s="174"/>
      <c r="Z1974" s="174"/>
      <c r="AA1974" s="174"/>
    </row>
    <row r="1975">
      <c r="A1975" s="174"/>
      <c r="B1975" s="174"/>
      <c r="C1975" s="174"/>
      <c r="D1975" s="174"/>
      <c r="E1975" s="174"/>
      <c r="F1975" s="175"/>
      <c r="G1975" s="175"/>
      <c r="H1975" s="174"/>
      <c r="I1975" s="174"/>
      <c r="J1975" s="174"/>
      <c r="K1975" s="174"/>
      <c r="L1975" s="174"/>
      <c r="M1975" s="174"/>
      <c r="N1975" s="174"/>
      <c r="O1975" s="174"/>
      <c r="P1975" s="174"/>
      <c r="Q1975" s="174"/>
      <c r="R1975" s="174"/>
      <c r="S1975" s="174"/>
      <c r="T1975" s="174"/>
      <c r="U1975" s="174"/>
      <c r="V1975" s="174"/>
      <c r="W1975" s="174"/>
      <c r="X1975" s="174"/>
      <c r="Y1975" s="174"/>
      <c r="Z1975" s="174"/>
      <c r="AA1975" s="174"/>
    </row>
    <row r="1976">
      <c r="A1976" s="174"/>
      <c r="B1976" s="174"/>
      <c r="C1976" s="174"/>
      <c r="D1976" s="174"/>
      <c r="E1976" s="174"/>
      <c r="F1976" s="175"/>
      <c r="G1976" s="175"/>
      <c r="H1976" s="174"/>
      <c r="I1976" s="174"/>
      <c r="J1976" s="174"/>
      <c r="K1976" s="174"/>
      <c r="L1976" s="174"/>
      <c r="M1976" s="174"/>
      <c r="N1976" s="174"/>
      <c r="O1976" s="174"/>
      <c r="P1976" s="174"/>
      <c r="Q1976" s="174"/>
      <c r="R1976" s="174"/>
      <c r="S1976" s="174"/>
      <c r="T1976" s="174"/>
      <c r="U1976" s="174"/>
      <c r="V1976" s="174"/>
      <c r="W1976" s="174"/>
      <c r="X1976" s="174"/>
      <c r="Y1976" s="174"/>
      <c r="Z1976" s="174"/>
      <c r="AA1976" s="174"/>
    </row>
    <row r="1977">
      <c r="A1977" s="174"/>
      <c r="B1977" s="174"/>
      <c r="C1977" s="174"/>
      <c r="D1977" s="174"/>
      <c r="E1977" s="174"/>
      <c r="F1977" s="175"/>
      <c r="G1977" s="175"/>
      <c r="H1977" s="174"/>
      <c r="I1977" s="174"/>
      <c r="J1977" s="174"/>
      <c r="K1977" s="174"/>
      <c r="L1977" s="174"/>
      <c r="M1977" s="174"/>
      <c r="N1977" s="174"/>
      <c r="O1977" s="174"/>
      <c r="P1977" s="174"/>
      <c r="Q1977" s="174"/>
      <c r="R1977" s="174"/>
      <c r="S1977" s="174"/>
      <c r="T1977" s="174"/>
      <c r="U1977" s="174"/>
      <c r="V1977" s="174"/>
      <c r="W1977" s="174"/>
      <c r="X1977" s="174"/>
      <c r="Y1977" s="174"/>
      <c r="Z1977" s="174"/>
      <c r="AA1977" s="174"/>
    </row>
    <row r="1978">
      <c r="A1978" s="174"/>
      <c r="B1978" s="174"/>
      <c r="C1978" s="174"/>
      <c r="D1978" s="174"/>
      <c r="E1978" s="174"/>
      <c r="F1978" s="175"/>
      <c r="G1978" s="175"/>
      <c r="H1978" s="174"/>
      <c r="I1978" s="174"/>
      <c r="J1978" s="174"/>
      <c r="K1978" s="174"/>
      <c r="L1978" s="174"/>
      <c r="M1978" s="174"/>
      <c r="N1978" s="174"/>
      <c r="O1978" s="174"/>
      <c r="P1978" s="174"/>
      <c r="Q1978" s="174"/>
      <c r="R1978" s="174"/>
      <c r="S1978" s="174"/>
      <c r="T1978" s="174"/>
      <c r="U1978" s="174"/>
      <c r="V1978" s="174"/>
      <c r="W1978" s="174"/>
      <c r="X1978" s="174"/>
      <c r="Y1978" s="174"/>
      <c r="Z1978" s="174"/>
      <c r="AA1978" s="174"/>
    </row>
    <row r="1979">
      <c r="A1979" s="174"/>
      <c r="B1979" s="174"/>
      <c r="C1979" s="174"/>
      <c r="D1979" s="174"/>
      <c r="E1979" s="174"/>
      <c r="F1979" s="175"/>
      <c r="G1979" s="175"/>
      <c r="H1979" s="174"/>
      <c r="I1979" s="174"/>
      <c r="J1979" s="174"/>
      <c r="K1979" s="174"/>
      <c r="L1979" s="174"/>
      <c r="M1979" s="174"/>
      <c r="N1979" s="174"/>
      <c r="O1979" s="174"/>
      <c r="P1979" s="174"/>
      <c r="Q1979" s="174"/>
      <c r="R1979" s="174"/>
      <c r="S1979" s="174"/>
      <c r="T1979" s="174"/>
      <c r="U1979" s="174"/>
      <c r="V1979" s="174"/>
      <c r="W1979" s="174"/>
      <c r="X1979" s="174"/>
      <c r="Y1979" s="174"/>
      <c r="Z1979" s="174"/>
      <c r="AA1979" s="174"/>
    </row>
    <row r="1980">
      <c r="A1980" s="174"/>
      <c r="B1980" s="174"/>
      <c r="C1980" s="174"/>
      <c r="D1980" s="174"/>
      <c r="E1980" s="174"/>
      <c r="F1980" s="175"/>
      <c r="G1980" s="175"/>
      <c r="H1980" s="174"/>
      <c r="I1980" s="174"/>
      <c r="J1980" s="174"/>
      <c r="K1980" s="174"/>
      <c r="L1980" s="174"/>
      <c r="M1980" s="174"/>
      <c r="N1980" s="174"/>
      <c r="O1980" s="174"/>
      <c r="P1980" s="174"/>
      <c r="Q1980" s="174"/>
      <c r="R1980" s="174"/>
      <c r="S1980" s="174"/>
      <c r="T1980" s="174"/>
      <c r="U1980" s="174"/>
      <c r="V1980" s="174"/>
      <c r="W1980" s="174"/>
      <c r="X1980" s="174"/>
      <c r="Y1980" s="174"/>
      <c r="Z1980" s="174"/>
      <c r="AA1980" s="174"/>
    </row>
    <row r="1981">
      <c r="A1981" s="174"/>
      <c r="B1981" s="174"/>
      <c r="C1981" s="174"/>
      <c r="D1981" s="174"/>
      <c r="E1981" s="174"/>
      <c r="F1981" s="175"/>
      <c r="G1981" s="175"/>
      <c r="H1981" s="174"/>
      <c r="I1981" s="174"/>
      <c r="J1981" s="174"/>
      <c r="K1981" s="174"/>
      <c r="L1981" s="174"/>
      <c r="M1981" s="174"/>
      <c r="N1981" s="174"/>
      <c r="O1981" s="174"/>
      <c r="P1981" s="174"/>
      <c r="Q1981" s="174"/>
      <c r="R1981" s="174"/>
      <c r="S1981" s="174"/>
      <c r="T1981" s="174"/>
      <c r="U1981" s="174"/>
      <c r="V1981" s="174"/>
      <c r="W1981" s="174"/>
      <c r="X1981" s="174"/>
      <c r="Y1981" s="174"/>
      <c r="Z1981" s="174"/>
      <c r="AA1981" s="174"/>
    </row>
    <row r="1982">
      <c r="A1982" s="174"/>
      <c r="B1982" s="174"/>
      <c r="C1982" s="174"/>
      <c r="D1982" s="174"/>
      <c r="E1982" s="174"/>
      <c r="F1982" s="175"/>
      <c r="G1982" s="175"/>
      <c r="H1982" s="174"/>
      <c r="I1982" s="174"/>
      <c r="J1982" s="174"/>
      <c r="K1982" s="174"/>
      <c r="L1982" s="174"/>
      <c r="M1982" s="174"/>
      <c r="N1982" s="174"/>
      <c r="O1982" s="174"/>
      <c r="P1982" s="174"/>
      <c r="Q1982" s="174"/>
      <c r="R1982" s="174"/>
      <c r="S1982" s="174"/>
      <c r="T1982" s="174"/>
      <c r="U1982" s="174"/>
      <c r="V1982" s="174"/>
      <c r="W1982" s="174"/>
      <c r="X1982" s="174"/>
      <c r="Y1982" s="174"/>
      <c r="Z1982" s="174"/>
      <c r="AA1982" s="174"/>
    </row>
    <row r="1983">
      <c r="A1983" s="174"/>
      <c r="B1983" s="174"/>
      <c r="C1983" s="174"/>
      <c r="D1983" s="174"/>
      <c r="E1983" s="174"/>
      <c r="F1983" s="175"/>
      <c r="G1983" s="175"/>
      <c r="H1983" s="174"/>
      <c r="I1983" s="174"/>
      <c r="J1983" s="174"/>
      <c r="K1983" s="174"/>
      <c r="L1983" s="174"/>
      <c r="M1983" s="174"/>
      <c r="N1983" s="174"/>
      <c r="O1983" s="174"/>
      <c r="P1983" s="174"/>
      <c r="Q1983" s="174"/>
      <c r="R1983" s="174"/>
      <c r="S1983" s="174"/>
      <c r="T1983" s="174"/>
      <c r="U1983" s="174"/>
      <c r="V1983" s="174"/>
      <c r="W1983" s="174"/>
      <c r="X1983" s="174"/>
      <c r="Y1983" s="174"/>
      <c r="Z1983" s="174"/>
      <c r="AA1983" s="174"/>
    </row>
    <row r="1984">
      <c r="A1984" s="174"/>
      <c r="B1984" s="174"/>
      <c r="C1984" s="174"/>
      <c r="D1984" s="174"/>
      <c r="E1984" s="174"/>
      <c r="F1984" s="175"/>
      <c r="G1984" s="175"/>
      <c r="H1984" s="174"/>
      <c r="I1984" s="174"/>
      <c r="J1984" s="174"/>
      <c r="K1984" s="174"/>
      <c r="L1984" s="174"/>
      <c r="M1984" s="174"/>
      <c r="N1984" s="174"/>
      <c r="O1984" s="174"/>
      <c r="P1984" s="174"/>
      <c r="Q1984" s="174"/>
      <c r="R1984" s="174"/>
      <c r="S1984" s="174"/>
      <c r="T1984" s="174"/>
      <c r="U1984" s="174"/>
      <c r="V1984" s="174"/>
      <c r="W1984" s="174"/>
      <c r="X1984" s="174"/>
      <c r="Y1984" s="174"/>
      <c r="Z1984" s="174"/>
      <c r="AA1984" s="174"/>
    </row>
    <row r="1985">
      <c r="A1985" s="174"/>
      <c r="B1985" s="174"/>
      <c r="C1985" s="174"/>
      <c r="D1985" s="174"/>
      <c r="E1985" s="174"/>
      <c r="F1985" s="175"/>
      <c r="G1985" s="175"/>
      <c r="H1985" s="174"/>
      <c r="I1985" s="174"/>
      <c r="J1985" s="174"/>
      <c r="K1985" s="174"/>
      <c r="L1985" s="174"/>
      <c r="M1985" s="174"/>
      <c r="N1985" s="174"/>
      <c r="O1985" s="174"/>
      <c r="P1985" s="174"/>
      <c r="Q1985" s="174"/>
      <c r="R1985" s="174"/>
      <c r="S1985" s="174"/>
      <c r="T1985" s="174"/>
      <c r="U1985" s="174"/>
      <c r="V1985" s="174"/>
      <c r="W1985" s="174"/>
      <c r="X1985" s="174"/>
      <c r="Y1985" s="174"/>
      <c r="Z1985" s="174"/>
      <c r="AA1985" s="174"/>
    </row>
    <row r="1986">
      <c r="A1986" s="174"/>
      <c r="B1986" s="174"/>
      <c r="C1986" s="174"/>
      <c r="D1986" s="174"/>
      <c r="E1986" s="174"/>
      <c r="F1986" s="175"/>
      <c r="G1986" s="175"/>
      <c r="H1986" s="174"/>
      <c r="I1986" s="174"/>
      <c r="J1986" s="174"/>
      <c r="K1986" s="174"/>
      <c r="L1986" s="174"/>
      <c r="M1986" s="174"/>
      <c r="N1986" s="174"/>
      <c r="O1986" s="174"/>
      <c r="P1986" s="174"/>
      <c r="Q1986" s="174"/>
      <c r="R1986" s="174"/>
      <c r="S1986" s="174"/>
      <c r="T1986" s="174"/>
      <c r="U1986" s="174"/>
      <c r="V1986" s="174"/>
      <c r="W1986" s="174"/>
      <c r="X1986" s="174"/>
      <c r="Y1986" s="174"/>
      <c r="Z1986" s="174"/>
      <c r="AA1986" s="174"/>
    </row>
    <row r="1987">
      <c r="A1987" s="174"/>
      <c r="B1987" s="174"/>
      <c r="C1987" s="174"/>
      <c r="D1987" s="174"/>
      <c r="E1987" s="174"/>
      <c r="F1987" s="175"/>
      <c r="G1987" s="175"/>
      <c r="H1987" s="174"/>
      <c r="I1987" s="174"/>
      <c r="J1987" s="174"/>
      <c r="K1987" s="174"/>
      <c r="L1987" s="174"/>
      <c r="M1987" s="174"/>
      <c r="N1987" s="174"/>
      <c r="O1987" s="174"/>
      <c r="P1987" s="174"/>
      <c r="Q1987" s="174"/>
      <c r="R1987" s="174"/>
      <c r="S1987" s="174"/>
      <c r="T1987" s="174"/>
      <c r="U1987" s="174"/>
      <c r="V1987" s="174"/>
      <c r="W1987" s="174"/>
      <c r="X1987" s="174"/>
      <c r="Y1987" s="174"/>
      <c r="Z1987" s="174"/>
      <c r="AA1987" s="174"/>
    </row>
    <row r="1988">
      <c r="A1988" s="174"/>
      <c r="B1988" s="174"/>
      <c r="C1988" s="174"/>
      <c r="D1988" s="174"/>
      <c r="E1988" s="174"/>
      <c r="F1988" s="175"/>
      <c r="G1988" s="175"/>
      <c r="H1988" s="174"/>
      <c r="I1988" s="174"/>
      <c r="J1988" s="174"/>
      <c r="K1988" s="174"/>
      <c r="L1988" s="174"/>
      <c r="M1988" s="174"/>
      <c r="N1988" s="174"/>
      <c r="O1988" s="174"/>
      <c r="P1988" s="174"/>
      <c r="Q1988" s="174"/>
      <c r="R1988" s="174"/>
      <c r="S1988" s="174"/>
      <c r="T1988" s="174"/>
      <c r="U1988" s="174"/>
      <c r="V1988" s="174"/>
      <c r="W1988" s="174"/>
      <c r="X1988" s="174"/>
      <c r="Y1988" s="174"/>
      <c r="Z1988" s="174"/>
      <c r="AA1988" s="174"/>
    </row>
    <row r="1989">
      <c r="A1989" s="174"/>
      <c r="B1989" s="174"/>
      <c r="C1989" s="174"/>
      <c r="D1989" s="174"/>
      <c r="E1989" s="174"/>
      <c r="F1989" s="175"/>
      <c r="G1989" s="175"/>
      <c r="H1989" s="174"/>
      <c r="I1989" s="174"/>
      <c r="J1989" s="174"/>
      <c r="K1989" s="174"/>
      <c r="L1989" s="174"/>
      <c r="M1989" s="174"/>
      <c r="N1989" s="174"/>
      <c r="O1989" s="174"/>
      <c r="P1989" s="174"/>
      <c r="Q1989" s="174"/>
      <c r="R1989" s="174"/>
      <c r="S1989" s="174"/>
      <c r="T1989" s="174"/>
      <c r="U1989" s="174"/>
      <c r="V1989" s="174"/>
      <c r="W1989" s="174"/>
      <c r="X1989" s="174"/>
      <c r="Y1989" s="174"/>
      <c r="Z1989" s="174"/>
      <c r="AA1989" s="174"/>
    </row>
    <row r="1990">
      <c r="A1990" s="174"/>
      <c r="B1990" s="174"/>
      <c r="C1990" s="174"/>
      <c r="D1990" s="174"/>
      <c r="E1990" s="174"/>
      <c r="F1990" s="175"/>
      <c r="G1990" s="175"/>
      <c r="H1990" s="174"/>
      <c r="I1990" s="174"/>
      <c r="J1990" s="174"/>
      <c r="K1990" s="174"/>
      <c r="L1990" s="174"/>
      <c r="M1990" s="174"/>
      <c r="N1990" s="174"/>
      <c r="O1990" s="174"/>
      <c r="P1990" s="174"/>
      <c r="Q1990" s="174"/>
      <c r="R1990" s="174"/>
      <c r="S1990" s="174"/>
      <c r="T1990" s="174"/>
      <c r="U1990" s="174"/>
      <c r="V1990" s="174"/>
      <c r="W1990" s="174"/>
      <c r="X1990" s="174"/>
      <c r="Y1990" s="174"/>
      <c r="Z1990" s="174"/>
      <c r="AA1990" s="174"/>
    </row>
    <row r="1991">
      <c r="A1991" s="174"/>
      <c r="B1991" s="174"/>
      <c r="C1991" s="174"/>
      <c r="D1991" s="174"/>
      <c r="E1991" s="174"/>
      <c r="F1991" s="175"/>
      <c r="G1991" s="175"/>
      <c r="H1991" s="174"/>
      <c r="I1991" s="174"/>
      <c r="J1991" s="174"/>
      <c r="K1991" s="174"/>
      <c r="L1991" s="174"/>
      <c r="M1991" s="174"/>
      <c r="N1991" s="174"/>
      <c r="O1991" s="174"/>
      <c r="P1991" s="174"/>
      <c r="Q1991" s="174"/>
      <c r="R1991" s="174"/>
      <c r="S1991" s="174"/>
      <c r="T1991" s="174"/>
      <c r="U1991" s="174"/>
      <c r="V1991" s="174"/>
      <c r="W1991" s="174"/>
      <c r="X1991" s="174"/>
      <c r="Y1991" s="174"/>
      <c r="Z1991" s="174"/>
      <c r="AA1991" s="174"/>
    </row>
    <row r="1992">
      <c r="A1992" s="174"/>
      <c r="B1992" s="174"/>
      <c r="C1992" s="174"/>
      <c r="D1992" s="174"/>
      <c r="E1992" s="174"/>
      <c r="F1992" s="175"/>
      <c r="G1992" s="175"/>
      <c r="H1992" s="174"/>
      <c r="I1992" s="174"/>
      <c r="J1992" s="174"/>
      <c r="K1992" s="174"/>
      <c r="L1992" s="174"/>
      <c r="M1992" s="174"/>
      <c r="N1992" s="174"/>
      <c r="O1992" s="174"/>
      <c r="P1992" s="174"/>
      <c r="Q1992" s="174"/>
      <c r="R1992" s="174"/>
      <c r="S1992" s="174"/>
      <c r="T1992" s="174"/>
      <c r="U1992" s="174"/>
      <c r="V1992" s="174"/>
      <c r="W1992" s="174"/>
      <c r="X1992" s="174"/>
      <c r="Y1992" s="174"/>
      <c r="Z1992" s="174"/>
      <c r="AA1992" s="174"/>
    </row>
    <row r="1993">
      <c r="A1993" s="174"/>
      <c r="B1993" s="174"/>
      <c r="C1993" s="174"/>
      <c r="D1993" s="174"/>
      <c r="E1993" s="174"/>
      <c r="F1993" s="175"/>
      <c r="G1993" s="175"/>
      <c r="H1993" s="174"/>
      <c r="I1993" s="174"/>
      <c r="J1993" s="174"/>
      <c r="K1993" s="174"/>
      <c r="L1993" s="174"/>
      <c r="M1993" s="174"/>
      <c r="N1993" s="174"/>
      <c r="O1993" s="174"/>
      <c r="P1993" s="174"/>
      <c r="Q1993" s="174"/>
      <c r="R1993" s="174"/>
      <c r="S1993" s="174"/>
      <c r="T1993" s="174"/>
      <c r="U1993" s="174"/>
      <c r="V1993" s="174"/>
      <c r="W1993" s="174"/>
      <c r="X1993" s="174"/>
      <c r="Y1993" s="174"/>
      <c r="Z1993" s="174"/>
      <c r="AA1993" s="174"/>
    </row>
    <row r="1994">
      <c r="A1994" s="174"/>
      <c r="B1994" s="174"/>
      <c r="C1994" s="174"/>
      <c r="D1994" s="174"/>
      <c r="E1994" s="174"/>
      <c r="F1994" s="175"/>
      <c r="G1994" s="175"/>
      <c r="H1994" s="174"/>
      <c r="I1994" s="174"/>
      <c r="J1994" s="174"/>
      <c r="K1994" s="174"/>
      <c r="L1994" s="174"/>
      <c r="M1994" s="174"/>
      <c r="N1994" s="174"/>
      <c r="O1994" s="174"/>
      <c r="P1994" s="174"/>
      <c r="Q1994" s="174"/>
      <c r="R1994" s="174"/>
      <c r="S1994" s="174"/>
      <c r="T1994" s="174"/>
      <c r="U1994" s="174"/>
      <c r="V1994" s="174"/>
      <c r="W1994" s="174"/>
      <c r="X1994" s="174"/>
      <c r="Y1994" s="174"/>
      <c r="Z1994" s="174"/>
      <c r="AA1994" s="174"/>
    </row>
    <row r="1995">
      <c r="A1995" s="174"/>
      <c r="B1995" s="174"/>
      <c r="C1995" s="174"/>
      <c r="D1995" s="174"/>
      <c r="E1995" s="174"/>
      <c r="F1995" s="175"/>
      <c r="G1995" s="175"/>
      <c r="H1995" s="174"/>
      <c r="I1995" s="174"/>
      <c r="J1995" s="174"/>
      <c r="K1995" s="174"/>
      <c r="L1995" s="174"/>
      <c r="M1995" s="174"/>
      <c r="N1995" s="174"/>
      <c r="O1995" s="174"/>
      <c r="P1995" s="174"/>
      <c r="Q1995" s="174"/>
      <c r="R1995" s="174"/>
      <c r="S1995" s="174"/>
      <c r="T1995" s="174"/>
      <c r="U1995" s="174"/>
      <c r="V1995" s="174"/>
      <c r="W1995" s="174"/>
      <c r="X1995" s="174"/>
      <c r="Y1995" s="174"/>
      <c r="Z1995" s="174"/>
      <c r="AA1995" s="174"/>
    </row>
    <row r="1996">
      <c r="A1996" s="174"/>
      <c r="B1996" s="174"/>
      <c r="C1996" s="174"/>
      <c r="D1996" s="174"/>
      <c r="E1996" s="174"/>
      <c r="F1996" s="175"/>
      <c r="G1996" s="175"/>
      <c r="H1996" s="174"/>
      <c r="I1996" s="174"/>
      <c r="J1996" s="174"/>
      <c r="K1996" s="174"/>
      <c r="L1996" s="174"/>
      <c r="M1996" s="174"/>
      <c r="N1996" s="174"/>
      <c r="O1996" s="174"/>
      <c r="P1996" s="174"/>
      <c r="Q1996" s="174"/>
      <c r="R1996" s="174"/>
      <c r="S1996" s="174"/>
      <c r="T1996" s="174"/>
      <c r="U1996" s="174"/>
      <c r="V1996" s="174"/>
      <c r="W1996" s="174"/>
      <c r="X1996" s="174"/>
      <c r="Y1996" s="174"/>
      <c r="Z1996" s="174"/>
      <c r="AA1996" s="174"/>
    </row>
    <row r="1997">
      <c r="A1997" s="174"/>
      <c r="B1997" s="174"/>
      <c r="C1997" s="174"/>
      <c r="D1997" s="174"/>
      <c r="E1997" s="174"/>
      <c r="F1997" s="175"/>
      <c r="G1997" s="175"/>
      <c r="H1997" s="174"/>
      <c r="I1997" s="174"/>
      <c r="J1997" s="174"/>
      <c r="K1997" s="174"/>
      <c r="L1997" s="174"/>
      <c r="M1997" s="174"/>
      <c r="N1997" s="174"/>
      <c r="O1997" s="174"/>
      <c r="P1997" s="174"/>
      <c r="Q1997" s="174"/>
      <c r="R1997" s="174"/>
      <c r="S1997" s="174"/>
      <c r="T1997" s="174"/>
      <c r="U1997" s="174"/>
      <c r="V1997" s="174"/>
      <c r="W1997" s="174"/>
      <c r="X1997" s="174"/>
      <c r="Y1997" s="174"/>
      <c r="Z1997" s="174"/>
      <c r="AA1997" s="174"/>
    </row>
    <row r="1998">
      <c r="A1998" s="174"/>
      <c r="B1998" s="174"/>
      <c r="C1998" s="174"/>
      <c r="D1998" s="174"/>
      <c r="E1998" s="174"/>
      <c r="F1998" s="175"/>
      <c r="G1998" s="175"/>
      <c r="H1998" s="174"/>
      <c r="I1998" s="174"/>
      <c r="J1998" s="174"/>
      <c r="K1998" s="174"/>
      <c r="L1998" s="174"/>
      <c r="M1998" s="174"/>
      <c r="N1998" s="174"/>
      <c r="O1998" s="174"/>
      <c r="P1998" s="174"/>
      <c r="Q1998" s="174"/>
      <c r="R1998" s="174"/>
      <c r="S1998" s="174"/>
      <c r="T1998" s="174"/>
      <c r="U1998" s="174"/>
      <c r="V1998" s="174"/>
      <c r="W1998" s="174"/>
      <c r="X1998" s="174"/>
      <c r="Y1998" s="174"/>
      <c r="Z1998" s="174"/>
      <c r="AA1998" s="174"/>
    </row>
    <row r="1999">
      <c r="A1999" s="174"/>
      <c r="B1999" s="174"/>
      <c r="C1999" s="174"/>
      <c r="D1999" s="174"/>
      <c r="E1999" s="174"/>
      <c r="F1999" s="175"/>
      <c r="G1999" s="175"/>
      <c r="H1999" s="174"/>
      <c r="I1999" s="174"/>
      <c r="J1999" s="174"/>
      <c r="K1999" s="174"/>
      <c r="L1999" s="174"/>
      <c r="M1999" s="174"/>
      <c r="N1999" s="174"/>
      <c r="O1999" s="174"/>
      <c r="P1999" s="174"/>
      <c r="Q1999" s="174"/>
      <c r="R1999" s="174"/>
      <c r="S1999" s="174"/>
      <c r="T1999" s="174"/>
      <c r="U1999" s="174"/>
      <c r="V1999" s="174"/>
      <c r="W1999" s="174"/>
      <c r="X1999" s="174"/>
      <c r="Y1999" s="174"/>
      <c r="Z1999" s="174"/>
      <c r="AA1999" s="174"/>
    </row>
    <row r="2000">
      <c r="A2000" s="174"/>
      <c r="B2000" s="174"/>
      <c r="C2000" s="174"/>
      <c r="D2000" s="174"/>
      <c r="E2000" s="174"/>
      <c r="F2000" s="175"/>
      <c r="G2000" s="175"/>
      <c r="H2000" s="174"/>
      <c r="I2000" s="174"/>
      <c r="J2000" s="174"/>
      <c r="K2000" s="174"/>
      <c r="L2000" s="174"/>
      <c r="M2000" s="174"/>
      <c r="N2000" s="174"/>
      <c r="O2000" s="174"/>
      <c r="P2000" s="174"/>
      <c r="Q2000" s="174"/>
      <c r="R2000" s="174"/>
      <c r="S2000" s="174"/>
      <c r="T2000" s="174"/>
      <c r="U2000" s="174"/>
      <c r="V2000" s="174"/>
      <c r="W2000" s="174"/>
      <c r="X2000" s="174"/>
      <c r="Y2000" s="174"/>
      <c r="Z2000" s="174"/>
      <c r="AA2000" s="174"/>
    </row>
    <row r="2001">
      <c r="A2001" s="174"/>
      <c r="B2001" s="174"/>
      <c r="C2001" s="174"/>
      <c r="D2001" s="174"/>
      <c r="E2001" s="174"/>
      <c r="F2001" s="175"/>
      <c r="G2001" s="175"/>
      <c r="H2001" s="174"/>
      <c r="I2001" s="174"/>
      <c r="J2001" s="174"/>
      <c r="K2001" s="174"/>
      <c r="L2001" s="174"/>
      <c r="M2001" s="174"/>
      <c r="N2001" s="174"/>
      <c r="O2001" s="174"/>
      <c r="P2001" s="174"/>
      <c r="Q2001" s="174"/>
      <c r="R2001" s="174"/>
      <c r="S2001" s="174"/>
      <c r="T2001" s="174"/>
      <c r="U2001" s="174"/>
      <c r="V2001" s="174"/>
      <c r="W2001" s="174"/>
      <c r="X2001" s="174"/>
      <c r="Y2001" s="174"/>
      <c r="Z2001" s="174"/>
      <c r="AA2001" s="174"/>
    </row>
    <row r="2002">
      <c r="A2002" s="174"/>
      <c r="B2002" s="174"/>
      <c r="C2002" s="174"/>
      <c r="D2002" s="174"/>
      <c r="E2002" s="174"/>
      <c r="F2002" s="175"/>
      <c r="G2002" s="175"/>
      <c r="H2002" s="174"/>
      <c r="I2002" s="174"/>
      <c r="J2002" s="174"/>
      <c r="K2002" s="174"/>
      <c r="L2002" s="174"/>
      <c r="M2002" s="174"/>
      <c r="N2002" s="174"/>
      <c r="O2002" s="174"/>
      <c r="P2002" s="174"/>
      <c r="Q2002" s="174"/>
      <c r="R2002" s="174"/>
      <c r="S2002" s="174"/>
      <c r="T2002" s="174"/>
      <c r="U2002" s="174"/>
      <c r="V2002" s="174"/>
      <c r="W2002" s="174"/>
      <c r="X2002" s="174"/>
      <c r="Y2002" s="174"/>
      <c r="Z2002" s="174"/>
      <c r="AA2002" s="174"/>
    </row>
    <row r="2003">
      <c r="A2003" s="174"/>
      <c r="B2003" s="174"/>
      <c r="C2003" s="174"/>
      <c r="D2003" s="174"/>
      <c r="E2003" s="174"/>
      <c r="F2003" s="175"/>
      <c r="G2003" s="175"/>
      <c r="H2003" s="174"/>
      <c r="I2003" s="174"/>
      <c r="J2003" s="174"/>
      <c r="K2003" s="174"/>
      <c r="L2003" s="174"/>
      <c r="M2003" s="174"/>
      <c r="N2003" s="174"/>
      <c r="O2003" s="174"/>
      <c r="P2003" s="174"/>
      <c r="Q2003" s="174"/>
      <c r="R2003" s="174"/>
      <c r="S2003" s="174"/>
      <c r="T2003" s="174"/>
      <c r="U2003" s="174"/>
      <c r="V2003" s="174"/>
      <c r="W2003" s="174"/>
      <c r="X2003" s="174"/>
      <c r="Y2003" s="174"/>
      <c r="Z2003" s="174"/>
      <c r="AA2003" s="174"/>
    </row>
    <row r="2004">
      <c r="A2004" s="174"/>
      <c r="B2004" s="174"/>
      <c r="C2004" s="174"/>
      <c r="D2004" s="174"/>
      <c r="E2004" s="174"/>
      <c r="F2004" s="175"/>
      <c r="G2004" s="175"/>
      <c r="H2004" s="174"/>
      <c r="I2004" s="174"/>
      <c r="J2004" s="174"/>
      <c r="K2004" s="174"/>
      <c r="L2004" s="174"/>
      <c r="M2004" s="174"/>
      <c r="N2004" s="174"/>
      <c r="O2004" s="174"/>
      <c r="P2004" s="174"/>
      <c r="Q2004" s="174"/>
      <c r="R2004" s="174"/>
      <c r="S2004" s="174"/>
      <c r="T2004" s="174"/>
      <c r="U2004" s="174"/>
      <c r="V2004" s="174"/>
      <c r="W2004" s="174"/>
      <c r="X2004" s="174"/>
      <c r="Y2004" s="174"/>
      <c r="Z2004" s="174"/>
      <c r="AA2004" s="174"/>
    </row>
    <row r="2005">
      <c r="A2005" s="174"/>
      <c r="B2005" s="174"/>
      <c r="C2005" s="174"/>
      <c r="D2005" s="174"/>
      <c r="E2005" s="174"/>
      <c r="F2005" s="175"/>
      <c r="G2005" s="175"/>
      <c r="H2005" s="174"/>
      <c r="I2005" s="174"/>
      <c r="J2005" s="174"/>
      <c r="K2005" s="174"/>
      <c r="L2005" s="174"/>
      <c r="M2005" s="174"/>
      <c r="N2005" s="174"/>
      <c r="O2005" s="174"/>
      <c r="P2005" s="174"/>
      <c r="Q2005" s="174"/>
      <c r="R2005" s="174"/>
      <c r="S2005" s="174"/>
      <c r="T2005" s="174"/>
      <c r="U2005" s="174"/>
      <c r="V2005" s="174"/>
      <c r="W2005" s="174"/>
      <c r="X2005" s="174"/>
      <c r="Y2005" s="174"/>
      <c r="Z2005" s="174"/>
      <c r="AA2005" s="174"/>
    </row>
    <row r="2006">
      <c r="A2006" s="174"/>
      <c r="B2006" s="174"/>
      <c r="C2006" s="174"/>
      <c r="D2006" s="174"/>
      <c r="E2006" s="174"/>
      <c r="F2006" s="175"/>
      <c r="G2006" s="175"/>
      <c r="H2006" s="174"/>
      <c r="I2006" s="174"/>
      <c r="J2006" s="174"/>
      <c r="K2006" s="174"/>
      <c r="L2006" s="174"/>
      <c r="M2006" s="174"/>
      <c r="N2006" s="174"/>
      <c r="O2006" s="174"/>
      <c r="P2006" s="174"/>
      <c r="Q2006" s="174"/>
      <c r="R2006" s="174"/>
      <c r="S2006" s="174"/>
      <c r="T2006" s="174"/>
      <c r="U2006" s="174"/>
      <c r="V2006" s="174"/>
      <c r="W2006" s="174"/>
      <c r="X2006" s="174"/>
      <c r="Y2006" s="174"/>
      <c r="Z2006" s="174"/>
      <c r="AA2006" s="174"/>
    </row>
    <row r="2007">
      <c r="A2007" s="174"/>
      <c r="B2007" s="174"/>
      <c r="C2007" s="174"/>
      <c r="D2007" s="174"/>
      <c r="E2007" s="174"/>
      <c r="F2007" s="175"/>
      <c r="G2007" s="175"/>
      <c r="H2007" s="174"/>
      <c r="I2007" s="174"/>
      <c r="J2007" s="174"/>
      <c r="K2007" s="174"/>
      <c r="L2007" s="174"/>
      <c r="M2007" s="174"/>
      <c r="N2007" s="174"/>
      <c r="O2007" s="174"/>
      <c r="P2007" s="174"/>
      <c r="Q2007" s="174"/>
      <c r="R2007" s="174"/>
      <c r="S2007" s="174"/>
      <c r="T2007" s="174"/>
      <c r="U2007" s="174"/>
      <c r="V2007" s="174"/>
      <c r="W2007" s="174"/>
      <c r="X2007" s="174"/>
      <c r="Y2007" s="174"/>
      <c r="Z2007" s="174"/>
      <c r="AA2007" s="174"/>
    </row>
    <row r="2008">
      <c r="A2008" s="174"/>
      <c r="B2008" s="174"/>
      <c r="C2008" s="174"/>
      <c r="D2008" s="174"/>
      <c r="E2008" s="174"/>
      <c r="F2008" s="175"/>
      <c r="G2008" s="175"/>
      <c r="H2008" s="174"/>
      <c r="I2008" s="174"/>
      <c r="J2008" s="174"/>
      <c r="K2008" s="174"/>
      <c r="L2008" s="174"/>
      <c r="M2008" s="174"/>
      <c r="N2008" s="174"/>
      <c r="O2008" s="174"/>
      <c r="P2008" s="174"/>
      <c r="Q2008" s="174"/>
      <c r="R2008" s="174"/>
      <c r="S2008" s="174"/>
      <c r="T2008" s="174"/>
      <c r="U2008" s="174"/>
      <c r="V2008" s="174"/>
      <c r="W2008" s="174"/>
      <c r="X2008" s="174"/>
      <c r="Y2008" s="174"/>
      <c r="Z2008" s="174"/>
      <c r="AA2008" s="174"/>
    </row>
    <row r="2009">
      <c r="A2009" s="174"/>
      <c r="B2009" s="174"/>
      <c r="C2009" s="174"/>
      <c r="D2009" s="174"/>
      <c r="E2009" s="174"/>
      <c r="F2009" s="175"/>
      <c r="G2009" s="175"/>
      <c r="H2009" s="174"/>
      <c r="I2009" s="174"/>
      <c r="J2009" s="174"/>
      <c r="K2009" s="174"/>
      <c r="L2009" s="174"/>
      <c r="M2009" s="174"/>
      <c r="N2009" s="174"/>
      <c r="O2009" s="174"/>
      <c r="P2009" s="174"/>
      <c r="Q2009" s="174"/>
      <c r="R2009" s="174"/>
      <c r="S2009" s="174"/>
      <c r="T2009" s="174"/>
      <c r="U2009" s="174"/>
      <c r="V2009" s="174"/>
      <c r="W2009" s="174"/>
      <c r="X2009" s="174"/>
      <c r="Y2009" s="174"/>
      <c r="Z2009" s="174"/>
      <c r="AA2009" s="174"/>
    </row>
    <row r="2010">
      <c r="A2010" s="174"/>
      <c r="B2010" s="174"/>
      <c r="C2010" s="174"/>
      <c r="D2010" s="174"/>
      <c r="E2010" s="174"/>
      <c r="F2010" s="175"/>
      <c r="G2010" s="175"/>
      <c r="H2010" s="174"/>
      <c r="I2010" s="174"/>
      <c r="J2010" s="174"/>
      <c r="K2010" s="174"/>
      <c r="L2010" s="174"/>
      <c r="M2010" s="174"/>
      <c r="N2010" s="174"/>
      <c r="O2010" s="174"/>
      <c r="P2010" s="174"/>
      <c r="Q2010" s="174"/>
      <c r="R2010" s="174"/>
      <c r="S2010" s="174"/>
      <c r="T2010" s="174"/>
      <c r="U2010" s="174"/>
      <c r="V2010" s="174"/>
      <c r="W2010" s="174"/>
      <c r="X2010" s="174"/>
      <c r="Y2010" s="174"/>
      <c r="Z2010" s="174"/>
      <c r="AA2010" s="174"/>
    </row>
    <row r="2011">
      <c r="A2011" s="174"/>
      <c r="B2011" s="174"/>
      <c r="C2011" s="174"/>
      <c r="D2011" s="174"/>
      <c r="E2011" s="174"/>
      <c r="F2011" s="175"/>
      <c r="G2011" s="175"/>
      <c r="H2011" s="174"/>
      <c r="I2011" s="174"/>
      <c r="J2011" s="174"/>
      <c r="K2011" s="174"/>
      <c r="L2011" s="174"/>
      <c r="M2011" s="174"/>
      <c r="N2011" s="174"/>
      <c r="O2011" s="174"/>
      <c r="P2011" s="174"/>
      <c r="Q2011" s="174"/>
      <c r="R2011" s="174"/>
      <c r="S2011" s="174"/>
      <c r="T2011" s="174"/>
      <c r="U2011" s="174"/>
      <c r="V2011" s="174"/>
      <c r="W2011" s="174"/>
      <c r="X2011" s="174"/>
      <c r="Y2011" s="174"/>
      <c r="Z2011" s="174"/>
      <c r="AA2011" s="174"/>
    </row>
    <row r="2012">
      <c r="A2012" s="174"/>
      <c r="B2012" s="174"/>
      <c r="C2012" s="174"/>
      <c r="D2012" s="174"/>
      <c r="E2012" s="174"/>
      <c r="F2012" s="175"/>
      <c r="G2012" s="175"/>
      <c r="H2012" s="174"/>
      <c r="I2012" s="174"/>
      <c r="J2012" s="174"/>
      <c r="K2012" s="174"/>
      <c r="L2012" s="174"/>
      <c r="M2012" s="174"/>
      <c r="N2012" s="174"/>
      <c r="O2012" s="174"/>
      <c r="P2012" s="174"/>
      <c r="Q2012" s="174"/>
      <c r="R2012" s="174"/>
      <c r="S2012" s="174"/>
      <c r="T2012" s="174"/>
      <c r="U2012" s="174"/>
      <c r="V2012" s="174"/>
      <c r="W2012" s="174"/>
      <c r="X2012" s="174"/>
      <c r="Y2012" s="174"/>
      <c r="Z2012" s="174"/>
      <c r="AA2012" s="174"/>
    </row>
    <row r="2013">
      <c r="A2013" s="174"/>
      <c r="B2013" s="174"/>
      <c r="C2013" s="174"/>
      <c r="D2013" s="174"/>
      <c r="E2013" s="174"/>
      <c r="F2013" s="175"/>
      <c r="G2013" s="175"/>
      <c r="H2013" s="174"/>
      <c r="I2013" s="174"/>
      <c r="J2013" s="174"/>
      <c r="K2013" s="174"/>
      <c r="L2013" s="174"/>
      <c r="M2013" s="174"/>
      <c r="N2013" s="174"/>
      <c r="O2013" s="174"/>
      <c r="P2013" s="174"/>
      <c r="Q2013" s="174"/>
      <c r="R2013" s="174"/>
      <c r="S2013" s="174"/>
      <c r="T2013" s="174"/>
      <c r="U2013" s="174"/>
      <c r="V2013" s="174"/>
      <c r="W2013" s="174"/>
      <c r="X2013" s="174"/>
      <c r="Y2013" s="174"/>
      <c r="Z2013" s="174"/>
      <c r="AA2013" s="174"/>
    </row>
    <row r="2014">
      <c r="A2014" s="174"/>
      <c r="B2014" s="174"/>
      <c r="C2014" s="174"/>
      <c r="D2014" s="174"/>
      <c r="E2014" s="174"/>
      <c r="F2014" s="175"/>
      <c r="G2014" s="175"/>
      <c r="H2014" s="174"/>
      <c r="I2014" s="174"/>
      <c r="J2014" s="174"/>
      <c r="K2014" s="174"/>
      <c r="L2014" s="174"/>
      <c r="M2014" s="174"/>
      <c r="N2014" s="174"/>
      <c r="O2014" s="174"/>
      <c r="P2014" s="174"/>
      <c r="Q2014" s="174"/>
      <c r="R2014" s="174"/>
      <c r="S2014" s="174"/>
      <c r="T2014" s="174"/>
      <c r="U2014" s="174"/>
      <c r="V2014" s="174"/>
      <c r="W2014" s="174"/>
      <c r="X2014" s="174"/>
      <c r="Y2014" s="174"/>
      <c r="Z2014" s="174"/>
      <c r="AA2014" s="174"/>
    </row>
    <row r="2015">
      <c r="A2015" s="174"/>
      <c r="B2015" s="174"/>
      <c r="C2015" s="174"/>
      <c r="D2015" s="174"/>
      <c r="E2015" s="174"/>
      <c r="F2015" s="175"/>
      <c r="G2015" s="175"/>
      <c r="H2015" s="174"/>
      <c r="I2015" s="174"/>
      <c r="J2015" s="174"/>
      <c r="K2015" s="174"/>
      <c r="L2015" s="174"/>
      <c r="M2015" s="174"/>
      <c r="N2015" s="174"/>
      <c r="O2015" s="174"/>
      <c r="P2015" s="174"/>
      <c r="Q2015" s="174"/>
      <c r="R2015" s="174"/>
      <c r="S2015" s="174"/>
      <c r="T2015" s="174"/>
      <c r="U2015" s="174"/>
      <c r="V2015" s="174"/>
      <c r="W2015" s="174"/>
      <c r="X2015" s="174"/>
      <c r="Y2015" s="174"/>
      <c r="Z2015" s="174"/>
      <c r="AA2015" s="174"/>
    </row>
    <row r="2016">
      <c r="A2016" s="174"/>
      <c r="B2016" s="174"/>
      <c r="C2016" s="174"/>
      <c r="D2016" s="174"/>
      <c r="E2016" s="174"/>
      <c r="F2016" s="175"/>
      <c r="G2016" s="175"/>
      <c r="H2016" s="174"/>
      <c r="I2016" s="174"/>
      <c r="J2016" s="174"/>
      <c r="K2016" s="174"/>
      <c r="L2016" s="174"/>
      <c r="M2016" s="174"/>
      <c r="N2016" s="174"/>
      <c r="O2016" s="174"/>
      <c r="P2016" s="174"/>
      <c r="Q2016" s="174"/>
      <c r="R2016" s="174"/>
      <c r="S2016" s="174"/>
      <c r="T2016" s="174"/>
      <c r="U2016" s="174"/>
      <c r="V2016" s="174"/>
      <c r="W2016" s="174"/>
      <c r="X2016" s="174"/>
      <c r="Y2016" s="174"/>
      <c r="Z2016" s="174"/>
      <c r="AA2016" s="174"/>
    </row>
    <row r="2017">
      <c r="A2017" s="174"/>
      <c r="B2017" s="174"/>
      <c r="C2017" s="174"/>
      <c r="D2017" s="174"/>
      <c r="E2017" s="174"/>
      <c r="F2017" s="175"/>
      <c r="G2017" s="175"/>
      <c r="H2017" s="174"/>
      <c r="I2017" s="174"/>
      <c r="J2017" s="174"/>
      <c r="K2017" s="174"/>
      <c r="L2017" s="174"/>
      <c r="M2017" s="174"/>
      <c r="N2017" s="174"/>
      <c r="O2017" s="174"/>
      <c r="P2017" s="174"/>
      <c r="Q2017" s="174"/>
      <c r="R2017" s="174"/>
      <c r="S2017" s="174"/>
      <c r="T2017" s="174"/>
      <c r="U2017" s="174"/>
      <c r="V2017" s="174"/>
      <c r="W2017" s="174"/>
      <c r="X2017" s="174"/>
      <c r="Y2017" s="174"/>
      <c r="Z2017" s="174"/>
      <c r="AA2017" s="174"/>
    </row>
    <row r="2018">
      <c r="A2018" s="174"/>
      <c r="B2018" s="174"/>
      <c r="C2018" s="174"/>
      <c r="D2018" s="174"/>
      <c r="E2018" s="174"/>
      <c r="F2018" s="175"/>
      <c r="G2018" s="175"/>
      <c r="H2018" s="174"/>
      <c r="I2018" s="174"/>
      <c r="J2018" s="174"/>
      <c r="K2018" s="174"/>
      <c r="L2018" s="174"/>
      <c r="M2018" s="174"/>
      <c r="N2018" s="174"/>
      <c r="O2018" s="174"/>
      <c r="P2018" s="174"/>
      <c r="Q2018" s="174"/>
      <c r="R2018" s="174"/>
      <c r="S2018" s="174"/>
      <c r="T2018" s="174"/>
      <c r="U2018" s="174"/>
      <c r="V2018" s="174"/>
      <c r="W2018" s="174"/>
      <c r="X2018" s="174"/>
      <c r="Y2018" s="174"/>
      <c r="Z2018" s="174"/>
      <c r="AA2018" s="174"/>
    </row>
    <row r="2019">
      <c r="A2019" s="174"/>
      <c r="B2019" s="174"/>
      <c r="C2019" s="174"/>
      <c r="D2019" s="174"/>
      <c r="E2019" s="174"/>
      <c r="F2019" s="175"/>
      <c r="G2019" s="175"/>
      <c r="H2019" s="174"/>
      <c r="I2019" s="174"/>
      <c r="J2019" s="174"/>
      <c r="K2019" s="174"/>
      <c r="L2019" s="174"/>
      <c r="M2019" s="174"/>
      <c r="N2019" s="174"/>
      <c r="O2019" s="174"/>
      <c r="P2019" s="174"/>
      <c r="Q2019" s="174"/>
      <c r="R2019" s="174"/>
      <c r="S2019" s="174"/>
      <c r="T2019" s="174"/>
      <c r="U2019" s="174"/>
      <c r="V2019" s="174"/>
      <c r="W2019" s="174"/>
      <c r="X2019" s="174"/>
      <c r="Y2019" s="174"/>
      <c r="Z2019" s="174"/>
      <c r="AA2019" s="174"/>
    </row>
    <row r="2020">
      <c r="A2020" s="174"/>
      <c r="B2020" s="174"/>
      <c r="C2020" s="174"/>
      <c r="D2020" s="174"/>
      <c r="E2020" s="174"/>
      <c r="F2020" s="175"/>
      <c r="G2020" s="175"/>
      <c r="H2020" s="174"/>
      <c r="I2020" s="174"/>
      <c r="J2020" s="174"/>
      <c r="K2020" s="174"/>
      <c r="L2020" s="174"/>
      <c r="M2020" s="174"/>
      <c r="N2020" s="174"/>
      <c r="O2020" s="174"/>
      <c r="P2020" s="174"/>
      <c r="Q2020" s="174"/>
      <c r="R2020" s="174"/>
      <c r="S2020" s="174"/>
      <c r="T2020" s="174"/>
      <c r="U2020" s="174"/>
      <c r="V2020" s="174"/>
      <c r="W2020" s="174"/>
      <c r="X2020" s="174"/>
      <c r="Y2020" s="174"/>
      <c r="Z2020" s="174"/>
      <c r="AA2020" s="174"/>
    </row>
    <row r="2021">
      <c r="A2021" s="174"/>
      <c r="B2021" s="174"/>
      <c r="C2021" s="174"/>
      <c r="D2021" s="174"/>
      <c r="E2021" s="174"/>
      <c r="F2021" s="175"/>
      <c r="G2021" s="175"/>
      <c r="H2021" s="174"/>
      <c r="I2021" s="174"/>
      <c r="J2021" s="174"/>
      <c r="K2021" s="174"/>
      <c r="L2021" s="174"/>
      <c r="M2021" s="174"/>
      <c r="N2021" s="174"/>
      <c r="O2021" s="174"/>
      <c r="P2021" s="174"/>
      <c r="Q2021" s="174"/>
      <c r="R2021" s="174"/>
      <c r="S2021" s="174"/>
      <c r="T2021" s="174"/>
      <c r="U2021" s="174"/>
      <c r="V2021" s="174"/>
      <c r="W2021" s="174"/>
      <c r="X2021" s="174"/>
      <c r="Y2021" s="174"/>
      <c r="Z2021" s="174"/>
      <c r="AA2021" s="174"/>
    </row>
    <row r="2022">
      <c r="A2022" s="174"/>
      <c r="B2022" s="174"/>
      <c r="C2022" s="174"/>
      <c r="D2022" s="174"/>
      <c r="E2022" s="174"/>
      <c r="F2022" s="175"/>
      <c r="G2022" s="175"/>
      <c r="H2022" s="174"/>
      <c r="I2022" s="174"/>
      <c r="J2022" s="174"/>
      <c r="K2022" s="174"/>
      <c r="L2022" s="174"/>
      <c r="M2022" s="174"/>
      <c r="N2022" s="174"/>
      <c r="O2022" s="174"/>
      <c r="P2022" s="174"/>
      <c r="Q2022" s="174"/>
      <c r="R2022" s="174"/>
      <c r="S2022" s="174"/>
      <c r="T2022" s="174"/>
      <c r="U2022" s="174"/>
      <c r="V2022" s="174"/>
      <c r="W2022" s="174"/>
      <c r="X2022" s="174"/>
      <c r="Y2022" s="174"/>
      <c r="Z2022" s="174"/>
      <c r="AA2022" s="174"/>
    </row>
    <row r="2023">
      <c r="A2023" s="174"/>
      <c r="B2023" s="174"/>
      <c r="C2023" s="174"/>
      <c r="D2023" s="174"/>
      <c r="E2023" s="174"/>
      <c r="F2023" s="175"/>
      <c r="G2023" s="175"/>
      <c r="H2023" s="174"/>
      <c r="I2023" s="174"/>
      <c r="J2023" s="174"/>
      <c r="K2023" s="174"/>
      <c r="L2023" s="174"/>
      <c r="M2023" s="174"/>
      <c r="N2023" s="174"/>
      <c r="O2023" s="174"/>
      <c r="P2023" s="174"/>
      <c r="Q2023" s="174"/>
      <c r="R2023" s="174"/>
      <c r="S2023" s="174"/>
      <c r="T2023" s="174"/>
      <c r="U2023" s="174"/>
      <c r="V2023" s="174"/>
      <c r="W2023" s="174"/>
      <c r="X2023" s="174"/>
      <c r="Y2023" s="174"/>
      <c r="Z2023" s="174"/>
      <c r="AA2023" s="174"/>
    </row>
    <row r="2024">
      <c r="A2024" s="174"/>
      <c r="B2024" s="174"/>
      <c r="C2024" s="174"/>
      <c r="D2024" s="174"/>
      <c r="E2024" s="174"/>
      <c r="F2024" s="175"/>
      <c r="G2024" s="175"/>
      <c r="H2024" s="174"/>
      <c r="I2024" s="174"/>
      <c r="J2024" s="174"/>
      <c r="K2024" s="174"/>
      <c r="L2024" s="174"/>
      <c r="M2024" s="174"/>
      <c r="N2024" s="174"/>
      <c r="O2024" s="174"/>
      <c r="P2024" s="174"/>
      <c r="Q2024" s="174"/>
      <c r="R2024" s="174"/>
      <c r="S2024" s="174"/>
      <c r="T2024" s="174"/>
      <c r="U2024" s="174"/>
      <c r="V2024" s="174"/>
      <c r="W2024" s="174"/>
      <c r="X2024" s="174"/>
      <c r="Y2024" s="174"/>
      <c r="Z2024" s="174"/>
      <c r="AA2024" s="174"/>
    </row>
    <row r="2025">
      <c r="A2025" s="174"/>
      <c r="B2025" s="174"/>
      <c r="C2025" s="174"/>
      <c r="D2025" s="174"/>
      <c r="E2025" s="174"/>
      <c r="F2025" s="175"/>
      <c r="G2025" s="175"/>
      <c r="H2025" s="174"/>
      <c r="I2025" s="174"/>
      <c r="J2025" s="174"/>
      <c r="K2025" s="174"/>
      <c r="L2025" s="174"/>
      <c r="M2025" s="174"/>
      <c r="N2025" s="174"/>
      <c r="O2025" s="174"/>
      <c r="P2025" s="174"/>
      <c r="Q2025" s="174"/>
      <c r="R2025" s="174"/>
      <c r="S2025" s="174"/>
      <c r="T2025" s="174"/>
      <c r="U2025" s="174"/>
      <c r="V2025" s="174"/>
      <c r="W2025" s="174"/>
      <c r="X2025" s="174"/>
      <c r="Y2025" s="174"/>
      <c r="Z2025" s="174"/>
      <c r="AA2025" s="174"/>
    </row>
    <row r="2026">
      <c r="A2026" s="174"/>
      <c r="B2026" s="174"/>
      <c r="C2026" s="174"/>
      <c r="D2026" s="174"/>
      <c r="E2026" s="174"/>
      <c r="F2026" s="175"/>
      <c r="G2026" s="175"/>
      <c r="H2026" s="174"/>
      <c r="I2026" s="174"/>
      <c r="J2026" s="174"/>
      <c r="K2026" s="174"/>
      <c r="L2026" s="174"/>
      <c r="M2026" s="174"/>
      <c r="N2026" s="174"/>
      <c r="O2026" s="174"/>
      <c r="P2026" s="174"/>
      <c r="Q2026" s="174"/>
      <c r="R2026" s="174"/>
      <c r="S2026" s="174"/>
      <c r="T2026" s="174"/>
      <c r="U2026" s="174"/>
      <c r="V2026" s="174"/>
      <c r="W2026" s="174"/>
      <c r="X2026" s="174"/>
      <c r="Y2026" s="174"/>
      <c r="Z2026" s="174"/>
      <c r="AA2026" s="174"/>
    </row>
    <row r="2027">
      <c r="A2027" s="174"/>
      <c r="B2027" s="174"/>
      <c r="C2027" s="174"/>
      <c r="D2027" s="174"/>
      <c r="E2027" s="174"/>
      <c r="F2027" s="175"/>
      <c r="G2027" s="175"/>
      <c r="H2027" s="174"/>
      <c r="I2027" s="174"/>
      <c r="J2027" s="174"/>
      <c r="K2027" s="174"/>
      <c r="L2027" s="174"/>
      <c r="M2027" s="174"/>
      <c r="N2027" s="174"/>
      <c r="O2027" s="174"/>
      <c r="P2027" s="174"/>
      <c r="Q2027" s="174"/>
      <c r="R2027" s="174"/>
      <c r="S2027" s="174"/>
      <c r="T2027" s="174"/>
      <c r="U2027" s="174"/>
      <c r="V2027" s="174"/>
      <c r="W2027" s="174"/>
      <c r="X2027" s="174"/>
      <c r="Y2027" s="174"/>
      <c r="Z2027" s="174"/>
      <c r="AA2027" s="174"/>
    </row>
    <row r="2028">
      <c r="A2028" s="174"/>
      <c r="B2028" s="174"/>
      <c r="C2028" s="174"/>
      <c r="D2028" s="174"/>
      <c r="E2028" s="174"/>
      <c r="F2028" s="175"/>
      <c r="G2028" s="175"/>
      <c r="H2028" s="174"/>
      <c r="I2028" s="174"/>
      <c r="J2028" s="174"/>
      <c r="K2028" s="174"/>
      <c r="L2028" s="174"/>
      <c r="M2028" s="174"/>
      <c r="N2028" s="174"/>
      <c r="O2028" s="174"/>
      <c r="P2028" s="174"/>
      <c r="Q2028" s="174"/>
      <c r="R2028" s="174"/>
      <c r="S2028" s="174"/>
      <c r="T2028" s="174"/>
      <c r="U2028" s="174"/>
      <c r="V2028" s="174"/>
      <c r="W2028" s="174"/>
      <c r="X2028" s="174"/>
      <c r="Y2028" s="174"/>
      <c r="Z2028" s="174"/>
      <c r="AA2028" s="174"/>
    </row>
    <row r="2029">
      <c r="A2029" s="174"/>
      <c r="B2029" s="174"/>
      <c r="C2029" s="174"/>
      <c r="D2029" s="174"/>
      <c r="E2029" s="174"/>
      <c r="F2029" s="175"/>
      <c r="G2029" s="175"/>
      <c r="H2029" s="174"/>
      <c r="I2029" s="174"/>
      <c r="J2029" s="174"/>
      <c r="K2029" s="174"/>
      <c r="L2029" s="174"/>
      <c r="M2029" s="174"/>
      <c r="N2029" s="174"/>
      <c r="O2029" s="174"/>
      <c r="P2029" s="174"/>
      <c r="Q2029" s="174"/>
      <c r="R2029" s="174"/>
      <c r="S2029" s="174"/>
      <c r="T2029" s="174"/>
      <c r="U2029" s="174"/>
      <c r="V2029" s="174"/>
      <c r="W2029" s="174"/>
      <c r="X2029" s="174"/>
      <c r="Y2029" s="174"/>
      <c r="Z2029" s="174"/>
      <c r="AA2029" s="174"/>
    </row>
    <row r="2030">
      <c r="A2030" s="174"/>
      <c r="B2030" s="174"/>
      <c r="C2030" s="174"/>
      <c r="D2030" s="174"/>
      <c r="E2030" s="174"/>
      <c r="F2030" s="175"/>
      <c r="G2030" s="175"/>
      <c r="H2030" s="174"/>
      <c r="I2030" s="174"/>
      <c r="J2030" s="174"/>
      <c r="K2030" s="174"/>
      <c r="L2030" s="174"/>
      <c r="M2030" s="174"/>
      <c r="N2030" s="174"/>
      <c r="O2030" s="174"/>
      <c r="P2030" s="174"/>
      <c r="Q2030" s="174"/>
      <c r="R2030" s="174"/>
      <c r="S2030" s="174"/>
      <c r="T2030" s="174"/>
      <c r="U2030" s="174"/>
      <c r="V2030" s="174"/>
      <c r="W2030" s="174"/>
      <c r="X2030" s="174"/>
      <c r="Y2030" s="174"/>
      <c r="Z2030" s="174"/>
      <c r="AA2030" s="174"/>
    </row>
    <row r="2031">
      <c r="A2031" s="174"/>
      <c r="B2031" s="174"/>
      <c r="C2031" s="174"/>
      <c r="D2031" s="174"/>
      <c r="E2031" s="174"/>
      <c r="F2031" s="175"/>
      <c r="G2031" s="175"/>
      <c r="H2031" s="174"/>
      <c r="I2031" s="174"/>
      <c r="J2031" s="174"/>
      <c r="K2031" s="174"/>
      <c r="L2031" s="174"/>
      <c r="M2031" s="174"/>
      <c r="N2031" s="174"/>
      <c r="O2031" s="174"/>
      <c r="P2031" s="174"/>
      <c r="Q2031" s="174"/>
      <c r="R2031" s="174"/>
      <c r="S2031" s="174"/>
      <c r="T2031" s="174"/>
      <c r="U2031" s="174"/>
      <c r="V2031" s="174"/>
      <c r="W2031" s="174"/>
      <c r="X2031" s="174"/>
      <c r="Y2031" s="174"/>
      <c r="Z2031" s="174"/>
      <c r="AA2031" s="174"/>
    </row>
    <row r="2032">
      <c r="A2032" s="174"/>
      <c r="B2032" s="174"/>
      <c r="C2032" s="174"/>
      <c r="D2032" s="174"/>
      <c r="E2032" s="174"/>
      <c r="F2032" s="175"/>
      <c r="G2032" s="175"/>
      <c r="H2032" s="174"/>
      <c r="I2032" s="174"/>
      <c r="J2032" s="174"/>
      <c r="K2032" s="174"/>
      <c r="L2032" s="174"/>
      <c r="M2032" s="174"/>
      <c r="N2032" s="174"/>
      <c r="O2032" s="174"/>
      <c r="P2032" s="174"/>
      <c r="Q2032" s="174"/>
      <c r="R2032" s="174"/>
      <c r="S2032" s="174"/>
      <c r="T2032" s="174"/>
      <c r="U2032" s="174"/>
      <c r="V2032" s="174"/>
      <c r="W2032" s="174"/>
      <c r="X2032" s="174"/>
      <c r="Y2032" s="174"/>
      <c r="Z2032" s="174"/>
      <c r="AA2032" s="174"/>
    </row>
    <row r="2033">
      <c r="A2033" s="174"/>
      <c r="B2033" s="174"/>
      <c r="C2033" s="174"/>
      <c r="D2033" s="174"/>
      <c r="E2033" s="174"/>
      <c r="F2033" s="175"/>
      <c r="G2033" s="175"/>
      <c r="H2033" s="174"/>
      <c r="I2033" s="174"/>
      <c r="J2033" s="174"/>
      <c r="K2033" s="174"/>
      <c r="L2033" s="174"/>
      <c r="M2033" s="174"/>
      <c r="N2033" s="174"/>
      <c r="O2033" s="174"/>
      <c r="P2033" s="174"/>
      <c r="Q2033" s="174"/>
      <c r="R2033" s="174"/>
      <c r="S2033" s="174"/>
      <c r="T2033" s="174"/>
      <c r="U2033" s="174"/>
      <c r="V2033" s="174"/>
      <c r="W2033" s="174"/>
      <c r="X2033" s="174"/>
      <c r="Y2033" s="174"/>
      <c r="Z2033" s="174"/>
      <c r="AA2033" s="174"/>
    </row>
    <row r="2034">
      <c r="A2034" s="174"/>
      <c r="B2034" s="174"/>
      <c r="C2034" s="174"/>
      <c r="D2034" s="174"/>
      <c r="E2034" s="174"/>
      <c r="F2034" s="175"/>
      <c r="G2034" s="175"/>
      <c r="H2034" s="174"/>
      <c r="I2034" s="174"/>
      <c r="J2034" s="174"/>
      <c r="K2034" s="174"/>
      <c r="L2034" s="174"/>
      <c r="M2034" s="174"/>
      <c r="N2034" s="174"/>
      <c r="O2034" s="174"/>
      <c r="P2034" s="174"/>
      <c r="Q2034" s="174"/>
      <c r="R2034" s="174"/>
      <c r="S2034" s="174"/>
      <c r="T2034" s="174"/>
      <c r="U2034" s="174"/>
      <c r="V2034" s="174"/>
      <c r="W2034" s="174"/>
      <c r="X2034" s="174"/>
      <c r="Y2034" s="174"/>
      <c r="Z2034" s="174"/>
      <c r="AA2034" s="174"/>
    </row>
    <row r="2035">
      <c r="A2035" s="174"/>
      <c r="B2035" s="174"/>
      <c r="C2035" s="174"/>
      <c r="D2035" s="174"/>
      <c r="E2035" s="174"/>
      <c r="F2035" s="175"/>
      <c r="G2035" s="175"/>
      <c r="H2035" s="174"/>
      <c r="I2035" s="174"/>
      <c r="J2035" s="174"/>
      <c r="K2035" s="174"/>
      <c r="L2035" s="174"/>
      <c r="M2035" s="174"/>
      <c r="N2035" s="174"/>
      <c r="O2035" s="174"/>
      <c r="P2035" s="174"/>
      <c r="Q2035" s="174"/>
      <c r="R2035" s="174"/>
      <c r="S2035" s="174"/>
      <c r="T2035" s="174"/>
      <c r="U2035" s="174"/>
      <c r="V2035" s="174"/>
      <c r="W2035" s="174"/>
      <c r="X2035" s="174"/>
      <c r="Y2035" s="174"/>
      <c r="Z2035" s="174"/>
      <c r="AA2035" s="174"/>
    </row>
    <row r="2036">
      <c r="A2036" s="174"/>
      <c r="B2036" s="174"/>
      <c r="C2036" s="174"/>
      <c r="D2036" s="174"/>
      <c r="E2036" s="174"/>
      <c r="F2036" s="175"/>
      <c r="G2036" s="175"/>
      <c r="H2036" s="174"/>
      <c r="I2036" s="174"/>
      <c r="J2036" s="174"/>
      <c r="K2036" s="174"/>
      <c r="L2036" s="174"/>
      <c r="M2036" s="174"/>
      <c r="N2036" s="174"/>
      <c r="O2036" s="174"/>
      <c r="P2036" s="174"/>
      <c r="Q2036" s="174"/>
      <c r="R2036" s="174"/>
      <c r="S2036" s="174"/>
      <c r="T2036" s="174"/>
      <c r="U2036" s="174"/>
      <c r="V2036" s="174"/>
      <c r="W2036" s="174"/>
      <c r="X2036" s="174"/>
      <c r="Y2036" s="174"/>
      <c r="Z2036" s="174"/>
      <c r="AA2036" s="174"/>
    </row>
    <row r="2037">
      <c r="A2037" s="174"/>
      <c r="B2037" s="174"/>
      <c r="C2037" s="174"/>
      <c r="D2037" s="174"/>
      <c r="E2037" s="174"/>
      <c r="F2037" s="175"/>
      <c r="G2037" s="175"/>
      <c r="H2037" s="174"/>
      <c r="I2037" s="174"/>
      <c r="J2037" s="174"/>
      <c r="K2037" s="174"/>
      <c r="L2037" s="174"/>
      <c r="M2037" s="174"/>
      <c r="N2037" s="174"/>
      <c r="O2037" s="174"/>
      <c r="P2037" s="174"/>
      <c r="Q2037" s="174"/>
      <c r="R2037" s="174"/>
      <c r="S2037" s="174"/>
      <c r="T2037" s="174"/>
      <c r="U2037" s="174"/>
      <c r="V2037" s="174"/>
      <c r="W2037" s="174"/>
      <c r="X2037" s="174"/>
      <c r="Y2037" s="174"/>
      <c r="Z2037" s="174"/>
      <c r="AA2037" s="174"/>
    </row>
    <row r="2038">
      <c r="A2038" s="174"/>
      <c r="B2038" s="174"/>
      <c r="C2038" s="174"/>
      <c r="D2038" s="174"/>
      <c r="E2038" s="174"/>
      <c r="F2038" s="175"/>
      <c r="G2038" s="175"/>
      <c r="H2038" s="174"/>
      <c r="I2038" s="174"/>
      <c r="J2038" s="174"/>
      <c r="K2038" s="174"/>
      <c r="L2038" s="174"/>
      <c r="M2038" s="174"/>
      <c r="N2038" s="174"/>
      <c r="O2038" s="174"/>
      <c r="P2038" s="174"/>
      <c r="Q2038" s="174"/>
      <c r="R2038" s="174"/>
      <c r="S2038" s="174"/>
      <c r="T2038" s="174"/>
      <c r="U2038" s="174"/>
      <c r="V2038" s="174"/>
      <c r="W2038" s="174"/>
      <c r="X2038" s="174"/>
      <c r="Y2038" s="174"/>
      <c r="Z2038" s="174"/>
      <c r="AA2038" s="174"/>
    </row>
    <row r="2039">
      <c r="A2039" s="174"/>
      <c r="B2039" s="174"/>
      <c r="C2039" s="174"/>
      <c r="D2039" s="174"/>
      <c r="E2039" s="174"/>
      <c r="F2039" s="175"/>
      <c r="G2039" s="175"/>
      <c r="H2039" s="174"/>
      <c r="I2039" s="174"/>
      <c r="J2039" s="174"/>
      <c r="K2039" s="174"/>
      <c r="L2039" s="174"/>
      <c r="M2039" s="174"/>
      <c r="N2039" s="174"/>
      <c r="O2039" s="174"/>
      <c r="P2039" s="174"/>
      <c r="Q2039" s="174"/>
      <c r="R2039" s="174"/>
      <c r="S2039" s="174"/>
      <c r="T2039" s="174"/>
      <c r="U2039" s="174"/>
      <c r="V2039" s="174"/>
      <c r="W2039" s="174"/>
      <c r="X2039" s="174"/>
      <c r="Y2039" s="174"/>
      <c r="Z2039" s="174"/>
      <c r="AA2039" s="174"/>
    </row>
    <row r="2040">
      <c r="A2040" s="174"/>
      <c r="B2040" s="174"/>
      <c r="C2040" s="174"/>
      <c r="D2040" s="174"/>
      <c r="E2040" s="174"/>
      <c r="F2040" s="175"/>
      <c r="G2040" s="175"/>
      <c r="H2040" s="174"/>
      <c r="I2040" s="174"/>
      <c r="J2040" s="174"/>
      <c r="K2040" s="174"/>
      <c r="L2040" s="174"/>
      <c r="M2040" s="174"/>
      <c r="N2040" s="174"/>
      <c r="O2040" s="174"/>
      <c r="P2040" s="174"/>
      <c r="Q2040" s="174"/>
      <c r="R2040" s="174"/>
      <c r="S2040" s="174"/>
      <c r="T2040" s="174"/>
      <c r="U2040" s="174"/>
      <c r="V2040" s="174"/>
      <c r="W2040" s="174"/>
      <c r="X2040" s="174"/>
      <c r="Y2040" s="174"/>
      <c r="Z2040" s="174"/>
      <c r="AA2040" s="174"/>
    </row>
    <row r="2041">
      <c r="A2041" s="174"/>
      <c r="B2041" s="174"/>
      <c r="C2041" s="174"/>
      <c r="D2041" s="174"/>
      <c r="E2041" s="174"/>
      <c r="F2041" s="175"/>
      <c r="G2041" s="175"/>
      <c r="H2041" s="174"/>
      <c r="I2041" s="174"/>
      <c r="J2041" s="174"/>
      <c r="K2041" s="174"/>
      <c r="L2041" s="174"/>
      <c r="M2041" s="174"/>
      <c r="N2041" s="174"/>
      <c r="O2041" s="174"/>
      <c r="P2041" s="174"/>
      <c r="Q2041" s="174"/>
      <c r="R2041" s="174"/>
      <c r="S2041" s="174"/>
      <c r="T2041" s="174"/>
      <c r="U2041" s="174"/>
      <c r="V2041" s="174"/>
      <c r="W2041" s="174"/>
      <c r="X2041" s="174"/>
      <c r="Y2041" s="174"/>
      <c r="Z2041" s="174"/>
      <c r="AA2041" s="174"/>
    </row>
    <row r="2042">
      <c r="A2042" s="174"/>
      <c r="B2042" s="174"/>
      <c r="C2042" s="174"/>
      <c r="D2042" s="174"/>
      <c r="E2042" s="174"/>
      <c r="F2042" s="175"/>
      <c r="G2042" s="175"/>
      <c r="H2042" s="174"/>
      <c r="I2042" s="174"/>
      <c r="J2042" s="174"/>
      <c r="K2042" s="174"/>
      <c r="L2042" s="174"/>
      <c r="M2042" s="174"/>
      <c r="N2042" s="174"/>
      <c r="O2042" s="174"/>
      <c r="P2042" s="174"/>
      <c r="Q2042" s="174"/>
      <c r="R2042" s="174"/>
      <c r="S2042" s="174"/>
      <c r="T2042" s="174"/>
      <c r="U2042" s="174"/>
      <c r="V2042" s="174"/>
      <c r="W2042" s="174"/>
      <c r="X2042" s="174"/>
      <c r="Y2042" s="174"/>
      <c r="Z2042" s="174"/>
      <c r="AA2042" s="174"/>
    </row>
    <row r="2043">
      <c r="A2043" s="174"/>
      <c r="B2043" s="174"/>
      <c r="C2043" s="174"/>
      <c r="D2043" s="174"/>
      <c r="E2043" s="174"/>
      <c r="F2043" s="175"/>
      <c r="G2043" s="175"/>
      <c r="H2043" s="174"/>
      <c r="I2043" s="174"/>
      <c r="J2043" s="174"/>
      <c r="K2043" s="174"/>
      <c r="L2043" s="174"/>
      <c r="M2043" s="174"/>
      <c r="N2043" s="174"/>
      <c r="O2043" s="174"/>
      <c r="P2043" s="174"/>
      <c r="Q2043" s="174"/>
      <c r="R2043" s="174"/>
      <c r="S2043" s="174"/>
      <c r="T2043" s="174"/>
      <c r="U2043" s="174"/>
      <c r="V2043" s="174"/>
      <c r="W2043" s="174"/>
      <c r="X2043" s="174"/>
      <c r="Y2043" s="174"/>
      <c r="Z2043" s="174"/>
      <c r="AA2043" s="174"/>
    </row>
    <row r="2044">
      <c r="A2044" s="174"/>
      <c r="B2044" s="174"/>
      <c r="C2044" s="174"/>
      <c r="D2044" s="174"/>
      <c r="E2044" s="174"/>
      <c r="F2044" s="175"/>
      <c r="G2044" s="175"/>
      <c r="H2044" s="174"/>
      <c r="I2044" s="174"/>
      <c r="J2044" s="174"/>
      <c r="K2044" s="174"/>
      <c r="L2044" s="174"/>
      <c r="M2044" s="174"/>
      <c r="N2044" s="174"/>
      <c r="O2044" s="174"/>
      <c r="P2044" s="174"/>
      <c r="Q2044" s="174"/>
      <c r="R2044" s="174"/>
      <c r="S2044" s="174"/>
      <c r="T2044" s="174"/>
      <c r="U2044" s="174"/>
      <c r="V2044" s="174"/>
      <c r="W2044" s="174"/>
      <c r="X2044" s="174"/>
      <c r="Y2044" s="174"/>
      <c r="Z2044" s="174"/>
      <c r="AA2044" s="174"/>
    </row>
    <row r="2045">
      <c r="A2045" s="174"/>
      <c r="B2045" s="174"/>
      <c r="C2045" s="174"/>
      <c r="D2045" s="174"/>
      <c r="E2045" s="174"/>
      <c r="F2045" s="175"/>
      <c r="G2045" s="175"/>
      <c r="H2045" s="174"/>
      <c r="I2045" s="174"/>
      <c r="J2045" s="174"/>
      <c r="K2045" s="174"/>
      <c r="L2045" s="174"/>
      <c r="M2045" s="174"/>
      <c r="N2045" s="174"/>
      <c r="O2045" s="174"/>
      <c r="P2045" s="174"/>
      <c r="Q2045" s="174"/>
      <c r="R2045" s="174"/>
      <c r="S2045" s="174"/>
      <c r="T2045" s="174"/>
      <c r="U2045" s="174"/>
      <c r="V2045" s="174"/>
      <c r="W2045" s="174"/>
      <c r="X2045" s="174"/>
      <c r="Y2045" s="174"/>
      <c r="Z2045" s="174"/>
      <c r="AA2045" s="174"/>
    </row>
    <row r="2046">
      <c r="A2046" s="174"/>
      <c r="B2046" s="174"/>
      <c r="C2046" s="174"/>
      <c r="D2046" s="174"/>
      <c r="E2046" s="174"/>
      <c r="F2046" s="175"/>
      <c r="G2046" s="175"/>
      <c r="H2046" s="174"/>
      <c r="I2046" s="174"/>
      <c r="J2046" s="174"/>
      <c r="K2046" s="174"/>
      <c r="L2046" s="174"/>
      <c r="M2046" s="174"/>
      <c r="N2046" s="174"/>
      <c r="O2046" s="174"/>
      <c r="P2046" s="174"/>
      <c r="Q2046" s="174"/>
      <c r="R2046" s="174"/>
      <c r="S2046" s="174"/>
      <c r="T2046" s="174"/>
      <c r="U2046" s="174"/>
      <c r="V2046" s="174"/>
      <c r="W2046" s="174"/>
      <c r="X2046" s="174"/>
      <c r="Y2046" s="174"/>
      <c r="Z2046" s="174"/>
      <c r="AA2046" s="174"/>
    </row>
    <row r="2047">
      <c r="A2047" s="174"/>
      <c r="B2047" s="174"/>
      <c r="C2047" s="174"/>
      <c r="D2047" s="174"/>
      <c r="E2047" s="174"/>
      <c r="F2047" s="175"/>
      <c r="G2047" s="175"/>
      <c r="H2047" s="174"/>
      <c r="I2047" s="174"/>
      <c r="J2047" s="174"/>
      <c r="K2047" s="174"/>
      <c r="L2047" s="174"/>
      <c r="M2047" s="174"/>
      <c r="N2047" s="174"/>
      <c r="O2047" s="174"/>
      <c r="P2047" s="174"/>
      <c r="Q2047" s="174"/>
      <c r="R2047" s="174"/>
      <c r="S2047" s="174"/>
      <c r="T2047" s="174"/>
      <c r="U2047" s="174"/>
      <c r="V2047" s="174"/>
      <c r="W2047" s="174"/>
      <c r="X2047" s="174"/>
      <c r="Y2047" s="174"/>
      <c r="Z2047" s="174"/>
      <c r="AA2047" s="174"/>
    </row>
    <row r="2048">
      <c r="A2048" s="174"/>
      <c r="B2048" s="174"/>
      <c r="C2048" s="174"/>
      <c r="D2048" s="174"/>
      <c r="E2048" s="174"/>
      <c r="F2048" s="175"/>
      <c r="G2048" s="175"/>
      <c r="H2048" s="174"/>
      <c r="I2048" s="174"/>
      <c r="J2048" s="174"/>
      <c r="K2048" s="174"/>
      <c r="L2048" s="174"/>
      <c r="M2048" s="174"/>
      <c r="N2048" s="174"/>
      <c r="O2048" s="174"/>
      <c r="P2048" s="174"/>
      <c r="Q2048" s="174"/>
      <c r="R2048" s="174"/>
      <c r="S2048" s="174"/>
      <c r="T2048" s="174"/>
      <c r="U2048" s="174"/>
      <c r="V2048" s="174"/>
      <c r="W2048" s="174"/>
      <c r="X2048" s="174"/>
      <c r="Y2048" s="174"/>
      <c r="Z2048" s="174"/>
      <c r="AA2048" s="174"/>
    </row>
    <row r="2049">
      <c r="A2049" s="174"/>
      <c r="B2049" s="174"/>
      <c r="C2049" s="174"/>
      <c r="D2049" s="174"/>
      <c r="E2049" s="174"/>
      <c r="F2049" s="175"/>
      <c r="G2049" s="175"/>
      <c r="H2049" s="174"/>
      <c r="I2049" s="174"/>
      <c r="J2049" s="174"/>
      <c r="K2049" s="174"/>
      <c r="L2049" s="174"/>
      <c r="M2049" s="174"/>
      <c r="N2049" s="174"/>
      <c r="O2049" s="174"/>
      <c r="P2049" s="174"/>
      <c r="Q2049" s="174"/>
      <c r="R2049" s="174"/>
      <c r="S2049" s="174"/>
      <c r="T2049" s="174"/>
      <c r="U2049" s="174"/>
      <c r="V2049" s="174"/>
      <c r="W2049" s="174"/>
      <c r="X2049" s="174"/>
      <c r="Y2049" s="174"/>
      <c r="Z2049" s="174"/>
      <c r="AA2049" s="174"/>
    </row>
    <row r="2050">
      <c r="A2050" s="174"/>
      <c r="B2050" s="174"/>
      <c r="C2050" s="174"/>
      <c r="D2050" s="174"/>
      <c r="E2050" s="174"/>
      <c r="F2050" s="175"/>
      <c r="G2050" s="175"/>
      <c r="H2050" s="174"/>
      <c r="I2050" s="174"/>
      <c r="J2050" s="174"/>
      <c r="K2050" s="174"/>
      <c r="L2050" s="174"/>
      <c r="M2050" s="174"/>
      <c r="N2050" s="174"/>
      <c r="O2050" s="174"/>
      <c r="P2050" s="174"/>
      <c r="Q2050" s="174"/>
      <c r="R2050" s="174"/>
      <c r="S2050" s="174"/>
      <c r="T2050" s="174"/>
      <c r="U2050" s="174"/>
      <c r="V2050" s="174"/>
      <c r="W2050" s="174"/>
      <c r="X2050" s="174"/>
      <c r="Y2050" s="174"/>
      <c r="Z2050" s="174"/>
      <c r="AA2050" s="174"/>
    </row>
    <row r="2051">
      <c r="A2051" s="174"/>
      <c r="B2051" s="174"/>
      <c r="C2051" s="174"/>
      <c r="D2051" s="174"/>
      <c r="E2051" s="174"/>
      <c r="F2051" s="175"/>
      <c r="G2051" s="175"/>
      <c r="H2051" s="174"/>
      <c r="I2051" s="174"/>
      <c r="J2051" s="174"/>
      <c r="K2051" s="174"/>
      <c r="L2051" s="174"/>
      <c r="M2051" s="174"/>
      <c r="N2051" s="174"/>
      <c r="O2051" s="174"/>
      <c r="P2051" s="174"/>
      <c r="Q2051" s="174"/>
      <c r="R2051" s="174"/>
      <c r="S2051" s="174"/>
      <c r="T2051" s="174"/>
      <c r="U2051" s="174"/>
      <c r="V2051" s="174"/>
      <c r="W2051" s="174"/>
      <c r="X2051" s="174"/>
      <c r="Y2051" s="174"/>
      <c r="Z2051" s="174"/>
      <c r="AA2051" s="174"/>
    </row>
    <row r="2052">
      <c r="A2052" s="174"/>
      <c r="B2052" s="174"/>
      <c r="C2052" s="174"/>
      <c r="D2052" s="174"/>
      <c r="E2052" s="174"/>
      <c r="F2052" s="175"/>
      <c r="G2052" s="175"/>
      <c r="H2052" s="174"/>
      <c r="I2052" s="174"/>
      <c r="J2052" s="174"/>
      <c r="K2052" s="174"/>
      <c r="L2052" s="174"/>
      <c r="M2052" s="174"/>
      <c r="N2052" s="174"/>
      <c r="O2052" s="174"/>
      <c r="P2052" s="174"/>
      <c r="Q2052" s="174"/>
      <c r="R2052" s="174"/>
      <c r="S2052" s="174"/>
      <c r="T2052" s="174"/>
      <c r="U2052" s="174"/>
      <c r="V2052" s="174"/>
      <c r="W2052" s="174"/>
      <c r="X2052" s="174"/>
      <c r="Y2052" s="174"/>
      <c r="Z2052" s="174"/>
      <c r="AA2052" s="174"/>
    </row>
    <row r="2053">
      <c r="A2053" s="174"/>
      <c r="B2053" s="174"/>
      <c r="C2053" s="174"/>
      <c r="D2053" s="174"/>
      <c r="E2053" s="174"/>
      <c r="F2053" s="175"/>
      <c r="G2053" s="175"/>
      <c r="H2053" s="174"/>
      <c r="I2053" s="174"/>
      <c r="J2053" s="174"/>
      <c r="K2053" s="174"/>
      <c r="L2053" s="174"/>
      <c r="M2053" s="174"/>
      <c r="N2053" s="174"/>
      <c r="O2053" s="174"/>
      <c r="P2053" s="174"/>
      <c r="Q2053" s="174"/>
      <c r="R2053" s="174"/>
      <c r="S2053" s="174"/>
      <c r="T2053" s="174"/>
      <c r="U2053" s="174"/>
      <c r="V2053" s="174"/>
      <c r="W2053" s="174"/>
      <c r="X2053" s="174"/>
      <c r="Y2053" s="174"/>
      <c r="Z2053" s="174"/>
      <c r="AA2053" s="174"/>
    </row>
    <row r="2054">
      <c r="A2054" s="174"/>
      <c r="B2054" s="174"/>
      <c r="C2054" s="174"/>
      <c r="D2054" s="174"/>
      <c r="E2054" s="174"/>
      <c r="F2054" s="175"/>
      <c r="G2054" s="175"/>
      <c r="H2054" s="174"/>
      <c r="I2054" s="174"/>
      <c r="J2054" s="174"/>
      <c r="K2054" s="174"/>
      <c r="L2054" s="174"/>
      <c r="M2054" s="174"/>
      <c r="N2054" s="174"/>
      <c r="O2054" s="174"/>
      <c r="P2054" s="174"/>
      <c r="Q2054" s="174"/>
      <c r="R2054" s="174"/>
      <c r="S2054" s="174"/>
      <c r="T2054" s="174"/>
      <c r="U2054" s="174"/>
      <c r="V2054" s="174"/>
      <c r="W2054" s="174"/>
      <c r="X2054" s="174"/>
      <c r="Y2054" s="174"/>
      <c r="Z2054" s="174"/>
      <c r="AA2054" s="174"/>
    </row>
    <row r="2055">
      <c r="A2055" s="174"/>
      <c r="B2055" s="174"/>
      <c r="C2055" s="174"/>
      <c r="D2055" s="174"/>
      <c r="E2055" s="174"/>
      <c r="F2055" s="175"/>
      <c r="G2055" s="175"/>
      <c r="H2055" s="174"/>
      <c r="I2055" s="174"/>
      <c r="J2055" s="174"/>
      <c r="K2055" s="174"/>
      <c r="L2055" s="174"/>
      <c r="M2055" s="174"/>
      <c r="N2055" s="174"/>
      <c r="O2055" s="174"/>
      <c r="P2055" s="174"/>
      <c r="Q2055" s="174"/>
      <c r="R2055" s="174"/>
      <c r="S2055" s="174"/>
      <c r="T2055" s="174"/>
      <c r="U2055" s="174"/>
      <c r="V2055" s="174"/>
      <c r="W2055" s="174"/>
      <c r="X2055" s="174"/>
      <c r="Y2055" s="174"/>
      <c r="Z2055" s="174"/>
      <c r="AA2055" s="174"/>
    </row>
    <row r="2056">
      <c r="A2056" s="174"/>
      <c r="B2056" s="174"/>
      <c r="C2056" s="174"/>
      <c r="D2056" s="174"/>
      <c r="E2056" s="174"/>
      <c r="F2056" s="175"/>
      <c r="G2056" s="175"/>
      <c r="H2056" s="174"/>
      <c r="I2056" s="174"/>
      <c r="J2056" s="174"/>
      <c r="K2056" s="174"/>
      <c r="L2056" s="174"/>
      <c r="M2056" s="174"/>
      <c r="N2056" s="174"/>
      <c r="O2056" s="174"/>
      <c r="P2056" s="174"/>
      <c r="Q2056" s="174"/>
      <c r="R2056" s="174"/>
      <c r="S2056" s="174"/>
      <c r="T2056" s="174"/>
      <c r="U2056" s="174"/>
      <c r="V2056" s="174"/>
      <c r="W2056" s="174"/>
      <c r="X2056" s="174"/>
      <c r="Y2056" s="174"/>
      <c r="Z2056" s="174"/>
      <c r="AA2056" s="174"/>
    </row>
    <row r="2057">
      <c r="A2057" s="174"/>
      <c r="B2057" s="174"/>
      <c r="C2057" s="174"/>
      <c r="D2057" s="174"/>
      <c r="E2057" s="174"/>
      <c r="F2057" s="175"/>
      <c r="G2057" s="175"/>
      <c r="H2057" s="174"/>
      <c r="I2057" s="174"/>
      <c r="J2057" s="174"/>
      <c r="K2057" s="174"/>
      <c r="L2057" s="174"/>
      <c r="M2057" s="174"/>
      <c r="N2057" s="174"/>
      <c r="O2057" s="174"/>
      <c r="P2057" s="174"/>
      <c r="Q2057" s="174"/>
      <c r="R2057" s="174"/>
      <c r="S2057" s="174"/>
      <c r="T2057" s="174"/>
      <c r="U2057" s="174"/>
      <c r="V2057" s="174"/>
      <c r="W2057" s="174"/>
      <c r="X2057" s="174"/>
      <c r="Y2057" s="174"/>
      <c r="Z2057" s="174"/>
      <c r="AA2057" s="174"/>
    </row>
    <row r="2058">
      <c r="A2058" s="174"/>
      <c r="B2058" s="174"/>
      <c r="C2058" s="174"/>
      <c r="D2058" s="174"/>
      <c r="E2058" s="174"/>
      <c r="F2058" s="175"/>
      <c r="G2058" s="175"/>
      <c r="H2058" s="174"/>
      <c r="I2058" s="174"/>
      <c r="J2058" s="174"/>
      <c r="K2058" s="174"/>
      <c r="L2058" s="174"/>
      <c r="M2058" s="174"/>
      <c r="N2058" s="174"/>
      <c r="O2058" s="174"/>
      <c r="P2058" s="174"/>
      <c r="Q2058" s="174"/>
      <c r="R2058" s="174"/>
      <c r="S2058" s="174"/>
      <c r="T2058" s="174"/>
      <c r="U2058" s="174"/>
      <c r="V2058" s="174"/>
      <c r="W2058" s="174"/>
      <c r="X2058" s="174"/>
      <c r="Y2058" s="174"/>
      <c r="Z2058" s="174"/>
      <c r="AA2058" s="174"/>
    </row>
    <row r="2059">
      <c r="A2059" s="174"/>
      <c r="B2059" s="174"/>
      <c r="C2059" s="174"/>
      <c r="D2059" s="174"/>
      <c r="E2059" s="174"/>
      <c r="F2059" s="175"/>
      <c r="G2059" s="175"/>
      <c r="H2059" s="174"/>
      <c r="I2059" s="174"/>
      <c r="J2059" s="174"/>
      <c r="K2059" s="174"/>
      <c r="L2059" s="174"/>
      <c r="M2059" s="174"/>
      <c r="N2059" s="174"/>
      <c r="O2059" s="174"/>
      <c r="P2059" s="174"/>
      <c r="Q2059" s="174"/>
      <c r="R2059" s="174"/>
      <c r="S2059" s="174"/>
      <c r="T2059" s="174"/>
      <c r="U2059" s="174"/>
      <c r="V2059" s="174"/>
      <c r="W2059" s="174"/>
      <c r="X2059" s="174"/>
      <c r="Y2059" s="174"/>
      <c r="Z2059" s="174"/>
      <c r="AA2059" s="174"/>
    </row>
    <row r="2060">
      <c r="A2060" s="174"/>
      <c r="B2060" s="174"/>
      <c r="C2060" s="174"/>
      <c r="D2060" s="174"/>
      <c r="E2060" s="174"/>
      <c r="F2060" s="175"/>
      <c r="G2060" s="175"/>
      <c r="H2060" s="174"/>
      <c r="I2060" s="174"/>
      <c r="J2060" s="174"/>
      <c r="K2060" s="174"/>
      <c r="L2060" s="174"/>
      <c r="M2060" s="174"/>
      <c r="N2060" s="174"/>
      <c r="O2060" s="174"/>
      <c r="P2060" s="174"/>
      <c r="Q2060" s="174"/>
      <c r="R2060" s="174"/>
      <c r="S2060" s="174"/>
      <c r="T2060" s="174"/>
      <c r="U2060" s="174"/>
      <c r="V2060" s="174"/>
      <c r="W2060" s="174"/>
      <c r="X2060" s="174"/>
      <c r="Y2060" s="174"/>
      <c r="Z2060" s="174"/>
      <c r="AA2060" s="174"/>
    </row>
  </sheetData>
  <dataValidations>
    <dataValidation type="list" allowBlank="1" showErrorMessage="1" sqref="G2:G7 G9:G12 G15:G24 G26:G28 G30 G32:G46 G48:G50 G52:G53 G55:G59 G61:G63 G66:G67 G76">
      <formula1>"מאושר לתעתיק,עבר תעתיק,עבר הגהה,מאושר לבקרה,בטיפול,אושר (אורי)"</formula1>
    </dataValidation>
    <dataValidation type="list" allowBlank="1" showErrorMessage="1" sqref="F2:F7 F9:F12 F15:F24 F26:F28 F30 F32:F46 F48:F50 F52:F53 F55:F59 F61:F63 F66:F67 F76">
      <formula1>"דקדוק,זבל,תעתיק,הגהה,בקרה"</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5" max="5" width="21.75"/>
    <col customWidth="1" min="6" max="6" width="17.63"/>
    <col customWidth="1" min="7" max="7" width="25.75"/>
    <col customWidth="1" min="9" max="10" width="25.75"/>
  </cols>
  <sheetData>
    <row r="1">
      <c r="A1" s="209"/>
      <c r="B1" s="210" t="s">
        <v>631</v>
      </c>
      <c r="C1" s="210" t="s">
        <v>3705</v>
      </c>
      <c r="D1" s="210" t="s">
        <v>3706</v>
      </c>
      <c r="E1" s="211" t="s">
        <v>3707</v>
      </c>
      <c r="F1" s="210" t="s">
        <v>3708</v>
      </c>
      <c r="G1" s="211" t="s">
        <v>3709</v>
      </c>
      <c r="H1" s="211" t="s">
        <v>3710</v>
      </c>
      <c r="I1" s="211" t="s">
        <v>3709</v>
      </c>
      <c r="J1" s="211" t="s">
        <v>603</v>
      </c>
      <c r="K1" s="2"/>
      <c r="L1" s="7"/>
      <c r="M1" s="2"/>
      <c r="N1" s="2"/>
      <c r="O1" s="87"/>
      <c r="P1" s="87"/>
      <c r="Q1" s="87"/>
      <c r="R1" s="2"/>
      <c r="S1" s="2"/>
      <c r="T1" s="2"/>
      <c r="U1" s="7"/>
      <c r="V1" s="7"/>
      <c r="W1" s="8"/>
      <c r="X1" s="2"/>
      <c r="Y1" s="2"/>
      <c r="Z1" s="2"/>
      <c r="AA1" s="2"/>
      <c r="AB1" s="2"/>
    </row>
    <row r="2">
      <c r="A2" s="212" t="s">
        <v>3711</v>
      </c>
      <c r="B2" s="213" t="s">
        <v>522</v>
      </c>
      <c r="C2" s="214" t="s">
        <v>521</v>
      </c>
      <c r="D2" s="214" t="s">
        <v>523</v>
      </c>
      <c r="E2" s="215" t="s">
        <v>3712</v>
      </c>
      <c r="F2" s="216" t="str">
        <f t="shared" ref="F2:F600" si="1">IF(G2=0,"בכלל לא","כן")</f>
        <v>כן</v>
      </c>
      <c r="G2" s="217">
        <f>COUNTIF(Recordings!A:A,C2)</f>
        <v>2</v>
      </c>
      <c r="H2" s="217"/>
      <c r="I2" s="217"/>
      <c r="J2" s="217"/>
      <c r="K2" s="2"/>
      <c r="L2" s="7"/>
      <c r="M2" s="2"/>
      <c r="N2" s="2"/>
      <c r="O2" s="146"/>
      <c r="P2" s="218"/>
      <c r="Q2" s="146"/>
      <c r="R2" s="87"/>
      <c r="S2" s="2"/>
      <c r="T2" s="2"/>
      <c r="U2" s="7"/>
      <c r="V2" s="7"/>
      <c r="W2" s="8"/>
      <c r="X2" s="2"/>
      <c r="Y2" s="2"/>
      <c r="Z2" s="2"/>
      <c r="AA2" s="2"/>
      <c r="AB2" s="2"/>
    </row>
    <row r="3">
      <c r="B3" s="213" t="s">
        <v>525</v>
      </c>
      <c r="C3" s="214" t="s">
        <v>524</v>
      </c>
      <c r="D3" s="214" t="s">
        <v>526</v>
      </c>
      <c r="E3" s="215" t="s">
        <v>3712</v>
      </c>
      <c r="F3" s="216" t="str">
        <f t="shared" si="1"/>
        <v>כן</v>
      </c>
      <c r="G3" s="217">
        <f>COUNTIF(Recordings!A:A,C3)</f>
        <v>4</v>
      </c>
      <c r="H3" s="217"/>
      <c r="I3" s="217"/>
      <c r="J3" s="217"/>
      <c r="K3" s="2"/>
      <c r="L3" s="7"/>
      <c r="M3" s="2"/>
      <c r="N3" s="2"/>
      <c r="O3" s="146"/>
      <c r="P3" s="218"/>
      <c r="Q3" s="146"/>
      <c r="R3" s="87"/>
      <c r="S3" s="2"/>
      <c r="T3" s="2"/>
      <c r="U3" s="7"/>
      <c r="V3" s="7"/>
      <c r="W3" s="8"/>
      <c r="X3" s="2"/>
      <c r="Y3" s="2"/>
      <c r="Z3" s="2"/>
      <c r="AA3" s="2"/>
      <c r="AB3" s="2"/>
    </row>
    <row r="4">
      <c r="B4" s="213" t="s">
        <v>471</v>
      </c>
      <c r="C4" s="214" t="s">
        <v>470</v>
      </c>
      <c r="D4" s="214" t="s">
        <v>472</v>
      </c>
      <c r="E4" s="215" t="s">
        <v>3712</v>
      </c>
      <c r="F4" s="216" t="str">
        <f t="shared" si="1"/>
        <v>כן</v>
      </c>
      <c r="G4" s="217">
        <f>COUNTIF(Recordings!A:A,C4)</f>
        <v>1</v>
      </c>
      <c r="H4" s="217"/>
      <c r="I4" s="217"/>
      <c r="J4" s="217"/>
      <c r="K4" s="2"/>
      <c r="L4" s="7"/>
      <c r="M4" s="2"/>
      <c r="N4" s="2"/>
      <c r="O4" s="146"/>
      <c r="P4" s="218"/>
      <c r="Q4" s="146"/>
      <c r="R4" s="87"/>
      <c r="S4" s="2"/>
      <c r="T4" s="2"/>
      <c r="U4" s="7"/>
      <c r="V4" s="7"/>
      <c r="W4" s="8"/>
      <c r="X4" s="2"/>
      <c r="Y4" s="2"/>
      <c r="Z4" s="2"/>
      <c r="AA4" s="2"/>
      <c r="AB4" s="2"/>
    </row>
    <row r="5">
      <c r="B5" s="213" t="s">
        <v>130</v>
      </c>
      <c r="C5" s="214" t="s">
        <v>129</v>
      </c>
      <c r="D5" s="214" t="s">
        <v>131</v>
      </c>
      <c r="E5" s="215" t="s">
        <v>3712</v>
      </c>
      <c r="F5" s="216" t="str">
        <f t="shared" si="1"/>
        <v>בכלל לא</v>
      </c>
      <c r="G5" s="217">
        <f>COUNTIF(Recordings!A:A,C5)</f>
        <v>0</v>
      </c>
      <c r="H5" s="217"/>
      <c r="I5" s="217"/>
      <c r="J5" s="217"/>
      <c r="K5" s="2"/>
      <c r="L5" s="7"/>
      <c r="M5" s="2"/>
      <c r="N5" s="2"/>
      <c r="O5" s="146"/>
      <c r="P5" s="218"/>
      <c r="Q5" s="146"/>
      <c r="R5" s="87"/>
      <c r="S5" s="2"/>
      <c r="T5" s="2"/>
      <c r="U5" s="7"/>
      <c r="V5" s="7"/>
      <c r="W5" s="8"/>
      <c r="X5" s="2"/>
      <c r="Y5" s="2"/>
      <c r="Z5" s="2"/>
      <c r="AA5" s="2"/>
      <c r="AB5" s="2"/>
    </row>
    <row r="6">
      <c r="A6" s="219" t="s">
        <v>309</v>
      </c>
      <c r="B6" s="220" t="s">
        <v>37</v>
      </c>
      <c r="C6" s="220" t="s">
        <v>36</v>
      </c>
      <c r="D6" s="220" t="s">
        <v>38</v>
      </c>
      <c r="E6" s="221" t="s">
        <v>3713</v>
      </c>
      <c r="F6" s="222" t="str">
        <f t="shared" si="1"/>
        <v>כן</v>
      </c>
      <c r="G6" s="223">
        <f>COUNTIF(Recordings!A:A,C6)</f>
        <v>1</v>
      </c>
      <c r="H6" s="223"/>
      <c r="I6" s="223"/>
      <c r="J6" s="223"/>
      <c r="K6" s="2"/>
      <c r="L6" s="7"/>
      <c r="M6" s="2"/>
      <c r="N6" s="2"/>
      <c r="O6" s="146"/>
      <c r="P6" s="218"/>
      <c r="Q6" s="146"/>
      <c r="R6" s="87"/>
      <c r="S6" s="2"/>
      <c r="T6" s="2"/>
      <c r="U6" s="7"/>
      <c r="V6" s="7"/>
      <c r="W6" s="8"/>
      <c r="X6" s="2"/>
      <c r="Y6" s="2"/>
      <c r="Z6" s="2"/>
      <c r="AA6" s="2"/>
      <c r="AB6" s="2"/>
    </row>
    <row r="7">
      <c r="B7" s="220" t="s">
        <v>477</v>
      </c>
      <c r="C7" s="220" t="s">
        <v>476</v>
      </c>
      <c r="D7" s="220" t="s">
        <v>3714</v>
      </c>
      <c r="E7" s="221" t="s">
        <v>656</v>
      </c>
      <c r="F7" s="222" t="str">
        <f t="shared" si="1"/>
        <v>כן</v>
      </c>
      <c r="G7" s="223">
        <f>COUNTIF(Recordings!A:A,C7)</f>
        <v>5</v>
      </c>
      <c r="H7" s="223"/>
      <c r="I7" s="223"/>
      <c r="J7" s="223"/>
      <c r="K7" s="2"/>
      <c r="L7" s="7"/>
      <c r="M7" s="2"/>
      <c r="N7" s="2"/>
      <c r="O7" s="146"/>
      <c r="P7" s="218"/>
      <c r="Q7" s="146"/>
      <c r="R7" s="87"/>
      <c r="S7" s="2"/>
      <c r="T7" s="2"/>
      <c r="U7" s="7"/>
      <c r="V7" s="46"/>
      <c r="W7" s="8"/>
      <c r="X7" s="2"/>
      <c r="Y7" s="2"/>
      <c r="Z7" s="2"/>
      <c r="AA7" s="2"/>
      <c r="AB7" s="2"/>
    </row>
    <row r="8">
      <c r="B8" s="224" t="s">
        <v>373</v>
      </c>
      <c r="C8" s="225" t="s">
        <v>1414</v>
      </c>
      <c r="D8" s="225" t="s">
        <v>374</v>
      </c>
      <c r="E8" s="221"/>
      <c r="F8" s="222" t="str">
        <f t="shared" si="1"/>
        <v>כן</v>
      </c>
      <c r="G8" s="223">
        <f>COUNTIF(Recordings!A:A,C8)</f>
        <v>1</v>
      </c>
      <c r="H8" s="223"/>
      <c r="I8" s="223"/>
      <c r="J8" s="223"/>
      <c r="K8" s="2"/>
      <c r="L8" s="7"/>
      <c r="M8" s="2"/>
      <c r="N8" s="2"/>
      <c r="O8" s="146"/>
      <c r="P8" s="218"/>
      <c r="Q8" s="146"/>
      <c r="R8" s="87"/>
      <c r="S8" s="2"/>
      <c r="T8" s="2"/>
      <c r="U8" s="7"/>
      <c r="V8" s="46"/>
      <c r="W8" s="8"/>
      <c r="X8" s="2"/>
      <c r="Y8" s="2"/>
      <c r="Z8" s="2"/>
      <c r="AA8" s="2"/>
      <c r="AB8" s="2"/>
    </row>
    <row r="9">
      <c r="B9" s="220" t="s">
        <v>216</v>
      </c>
      <c r="C9" s="220" t="s">
        <v>215</v>
      </c>
      <c r="D9" s="220" t="s">
        <v>217</v>
      </c>
      <c r="E9" s="221" t="s">
        <v>3715</v>
      </c>
      <c r="F9" s="222" t="str">
        <f t="shared" si="1"/>
        <v>בכלל לא</v>
      </c>
      <c r="G9" s="223">
        <f>COUNTIF(Recordings!A:A,C9)</f>
        <v>0</v>
      </c>
      <c r="H9" s="223"/>
      <c r="I9" s="223"/>
      <c r="J9" s="223"/>
      <c r="K9" s="2"/>
      <c r="L9" s="7"/>
      <c r="M9" s="2"/>
      <c r="N9" s="2"/>
      <c r="O9" s="146"/>
      <c r="P9" s="218"/>
      <c r="Q9" s="146"/>
      <c r="R9" s="87"/>
      <c r="S9" s="2"/>
      <c r="T9" s="2"/>
      <c r="U9" s="7" t="s">
        <v>364</v>
      </c>
      <c r="V9" s="7" t="s">
        <v>365</v>
      </c>
      <c r="W9" s="8" t="s">
        <v>3716</v>
      </c>
      <c r="X9" s="2"/>
      <c r="Y9" s="2"/>
      <c r="Z9" s="2"/>
      <c r="AA9" s="2"/>
      <c r="AB9" s="2"/>
    </row>
    <row r="10">
      <c r="B10" s="220" t="s">
        <v>64</v>
      </c>
      <c r="C10" s="220" t="s">
        <v>63</v>
      </c>
      <c r="D10" s="220" t="s">
        <v>65</v>
      </c>
      <c r="E10" s="221" t="s">
        <v>3717</v>
      </c>
      <c r="F10" s="222" t="str">
        <f t="shared" si="1"/>
        <v>בכלל לא</v>
      </c>
      <c r="G10" s="223">
        <f>COUNTIF(Recordings!A:A,C10)</f>
        <v>0</v>
      </c>
      <c r="H10" s="223"/>
      <c r="I10" s="223"/>
      <c r="J10" s="223"/>
      <c r="K10" s="2"/>
      <c r="L10" s="7"/>
      <c r="M10" s="2"/>
      <c r="N10" s="2"/>
      <c r="O10" s="146"/>
      <c r="P10" s="218"/>
      <c r="Q10" s="146"/>
      <c r="R10" s="87"/>
      <c r="S10" s="2"/>
      <c r="T10" s="2"/>
      <c r="U10" s="7" t="s">
        <v>421</v>
      </c>
      <c r="V10" s="7" t="s">
        <v>422</v>
      </c>
      <c r="W10" s="8" t="s">
        <v>3716</v>
      </c>
      <c r="X10" s="2"/>
      <c r="Y10" s="2"/>
      <c r="Z10" s="2"/>
      <c r="AA10" s="2"/>
      <c r="AB10" s="2"/>
    </row>
    <row r="11">
      <c r="B11" s="220" t="s">
        <v>334</v>
      </c>
      <c r="C11" s="220" t="s">
        <v>333</v>
      </c>
      <c r="D11" s="220" t="s">
        <v>335</v>
      </c>
      <c r="E11" s="221" t="s">
        <v>3718</v>
      </c>
      <c r="F11" s="222" t="str">
        <f t="shared" si="1"/>
        <v>כן</v>
      </c>
      <c r="G11" s="223">
        <f>COUNTIF(Recordings!A:A,C11)</f>
        <v>6</v>
      </c>
      <c r="H11" s="223"/>
      <c r="I11" s="223"/>
      <c r="J11" s="223"/>
      <c r="K11" s="2"/>
      <c r="L11" s="7"/>
      <c r="M11" s="2"/>
      <c r="N11" s="2"/>
      <c r="O11" s="146"/>
      <c r="P11" s="12"/>
      <c r="Q11" s="12"/>
      <c r="R11" s="87"/>
      <c r="S11" s="2"/>
      <c r="T11" s="2"/>
      <c r="U11" s="7" t="s">
        <v>406</v>
      </c>
      <c r="V11" s="7" t="s">
        <v>3719</v>
      </c>
      <c r="W11" s="8" t="s">
        <v>3716</v>
      </c>
      <c r="X11" s="2"/>
      <c r="Y11" s="2"/>
      <c r="Z11" s="2"/>
      <c r="AA11" s="2"/>
      <c r="AB11" s="2"/>
    </row>
    <row r="12">
      <c r="B12" s="220" t="s">
        <v>310</v>
      </c>
      <c r="C12" s="220" t="s">
        <v>309</v>
      </c>
      <c r="D12" s="220" t="s">
        <v>311</v>
      </c>
      <c r="E12" s="226"/>
      <c r="F12" s="222" t="str">
        <f t="shared" si="1"/>
        <v>בכלל לא</v>
      </c>
      <c r="G12" s="223">
        <f>COUNTIF(Recordings!A:A,C12)</f>
        <v>0</v>
      </c>
      <c r="H12" s="223"/>
      <c r="I12" s="223"/>
      <c r="J12" s="223"/>
      <c r="K12" s="2"/>
      <c r="L12" s="7"/>
      <c r="M12" s="2"/>
      <c r="N12" s="2"/>
      <c r="O12" s="218"/>
      <c r="P12" s="227"/>
      <c r="Q12" s="146"/>
      <c r="R12" s="87"/>
      <c r="S12" s="2"/>
      <c r="T12" s="2"/>
      <c r="U12" s="7" t="s">
        <v>412</v>
      </c>
      <c r="V12" s="7" t="s">
        <v>413</v>
      </c>
      <c r="W12" s="8" t="s">
        <v>3716</v>
      </c>
      <c r="X12" s="2"/>
      <c r="Y12" s="2"/>
      <c r="Z12" s="2"/>
      <c r="AA12" s="2"/>
      <c r="AB12" s="2"/>
    </row>
    <row r="13">
      <c r="B13" s="228" t="s">
        <v>124</v>
      </c>
      <c r="C13" s="229" t="s">
        <v>705</v>
      </c>
      <c r="D13" s="230" t="s">
        <v>125</v>
      </c>
      <c r="E13" s="226"/>
      <c r="F13" s="222" t="str">
        <f t="shared" si="1"/>
        <v>כן</v>
      </c>
      <c r="G13" s="223">
        <f>COUNTIF(Recordings!A:A,C13)</f>
        <v>5</v>
      </c>
      <c r="H13" s="223"/>
      <c r="I13" s="223"/>
      <c r="J13" s="223"/>
      <c r="K13" s="2"/>
      <c r="L13" s="7"/>
      <c r="M13" s="2"/>
      <c r="N13" s="2"/>
      <c r="O13" s="218"/>
      <c r="P13" s="227"/>
      <c r="Q13" s="146"/>
      <c r="R13" s="87"/>
      <c r="S13" s="2"/>
      <c r="T13" s="2"/>
      <c r="U13" s="7"/>
      <c r="V13" s="7"/>
      <c r="W13" s="8"/>
      <c r="X13" s="2"/>
      <c r="Y13" s="2"/>
      <c r="Z13" s="2"/>
      <c r="AA13" s="2"/>
      <c r="AB13" s="2"/>
    </row>
    <row r="14">
      <c r="B14" s="224" t="s">
        <v>46</v>
      </c>
      <c r="C14" s="225" t="s">
        <v>45</v>
      </c>
      <c r="D14" s="225" t="s">
        <v>47</v>
      </c>
      <c r="E14" s="221"/>
      <c r="F14" s="222" t="str">
        <f t="shared" si="1"/>
        <v>בכלל לא</v>
      </c>
      <c r="G14" s="223">
        <f>COUNTIF(Recordings!A:A,C14)</f>
        <v>0</v>
      </c>
      <c r="H14" s="231"/>
      <c r="I14" s="231"/>
      <c r="J14" s="231"/>
      <c r="K14" s="2"/>
      <c r="L14" s="7"/>
      <c r="M14" s="2"/>
      <c r="N14" s="2"/>
      <c r="O14" s="12"/>
      <c r="P14" s="218"/>
      <c r="Q14" s="9"/>
      <c r="R14" s="87"/>
      <c r="S14" s="2"/>
      <c r="T14" s="2"/>
      <c r="U14" s="7"/>
      <c r="V14" s="7"/>
      <c r="W14" s="8"/>
      <c r="X14" s="2"/>
      <c r="Y14" s="2"/>
      <c r="Z14" s="2"/>
      <c r="AA14" s="2"/>
      <c r="AB14" s="2"/>
    </row>
    <row r="15">
      <c r="B15" s="220" t="s">
        <v>442</v>
      </c>
      <c r="C15" s="220" t="s">
        <v>441</v>
      </c>
      <c r="D15" s="220" t="s">
        <v>443</v>
      </c>
      <c r="E15" s="221" t="s">
        <v>638</v>
      </c>
      <c r="F15" s="222" t="str">
        <f t="shared" si="1"/>
        <v>בכלל לא</v>
      </c>
      <c r="G15" s="223">
        <f>COUNTIF(Recordings!A:A,C15)</f>
        <v>0</v>
      </c>
      <c r="H15" s="231"/>
      <c r="I15" s="231"/>
      <c r="J15" s="231" t="s">
        <v>3720</v>
      </c>
      <c r="K15" s="2"/>
      <c r="L15" s="7"/>
      <c r="M15" s="2"/>
      <c r="N15" s="2"/>
      <c r="O15" s="12"/>
      <c r="P15" s="218"/>
      <c r="Q15" s="9"/>
      <c r="R15" s="87"/>
      <c r="S15" s="2"/>
      <c r="T15" s="2"/>
      <c r="U15" s="7" t="s">
        <v>418</v>
      </c>
      <c r="V15" s="7" t="s">
        <v>419</v>
      </c>
      <c r="W15" s="8" t="s">
        <v>3716</v>
      </c>
      <c r="X15" s="2"/>
      <c r="Y15" s="2"/>
      <c r="Z15" s="2"/>
      <c r="AA15" s="2"/>
      <c r="AB15" s="2"/>
    </row>
    <row r="16">
      <c r="A16" s="232" t="s">
        <v>438</v>
      </c>
      <c r="B16" s="233" t="s">
        <v>4</v>
      </c>
      <c r="C16" s="233" t="s">
        <v>3</v>
      </c>
      <c r="D16" s="233" t="s">
        <v>5</v>
      </c>
      <c r="E16" s="234" t="s">
        <v>3721</v>
      </c>
      <c r="F16" s="235" t="str">
        <f t="shared" si="1"/>
        <v>כן</v>
      </c>
      <c r="G16" s="236">
        <f>COUNTIF(Recordings!A:A,C16)</f>
        <v>4</v>
      </c>
      <c r="H16" s="236"/>
      <c r="I16" s="236"/>
      <c r="J16" s="236"/>
      <c r="K16" s="2"/>
      <c r="L16" s="7"/>
      <c r="M16" s="2"/>
      <c r="N16" s="2"/>
      <c r="O16" s="2"/>
      <c r="P16" s="2"/>
      <c r="Q16" s="2"/>
      <c r="R16" s="87"/>
      <c r="S16" s="2"/>
      <c r="T16" s="2"/>
      <c r="U16" s="7" t="s">
        <v>382</v>
      </c>
      <c r="V16" s="7" t="s">
        <v>383</v>
      </c>
      <c r="W16" s="8" t="s">
        <v>3716</v>
      </c>
      <c r="X16" s="2"/>
      <c r="Y16" s="2"/>
      <c r="Z16" s="2"/>
      <c r="AA16" s="2"/>
      <c r="AB16" s="2"/>
    </row>
    <row r="17">
      <c r="B17" s="233" t="s">
        <v>22</v>
      </c>
      <c r="C17" s="233" t="s">
        <v>21</v>
      </c>
      <c r="D17" s="233" t="s">
        <v>23</v>
      </c>
      <c r="E17" s="234" t="s">
        <v>3722</v>
      </c>
      <c r="F17" s="235" t="str">
        <f t="shared" si="1"/>
        <v>בכלל לא</v>
      </c>
      <c r="G17" s="236">
        <f>COUNTIF(Recordings!A:A,C17)</f>
        <v>0</v>
      </c>
      <c r="H17" s="236"/>
      <c r="I17" s="236"/>
      <c r="J17" s="236"/>
      <c r="K17" s="2"/>
      <c r="L17" s="7"/>
      <c r="M17" s="2"/>
      <c r="N17" s="2"/>
      <c r="O17" s="218"/>
      <c r="P17" s="146"/>
      <c r="Q17" s="146"/>
      <c r="R17" s="87"/>
      <c r="S17" s="2"/>
      <c r="T17" s="2"/>
      <c r="U17" s="7" t="s">
        <v>3723</v>
      </c>
      <c r="V17" s="7" t="s">
        <v>389</v>
      </c>
      <c r="W17" s="8" t="s">
        <v>3716</v>
      </c>
      <c r="X17" s="2"/>
      <c r="Y17" s="2"/>
      <c r="Z17" s="2"/>
      <c r="AA17" s="2"/>
      <c r="AB17" s="2"/>
    </row>
    <row r="18">
      <c r="B18" s="233" t="s">
        <v>25</v>
      </c>
      <c r="C18" s="233" t="s">
        <v>24</v>
      </c>
      <c r="D18" s="233" t="s">
        <v>26</v>
      </c>
      <c r="E18" s="234" t="s">
        <v>3724</v>
      </c>
      <c r="F18" s="235" t="str">
        <f t="shared" si="1"/>
        <v>כן</v>
      </c>
      <c r="G18" s="236">
        <f>COUNTIF(Recordings!A:A,C18)</f>
        <v>5</v>
      </c>
      <c r="H18" s="236"/>
      <c r="I18" s="236"/>
      <c r="J18" s="236"/>
      <c r="K18" s="2"/>
      <c r="L18" s="7"/>
      <c r="M18" s="2"/>
      <c r="N18" s="12"/>
      <c r="O18" s="12"/>
      <c r="P18" s="237"/>
      <c r="Q18" s="12"/>
      <c r="R18" s="87"/>
      <c r="S18" s="2"/>
      <c r="T18" s="2"/>
      <c r="U18" s="7" t="s">
        <v>397</v>
      </c>
      <c r="V18" s="7" t="s">
        <v>398</v>
      </c>
      <c r="W18" s="8" t="s">
        <v>3716</v>
      </c>
      <c r="X18" s="2"/>
      <c r="Y18" s="2"/>
      <c r="Z18" s="2"/>
      <c r="AA18" s="2"/>
      <c r="AB18" s="2"/>
    </row>
    <row r="19">
      <c r="B19" s="233" t="s">
        <v>201</v>
      </c>
      <c r="C19" s="233" t="s">
        <v>200</v>
      </c>
      <c r="D19" s="233" t="s">
        <v>202</v>
      </c>
      <c r="E19" s="234" t="s">
        <v>3725</v>
      </c>
      <c r="F19" s="235" t="str">
        <f t="shared" si="1"/>
        <v>בכלל לא</v>
      </c>
      <c r="G19" s="236">
        <f>COUNTIF(Recordings!A:A,C19)</f>
        <v>0</v>
      </c>
      <c r="H19" s="238"/>
      <c r="I19" s="238"/>
      <c r="J19" s="238" t="s">
        <v>3726</v>
      </c>
      <c r="K19" s="2"/>
      <c r="L19" s="7"/>
      <c r="M19" s="2"/>
      <c r="N19" s="2"/>
      <c r="O19" s="218"/>
      <c r="P19" s="146"/>
      <c r="Q19" s="146"/>
      <c r="R19" s="87"/>
      <c r="S19" s="2"/>
      <c r="T19" s="2"/>
      <c r="U19" s="7" t="s">
        <v>409</v>
      </c>
      <c r="V19" s="7" t="s">
        <v>410</v>
      </c>
      <c r="W19" s="8" t="s">
        <v>3716</v>
      </c>
      <c r="X19" s="2"/>
      <c r="Y19" s="2"/>
      <c r="Z19" s="2"/>
      <c r="AA19" s="2"/>
      <c r="AB19" s="2"/>
    </row>
    <row r="20">
      <c r="B20" s="239" t="s">
        <v>46</v>
      </c>
      <c r="C20" s="232" t="s">
        <v>45</v>
      </c>
      <c r="D20" s="239" t="s">
        <v>47</v>
      </c>
      <c r="E20" s="234" t="s">
        <v>3718</v>
      </c>
      <c r="F20" s="235" t="str">
        <f t="shared" si="1"/>
        <v>בכלל לא</v>
      </c>
      <c r="G20" s="236">
        <f>COUNTIF(Recordings!A:A,C20)</f>
        <v>0</v>
      </c>
      <c r="H20" s="236"/>
      <c r="I20" s="236"/>
      <c r="J20" s="236"/>
      <c r="K20" s="2"/>
      <c r="L20" s="7"/>
      <c r="M20" s="2"/>
      <c r="N20" s="240"/>
      <c r="O20" s="218"/>
      <c r="P20" s="12"/>
      <c r="Q20" s="12"/>
      <c r="R20" s="87"/>
      <c r="S20" s="2"/>
      <c r="T20" s="2"/>
      <c r="U20" s="7" t="s">
        <v>367</v>
      </c>
      <c r="V20" s="7" t="s">
        <v>368</v>
      </c>
      <c r="W20" s="8" t="s">
        <v>3716</v>
      </c>
      <c r="X20" s="2"/>
      <c r="Y20" s="2"/>
      <c r="Z20" s="2"/>
      <c r="AA20" s="2"/>
      <c r="AB20" s="2"/>
    </row>
    <row r="21">
      <c r="B21" s="239" t="s">
        <v>55</v>
      </c>
      <c r="C21" s="232" t="s">
        <v>54</v>
      </c>
      <c r="D21" s="239" t="s">
        <v>56</v>
      </c>
      <c r="E21" s="234" t="s">
        <v>3727</v>
      </c>
      <c r="F21" s="235" t="str">
        <f t="shared" si="1"/>
        <v>כן</v>
      </c>
      <c r="G21" s="236">
        <f>COUNTIF(Recordings!A:A,C21)</f>
        <v>3</v>
      </c>
      <c r="H21" s="238"/>
      <c r="I21" s="238"/>
      <c r="J21" s="238" t="s">
        <v>3728</v>
      </c>
      <c r="K21" s="2"/>
      <c r="L21" s="7"/>
      <c r="M21" s="2"/>
      <c r="N21" s="2"/>
      <c r="O21" s="2"/>
      <c r="P21" s="2"/>
      <c r="Q21" s="2"/>
      <c r="R21" s="87"/>
      <c r="S21" s="2"/>
      <c r="T21" s="2"/>
      <c r="U21" s="7" t="s">
        <v>222</v>
      </c>
      <c r="V21" s="7" t="s">
        <v>223</v>
      </c>
      <c r="W21" s="8" t="s">
        <v>3716</v>
      </c>
      <c r="X21" s="2"/>
      <c r="Y21" s="2"/>
      <c r="Z21" s="2"/>
      <c r="AA21" s="2"/>
      <c r="AB21" s="2"/>
    </row>
    <row r="22">
      <c r="B22" s="233" t="s">
        <v>73</v>
      </c>
      <c r="C22" s="233" t="s">
        <v>72</v>
      </c>
      <c r="D22" s="233" t="s">
        <v>74</v>
      </c>
      <c r="E22" s="241"/>
      <c r="F22" s="235" t="str">
        <f t="shared" si="1"/>
        <v>בכלל לא</v>
      </c>
      <c r="G22" s="236">
        <f>COUNTIF(Recordings!A:A,C22)</f>
        <v>0</v>
      </c>
      <c r="H22" s="236"/>
      <c r="I22" s="236"/>
      <c r="J22" s="236"/>
      <c r="K22" s="2"/>
      <c r="L22" s="7"/>
      <c r="M22" s="2"/>
      <c r="N22" s="2"/>
      <c r="O22" s="146"/>
      <c r="P22" s="2"/>
      <c r="Q22" s="2"/>
      <c r="R22" s="87"/>
      <c r="S22" s="2"/>
      <c r="T22" s="2"/>
      <c r="U22" s="7" t="s">
        <v>355</v>
      </c>
      <c r="V22" s="7" t="s">
        <v>356</v>
      </c>
      <c r="W22" s="8" t="s">
        <v>3716</v>
      </c>
      <c r="X22" s="2"/>
      <c r="Y22" s="2"/>
      <c r="Z22" s="2"/>
      <c r="AA22" s="2"/>
      <c r="AB22" s="2"/>
    </row>
    <row r="23">
      <c r="B23" s="233"/>
      <c r="C23" s="232" t="s">
        <v>3729</v>
      </c>
      <c r="D23" s="239" t="s">
        <v>3730</v>
      </c>
      <c r="E23" s="234" t="s">
        <v>3718</v>
      </c>
      <c r="F23" s="235" t="str">
        <f t="shared" si="1"/>
        <v>בכלל לא</v>
      </c>
      <c r="G23" s="236">
        <f>COUNTIF(Recordings!A:A,C23)</f>
        <v>0</v>
      </c>
      <c r="H23" s="236"/>
      <c r="I23" s="236"/>
      <c r="J23" s="236"/>
      <c r="K23" s="2"/>
      <c r="L23" s="7"/>
      <c r="M23" s="2"/>
      <c r="N23" s="2"/>
      <c r="O23" s="8"/>
      <c r="P23" s="2"/>
      <c r="Q23" s="2"/>
      <c r="R23" s="87"/>
      <c r="S23" s="2"/>
      <c r="T23" s="2"/>
      <c r="U23" s="7" t="s">
        <v>352</v>
      </c>
      <c r="V23" s="7" t="s">
        <v>353</v>
      </c>
      <c r="W23" s="8" t="s">
        <v>3716</v>
      </c>
      <c r="X23" s="2"/>
      <c r="Y23" s="2"/>
      <c r="Z23" s="2"/>
      <c r="AA23" s="2"/>
      <c r="AB23" s="2"/>
    </row>
    <row r="24">
      <c r="B24" s="239" t="s">
        <v>3731</v>
      </c>
      <c r="C24" s="232" t="s">
        <v>3732</v>
      </c>
      <c r="D24" s="239" t="s">
        <v>3733</v>
      </c>
      <c r="E24" s="234" t="s">
        <v>3718</v>
      </c>
      <c r="F24" s="235" t="str">
        <f t="shared" si="1"/>
        <v>בכלל לא</v>
      </c>
      <c r="G24" s="236">
        <f>COUNTIF(Recordings!A:A,C24)</f>
        <v>0</v>
      </c>
      <c r="H24" s="236"/>
      <c r="I24" s="236"/>
      <c r="J24" s="236"/>
      <c r="K24" s="2"/>
      <c r="L24" s="7"/>
      <c r="M24" s="2"/>
      <c r="N24" s="2"/>
      <c r="O24" s="8"/>
      <c r="P24" s="11"/>
      <c r="Q24" s="2"/>
      <c r="R24" s="87"/>
      <c r="S24" s="2"/>
      <c r="T24" s="2"/>
      <c r="U24" s="7" t="s">
        <v>403</v>
      </c>
      <c r="V24" s="7" t="s">
        <v>404</v>
      </c>
      <c r="W24" s="8" t="s">
        <v>3716</v>
      </c>
      <c r="X24" s="2"/>
      <c r="Y24" s="2"/>
      <c r="Z24" s="2"/>
      <c r="AA24" s="2"/>
      <c r="AB24" s="2"/>
    </row>
    <row r="25">
      <c r="B25" s="233" t="s">
        <v>100</v>
      </c>
      <c r="C25" s="233" t="s">
        <v>99</v>
      </c>
      <c r="D25" s="233" t="s">
        <v>101</v>
      </c>
      <c r="E25" s="234" t="s">
        <v>638</v>
      </c>
      <c r="F25" s="235" t="str">
        <f t="shared" si="1"/>
        <v>בכלל לא</v>
      </c>
      <c r="G25" s="236">
        <f>COUNTIF(Recordings!A:A,C25)</f>
        <v>0</v>
      </c>
      <c r="H25" s="242"/>
      <c r="I25" s="242"/>
      <c r="J25" s="242"/>
      <c r="K25" s="2"/>
      <c r="L25" s="7"/>
      <c r="M25" s="2"/>
      <c r="N25" s="2"/>
      <c r="O25" s="2"/>
      <c r="P25" s="2"/>
      <c r="Q25" s="2"/>
      <c r="R25" s="2"/>
      <c r="S25" s="2"/>
      <c r="T25" s="2"/>
      <c r="U25" s="7" t="s">
        <v>400</v>
      </c>
      <c r="V25" s="7" t="s">
        <v>401</v>
      </c>
      <c r="W25" s="8" t="s">
        <v>3716</v>
      </c>
      <c r="X25" s="2"/>
      <c r="Y25" s="2"/>
      <c r="Z25" s="2"/>
      <c r="AA25" s="2"/>
      <c r="AB25" s="2"/>
    </row>
    <row r="26">
      <c r="B26" s="233" t="s">
        <v>148</v>
      </c>
      <c r="C26" s="233" t="s">
        <v>147</v>
      </c>
      <c r="D26" s="233" t="s">
        <v>149</v>
      </c>
      <c r="E26" s="234" t="s">
        <v>3734</v>
      </c>
      <c r="F26" s="235" t="str">
        <f t="shared" si="1"/>
        <v>בכלל לא</v>
      </c>
      <c r="G26" s="236">
        <f>COUNTIF(Recordings!A:A,C26)</f>
        <v>0</v>
      </c>
      <c r="H26" s="236"/>
      <c r="I26" s="236"/>
      <c r="J26" s="236"/>
      <c r="K26" s="2"/>
      <c r="L26" s="7"/>
      <c r="M26" s="2"/>
      <c r="N26" s="2"/>
      <c r="O26" s="2"/>
      <c r="P26" s="2"/>
      <c r="Q26" s="2"/>
      <c r="R26" s="2"/>
      <c r="S26" s="2"/>
      <c r="T26" s="2"/>
      <c r="U26" s="7" t="s">
        <v>424</v>
      </c>
      <c r="V26" s="7" t="s">
        <v>425</v>
      </c>
      <c r="W26" s="8" t="s">
        <v>3716</v>
      </c>
      <c r="X26" s="2"/>
      <c r="Y26" s="2"/>
      <c r="Z26" s="2"/>
      <c r="AA26" s="2"/>
      <c r="AB26" s="2"/>
    </row>
    <row r="27">
      <c r="B27" s="233" t="s">
        <v>210</v>
      </c>
      <c r="C27" s="233" t="s">
        <v>209</v>
      </c>
      <c r="D27" s="233" t="s">
        <v>211</v>
      </c>
      <c r="E27" s="234" t="s">
        <v>3735</v>
      </c>
      <c r="F27" s="235" t="str">
        <f t="shared" si="1"/>
        <v>בכלל לא</v>
      </c>
      <c r="G27" s="236">
        <f>COUNTIF(Recordings!A:A,C27)</f>
        <v>0</v>
      </c>
      <c r="H27" s="236"/>
      <c r="I27" s="236"/>
      <c r="J27" s="236"/>
      <c r="K27" s="2"/>
      <c r="L27" s="7"/>
      <c r="M27" s="2"/>
      <c r="N27" s="2"/>
      <c r="O27" s="2"/>
      <c r="P27" s="2"/>
      <c r="Q27" s="2"/>
      <c r="R27" s="2"/>
      <c r="S27" s="2"/>
      <c r="T27" s="2"/>
      <c r="U27" s="7" t="s">
        <v>427</v>
      </c>
      <c r="V27" s="7" t="s">
        <v>428</v>
      </c>
      <c r="W27" s="8" t="s">
        <v>3716</v>
      </c>
      <c r="X27" s="2"/>
      <c r="Y27" s="2"/>
      <c r="Z27" s="2"/>
      <c r="AA27" s="2"/>
      <c r="AB27" s="2"/>
    </row>
    <row r="28">
      <c r="B28" s="233" t="s">
        <v>249</v>
      </c>
      <c r="C28" s="233" t="s">
        <v>248</v>
      </c>
      <c r="D28" s="233" t="s">
        <v>250</v>
      </c>
      <c r="E28" s="234" t="s">
        <v>638</v>
      </c>
      <c r="F28" s="235" t="str">
        <f t="shared" si="1"/>
        <v>כן</v>
      </c>
      <c r="G28" s="236">
        <f>COUNTIF(Recordings!A:A,C28)</f>
        <v>1</v>
      </c>
      <c r="H28" s="236"/>
      <c r="I28" s="236"/>
      <c r="J28" s="236"/>
      <c r="K28" s="2"/>
      <c r="L28" s="7"/>
      <c r="M28" s="2"/>
      <c r="N28" s="2"/>
      <c r="O28" s="2"/>
      <c r="P28" s="2"/>
      <c r="Q28" s="2"/>
      <c r="R28" s="2"/>
      <c r="S28" s="2"/>
      <c r="T28" s="2"/>
      <c r="U28" s="7"/>
      <c r="V28" s="7"/>
      <c r="W28" s="8"/>
      <c r="X28" s="2"/>
      <c r="Y28" s="2"/>
      <c r="Z28" s="2"/>
      <c r="AA28" s="2"/>
      <c r="AB28" s="2"/>
    </row>
    <row r="29">
      <c r="B29" s="233" t="s">
        <v>252</v>
      </c>
      <c r="C29" s="233" t="s">
        <v>251</v>
      </c>
      <c r="D29" s="233" t="s">
        <v>253</v>
      </c>
      <c r="E29" s="234" t="s">
        <v>3736</v>
      </c>
      <c r="F29" s="235" t="str">
        <f t="shared" si="1"/>
        <v>בכלל לא</v>
      </c>
      <c r="G29" s="236">
        <f>COUNTIF(Recordings!A:A,C29)</f>
        <v>0</v>
      </c>
      <c r="H29" s="236"/>
      <c r="I29" s="236"/>
      <c r="J29" s="236"/>
      <c r="K29" s="2"/>
      <c r="L29" s="7"/>
      <c r="M29" s="2"/>
      <c r="N29" s="2"/>
      <c r="O29" s="2"/>
      <c r="P29" s="2"/>
      <c r="Q29" s="2"/>
      <c r="R29" s="2"/>
      <c r="S29" s="2"/>
      <c r="T29" s="2"/>
      <c r="U29" s="7" t="s">
        <v>379</v>
      </c>
      <c r="V29" s="7" t="s">
        <v>380</v>
      </c>
      <c r="W29" s="8" t="s">
        <v>3716</v>
      </c>
      <c r="X29" s="2"/>
      <c r="Y29" s="2"/>
      <c r="Z29" s="2"/>
      <c r="AA29" s="2"/>
      <c r="AB29" s="2"/>
    </row>
    <row r="30">
      <c r="B30" s="233" t="s">
        <v>261</v>
      </c>
      <c r="C30" s="233" t="s">
        <v>260</v>
      </c>
      <c r="D30" s="233" t="s">
        <v>262</v>
      </c>
      <c r="E30" s="234" t="s">
        <v>3734</v>
      </c>
      <c r="F30" s="235" t="str">
        <f t="shared" si="1"/>
        <v>בכלל לא</v>
      </c>
      <c r="G30" s="236">
        <f>COUNTIF(Recordings!A:A,C30)</f>
        <v>0</v>
      </c>
      <c r="H30" s="236"/>
      <c r="I30" s="236"/>
      <c r="J30" s="236"/>
      <c r="K30" s="2"/>
      <c r="L30" s="7"/>
      <c r="M30" s="2"/>
      <c r="N30" s="2"/>
      <c r="O30" s="2"/>
      <c r="P30" s="2"/>
      <c r="Q30" s="2"/>
      <c r="R30" s="2"/>
      <c r="S30" s="2"/>
      <c r="T30" s="2"/>
      <c r="U30" s="7" t="s">
        <v>546</v>
      </c>
      <c r="V30" s="7" t="s">
        <v>547</v>
      </c>
      <c r="W30" s="8" t="s">
        <v>3716</v>
      </c>
      <c r="X30" s="2"/>
      <c r="Y30" s="2"/>
      <c r="Z30" s="2"/>
      <c r="AA30" s="2"/>
      <c r="AB30" s="2"/>
    </row>
    <row r="31">
      <c r="B31" s="239" t="s">
        <v>3737</v>
      </c>
      <c r="C31" s="232" t="s">
        <v>274</v>
      </c>
      <c r="D31" s="239" t="s">
        <v>276</v>
      </c>
      <c r="E31" s="234" t="s">
        <v>3734</v>
      </c>
      <c r="F31" s="235" t="str">
        <f t="shared" si="1"/>
        <v>בכלל לא</v>
      </c>
      <c r="G31" s="236">
        <f>COUNTIF(Recordings!A:A,C31)</f>
        <v>0</v>
      </c>
      <c r="H31" s="236"/>
      <c r="I31" s="236"/>
      <c r="J31" s="236"/>
      <c r="K31" s="2"/>
      <c r="L31" s="7"/>
      <c r="M31" s="2"/>
      <c r="N31" s="2"/>
      <c r="O31" s="2"/>
      <c r="P31" s="2"/>
      <c r="Q31" s="2"/>
      <c r="R31" s="2"/>
      <c r="S31" s="2"/>
      <c r="T31" s="2"/>
      <c r="U31" s="7" t="s">
        <v>370</v>
      </c>
      <c r="V31" s="7" t="s">
        <v>371</v>
      </c>
      <c r="W31" s="8" t="s">
        <v>3716</v>
      </c>
      <c r="X31" s="2"/>
      <c r="Y31" s="2"/>
      <c r="Z31" s="2"/>
      <c r="AA31" s="2"/>
      <c r="AB31" s="2"/>
    </row>
    <row r="32">
      <c r="B32" s="233" t="s">
        <v>281</v>
      </c>
      <c r="C32" s="233" t="s">
        <v>280</v>
      </c>
      <c r="D32" s="233" t="s">
        <v>282</v>
      </c>
      <c r="E32" s="234" t="s">
        <v>3738</v>
      </c>
      <c r="F32" s="235" t="str">
        <f t="shared" si="1"/>
        <v>כן</v>
      </c>
      <c r="G32" s="236">
        <f>COUNTIF(Recordings!A:A,C32)</f>
        <v>1</v>
      </c>
      <c r="H32" s="236"/>
      <c r="I32" s="236"/>
      <c r="J32" s="236"/>
      <c r="K32" s="2"/>
      <c r="L32" s="7"/>
      <c r="M32" s="2"/>
      <c r="N32" s="2"/>
      <c r="O32" s="2"/>
      <c r="P32" s="2"/>
      <c r="Q32" s="2"/>
      <c r="R32" s="2"/>
      <c r="S32" s="2"/>
      <c r="T32" s="2"/>
      <c r="U32" s="7" t="s">
        <v>376</v>
      </c>
      <c r="V32" s="7" t="s">
        <v>377</v>
      </c>
      <c r="W32" s="8" t="s">
        <v>3716</v>
      </c>
      <c r="X32" s="2"/>
      <c r="Y32" s="2"/>
      <c r="Z32" s="2"/>
      <c r="AA32" s="2"/>
      <c r="AB32" s="2"/>
    </row>
    <row r="33">
      <c r="B33" s="233" t="s">
        <v>295</v>
      </c>
      <c r="C33" s="233" t="s">
        <v>294</v>
      </c>
      <c r="D33" s="233" t="s">
        <v>296</v>
      </c>
      <c r="E33" s="234" t="s">
        <v>3739</v>
      </c>
      <c r="F33" s="235" t="str">
        <f t="shared" si="1"/>
        <v>בכלל לא</v>
      </c>
      <c r="G33" s="236">
        <f>COUNTIF(Recordings!A:A,C33)</f>
        <v>0</v>
      </c>
      <c r="H33" s="238"/>
      <c r="I33" s="238"/>
      <c r="J33" s="238" t="s">
        <v>3740</v>
      </c>
      <c r="K33" s="2"/>
      <c r="L33" s="7"/>
      <c r="M33" s="2"/>
      <c r="N33" s="2"/>
      <c r="O33" s="2"/>
      <c r="P33" s="2"/>
      <c r="Q33" s="2"/>
      <c r="R33" s="2"/>
      <c r="S33" s="2"/>
      <c r="T33" s="7"/>
      <c r="U33" s="243"/>
      <c r="V33" s="7"/>
      <c r="W33" s="8"/>
      <c r="X33" s="2"/>
      <c r="Y33" s="2"/>
      <c r="Z33" s="2"/>
      <c r="AA33" s="2"/>
      <c r="AB33" s="2"/>
    </row>
    <row r="34">
      <c r="B34" s="233" t="s">
        <v>328</v>
      </c>
      <c r="C34" s="233" t="s">
        <v>327</v>
      </c>
      <c r="D34" s="239" t="s">
        <v>329</v>
      </c>
      <c r="E34" s="234" t="s">
        <v>3739</v>
      </c>
      <c r="F34" s="235" t="str">
        <f t="shared" si="1"/>
        <v>כן</v>
      </c>
      <c r="G34" s="236">
        <f>COUNTIF(Recordings!A:A,C34)</f>
        <v>1</v>
      </c>
      <c r="H34" s="236"/>
      <c r="I34" s="236"/>
      <c r="J34" s="236"/>
      <c r="K34" s="2"/>
      <c r="L34" s="7"/>
      <c r="M34" s="2"/>
      <c r="N34" s="2"/>
      <c r="O34" s="2"/>
      <c r="P34" s="2"/>
      <c r="Q34" s="2"/>
      <c r="R34" s="2"/>
      <c r="S34" s="2"/>
      <c r="T34" s="7"/>
      <c r="U34" s="243"/>
      <c r="V34" s="7"/>
      <c r="W34" s="8"/>
      <c r="X34" s="2"/>
      <c r="Y34" s="2"/>
      <c r="Z34" s="2"/>
      <c r="AA34" s="2"/>
      <c r="AB34" s="2"/>
    </row>
    <row r="35">
      <c r="B35" s="233" t="s">
        <v>346</v>
      </c>
      <c r="C35" s="233" t="s">
        <v>345</v>
      </c>
      <c r="D35" s="233" t="s">
        <v>434</v>
      </c>
      <c r="E35" s="234" t="s">
        <v>3741</v>
      </c>
      <c r="F35" s="235" t="str">
        <f t="shared" si="1"/>
        <v>כן</v>
      </c>
      <c r="G35" s="236">
        <f>COUNTIF(Recordings!A:A,C35)</f>
        <v>4</v>
      </c>
      <c r="H35" s="236"/>
      <c r="I35" s="236"/>
      <c r="J35" s="236"/>
      <c r="K35" s="2"/>
      <c r="L35" s="7"/>
      <c r="M35" s="2"/>
      <c r="N35" s="2"/>
      <c r="O35" s="2"/>
      <c r="P35" s="2"/>
      <c r="Q35" s="2"/>
      <c r="R35" s="2"/>
      <c r="S35" s="2"/>
      <c r="T35" s="2"/>
      <c r="U35" s="2"/>
      <c r="V35" s="2"/>
      <c r="W35" s="2"/>
      <c r="X35" s="2"/>
      <c r="Y35" s="2"/>
      <c r="Z35" s="2"/>
      <c r="AA35" s="2"/>
      <c r="AB35" s="2"/>
    </row>
    <row r="36">
      <c r="B36" s="244" t="s">
        <v>394</v>
      </c>
      <c r="C36" s="245" t="s">
        <v>393</v>
      </c>
      <c r="D36" s="245" t="s">
        <v>395</v>
      </c>
      <c r="E36" s="234" t="s">
        <v>3718</v>
      </c>
      <c r="F36" s="235" t="str">
        <f t="shared" si="1"/>
        <v>בכלל לא</v>
      </c>
      <c r="G36" s="236">
        <f>COUNTIF(Recordings!A:A,C36)</f>
        <v>0</v>
      </c>
      <c r="H36" s="236"/>
      <c r="I36" s="236"/>
      <c r="J36" s="236"/>
      <c r="K36" s="2"/>
      <c r="L36" s="7"/>
      <c r="M36" s="2"/>
      <c r="N36" s="2"/>
      <c r="O36" s="2"/>
      <c r="P36" s="2"/>
      <c r="Q36" s="2"/>
      <c r="R36" s="2"/>
      <c r="S36" s="2"/>
      <c r="T36" s="2"/>
      <c r="U36" s="2"/>
      <c r="V36" s="2"/>
      <c r="W36" s="2"/>
      <c r="X36" s="2"/>
      <c r="Y36" s="2"/>
      <c r="Z36" s="2"/>
      <c r="AA36" s="2"/>
      <c r="AB36" s="2"/>
    </row>
    <row r="37">
      <c r="B37" s="244" t="s">
        <v>385</v>
      </c>
      <c r="C37" s="245" t="s">
        <v>384</v>
      </c>
      <c r="D37" s="245" t="s">
        <v>386</v>
      </c>
      <c r="E37" s="234"/>
      <c r="F37" s="235" t="str">
        <f t="shared" si="1"/>
        <v>בכלל לא</v>
      </c>
      <c r="G37" s="236">
        <f>COUNTIF(Recordings!A:A,C37)</f>
        <v>0</v>
      </c>
      <c r="H37" s="236"/>
      <c r="I37" s="236"/>
      <c r="J37" s="236"/>
      <c r="K37" s="2"/>
      <c r="L37" s="7"/>
      <c r="M37" s="2"/>
      <c r="N37" s="2"/>
      <c r="O37" s="2"/>
      <c r="P37" s="2"/>
      <c r="Q37" s="2"/>
      <c r="R37" s="2"/>
      <c r="S37" s="2"/>
      <c r="T37" s="2"/>
      <c r="U37" s="2"/>
      <c r="V37" s="2"/>
      <c r="W37" s="2"/>
      <c r="X37" s="2"/>
      <c r="Y37" s="2"/>
      <c r="Z37" s="2"/>
      <c r="AA37" s="2"/>
      <c r="AB37" s="2"/>
    </row>
    <row r="38">
      <c r="B38" s="233" t="s">
        <v>430</v>
      </c>
      <c r="C38" s="233" t="s">
        <v>429</v>
      </c>
      <c r="D38" s="233" t="s">
        <v>431</v>
      </c>
      <c r="E38" s="234" t="s">
        <v>3718</v>
      </c>
      <c r="F38" s="235" t="str">
        <f t="shared" si="1"/>
        <v>בכלל לא</v>
      </c>
      <c r="G38" s="236">
        <f>COUNTIF(Recordings!A:A,C38)</f>
        <v>0</v>
      </c>
      <c r="H38" s="236"/>
      <c r="I38" s="236"/>
      <c r="J38" s="236"/>
      <c r="K38" s="2"/>
      <c r="L38" s="7"/>
      <c r="M38" s="2"/>
      <c r="N38" s="2"/>
      <c r="O38" s="2"/>
      <c r="P38" s="2"/>
      <c r="Q38" s="2"/>
      <c r="R38" s="2"/>
      <c r="S38" s="2"/>
      <c r="T38" s="2"/>
      <c r="U38" s="2"/>
      <c r="V38" s="2"/>
      <c r="W38" s="2"/>
      <c r="X38" s="2"/>
      <c r="Y38" s="2"/>
      <c r="Z38" s="2"/>
      <c r="AA38" s="2"/>
      <c r="AB38" s="2"/>
    </row>
    <row r="39">
      <c r="B39" s="233" t="s">
        <v>439</v>
      </c>
      <c r="C39" s="233" t="s">
        <v>438</v>
      </c>
      <c r="D39" s="233" t="s">
        <v>440</v>
      </c>
      <c r="E39" s="241"/>
      <c r="F39" s="235" t="str">
        <f t="shared" si="1"/>
        <v>כן</v>
      </c>
      <c r="G39" s="236">
        <f>COUNTIF(Recordings!A:A,C39)</f>
        <v>1</v>
      </c>
      <c r="H39" s="236"/>
      <c r="I39" s="236"/>
      <c r="J39" s="236"/>
      <c r="K39" s="2"/>
      <c r="L39" s="7"/>
      <c r="M39" s="2"/>
      <c r="N39" s="2"/>
      <c r="O39" s="2"/>
      <c r="P39" s="2"/>
      <c r="Q39" s="2"/>
      <c r="R39" s="2"/>
      <c r="S39" s="2"/>
      <c r="T39" s="2"/>
      <c r="U39" s="2"/>
      <c r="V39" s="2"/>
      <c r="W39" s="2"/>
      <c r="X39" s="2"/>
      <c r="Y39" s="2"/>
      <c r="Z39" s="2"/>
      <c r="AA39" s="2"/>
      <c r="AB39" s="2"/>
    </row>
    <row r="40">
      <c r="B40" s="233" t="s">
        <v>460</v>
      </c>
      <c r="C40" s="233" t="s">
        <v>459</v>
      </c>
      <c r="D40" s="233" t="s">
        <v>461</v>
      </c>
      <c r="E40" s="241"/>
      <c r="F40" s="235" t="str">
        <f t="shared" si="1"/>
        <v>בכלל לא</v>
      </c>
      <c r="G40" s="236">
        <f>COUNTIF(Recordings!A:A,C40)</f>
        <v>0</v>
      </c>
      <c r="H40" s="236"/>
      <c r="I40" s="236"/>
      <c r="J40" s="236"/>
      <c r="K40" s="2"/>
      <c r="L40" s="7"/>
      <c r="M40" s="2"/>
      <c r="N40" s="2"/>
      <c r="O40" s="2"/>
      <c r="P40" s="2"/>
      <c r="Q40" s="2"/>
      <c r="R40" s="2"/>
      <c r="S40" s="2"/>
      <c r="T40" s="2"/>
      <c r="U40" s="2"/>
      <c r="V40" s="2"/>
      <c r="W40" s="2"/>
      <c r="X40" s="2"/>
      <c r="Y40" s="2"/>
      <c r="Z40" s="2"/>
      <c r="AA40" s="2"/>
      <c r="AB40" s="2"/>
    </row>
    <row r="41">
      <c r="B41" s="233" t="s">
        <v>483</v>
      </c>
      <c r="C41" s="233" t="s">
        <v>482</v>
      </c>
      <c r="D41" s="233" t="s">
        <v>484</v>
      </c>
      <c r="E41" s="241"/>
      <c r="F41" s="235" t="str">
        <f t="shared" si="1"/>
        <v>כן</v>
      </c>
      <c r="G41" s="236">
        <f>COUNTIF(Recordings!A:A,C41)</f>
        <v>5</v>
      </c>
      <c r="H41" s="236"/>
      <c r="I41" s="236"/>
      <c r="J41" s="236"/>
      <c r="K41" s="2"/>
      <c r="L41" s="7"/>
      <c r="M41" s="2"/>
      <c r="N41" s="2"/>
      <c r="O41" s="2"/>
      <c r="P41" s="2"/>
      <c r="Q41" s="2"/>
      <c r="R41" s="2"/>
      <c r="S41" s="2"/>
      <c r="T41" s="2"/>
      <c r="U41" s="2"/>
      <c r="V41" s="2"/>
      <c r="W41" s="2"/>
      <c r="X41" s="2"/>
      <c r="Y41" s="2"/>
      <c r="Z41" s="2"/>
      <c r="AA41" s="2"/>
      <c r="AB41" s="2"/>
    </row>
    <row r="42">
      <c r="B42" s="246" t="s">
        <v>489</v>
      </c>
      <c r="C42" s="232" t="s">
        <v>488</v>
      </c>
      <c r="D42" s="246" t="s">
        <v>490</v>
      </c>
      <c r="E42" s="241"/>
      <c r="F42" s="235" t="str">
        <f t="shared" si="1"/>
        <v>בכלל לא</v>
      </c>
      <c r="G42" s="236">
        <f>COUNTIF(Recordings!A:A,C42)</f>
        <v>0</v>
      </c>
      <c r="H42" s="236"/>
      <c r="I42" s="236"/>
      <c r="J42" s="236"/>
      <c r="K42" s="2"/>
      <c r="L42" s="7"/>
      <c r="M42" s="2"/>
      <c r="N42" s="2"/>
      <c r="O42" s="2"/>
      <c r="P42" s="2"/>
      <c r="Q42" s="2"/>
      <c r="R42" s="2"/>
      <c r="S42" s="2"/>
      <c r="T42" s="2"/>
      <c r="U42" s="2"/>
      <c r="V42" s="2"/>
      <c r="W42" s="2"/>
      <c r="X42" s="2"/>
      <c r="Y42" s="2"/>
      <c r="Z42" s="2"/>
      <c r="AA42" s="2"/>
      <c r="AB42" s="2"/>
    </row>
    <row r="43">
      <c r="B43" s="239" t="s">
        <v>940</v>
      </c>
      <c r="C43" s="232" t="s">
        <v>939</v>
      </c>
      <c r="D43" s="239" t="s">
        <v>941</v>
      </c>
      <c r="E43" s="241"/>
      <c r="F43" s="235" t="str">
        <f t="shared" si="1"/>
        <v>כן</v>
      </c>
      <c r="G43" s="236">
        <f>COUNTIF(Recordings!A:A,C43)</f>
        <v>8</v>
      </c>
      <c r="H43" s="236"/>
      <c r="I43" s="236"/>
      <c r="J43" s="236"/>
      <c r="K43" s="2"/>
      <c r="L43" s="7"/>
      <c r="M43" s="2"/>
      <c r="N43" s="2"/>
      <c r="O43" s="2"/>
      <c r="P43" s="2"/>
      <c r="Q43" s="2"/>
      <c r="R43" s="2"/>
      <c r="S43" s="2"/>
      <c r="T43" s="2"/>
      <c r="U43" s="2"/>
      <c r="V43" s="2"/>
      <c r="W43" s="2"/>
      <c r="X43" s="2"/>
      <c r="Y43" s="2"/>
      <c r="Z43" s="2"/>
      <c r="AA43" s="2"/>
      <c r="AB43" s="2"/>
    </row>
    <row r="44">
      <c r="B44" s="239" t="s">
        <v>923</v>
      </c>
      <c r="C44" s="232" t="s">
        <v>922</v>
      </c>
      <c r="D44" s="233" t="s">
        <v>493</v>
      </c>
      <c r="E44" s="241"/>
      <c r="F44" s="235" t="str">
        <f t="shared" si="1"/>
        <v>כן</v>
      </c>
      <c r="G44" s="236">
        <f>COUNTIF(Recordings!A:A,C44)</f>
        <v>3</v>
      </c>
      <c r="H44" s="236"/>
      <c r="I44" s="236"/>
      <c r="J44" s="236"/>
      <c r="K44" s="2"/>
      <c r="L44" s="7"/>
      <c r="M44" s="2"/>
      <c r="N44" s="2"/>
      <c r="O44" s="2"/>
      <c r="P44" s="2"/>
      <c r="Q44" s="2"/>
      <c r="R44" s="2"/>
      <c r="S44" s="2"/>
      <c r="T44" s="2"/>
      <c r="U44" s="2"/>
      <c r="V44" s="2"/>
      <c r="W44" s="2"/>
      <c r="X44" s="2"/>
      <c r="Y44" s="2"/>
      <c r="Z44" s="2"/>
      <c r="AA44" s="2"/>
      <c r="AB44" s="2"/>
    </row>
    <row r="45">
      <c r="B45" s="233" t="s">
        <v>510</v>
      </c>
      <c r="C45" s="233" t="s">
        <v>509</v>
      </c>
      <c r="D45" s="233" t="s">
        <v>511</v>
      </c>
      <c r="E45" s="241"/>
      <c r="F45" s="235" t="str">
        <f t="shared" si="1"/>
        <v>כן</v>
      </c>
      <c r="G45" s="236">
        <f>COUNTIF(Recordings!A:A,C45)</f>
        <v>4</v>
      </c>
      <c r="H45" s="236"/>
      <c r="I45" s="236"/>
      <c r="J45" s="236"/>
      <c r="K45" s="2"/>
      <c r="L45" s="7"/>
      <c r="M45" s="2"/>
      <c r="N45" s="2"/>
      <c r="O45" s="2"/>
      <c r="P45" s="2"/>
      <c r="Q45" s="2"/>
      <c r="R45" s="2"/>
      <c r="S45" s="2"/>
      <c r="T45" s="2"/>
      <c r="U45" s="2"/>
      <c r="V45" s="2"/>
      <c r="W45" s="2"/>
      <c r="X45" s="2"/>
      <c r="Y45" s="2"/>
      <c r="Z45" s="2"/>
      <c r="AA45" s="2"/>
      <c r="AB45" s="2"/>
    </row>
    <row r="46">
      <c r="B46" s="233" t="s">
        <v>519</v>
      </c>
      <c r="C46" s="233" t="s">
        <v>518</v>
      </c>
      <c r="D46" s="233" t="s">
        <v>520</v>
      </c>
      <c r="E46" s="241"/>
      <c r="F46" s="235" t="str">
        <f t="shared" si="1"/>
        <v>בכלל לא</v>
      </c>
      <c r="G46" s="236">
        <f>COUNTIF(Recordings!A:A,C46)</f>
        <v>0</v>
      </c>
      <c r="H46" s="236"/>
      <c r="I46" s="236"/>
      <c r="J46" s="236"/>
      <c r="K46" s="2"/>
      <c r="L46" s="7"/>
      <c r="M46" s="2"/>
      <c r="N46" s="2"/>
      <c r="O46" s="2"/>
      <c r="P46" s="2"/>
      <c r="Q46" s="2"/>
      <c r="R46" s="2"/>
      <c r="S46" s="2"/>
      <c r="T46" s="2"/>
      <c r="U46" s="7"/>
      <c r="V46" s="7"/>
      <c r="W46" s="8"/>
      <c r="X46" s="2"/>
      <c r="Y46" s="2"/>
      <c r="Z46" s="2"/>
      <c r="AA46" s="2"/>
      <c r="AB46" s="2"/>
    </row>
    <row r="47">
      <c r="B47" s="233" t="s">
        <v>537</v>
      </c>
      <c r="C47" s="233" t="s">
        <v>536</v>
      </c>
      <c r="D47" s="233" t="s">
        <v>538</v>
      </c>
      <c r="E47" s="241"/>
      <c r="F47" s="235" t="str">
        <f t="shared" si="1"/>
        <v>כן</v>
      </c>
      <c r="G47" s="236">
        <f>COUNTIF(Recordings!A:A,C47)</f>
        <v>4</v>
      </c>
      <c r="H47" s="236"/>
      <c r="I47" s="236"/>
      <c r="J47" s="236"/>
      <c r="K47" s="2"/>
      <c r="L47" s="7"/>
      <c r="M47" s="2"/>
      <c r="N47" s="2"/>
      <c r="O47" s="2"/>
      <c r="P47" s="2"/>
      <c r="Q47" s="2"/>
      <c r="R47" s="2"/>
      <c r="S47" s="2"/>
      <c r="T47" s="2"/>
      <c r="U47" s="7"/>
      <c r="V47" s="7"/>
      <c r="W47" s="8"/>
      <c r="X47" s="2"/>
      <c r="Y47" s="2"/>
      <c r="Z47" s="2"/>
      <c r="AA47" s="2"/>
      <c r="AB47" s="2"/>
    </row>
    <row r="48">
      <c r="B48" s="244" t="s">
        <v>186</v>
      </c>
      <c r="C48" s="232" t="s">
        <v>185</v>
      </c>
      <c r="D48" s="245" t="s">
        <v>187</v>
      </c>
      <c r="E48" s="241"/>
      <c r="F48" s="235" t="str">
        <f t="shared" si="1"/>
        <v>כן</v>
      </c>
      <c r="G48" s="236">
        <f>COUNTIF(Recordings!A:A,C48)</f>
        <v>17</v>
      </c>
      <c r="H48" s="236"/>
      <c r="I48" s="236"/>
      <c r="J48" s="236"/>
      <c r="K48" s="146"/>
      <c r="L48" s="7"/>
      <c r="M48" s="146"/>
      <c r="N48" s="2"/>
      <c r="O48" s="2"/>
      <c r="P48" s="2"/>
      <c r="Q48" s="2"/>
      <c r="R48" s="2"/>
      <c r="S48" s="2"/>
      <c r="T48" s="2"/>
      <c r="U48" s="7"/>
      <c r="V48" s="7"/>
      <c r="W48" s="8"/>
      <c r="X48" s="2"/>
      <c r="Y48" s="2"/>
      <c r="Z48" s="2"/>
      <c r="AA48" s="2"/>
      <c r="AB48" s="2"/>
    </row>
    <row r="49">
      <c r="B49" s="233" t="s">
        <v>552</v>
      </c>
      <c r="C49" s="233" t="s">
        <v>551</v>
      </c>
      <c r="D49" s="233" t="s">
        <v>553</v>
      </c>
      <c r="E49" s="241"/>
      <c r="F49" s="235" t="str">
        <f t="shared" si="1"/>
        <v>בכלל לא</v>
      </c>
      <c r="G49" s="236">
        <f>COUNTIF(Recordings!A:A,C49)</f>
        <v>0</v>
      </c>
      <c r="H49" s="236"/>
      <c r="I49" s="236"/>
      <c r="J49" s="236"/>
      <c r="K49" s="146"/>
      <c r="L49" s="7"/>
      <c r="M49" s="146"/>
      <c r="N49" s="2"/>
      <c r="O49" s="2"/>
      <c r="P49" s="2"/>
      <c r="Q49" s="2"/>
      <c r="R49" s="2"/>
      <c r="S49" s="2"/>
      <c r="T49" s="2"/>
      <c r="U49" s="7"/>
      <c r="V49" s="7"/>
      <c r="W49" s="8"/>
      <c r="X49" s="2"/>
      <c r="Y49" s="2"/>
      <c r="Z49" s="2"/>
      <c r="AA49" s="2"/>
      <c r="AB49" s="2"/>
    </row>
    <row r="50">
      <c r="B50" s="239" t="s">
        <v>3742</v>
      </c>
      <c r="C50" s="232" t="s">
        <v>3743</v>
      </c>
      <c r="D50" s="239" t="s">
        <v>3744</v>
      </c>
      <c r="E50" s="241"/>
      <c r="F50" s="235" t="str">
        <f t="shared" si="1"/>
        <v>בכלל לא</v>
      </c>
      <c r="G50" s="236">
        <f>COUNTIF(Recordings!A:A,C50)</f>
        <v>0</v>
      </c>
      <c r="H50" s="236"/>
      <c r="I50" s="236"/>
      <c r="J50" s="236"/>
      <c r="K50" s="2"/>
      <c r="L50" s="7"/>
      <c r="M50" s="2"/>
      <c r="N50" s="2"/>
      <c r="O50" s="2"/>
      <c r="P50" s="2"/>
      <c r="Q50" s="2"/>
      <c r="R50" s="2"/>
      <c r="S50" s="2"/>
      <c r="T50" s="2"/>
      <c r="U50" s="7"/>
      <c r="V50" s="7"/>
      <c r="W50" s="8"/>
      <c r="X50" s="2"/>
      <c r="Y50" s="2"/>
      <c r="Z50" s="2"/>
      <c r="AA50" s="2"/>
      <c r="AB50" s="2"/>
    </row>
    <row r="51">
      <c r="B51" s="233" t="s">
        <v>561</v>
      </c>
      <c r="C51" s="233" t="s">
        <v>560</v>
      </c>
      <c r="D51" s="233" t="s">
        <v>562</v>
      </c>
      <c r="E51" s="241"/>
      <c r="F51" s="235" t="str">
        <f t="shared" si="1"/>
        <v>בכלל לא</v>
      </c>
      <c r="G51" s="236">
        <f>COUNTIF(Recordings!A:A,C51)</f>
        <v>0</v>
      </c>
      <c r="H51" s="236"/>
      <c r="I51" s="236"/>
      <c r="J51" s="236"/>
      <c r="K51" s="2"/>
      <c r="L51" s="7"/>
      <c r="M51" s="2"/>
      <c r="N51" s="2"/>
      <c r="O51" s="146"/>
      <c r="P51" s="218"/>
      <c r="Q51" s="146"/>
      <c r="R51" s="146"/>
      <c r="S51" s="2"/>
      <c r="T51" s="2"/>
      <c r="U51" s="7"/>
      <c r="V51" s="7"/>
      <c r="W51" s="8"/>
      <c r="X51" s="2"/>
      <c r="Y51" s="2"/>
      <c r="Z51" s="2"/>
      <c r="AA51" s="2"/>
      <c r="AB51" s="2"/>
    </row>
    <row r="52">
      <c r="B52" s="233" t="s">
        <v>564</v>
      </c>
      <c r="C52" s="233" t="s">
        <v>563</v>
      </c>
      <c r="D52" s="233" t="s">
        <v>565</v>
      </c>
      <c r="E52" s="241"/>
      <c r="F52" s="235" t="str">
        <f t="shared" si="1"/>
        <v>כן</v>
      </c>
      <c r="G52" s="236">
        <f>COUNTIF(Recordings!A:A,C52)</f>
        <v>4</v>
      </c>
      <c r="H52" s="236"/>
      <c r="I52" s="236"/>
      <c r="J52" s="236"/>
      <c r="K52" s="2"/>
      <c r="L52" s="7"/>
      <c r="M52" s="2"/>
      <c r="N52" s="2"/>
      <c r="O52" s="2"/>
      <c r="P52" s="2"/>
      <c r="Q52" s="2"/>
      <c r="R52" s="2"/>
      <c r="S52" s="2"/>
      <c r="T52" s="2"/>
      <c r="U52" s="7"/>
      <c r="V52" s="7"/>
      <c r="W52" s="8"/>
      <c r="X52" s="2"/>
      <c r="Y52" s="2"/>
      <c r="Z52" s="2"/>
      <c r="AA52" s="2"/>
      <c r="AB52" s="2"/>
    </row>
    <row r="53">
      <c r="A53" s="247" t="s">
        <v>227</v>
      </c>
      <c r="B53" s="248" t="s">
        <v>415</v>
      </c>
      <c r="C53" s="249" t="s">
        <v>414</v>
      </c>
      <c r="D53" s="249" t="s">
        <v>416</v>
      </c>
      <c r="E53" s="250"/>
      <c r="F53" s="251" t="str">
        <f t="shared" si="1"/>
        <v>כן</v>
      </c>
      <c r="G53" s="252">
        <f>COUNTIF(Recordings!A:A,C53)</f>
        <v>3</v>
      </c>
      <c r="H53" s="252"/>
      <c r="I53" s="252"/>
      <c r="J53" s="252"/>
      <c r="K53" s="2"/>
      <c r="L53" s="7"/>
      <c r="M53" s="2"/>
      <c r="N53" s="2"/>
      <c r="O53" s="2"/>
      <c r="P53" s="2"/>
      <c r="Q53" s="2"/>
      <c r="R53" s="2"/>
      <c r="S53" s="2"/>
      <c r="T53" s="2"/>
      <c r="U53" s="7"/>
      <c r="V53" s="7"/>
      <c r="W53" s="8"/>
      <c r="X53" s="2"/>
      <c r="Y53" s="2"/>
      <c r="Z53" s="2"/>
      <c r="AA53" s="2"/>
      <c r="AB53" s="2"/>
    </row>
    <row r="54">
      <c r="B54" s="248" t="s">
        <v>361</v>
      </c>
      <c r="C54" s="253" t="s">
        <v>360</v>
      </c>
      <c r="D54" s="249" t="s">
        <v>362</v>
      </c>
      <c r="E54" s="250"/>
      <c r="F54" s="251" t="str">
        <f t="shared" si="1"/>
        <v>כן</v>
      </c>
      <c r="G54" s="252">
        <f>COUNTIF(Recordings!A:A,C54)</f>
        <v>1</v>
      </c>
      <c r="H54" s="252"/>
      <c r="I54" s="252"/>
      <c r="J54" s="252"/>
      <c r="K54" s="2"/>
      <c r="L54" s="7"/>
      <c r="M54" s="2"/>
      <c r="N54" s="2"/>
      <c r="O54" s="2"/>
      <c r="P54" s="2"/>
      <c r="Q54" s="2"/>
      <c r="R54" s="2"/>
      <c r="S54" s="2"/>
      <c r="T54" s="2"/>
      <c r="U54" s="7"/>
      <c r="V54" s="7"/>
      <c r="W54" s="8"/>
      <c r="X54" s="2"/>
      <c r="Y54" s="2"/>
      <c r="Z54" s="2"/>
      <c r="AA54" s="2"/>
      <c r="AB54" s="2"/>
    </row>
    <row r="55">
      <c r="B55" s="254" t="s">
        <v>466</v>
      </c>
      <c r="C55" s="255" t="s">
        <v>465</v>
      </c>
      <c r="D55" s="254" t="s">
        <v>464</v>
      </c>
      <c r="E55" s="250"/>
      <c r="F55" s="251" t="str">
        <f t="shared" si="1"/>
        <v>בכלל לא</v>
      </c>
      <c r="G55" s="252">
        <f>COUNTIF(Recordings!A:A,C55)</f>
        <v>0</v>
      </c>
      <c r="H55" s="252"/>
      <c r="I55" s="252"/>
      <c r="J55" s="252"/>
      <c r="K55" s="218"/>
      <c r="L55" s="7"/>
      <c r="M55" s="12"/>
      <c r="N55" s="2"/>
      <c r="O55" s="2"/>
      <c r="P55" s="2"/>
      <c r="Q55" s="2"/>
      <c r="R55" s="2"/>
      <c r="S55" s="2"/>
      <c r="T55" s="2"/>
      <c r="U55" s="7"/>
      <c r="V55" s="7"/>
      <c r="W55" s="8"/>
      <c r="X55" s="2"/>
      <c r="Y55" s="2"/>
      <c r="Z55" s="2"/>
      <c r="AA55" s="2"/>
      <c r="AB55" s="2"/>
    </row>
    <row r="56">
      <c r="B56" s="254" t="s">
        <v>3745</v>
      </c>
      <c r="C56" s="247" t="s">
        <v>3746</v>
      </c>
      <c r="D56" s="254" t="s">
        <v>3747</v>
      </c>
      <c r="E56" s="250"/>
      <c r="F56" s="251" t="str">
        <f t="shared" si="1"/>
        <v>בכלל לא</v>
      </c>
      <c r="G56" s="252">
        <f>COUNTIF(Recordings!A:A,C56)</f>
        <v>0</v>
      </c>
      <c r="H56" s="252"/>
      <c r="I56" s="252"/>
      <c r="J56" s="252"/>
      <c r="K56" s="218"/>
      <c r="L56" s="7"/>
      <c r="M56" s="12"/>
      <c r="N56" s="2"/>
      <c r="O56" s="2"/>
      <c r="P56" s="2"/>
      <c r="Q56" s="2"/>
      <c r="R56" s="2"/>
      <c r="S56" s="2"/>
      <c r="T56" s="2"/>
      <c r="U56" s="7"/>
      <c r="V56" s="7"/>
      <c r="W56" s="8"/>
      <c r="X56" s="2"/>
      <c r="Y56" s="2"/>
      <c r="Z56" s="2"/>
      <c r="AA56" s="2"/>
      <c r="AB56" s="2"/>
    </row>
    <row r="57">
      <c r="B57" s="256" t="s">
        <v>112</v>
      </c>
      <c r="C57" s="256" t="s">
        <v>111</v>
      </c>
      <c r="D57" s="256" t="s">
        <v>113</v>
      </c>
      <c r="E57" s="250"/>
      <c r="F57" s="251" t="str">
        <f t="shared" si="1"/>
        <v>כן</v>
      </c>
      <c r="G57" s="252">
        <f>COUNTIF(Recordings!A:A,C57)</f>
        <v>3</v>
      </c>
      <c r="H57" s="252"/>
      <c r="I57" s="252"/>
      <c r="J57" s="252"/>
      <c r="K57" s="2"/>
      <c r="L57" s="7"/>
      <c r="M57" s="2"/>
      <c r="N57" s="2"/>
      <c r="O57" s="2"/>
      <c r="P57" s="2"/>
      <c r="Q57" s="2"/>
      <c r="R57" s="2"/>
      <c r="S57" s="2"/>
      <c r="T57" s="2"/>
      <c r="U57" s="2"/>
      <c r="V57" s="2"/>
      <c r="W57" s="2"/>
      <c r="X57" s="2"/>
      <c r="Y57" s="2"/>
      <c r="Z57" s="2"/>
      <c r="AA57" s="2"/>
      <c r="AB57" s="2"/>
    </row>
    <row r="58">
      <c r="B58" s="256" t="s">
        <v>13</v>
      </c>
      <c r="C58" s="256" t="s">
        <v>12</v>
      </c>
      <c r="D58" s="256" t="s">
        <v>14</v>
      </c>
      <c r="E58" s="250"/>
      <c r="F58" s="251" t="str">
        <f t="shared" si="1"/>
        <v>בכלל לא</v>
      </c>
      <c r="G58" s="252">
        <f>COUNTIF(Recordings!A:A,C58)</f>
        <v>0</v>
      </c>
      <c r="H58" s="252"/>
      <c r="I58" s="252"/>
      <c r="J58" s="252"/>
      <c r="K58" s="2"/>
      <c r="L58" s="7"/>
      <c r="M58" s="2"/>
      <c r="N58" s="2"/>
      <c r="O58" s="2"/>
      <c r="P58" s="2"/>
      <c r="Q58" s="2"/>
      <c r="R58" s="2"/>
      <c r="S58" s="2"/>
      <c r="T58" s="2"/>
      <c r="U58" s="2"/>
      <c r="V58" s="2"/>
      <c r="W58" s="2"/>
      <c r="X58" s="2"/>
      <c r="Y58" s="2"/>
      <c r="Z58" s="2"/>
      <c r="AA58" s="2"/>
      <c r="AB58" s="2"/>
    </row>
    <row r="59">
      <c r="B59" s="254" t="s">
        <v>91</v>
      </c>
      <c r="C59" s="256" t="s">
        <v>90</v>
      </c>
      <c r="D59" s="256" t="s">
        <v>92</v>
      </c>
      <c r="E59" s="250"/>
      <c r="F59" s="251" t="str">
        <f t="shared" si="1"/>
        <v>כן</v>
      </c>
      <c r="G59" s="252">
        <f>COUNTIF(Recordings!A:A,C59)</f>
        <v>1</v>
      </c>
      <c r="H59" s="252"/>
      <c r="I59" s="252"/>
      <c r="J59" s="252"/>
      <c r="K59" s="2"/>
      <c r="L59" s="7"/>
      <c r="M59" s="2"/>
      <c r="N59" s="2"/>
      <c r="O59" s="2"/>
      <c r="P59" s="2"/>
      <c r="Q59" s="2"/>
      <c r="R59" s="2"/>
      <c r="S59" s="2"/>
      <c r="T59" s="2"/>
      <c r="U59" s="2"/>
      <c r="V59" s="2"/>
      <c r="W59" s="2"/>
      <c r="X59" s="2"/>
      <c r="Y59" s="2"/>
      <c r="Z59" s="2"/>
      <c r="AA59" s="2"/>
      <c r="AB59" s="2"/>
    </row>
    <row r="60">
      <c r="B60" s="256" t="s">
        <v>115</v>
      </c>
      <c r="C60" s="256" t="s">
        <v>114</v>
      </c>
      <c r="D60" s="254" t="s">
        <v>1450</v>
      </c>
      <c r="E60" s="250"/>
      <c r="F60" s="251" t="str">
        <f t="shared" si="1"/>
        <v>כן</v>
      </c>
      <c r="G60" s="252">
        <f>COUNTIF(Recordings!A:A,C60)</f>
        <v>1</v>
      </c>
      <c r="H60" s="252"/>
      <c r="I60" s="252"/>
      <c r="J60" s="252"/>
      <c r="K60" s="2"/>
      <c r="L60" s="7"/>
      <c r="M60" s="2"/>
      <c r="N60" s="2"/>
      <c r="O60" s="2"/>
      <c r="P60" s="2"/>
      <c r="Q60" s="2"/>
      <c r="R60" s="2"/>
      <c r="S60" s="2"/>
      <c r="T60" s="2"/>
      <c r="U60" s="2"/>
      <c r="V60" s="2"/>
      <c r="W60" s="2"/>
      <c r="X60" s="2"/>
      <c r="Y60" s="2"/>
      <c r="Z60" s="2"/>
      <c r="AA60" s="2"/>
      <c r="AB60" s="2"/>
    </row>
    <row r="61">
      <c r="B61" s="254" t="s">
        <v>3748</v>
      </c>
      <c r="C61" s="247" t="s">
        <v>3749</v>
      </c>
      <c r="D61" s="256"/>
      <c r="E61" s="250"/>
      <c r="F61" s="251" t="str">
        <f t="shared" si="1"/>
        <v>בכלל לא</v>
      </c>
      <c r="G61" s="252">
        <f>COUNTIF(Recordings!A:A,C61)</f>
        <v>0</v>
      </c>
      <c r="H61" s="252"/>
      <c r="I61" s="252"/>
      <c r="J61" s="252"/>
      <c r="K61" s="2"/>
      <c r="L61" s="7"/>
      <c r="M61" s="2"/>
      <c r="N61" s="2"/>
      <c r="O61" s="2"/>
      <c r="P61" s="2"/>
      <c r="Q61" s="2"/>
      <c r="R61" s="2"/>
      <c r="S61" s="2"/>
      <c r="T61" s="2"/>
      <c r="U61" s="2"/>
      <c r="V61" s="2"/>
      <c r="W61" s="2"/>
      <c r="X61" s="2"/>
      <c r="Y61" s="2"/>
      <c r="Z61" s="2"/>
      <c r="AA61" s="2"/>
      <c r="AB61" s="2"/>
    </row>
    <row r="62">
      <c r="B62" s="256" t="s">
        <v>28</v>
      </c>
      <c r="C62" s="256" t="s">
        <v>27</v>
      </c>
      <c r="D62" s="256" t="s">
        <v>29</v>
      </c>
      <c r="E62" s="250"/>
      <c r="F62" s="251" t="str">
        <f t="shared" si="1"/>
        <v>בכלל לא</v>
      </c>
      <c r="G62" s="252">
        <f>COUNTIF(Recordings!A:A,C62)</f>
        <v>0</v>
      </c>
      <c r="H62" s="252"/>
      <c r="I62" s="252"/>
      <c r="J62" s="252"/>
      <c r="K62" s="2"/>
      <c r="L62" s="7"/>
      <c r="M62" s="2"/>
      <c r="N62" s="2"/>
      <c r="O62" s="2"/>
      <c r="P62" s="2"/>
      <c r="Q62" s="2"/>
      <c r="R62" s="2"/>
      <c r="S62" s="2"/>
      <c r="T62" s="2"/>
      <c r="U62" s="2"/>
      <c r="V62" s="2"/>
      <c r="W62" s="2"/>
      <c r="X62" s="2"/>
      <c r="Y62" s="2"/>
      <c r="Z62" s="2"/>
      <c r="AA62" s="2"/>
      <c r="AB62" s="2"/>
    </row>
    <row r="63">
      <c r="B63" s="256" t="s">
        <v>204</v>
      </c>
      <c r="C63" s="256" t="s">
        <v>203</v>
      </c>
      <c r="D63" s="256" t="s">
        <v>205</v>
      </c>
      <c r="E63" s="250"/>
      <c r="F63" s="251" t="str">
        <f t="shared" si="1"/>
        <v>כן</v>
      </c>
      <c r="G63" s="252">
        <f>COUNTIF(Recordings!A:A,C63)</f>
        <v>1</v>
      </c>
      <c r="H63" s="252"/>
      <c r="I63" s="252"/>
      <c r="J63" s="252"/>
      <c r="K63" s="2"/>
      <c r="L63" s="7"/>
      <c r="M63" s="2"/>
      <c r="N63" s="2"/>
      <c r="O63" s="2"/>
      <c r="P63" s="2"/>
      <c r="Q63" s="2"/>
      <c r="R63" s="2"/>
      <c r="S63" s="2"/>
      <c r="T63" s="2"/>
      <c r="U63" s="2"/>
      <c r="V63" s="2"/>
      <c r="W63" s="2"/>
      <c r="X63" s="2"/>
      <c r="Y63" s="2"/>
      <c r="Z63" s="2"/>
      <c r="AA63" s="2"/>
      <c r="AB63" s="2"/>
    </row>
    <row r="64">
      <c r="B64" s="256" t="s">
        <v>228</v>
      </c>
      <c r="C64" s="256" t="s">
        <v>227</v>
      </c>
      <c r="D64" s="256" t="s">
        <v>229</v>
      </c>
      <c r="E64" s="250"/>
      <c r="F64" s="251" t="str">
        <f t="shared" si="1"/>
        <v>כן</v>
      </c>
      <c r="G64" s="252">
        <f>COUNTIF(Recordings!A:A,C64)</f>
        <v>10</v>
      </c>
      <c r="H64" s="252"/>
      <c r="I64" s="252"/>
      <c r="J64" s="252"/>
      <c r="K64" s="2"/>
      <c r="L64" s="7"/>
      <c r="M64" s="2"/>
      <c r="N64" s="2"/>
      <c r="O64" s="2"/>
      <c r="P64" s="2"/>
      <c r="Q64" s="2"/>
      <c r="R64" s="2"/>
      <c r="S64" s="2"/>
      <c r="T64" s="2"/>
      <c r="U64" s="2"/>
      <c r="V64" s="2"/>
      <c r="W64" s="2"/>
      <c r="X64" s="2"/>
      <c r="Y64" s="2"/>
      <c r="Z64" s="2"/>
      <c r="AA64" s="2"/>
      <c r="AB64" s="2"/>
    </row>
    <row r="65">
      <c r="B65" s="254" t="s">
        <v>3750</v>
      </c>
      <c r="C65" s="247" t="s">
        <v>3751</v>
      </c>
      <c r="D65" s="256"/>
      <c r="E65" s="250"/>
      <c r="F65" s="251" t="str">
        <f t="shared" si="1"/>
        <v>בכלל לא</v>
      </c>
      <c r="G65" s="252">
        <f>COUNTIF(Recordings!A:A,C65)</f>
        <v>0</v>
      </c>
      <c r="H65" s="252"/>
      <c r="I65" s="252"/>
      <c r="J65" s="252"/>
      <c r="K65" s="2"/>
      <c r="L65" s="7"/>
      <c r="M65" s="2"/>
      <c r="N65" s="2"/>
      <c r="O65" s="2"/>
      <c r="P65" s="11"/>
      <c r="Q65" s="2"/>
      <c r="R65" s="2"/>
      <c r="S65" s="2"/>
      <c r="T65" s="2"/>
      <c r="U65" s="7"/>
      <c r="V65" s="7"/>
      <c r="W65" s="8"/>
      <c r="X65" s="2"/>
      <c r="Y65" s="2"/>
      <c r="Z65" s="2"/>
      <c r="AA65" s="2"/>
      <c r="AB65" s="2"/>
    </row>
    <row r="66">
      <c r="B66" s="254" t="s">
        <v>3752</v>
      </c>
      <c r="C66" s="247" t="s">
        <v>3753</v>
      </c>
      <c r="D66" s="256"/>
      <c r="E66" s="250"/>
      <c r="F66" s="251" t="str">
        <f t="shared" si="1"/>
        <v>בכלל לא</v>
      </c>
      <c r="G66" s="252">
        <f>COUNTIF(Recordings!A:A,C66)</f>
        <v>0</v>
      </c>
      <c r="H66" s="252"/>
      <c r="I66" s="252"/>
      <c r="J66" s="252"/>
      <c r="K66" s="2"/>
      <c r="L66" s="7"/>
      <c r="M66" s="2"/>
      <c r="N66" s="2"/>
      <c r="O66" s="2"/>
      <c r="P66" s="11"/>
      <c r="Q66" s="2"/>
      <c r="R66" s="2"/>
      <c r="S66" s="2"/>
      <c r="T66" s="2"/>
      <c r="U66" s="7"/>
      <c r="V66" s="7"/>
      <c r="W66" s="8"/>
      <c r="X66" s="2"/>
      <c r="Y66" s="2"/>
      <c r="Z66" s="2"/>
      <c r="AA66" s="2"/>
      <c r="AB66" s="2"/>
    </row>
    <row r="67">
      <c r="B67" s="256" t="s">
        <v>243</v>
      </c>
      <c r="C67" s="256" t="s">
        <v>242</v>
      </c>
      <c r="D67" s="256" t="s">
        <v>244</v>
      </c>
      <c r="E67" s="250"/>
      <c r="F67" s="251" t="str">
        <f t="shared" si="1"/>
        <v>בכלל לא</v>
      </c>
      <c r="G67" s="252">
        <f>COUNTIF(Recordings!A:A,C67)</f>
        <v>0</v>
      </c>
      <c r="H67" s="252"/>
      <c r="I67" s="252"/>
      <c r="J67" s="252"/>
      <c r="K67" s="2"/>
      <c r="L67" s="7"/>
      <c r="M67" s="2"/>
      <c r="N67" s="2"/>
      <c r="O67" s="2"/>
      <c r="P67" s="11"/>
      <c r="Q67" s="2"/>
      <c r="R67" s="2"/>
      <c r="S67" s="2"/>
      <c r="T67" s="2"/>
      <c r="U67" s="7"/>
      <c r="V67" s="7"/>
      <c r="W67" s="8"/>
      <c r="X67" s="2"/>
      <c r="Y67" s="2"/>
      <c r="Z67" s="2"/>
      <c r="AA67" s="2"/>
      <c r="AB67" s="2"/>
    </row>
    <row r="68">
      <c r="B68" s="256" t="s">
        <v>272</v>
      </c>
      <c r="C68" s="256" t="s">
        <v>271</v>
      </c>
      <c r="D68" s="256" t="s">
        <v>273</v>
      </c>
      <c r="E68" s="250"/>
      <c r="F68" s="251" t="str">
        <f t="shared" si="1"/>
        <v>בכלל לא</v>
      </c>
      <c r="G68" s="252">
        <f>COUNTIF(Recordings!A:A,C68)</f>
        <v>0</v>
      </c>
      <c r="H68" s="252"/>
      <c r="I68" s="252"/>
      <c r="J68" s="252"/>
      <c r="K68" s="2"/>
      <c r="L68" s="7"/>
      <c r="M68" s="2"/>
      <c r="N68" s="2"/>
      <c r="O68" s="2"/>
      <c r="P68" s="11"/>
      <c r="Q68" s="2"/>
      <c r="R68" s="2"/>
      <c r="S68" s="2"/>
      <c r="T68" s="2"/>
      <c r="U68" s="7"/>
      <c r="V68" s="7"/>
      <c r="W68" s="8"/>
      <c r="X68" s="2"/>
      <c r="Y68" s="2"/>
      <c r="Z68" s="2"/>
      <c r="AA68" s="2"/>
      <c r="AB68" s="2"/>
    </row>
    <row r="69">
      <c r="B69" s="256" t="s">
        <v>278</v>
      </c>
      <c r="C69" s="256" t="s">
        <v>277</v>
      </c>
      <c r="D69" s="256" t="s">
        <v>279</v>
      </c>
      <c r="E69" s="250"/>
      <c r="F69" s="251" t="str">
        <f t="shared" si="1"/>
        <v>בכלל לא</v>
      </c>
      <c r="G69" s="252">
        <f>COUNTIF(Recordings!A:A,C69)</f>
        <v>0</v>
      </c>
      <c r="H69" s="252"/>
      <c r="I69" s="252"/>
      <c r="J69" s="252"/>
      <c r="K69" s="2"/>
      <c r="L69" s="7"/>
      <c r="M69" s="2"/>
      <c r="N69" s="2"/>
      <c r="O69" s="2"/>
      <c r="P69" s="2"/>
      <c r="Q69" s="2"/>
      <c r="R69" s="2"/>
      <c r="S69" s="2"/>
      <c r="T69" s="2"/>
      <c r="U69" s="7"/>
      <c r="V69" s="7"/>
      <c r="W69" s="8"/>
      <c r="X69" s="2"/>
      <c r="Y69" s="2"/>
      <c r="Z69" s="2"/>
      <c r="AA69" s="2"/>
      <c r="AB69" s="2"/>
    </row>
    <row r="70">
      <c r="B70" s="254" t="s">
        <v>301</v>
      </c>
      <c r="C70" s="256" t="s">
        <v>300</v>
      </c>
      <c r="D70" s="256" t="s">
        <v>302</v>
      </c>
      <c r="E70" s="250"/>
      <c r="F70" s="251" t="str">
        <f t="shared" si="1"/>
        <v>בכלל לא</v>
      </c>
      <c r="G70" s="252">
        <f>COUNTIF(Recordings!A:A,C70)</f>
        <v>0</v>
      </c>
      <c r="H70" s="252"/>
      <c r="I70" s="252"/>
      <c r="J70" s="252"/>
      <c r="K70" s="2"/>
      <c r="L70" s="7"/>
      <c r="M70" s="2"/>
      <c r="N70" s="2"/>
      <c r="O70" s="2"/>
      <c r="P70" s="2"/>
      <c r="Q70" s="2"/>
      <c r="R70" s="2"/>
      <c r="S70" s="2"/>
      <c r="T70" s="2"/>
      <c r="U70" s="2"/>
      <c r="V70" s="2"/>
      <c r="W70" s="2"/>
      <c r="X70" s="2"/>
      <c r="Y70" s="2"/>
      <c r="Z70" s="2"/>
      <c r="AA70" s="2"/>
      <c r="AB70" s="2"/>
    </row>
    <row r="71">
      <c r="B71" s="256" t="s">
        <v>313</v>
      </c>
      <c r="C71" s="256" t="s">
        <v>312</v>
      </c>
      <c r="D71" s="256" t="s">
        <v>314</v>
      </c>
      <c r="E71" s="250"/>
      <c r="F71" s="251" t="str">
        <f t="shared" si="1"/>
        <v>בכלל לא</v>
      </c>
      <c r="G71" s="252">
        <f>COUNTIF(Recordings!A:A,C71)</f>
        <v>0</v>
      </c>
      <c r="H71" s="252"/>
      <c r="I71" s="252"/>
      <c r="J71" s="252"/>
      <c r="K71" s="2"/>
      <c r="L71" s="7"/>
      <c r="M71" s="2"/>
      <c r="N71" s="2"/>
      <c r="O71" s="2"/>
      <c r="P71" s="2"/>
      <c r="Q71" s="2"/>
      <c r="R71" s="2"/>
      <c r="S71" s="2"/>
      <c r="T71" s="2"/>
      <c r="U71" s="7"/>
      <c r="V71" s="7"/>
      <c r="W71" s="8"/>
      <c r="X71" s="2"/>
      <c r="Y71" s="2"/>
      <c r="Z71" s="2"/>
      <c r="AA71" s="2"/>
      <c r="AB71" s="2"/>
    </row>
    <row r="72">
      <c r="B72" s="254" t="s">
        <v>3754</v>
      </c>
      <c r="C72" s="247" t="s">
        <v>3755</v>
      </c>
      <c r="D72" s="256"/>
      <c r="E72" s="250"/>
      <c r="F72" s="251" t="str">
        <f t="shared" si="1"/>
        <v>בכלל לא</v>
      </c>
      <c r="G72" s="252">
        <f>COUNTIF(Recordings!A:A,C72)</f>
        <v>0</v>
      </c>
      <c r="H72" s="252"/>
      <c r="I72" s="252"/>
      <c r="J72" s="252"/>
      <c r="K72" s="2"/>
      <c r="L72" s="7"/>
      <c r="M72" s="2"/>
      <c r="N72" s="2"/>
      <c r="O72" s="2"/>
      <c r="P72" s="2"/>
      <c r="Q72" s="2"/>
      <c r="R72" s="2"/>
      <c r="S72" s="2"/>
      <c r="T72" s="2"/>
      <c r="U72" s="7"/>
      <c r="V72" s="7"/>
      <c r="W72" s="8"/>
      <c r="X72" s="2"/>
      <c r="Y72" s="2"/>
      <c r="Z72" s="2"/>
      <c r="AA72" s="2"/>
      <c r="AB72" s="2"/>
    </row>
    <row r="73">
      <c r="B73" s="248" t="s">
        <v>58</v>
      </c>
      <c r="C73" s="247" t="s">
        <v>3756</v>
      </c>
      <c r="D73" s="249" t="s">
        <v>59</v>
      </c>
      <c r="E73" s="250"/>
      <c r="F73" s="251" t="str">
        <f t="shared" si="1"/>
        <v>בכלל לא</v>
      </c>
      <c r="G73" s="252">
        <f>COUNTIF(Recordings!A:A,C73)</f>
        <v>0</v>
      </c>
      <c r="H73" s="252"/>
      <c r="I73" s="252"/>
      <c r="J73" s="252"/>
      <c r="K73" s="2"/>
      <c r="L73" s="7"/>
      <c r="M73" s="2"/>
      <c r="N73" s="2"/>
      <c r="O73" s="2"/>
      <c r="P73" s="2"/>
      <c r="Q73" s="2"/>
      <c r="R73" s="2"/>
      <c r="S73" s="2"/>
      <c r="T73" s="2"/>
      <c r="U73" s="7"/>
      <c r="V73" s="7"/>
      <c r="W73" s="8"/>
      <c r="X73" s="2"/>
      <c r="Y73" s="2"/>
      <c r="Z73" s="2"/>
      <c r="AA73" s="2"/>
      <c r="AB73" s="2"/>
    </row>
    <row r="74">
      <c r="B74" s="254" t="s">
        <v>3757</v>
      </c>
      <c r="C74" s="247" t="s">
        <v>3758</v>
      </c>
      <c r="D74" s="256"/>
      <c r="E74" s="250"/>
      <c r="F74" s="251" t="str">
        <f t="shared" si="1"/>
        <v>בכלל לא</v>
      </c>
      <c r="G74" s="252">
        <f>COUNTIF(Recordings!A:A,C74)</f>
        <v>0</v>
      </c>
      <c r="H74" s="252"/>
      <c r="I74" s="252"/>
      <c r="J74" s="252"/>
      <c r="K74" s="2"/>
      <c r="L74" s="7"/>
      <c r="M74" s="2"/>
      <c r="N74" s="2"/>
      <c r="O74" s="2"/>
      <c r="P74" s="2"/>
      <c r="Q74" s="2"/>
      <c r="R74" s="2"/>
      <c r="S74" s="2"/>
      <c r="T74" s="2"/>
      <c r="U74" s="7"/>
      <c r="V74" s="7"/>
      <c r="W74" s="8"/>
      <c r="X74" s="2"/>
      <c r="Y74" s="2"/>
      <c r="Z74" s="2"/>
      <c r="AA74" s="2"/>
      <c r="AB74" s="2"/>
    </row>
    <row r="75">
      <c r="B75" s="256" t="s">
        <v>436</v>
      </c>
      <c r="C75" s="256" t="s">
        <v>435</v>
      </c>
      <c r="D75" s="256" t="s">
        <v>437</v>
      </c>
      <c r="E75" s="250"/>
      <c r="F75" s="251" t="str">
        <f t="shared" si="1"/>
        <v>בכלל לא</v>
      </c>
      <c r="G75" s="252">
        <f>COUNTIF(Recordings!A:A,C75)</f>
        <v>0</v>
      </c>
      <c r="H75" s="252"/>
      <c r="I75" s="252"/>
      <c r="J75" s="252"/>
      <c r="K75" s="2"/>
      <c r="L75" s="7"/>
      <c r="M75" s="2"/>
      <c r="N75" s="2"/>
      <c r="O75" s="2"/>
      <c r="P75" s="2"/>
      <c r="Q75" s="2"/>
      <c r="R75" s="2"/>
      <c r="S75" s="2"/>
      <c r="T75" s="2"/>
      <c r="U75" s="7"/>
      <c r="V75" s="7"/>
      <c r="W75" s="8"/>
      <c r="X75" s="2"/>
      <c r="Y75" s="2"/>
      <c r="Z75" s="2"/>
      <c r="AA75" s="2"/>
      <c r="AB75" s="2"/>
    </row>
    <row r="76">
      <c r="B76" s="254" t="s">
        <v>3759</v>
      </c>
      <c r="C76" s="247" t="s">
        <v>3760</v>
      </c>
      <c r="D76" s="256"/>
      <c r="E76" s="250"/>
      <c r="F76" s="251" t="str">
        <f t="shared" si="1"/>
        <v>בכלל לא</v>
      </c>
      <c r="G76" s="252">
        <f>COUNTIF(Recordings!A:A,C76)</f>
        <v>0</v>
      </c>
      <c r="H76" s="252"/>
      <c r="I76" s="252"/>
      <c r="J76" s="252"/>
      <c r="K76" s="2"/>
      <c r="L76" s="7"/>
      <c r="M76" s="2"/>
      <c r="N76" s="2"/>
      <c r="O76" s="2"/>
      <c r="P76" s="2"/>
      <c r="Q76" s="2"/>
      <c r="R76" s="2"/>
      <c r="S76" s="2"/>
      <c r="T76" s="2"/>
      <c r="U76" s="7"/>
      <c r="V76" s="7"/>
      <c r="W76" s="8"/>
      <c r="X76" s="2"/>
      <c r="Y76" s="2"/>
      <c r="Z76" s="2"/>
      <c r="AA76" s="2"/>
      <c r="AB76" s="2"/>
    </row>
    <row r="77">
      <c r="B77" s="254" t="s">
        <v>3761</v>
      </c>
      <c r="C77" s="247" t="s">
        <v>3762</v>
      </c>
      <c r="D77" s="256"/>
      <c r="E77" s="250"/>
      <c r="F77" s="251" t="str">
        <f t="shared" si="1"/>
        <v>בכלל לא</v>
      </c>
      <c r="G77" s="252">
        <f>COUNTIF(Recordings!A:A,C77)</f>
        <v>0</v>
      </c>
      <c r="H77" s="252"/>
      <c r="I77" s="252"/>
      <c r="J77" s="252"/>
      <c r="K77" s="146"/>
      <c r="L77" s="7"/>
      <c r="M77" s="146"/>
      <c r="N77" s="2"/>
      <c r="O77" s="2"/>
      <c r="P77" s="2"/>
      <c r="Q77" s="2"/>
      <c r="R77" s="2"/>
      <c r="S77" s="2"/>
      <c r="T77" s="2"/>
      <c r="U77" s="7"/>
      <c r="V77" s="7"/>
      <c r="W77" s="8"/>
      <c r="X77" s="2"/>
      <c r="Y77" s="2"/>
      <c r="Z77" s="2"/>
      <c r="AA77" s="2"/>
      <c r="AB77" s="2"/>
    </row>
    <row r="78">
      <c r="B78" s="256" t="s">
        <v>528</v>
      </c>
      <c r="C78" s="256" t="s">
        <v>527</v>
      </c>
      <c r="D78" s="256" t="s">
        <v>529</v>
      </c>
      <c r="E78" s="250"/>
      <c r="F78" s="251" t="str">
        <f t="shared" si="1"/>
        <v>בכלל לא</v>
      </c>
      <c r="G78" s="252">
        <f>COUNTIF(Recordings!A:A,C78)</f>
        <v>0</v>
      </c>
      <c r="H78" s="252"/>
      <c r="I78" s="252"/>
      <c r="J78" s="252"/>
      <c r="K78" s="2"/>
      <c r="L78" s="7"/>
      <c r="M78" s="2"/>
      <c r="N78" s="2"/>
      <c r="O78" s="2"/>
      <c r="P78" s="2"/>
      <c r="Q78" s="2"/>
      <c r="R78" s="2"/>
      <c r="S78" s="2"/>
      <c r="T78" s="2"/>
      <c r="U78" s="7"/>
      <c r="V78" s="7"/>
      <c r="W78" s="8"/>
      <c r="X78" s="2"/>
      <c r="Y78" s="2"/>
      <c r="Z78" s="2"/>
      <c r="AA78" s="2"/>
      <c r="AB78" s="2"/>
    </row>
    <row r="79">
      <c r="B79" s="256" t="s">
        <v>534</v>
      </c>
      <c r="C79" s="256" t="s">
        <v>533</v>
      </c>
      <c r="D79" s="256" t="s">
        <v>535</v>
      </c>
      <c r="E79" s="250"/>
      <c r="F79" s="251" t="str">
        <f t="shared" si="1"/>
        <v>בכלל לא</v>
      </c>
      <c r="G79" s="252">
        <f>COUNTIF(Recordings!A:A,C79)</f>
        <v>0</v>
      </c>
      <c r="H79" s="252"/>
      <c r="I79" s="252"/>
      <c r="J79" s="252"/>
      <c r="K79" s="2"/>
      <c r="L79" s="7"/>
      <c r="M79" s="2"/>
      <c r="N79" s="2"/>
      <c r="O79" s="2"/>
      <c r="P79" s="2"/>
      <c r="Q79" s="2"/>
      <c r="R79" s="2"/>
      <c r="S79" s="2"/>
      <c r="T79" s="2"/>
      <c r="U79" s="7"/>
      <c r="V79" s="7"/>
      <c r="W79" s="8"/>
      <c r="X79" s="2"/>
      <c r="Y79" s="2"/>
      <c r="Z79" s="2"/>
      <c r="AA79" s="2"/>
      <c r="AB79" s="2"/>
    </row>
    <row r="80">
      <c r="B80" s="256" t="s">
        <v>543</v>
      </c>
      <c r="C80" s="256" t="s">
        <v>542</v>
      </c>
      <c r="D80" s="256" t="s">
        <v>544</v>
      </c>
      <c r="E80" s="250"/>
      <c r="F80" s="251" t="str">
        <f t="shared" si="1"/>
        <v>בכלל לא</v>
      </c>
      <c r="G80" s="252">
        <f>COUNTIF(Recordings!A:A,C80)</f>
        <v>0</v>
      </c>
      <c r="H80" s="252"/>
      <c r="I80" s="252"/>
      <c r="J80" s="252"/>
      <c r="K80" s="146"/>
      <c r="L80" s="7"/>
      <c r="M80" s="146"/>
      <c r="N80" s="2"/>
      <c r="O80" s="2"/>
      <c r="P80" s="2"/>
      <c r="Q80" s="2"/>
      <c r="R80" s="2"/>
      <c r="S80" s="2"/>
      <c r="T80" s="2"/>
      <c r="U80" s="7"/>
      <c r="V80" s="7"/>
      <c r="W80" s="8"/>
      <c r="X80" s="2"/>
      <c r="Y80" s="2"/>
      <c r="Z80" s="2"/>
      <c r="AA80" s="2"/>
      <c r="AB80" s="2"/>
    </row>
    <row r="81">
      <c r="B81" s="256" t="s">
        <v>531</v>
      </c>
      <c r="C81" s="256" t="s">
        <v>530</v>
      </c>
      <c r="D81" s="256" t="s">
        <v>532</v>
      </c>
      <c r="E81" s="250"/>
      <c r="F81" s="251" t="str">
        <f t="shared" si="1"/>
        <v>בכלל לא</v>
      </c>
      <c r="G81" s="252">
        <f>COUNTIF(Recordings!A:A,C81)</f>
        <v>0</v>
      </c>
      <c r="H81" s="252"/>
      <c r="I81" s="252"/>
      <c r="J81" s="252"/>
      <c r="K81" s="2"/>
      <c r="L81" s="7"/>
      <c r="M81" s="2"/>
      <c r="N81" s="2"/>
      <c r="O81" s="2"/>
      <c r="P81" s="2"/>
      <c r="Q81" s="2"/>
      <c r="R81" s="2"/>
      <c r="S81" s="2"/>
      <c r="T81" s="2"/>
      <c r="U81" s="7"/>
      <c r="V81" s="7"/>
      <c r="W81" s="8"/>
      <c r="X81" s="2"/>
      <c r="Y81" s="2"/>
      <c r="Z81" s="2"/>
      <c r="AA81" s="2"/>
      <c r="AB81" s="2"/>
    </row>
    <row r="82">
      <c r="A82" s="257" t="s">
        <v>105</v>
      </c>
      <c r="B82" s="258" t="s">
        <v>16</v>
      </c>
      <c r="C82" s="258" t="s">
        <v>15</v>
      </c>
      <c r="D82" s="258" t="s">
        <v>17</v>
      </c>
      <c r="E82" s="259"/>
      <c r="F82" s="260" t="str">
        <f t="shared" si="1"/>
        <v>בכלל לא</v>
      </c>
      <c r="G82" s="261">
        <f>COUNTIF(Recordings!A:A,C82)</f>
        <v>0</v>
      </c>
      <c r="H82" s="261"/>
      <c r="I82" s="261"/>
      <c r="J82" s="261"/>
      <c r="K82" s="2"/>
      <c r="L82" s="7"/>
      <c r="M82" s="2"/>
      <c r="N82" s="2"/>
      <c r="O82" s="2"/>
      <c r="P82" s="2"/>
      <c r="Q82" s="2"/>
      <c r="R82" s="2"/>
      <c r="S82" s="2"/>
      <c r="T82" s="2"/>
      <c r="U82" s="2"/>
      <c r="V82" s="2"/>
      <c r="W82" s="2"/>
      <c r="X82" s="2"/>
      <c r="Y82" s="2"/>
      <c r="Z82" s="2"/>
      <c r="AA82" s="2"/>
      <c r="AB82" s="2"/>
    </row>
    <row r="83">
      <c r="B83" s="258"/>
      <c r="C83" s="257" t="s">
        <v>3763</v>
      </c>
      <c r="D83" s="258"/>
      <c r="E83" s="259"/>
      <c r="F83" s="260" t="str">
        <f t="shared" si="1"/>
        <v>בכלל לא</v>
      </c>
      <c r="G83" s="261">
        <f>COUNTIF(Recordings!A:A,C83)</f>
        <v>0</v>
      </c>
      <c r="H83" s="261"/>
      <c r="I83" s="261"/>
      <c r="J83" s="261"/>
      <c r="K83" s="2"/>
      <c r="L83" s="7"/>
      <c r="M83" s="2"/>
      <c r="N83" s="2"/>
      <c r="O83" s="2"/>
      <c r="P83" s="2"/>
      <c r="Q83" s="2"/>
      <c r="R83" s="2"/>
      <c r="S83" s="2"/>
      <c r="T83" s="2"/>
      <c r="U83" s="2"/>
      <c r="V83" s="2"/>
      <c r="W83" s="2"/>
      <c r="X83" s="2"/>
      <c r="Y83" s="2"/>
      <c r="Z83" s="2"/>
      <c r="AA83" s="2"/>
      <c r="AB83" s="2"/>
    </row>
    <row r="84">
      <c r="B84" s="258"/>
      <c r="C84" s="257" t="s">
        <v>3764</v>
      </c>
      <c r="D84" s="258"/>
      <c r="E84" s="259"/>
      <c r="F84" s="260" t="str">
        <f t="shared" si="1"/>
        <v>בכלל לא</v>
      </c>
      <c r="G84" s="261">
        <f>COUNTIF(Recordings!A:A,C84)</f>
        <v>0</v>
      </c>
      <c r="H84" s="261"/>
      <c r="I84" s="261"/>
      <c r="J84" s="261"/>
      <c r="K84" s="2"/>
      <c r="L84" s="7"/>
      <c r="M84" s="2"/>
      <c r="N84" s="2"/>
      <c r="O84" s="2"/>
      <c r="P84" s="2"/>
      <c r="Q84" s="2"/>
      <c r="R84" s="2"/>
      <c r="S84" s="2"/>
      <c r="T84" s="2"/>
      <c r="U84" s="2"/>
      <c r="V84" s="2"/>
      <c r="W84" s="2"/>
      <c r="X84" s="2"/>
      <c r="Y84" s="2"/>
      <c r="Z84" s="2"/>
      <c r="AA84" s="2"/>
      <c r="AB84" s="2"/>
    </row>
    <row r="85">
      <c r="B85" s="258" t="s">
        <v>67</v>
      </c>
      <c r="C85" s="258" t="s">
        <v>66</v>
      </c>
      <c r="D85" s="258" t="s">
        <v>68</v>
      </c>
      <c r="E85" s="259"/>
      <c r="F85" s="260" t="str">
        <f t="shared" si="1"/>
        <v>בכלל לא</v>
      </c>
      <c r="G85" s="261">
        <f>COUNTIF(Recordings!A:A,C85)</f>
        <v>0</v>
      </c>
      <c r="H85" s="261"/>
      <c r="I85" s="261"/>
      <c r="J85" s="261"/>
      <c r="K85" s="2"/>
      <c r="L85" s="7"/>
      <c r="M85" s="2"/>
      <c r="N85" s="2"/>
      <c r="O85" s="2"/>
      <c r="P85" s="2"/>
      <c r="Q85" s="2"/>
      <c r="R85" s="2"/>
      <c r="S85" s="2"/>
      <c r="T85" s="2"/>
      <c r="U85" s="2"/>
      <c r="V85" s="2"/>
      <c r="W85" s="2"/>
      <c r="X85" s="2"/>
      <c r="Y85" s="2"/>
      <c r="Z85" s="2"/>
      <c r="AA85" s="2"/>
      <c r="AB85" s="2"/>
    </row>
    <row r="86">
      <c r="B86" s="258"/>
      <c r="C86" s="257" t="s">
        <v>3765</v>
      </c>
      <c r="D86" s="258"/>
      <c r="E86" s="259"/>
      <c r="F86" s="260" t="str">
        <f t="shared" si="1"/>
        <v>בכלל לא</v>
      </c>
      <c r="G86" s="261">
        <f>COUNTIF(Recordings!A:A,C86)</f>
        <v>0</v>
      </c>
      <c r="H86" s="261"/>
      <c r="I86" s="261"/>
      <c r="J86" s="261"/>
      <c r="K86" s="2"/>
      <c r="L86" s="7"/>
      <c r="M86" s="2"/>
      <c r="N86" s="2"/>
      <c r="O86" s="2"/>
      <c r="P86" s="2"/>
      <c r="Q86" s="2"/>
      <c r="R86" s="2"/>
      <c r="S86" s="2"/>
      <c r="T86" s="2"/>
      <c r="U86" s="2"/>
      <c r="V86" s="2"/>
      <c r="W86" s="2"/>
      <c r="X86" s="2"/>
      <c r="Y86" s="2"/>
      <c r="Z86" s="2"/>
      <c r="AA86" s="2"/>
      <c r="AB86" s="2"/>
    </row>
    <row r="87">
      <c r="B87" s="258" t="s">
        <v>103</v>
      </c>
      <c r="C87" s="258" t="s">
        <v>102</v>
      </c>
      <c r="D87" s="258" t="s">
        <v>104</v>
      </c>
      <c r="E87" s="259"/>
      <c r="F87" s="260" t="str">
        <f t="shared" si="1"/>
        <v>בכלל לא</v>
      </c>
      <c r="G87" s="261">
        <f>COUNTIF(Recordings!A:A,C87)</f>
        <v>0</v>
      </c>
      <c r="H87" s="261"/>
      <c r="I87" s="261"/>
      <c r="J87" s="261"/>
      <c r="K87" s="2"/>
      <c r="L87" s="7"/>
      <c r="M87" s="2"/>
      <c r="N87" s="2"/>
      <c r="O87" s="2"/>
      <c r="P87" s="2"/>
      <c r="Q87" s="2"/>
      <c r="R87" s="2"/>
      <c r="S87" s="2"/>
      <c r="T87" s="2"/>
      <c r="U87" s="2"/>
      <c r="V87" s="2"/>
      <c r="W87" s="2"/>
      <c r="X87" s="2"/>
      <c r="Y87" s="2"/>
      <c r="Z87" s="2"/>
      <c r="AA87" s="2"/>
      <c r="AB87" s="2"/>
    </row>
    <row r="88">
      <c r="B88" s="258" t="s">
        <v>106</v>
      </c>
      <c r="C88" s="258" t="s">
        <v>105</v>
      </c>
      <c r="D88" s="258" t="s">
        <v>107</v>
      </c>
      <c r="E88" s="259"/>
      <c r="F88" s="260" t="str">
        <f t="shared" si="1"/>
        <v>כן</v>
      </c>
      <c r="G88" s="261">
        <f>COUNTIF(Recordings!A:A,C88)</f>
        <v>8</v>
      </c>
      <c r="H88" s="261"/>
      <c r="I88" s="261"/>
      <c r="J88" s="261"/>
      <c r="K88" s="2"/>
      <c r="L88" s="7"/>
      <c r="M88" s="2"/>
      <c r="N88" s="2"/>
      <c r="O88" s="2"/>
      <c r="P88" s="2"/>
      <c r="Q88" s="2"/>
      <c r="R88" s="2"/>
      <c r="S88" s="2"/>
      <c r="T88" s="2"/>
      <c r="U88" s="2"/>
      <c r="V88" s="2"/>
      <c r="W88" s="2"/>
      <c r="X88" s="2"/>
      <c r="Y88" s="2"/>
      <c r="Z88" s="2"/>
      <c r="AA88" s="2"/>
      <c r="AB88" s="2"/>
    </row>
    <row r="89">
      <c r="B89" s="258"/>
      <c r="C89" s="257" t="s">
        <v>3766</v>
      </c>
      <c r="D89" s="258"/>
      <c r="E89" s="259"/>
      <c r="F89" s="260" t="str">
        <f t="shared" si="1"/>
        <v>בכלל לא</v>
      </c>
      <c r="G89" s="261">
        <f>COUNTIF(Recordings!A:A,C89)</f>
        <v>0</v>
      </c>
      <c r="H89" s="261"/>
      <c r="I89" s="261"/>
      <c r="J89" s="261"/>
      <c r="K89" s="2"/>
      <c r="L89" s="7"/>
      <c r="M89" s="2"/>
      <c r="N89" s="2"/>
      <c r="O89" s="2"/>
      <c r="P89" s="2"/>
      <c r="Q89" s="2"/>
      <c r="R89" s="2"/>
      <c r="S89" s="2"/>
      <c r="T89" s="2"/>
      <c r="U89" s="2"/>
      <c r="V89" s="2"/>
      <c r="W89" s="2"/>
      <c r="X89" s="2"/>
      <c r="Y89" s="2"/>
      <c r="Z89" s="2"/>
      <c r="AA89" s="2"/>
      <c r="AB89" s="2"/>
    </row>
    <row r="90">
      <c r="B90" s="262" t="s">
        <v>1206</v>
      </c>
      <c r="C90" s="257" t="s">
        <v>1205</v>
      </c>
      <c r="D90" s="262" t="s">
        <v>1207</v>
      </c>
      <c r="E90" s="259"/>
      <c r="F90" s="260" t="str">
        <f t="shared" si="1"/>
        <v>כן</v>
      </c>
      <c r="G90" s="261">
        <f>COUNTIF(Recordings!A:A,C90)</f>
        <v>1</v>
      </c>
      <c r="H90" s="261"/>
      <c r="I90" s="261"/>
      <c r="J90" s="261"/>
      <c r="K90" s="2"/>
      <c r="L90" s="7"/>
      <c r="M90" s="2"/>
      <c r="N90" s="2"/>
      <c r="O90" s="2"/>
      <c r="P90" s="2"/>
      <c r="Q90" s="2"/>
      <c r="R90" s="2"/>
      <c r="S90" s="2"/>
      <c r="T90" s="2"/>
      <c r="U90" s="2"/>
      <c r="V90" s="2"/>
      <c r="W90" s="2"/>
      <c r="X90" s="2"/>
      <c r="Y90" s="2"/>
      <c r="Z90" s="2"/>
      <c r="AA90" s="2"/>
      <c r="AB90" s="2"/>
    </row>
    <row r="91">
      <c r="B91" s="258" t="s">
        <v>246</v>
      </c>
      <c r="C91" s="258" t="s">
        <v>245</v>
      </c>
      <c r="D91" s="258" t="s">
        <v>247</v>
      </c>
      <c r="E91" s="259"/>
      <c r="F91" s="260" t="str">
        <f t="shared" si="1"/>
        <v>בכלל לא</v>
      </c>
      <c r="G91" s="261">
        <f>COUNTIF(Recordings!A:A,C91)</f>
        <v>0</v>
      </c>
      <c r="H91" s="261"/>
      <c r="I91" s="261"/>
      <c r="J91" s="261"/>
      <c r="K91" s="2"/>
      <c r="L91" s="7"/>
      <c r="M91" s="2"/>
      <c r="N91" s="2"/>
      <c r="O91" s="2"/>
      <c r="P91" s="2"/>
      <c r="Q91" s="2"/>
      <c r="R91" s="2"/>
      <c r="S91" s="2"/>
      <c r="T91" s="2"/>
      <c r="U91" s="2"/>
      <c r="V91" s="2"/>
      <c r="W91" s="2"/>
      <c r="X91" s="2"/>
      <c r="Y91" s="2"/>
      <c r="Z91" s="2"/>
      <c r="AA91" s="2"/>
      <c r="AB91" s="2"/>
    </row>
    <row r="92">
      <c r="B92" s="262" t="s">
        <v>3767</v>
      </c>
      <c r="C92" s="257" t="s">
        <v>3768</v>
      </c>
      <c r="D92" s="262" t="s">
        <v>3769</v>
      </c>
      <c r="E92" s="259"/>
      <c r="F92" s="260" t="str">
        <f t="shared" si="1"/>
        <v>בכלל לא</v>
      </c>
      <c r="G92" s="261">
        <f>COUNTIF(Recordings!A:A,C92)</f>
        <v>0</v>
      </c>
      <c r="H92" s="261"/>
      <c r="I92" s="261"/>
      <c r="J92" s="261"/>
      <c r="K92" s="2"/>
      <c r="L92" s="7"/>
      <c r="M92" s="2"/>
      <c r="N92" s="2"/>
      <c r="O92" s="2"/>
      <c r="P92" s="2"/>
      <c r="Q92" s="2"/>
      <c r="R92" s="2"/>
      <c r="S92" s="2"/>
      <c r="T92" s="2"/>
      <c r="U92" s="2"/>
      <c r="V92" s="2"/>
      <c r="W92" s="2"/>
      <c r="X92" s="2"/>
      <c r="Y92" s="2"/>
      <c r="Z92" s="2"/>
      <c r="AA92" s="2"/>
      <c r="AB92" s="2"/>
    </row>
    <row r="93">
      <c r="B93" s="258"/>
      <c r="C93" s="257" t="s">
        <v>3770</v>
      </c>
      <c r="D93" s="258"/>
      <c r="E93" s="259"/>
      <c r="F93" s="260" t="str">
        <f t="shared" si="1"/>
        <v>בכלל לא</v>
      </c>
      <c r="G93" s="261">
        <f>COUNTIF(Recordings!A:A,C93)</f>
        <v>0</v>
      </c>
      <c r="H93" s="261"/>
      <c r="I93" s="261"/>
      <c r="J93" s="261"/>
      <c r="K93" s="2"/>
      <c r="L93" s="7"/>
      <c r="M93" s="2"/>
      <c r="N93" s="2"/>
      <c r="O93" s="2"/>
      <c r="P93" s="2"/>
      <c r="Q93" s="2"/>
      <c r="R93" s="2"/>
      <c r="S93" s="2"/>
      <c r="T93" s="2"/>
      <c r="U93" s="2"/>
      <c r="V93" s="2"/>
      <c r="W93" s="2"/>
      <c r="X93" s="2"/>
      <c r="Y93" s="2"/>
      <c r="Z93" s="2"/>
      <c r="AA93" s="2"/>
      <c r="AB93" s="2"/>
    </row>
    <row r="94">
      <c r="B94" s="262" t="s">
        <v>1288</v>
      </c>
      <c r="C94" s="257" t="s">
        <v>1287</v>
      </c>
      <c r="D94" s="258"/>
      <c r="E94" s="259"/>
      <c r="F94" s="260" t="str">
        <f t="shared" si="1"/>
        <v>כן</v>
      </c>
      <c r="G94" s="261">
        <f>COUNTIF(Recordings!A:A,C94)</f>
        <v>8</v>
      </c>
      <c r="H94" s="261"/>
      <c r="I94" s="261"/>
      <c r="J94" s="261"/>
      <c r="K94" s="2"/>
      <c r="L94" s="7"/>
      <c r="M94" s="2"/>
      <c r="N94" s="2"/>
      <c r="O94" s="2"/>
      <c r="P94" s="2"/>
      <c r="Q94" s="2"/>
      <c r="R94" s="2"/>
      <c r="S94" s="2"/>
      <c r="T94" s="2"/>
      <c r="U94" s="2"/>
      <c r="V94" s="2"/>
      <c r="W94" s="2"/>
      <c r="X94" s="2"/>
      <c r="Y94" s="2"/>
      <c r="Z94" s="2"/>
      <c r="AA94" s="2"/>
      <c r="AB94" s="2"/>
    </row>
    <row r="95">
      <c r="B95" s="258"/>
      <c r="C95" s="257" t="s">
        <v>3771</v>
      </c>
      <c r="D95" s="258"/>
      <c r="E95" s="259"/>
      <c r="F95" s="260" t="str">
        <f t="shared" si="1"/>
        <v>בכלל לא</v>
      </c>
      <c r="G95" s="261">
        <f>COUNTIF(Recordings!A:A,C95)</f>
        <v>0</v>
      </c>
      <c r="H95" s="261"/>
      <c r="I95" s="261"/>
      <c r="J95" s="261"/>
      <c r="K95" s="2"/>
      <c r="L95" s="7"/>
      <c r="M95" s="2"/>
      <c r="N95" s="2"/>
      <c r="O95" s="2"/>
      <c r="P95" s="2"/>
      <c r="Q95" s="2"/>
      <c r="R95" s="2"/>
      <c r="S95" s="2"/>
      <c r="T95" s="2"/>
      <c r="U95" s="2"/>
      <c r="V95" s="2"/>
      <c r="W95" s="2"/>
      <c r="X95" s="2"/>
      <c r="Y95" s="2"/>
      <c r="Z95" s="2"/>
      <c r="AA95" s="2"/>
      <c r="AB95" s="2"/>
    </row>
    <row r="96">
      <c r="B96" s="258"/>
      <c r="C96" s="257" t="s">
        <v>3772</v>
      </c>
      <c r="D96" s="258"/>
      <c r="E96" s="259"/>
      <c r="F96" s="260" t="str">
        <f t="shared" si="1"/>
        <v>בכלל לא</v>
      </c>
      <c r="G96" s="261">
        <f>COUNTIF(Recordings!A:A,C96)</f>
        <v>0</v>
      </c>
      <c r="H96" s="261"/>
      <c r="I96" s="261"/>
      <c r="J96" s="261"/>
      <c r="K96" s="2"/>
      <c r="L96" s="7"/>
      <c r="M96" s="2"/>
      <c r="N96" s="2"/>
      <c r="O96" s="2"/>
      <c r="P96" s="2"/>
      <c r="Q96" s="2"/>
      <c r="R96" s="2"/>
      <c r="S96" s="2"/>
      <c r="T96" s="2"/>
      <c r="U96" s="2"/>
      <c r="V96" s="2"/>
      <c r="W96" s="2"/>
      <c r="X96" s="2"/>
      <c r="Y96" s="2"/>
      <c r="Z96" s="2"/>
      <c r="AA96" s="2"/>
      <c r="AB96" s="2"/>
    </row>
    <row r="97">
      <c r="B97" s="258" t="s">
        <v>325</v>
      </c>
      <c r="C97" s="258" t="s">
        <v>324</v>
      </c>
      <c r="D97" s="258" t="s">
        <v>326</v>
      </c>
      <c r="E97" s="259"/>
      <c r="F97" s="260" t="str">
        <f t="shared" si="1"/>
        <v>כן</v>
      </c>
      <c r="G97" s="261">
        <f>COUNTIF(Recordings!A:A,C97)</f>
        <v>9</v>
      </c>
      <c r="H97" s="261"/>
      <c r="I97" s="261"/>
      <c r="J97" s="261"/>
      <c r="K97" s="2"/>
      <c r="L97" s="7"/>
      <c r="M97" s="2"/>
      <c r="N97" s="2"/>
      <c r="O97" s="2"/>
      <c r="P97" s="2"/>
      <c r="Q97" s="2"/>
      <c r="R97" s="2"/>
      <c r="S97" s="2"/>
      <c r="T97" s="2"/>
      <c r="U97" s="2"/>
      <c r="V97" s="2"/>
      <c r="W97" s="2"/>
      <c r="X97" s="2"/>
      <c r="Y97" s="2"/>
      <c r="Z97" s="2"/>
      <c r="AA97" s="2"/>
      <c r="AB97" s="2"/>
    </row>
    <row r="98">
      <c r="B98" s="258" t="s">
        <v>391</v>
      </c>
      <c r="C98" s="258" t="s">
        <v>390</v>
      </c>
      <c r="D98" s="258" t="s">
        <v>392</v>
      </c>
      <c r="E98" s="259"/>
      <c r="F98" s="260" t="str">
        <f t="shared" si="1"/>
        <v>כן</v>
      </c>
      <c r="G98" s="261">
        <f>COUNTIF(Recordings!A:A,C98)</f>
        <v>5</v>
      </c>
      <c r="H98" s="261"/>
      <c r="I98" s="261"/>
      <c r="J98" s="261"/>
      <c r="K98" s="2"/>
      <c r="L98" s="7"/>
      <c r="M98" s="2"/>
      <c r="N98" s="2"/>
      <c r="O98" s="2"/>
      <c r="P98" s="2"/>
      <c r="Q98" s="2"/>
      <c r="R98" s="2"/>
      <c r="S98" s="2"/>
      <c r="T98" s="2"/>
      <c r="U98" s="2"/>
      <c r="V98" s="2"/>
      <c r="W98" s="2"/>
      <c r="X98" s="2"/>
      <c r="Y98" s="2"/>
      <c r="Z98" s="2"/>
      <c r="AA98" s="2"/>
      <c r="AB98" s="2"/>
    </row>
    <row r="99">
      <c r="B99" s="258" t="s">
        <v>454</v>
      </c>
      <c r="C99" s="258" t="s">
        <v>453</v>
      </c>
      <c r="D99" s="258" t="s">
        <v>455</v>
      </c>
      <c r="E99" s="259"/>
      <c r="F99" s="260" t="str">
        <f t="shared" si="1"/>
        <v>בכלל לא</v>
      </c>
      <c r="G99" s="261">
        <f>COUNTIF(Recordings!A:A,C99)</f>
        <v>0</v>
      </c>
      <c r="H99" s="261"/>
      <c r="I99" s="261"/>
      <c r="J99" s="261"/>
      <c r="K99" s="2"/>
      <c r="L99" s="7"/>
      <c r="M99" s="2"/>
      <c r="N99" s="2"/>
      <c r="O99" s="2"/>
      <c r="P99" s="2"/>
      <c r="Q99" s="2"/>
      <c r="R99" s="2"/>
      <c r="S99" s="2"/>
      <c r="T99" s="2"/>
      <c r="U99" s="2"/>
      <c r="V99" s="2"/>
      <c r="W99" s="2"/>
      <c r="X99" s="2"/>
      <c r="Y99" s="2"/>
      <c r="Z99" s="2"/>
      <c r="AA99" s="2"/>
      <c r="AB99" s="2"/>
    </row>
    <row r="100">
      <c r="B100" s="258" t="s">
        <v>474</v>
      </c>
      <c r="C100" s="258" t="s">
        <v>473</v>
      </c>
      <c r="D100" s="258" t="s">
        <v>475</v>
      </c>
      <c r="E100" s="259"/>
      <c r="F100" s="260" t="str">
        <f t="shared" si="1"/>
        <v>בכלל לא</v>
      </c>
      <c r="G100" s="261">
        <f>COUNTIF(Recordings!A:A,C100)</f>
        <v>0</v>
      </c>
      <c r="H100" s="261"/>
      <c r="I100" s="261"/>
      <c r="J100" s="261"/>
      <c r="K100" s="2"/>
      <c r="L100" s="7"/>
      <c r="M100" s="2"/>
      <c r="N100" s="2"/>
      <c r="O100" s="2"/>
      <c r="P100" s="2"/>
      <c r="Q100" s="2"/>
      <c r="R100" s="2"/>
      <c r="S100" s="2"/>
      <c r="T100" s="2"/>
      <c r="U100" s="2"/>
      <c r="V100" s="2"/>
      <c r="W100" s="2"/>
      <c r="X100" s="2"/>
      <c r="Y100" s="2"/>
      <c r="Z100" s="2"/>
      <c r="AA100" s="2"/>
      <c r="AB100" s="2"/>
    </row>
    <row r="101">
      <c r="B101" s="258" t="s">
        <v>498</v>
      </c>
      <c r="C101" s="258" t="s">
        <v>497</v>
      </c>
      <c r="D101" s="258" t="s">
        <v>499</v>
      </c>
      <c r="E101" s="259"/>
      <c r="F101" s="260" t="str">
        <f t="shared" si="1"/>
        <v>בכלל לא</v>
      </c>
      <c r="G101" s="261">
        <f>COUNTIF(Recordings!A:A,C101)</f>
        <v>0</v>
      </c>
      <c r="H101" s="261"/>
      <c r="I101" s="261"/>
      <c r="J101" s="261"/>
      <c r="K101" s="2"/>
      <c r="L101" s="7"/>
      <c r="M101" s="2"/>
      <c r="N101" s="2"/>
      <c r="O101" s="2"/>
      <c r="P101" s="2"/>
      <c r="Q101" s="2"/>
      <c r="R101" s="2"/>
      <c r="S101" s="2"/>
      <c r="T101" s="2"/>
      <c r="U101" s="2"/>
      <c r="V101" s="2"/>
      <c r="W101" s="2"/>
      <c r="X101" s="2"/>
      <c r="Y101" s="2"/>
      <c r="Z101" s="2"/>
      <c r="AA101" s="2"/>
      <c r="AB101" s="2"/>
    </row>
    <row r="102">
      <c r="B102" s="258" t="s">
        <v>513</v>
      </c>
      <c r="C102" s="258" t="s">
        <v>512</v>
      </c>
      <c r="D102" s="258" t="s">
        <v>514</v>
      </c>
      <c r="E102" s="259"/>
      <c r="F102" s="260" t="str">
        <f t="shared" si="1"/>
        <v>כן</v>
      </c>
      <c r="G102" s="261">
        <f>COUNTIF(Recordings!A:A,C102)</f>
        <v>2</v>
      </c>
      <c r="H102" s="261"/>
      <c r="I102" s="261"/>
      <c r="J102" s="261"/>
      <c r="K102" s="2"/>
      <c r="L102" s="7"/>
      <c r="M102" s="2"/>
      <c r="N102" s="2"/>
      <c r="O102" s="2"/>
      <c r="P102" s="2"/>
      <c r="Q102" s="2"/>
      <c r="R102" s="2"/>
      <c r="S102" s="2"/>
      <c r="T102" s="2"/>
      <c r="U102" s="2"/>
      <c r="V102" s="2"/>
      <c r="W102" s="2"/>
      <c r="X102" s="2"/>
      <c r="Y102" s="2"/>
      <c r="Z102" s="2"/>
      <c r="AA102" s="2"/>
      <c r="AB102" s="2"/>
    </row>
    <row r="103">
      <c r="B103" s="263" t="s">
        <v>3773</v>
      </c>
      <c r="C103" s="257" t="s">
        <v>503</v>
      </c>
      <c r="D103" s="264" t="s">
        <v>505</v>
      </c>
      <c r="E103" s="259"/>
      <c r="F103" s="260" t="str">
        <f t="shared" si="1"/>
        <v>כן</v>
      </c>
      <c r="G103" s="261">
        <f>COUNTIF(Recordings!A:A,C103)</f>
        <v>7</v>
      </c>
      <c r="H103" s="261"/>
      <c r="I103" s="261"/>
      <c r="J103" s="261"/>
      <c r="K103" s="2"/>
      <c r="L103" s="7"/>
      <c r="M103" s="2"/>
      <c r="N103" s="2"/>
      <c r="O103" s="2"/>
      <c r="P103" s="2"/>
      <c r="Q103" s="2"/>
      <c r="R103" s="2"/>
      <c r="S103" s="2"/>
      <c r="T103" s="2"/>
      <c r="U103" s="2"/>
      <c r="V103" s="2"/>
      <c r="W103" s="2"/>
      <c r="X103" s="2"/>
      <c r="Y103" s="2"/>
      <c r="Z103" s="2"/>
      <c r="AA103" s="2"/>
      <c r="AB103" s="2"/>
    </row>
    <row r="104">
      <c r="B104" s="258"/>
      <c r="C104" s="257" t="s">
        <v>3774</v>
      </c>
      <c r="D104" s="258"/>
      <c r="E104" s="259"/>
      <c r="F104" s="260" t="str">
        <f t="shared" si="1"/>
        <v>בכלל לא</v>
      </c>
      <c r="G104" s="261">
        <f>COUNTIF(Recordings!A:A,C104)</f>
        <v>0</v>
      </c>
      <c r="H104" s="261"/>
      <c r="I104" s="261"/>
      <c r="J104" s="261"/>
      <c r="K104" s="2"/>
      <c r="L104" s="7"/>
      <c r="M104" s="2"/>
      <c r="N104" s="2"/>
      <c r="O104" s="2"/>
      <c r="P104" s="2"/>
      <c r="Q104" s="2"/>
      <c r="R104" s="2"/>
      <c r="S104" s="2"/>
      <c r="T104" s="2"/>
      <c r="U104" s="2"/>
      <c r="V104" s="2"/>
      <c r="W104" s="2"/>
      <c r="X104" s="2"/>
      <c r="Y104" s="2"/>
      <c r="Z104" s="2"/>
      <c r="AA104" s="2"/>
      <c r="AB104" s="2"/>
    </row>
    <row r="105">
      <c r="B105" s="258" t="s">
        <v>558</v>
      </c>
      <c r="C105" s="258" t="s">
        <v>557</v>
      </c>
      <c r="D105" s="258" t="s">
        <v>559</v>
      </c>
      <c r="E105" s="259"/>
      <c r="F105" s="260" t="str">
        <f t="shared" si="1"/>
        <v>בכלל לא</v>
      </c>
      <c r="G105" s="261">
        <f>COUNTIF(Recordings!A:A,C105)</f>
        <v>0</v>
      </c>
      <c r="H105" s="261"/>
      <c r="I105" s="261"/>
      <c r="J105" s="261"/>
      <c r="K105" s="2"/>
      <c r="L105" s="7"/>
      <c r="M105" s="2"/>
      <c r="N105" s="2"/>
      <c r="O105" s="2"/>
      <c r="P105" s="2"/>
      <c r="Q105" s="2"/>
      <c r="R105" s="2"/>
      <c r="S105" s="2"/>
      <c r="T105" s="2"/>
      <c r="U105" s="2"/>
      <c r="V105" s="2"/>
      <c r="W105" s="2"/>
      <c r="X105" s="2"/>
      <c r="Y105" s="2"/>
      <c r="Z105" s="2"/>
      <c r="AA105" s="2"/>
      <c r="AB105" s="2"/>
    </row>
    <row r="106">
      <c r="A106" s="265" t="s">
        <v>321</v>
      </c>
      <c r="B106" s="266" t="s">
        <v>322</v>
      </c>
      <c r="C106" s="266" t="s">
        <v>321</v>
      </c>
      <c r="D106" s="266" t="s">
        <v>323</v>
      </c>
      <c r="E106" s="267"/>
      <c r="F106" s="268" t="str">
        <f t="shared" si="1"/>
        <v>בכלל לא</v>
      </c>
      <c r="G106" s="269">
        <f>COUNTIF(Recordings!A:A,C106)</f>
        <v>0</v>
      </c>
      <c r="H106" s="269"/>
      <c r="I106" s="269"/>
      <c r="J106" s="269"/>
      <c r="K106" s="2"/>
      <c r="L106" s="7"/>
      <c r="M106" s="2"/>
      <c r="N106" s="2"/>
      <c r="O106" s="2"/>
      <c r="P106" s="2"/>
      <c r="Q106" s="2"/>
      <c r="R106" s="2"/>
      <c r="S106" s="2"/>
      <c r="T106" s="2"/>
      <c r="U106" s="2"/>
      <c r="V106" s="2"/>
      <c r="W106" s="2"/>
      <c r="X106" s="2"/>
      <c r="Y106" s="2"/>
      <c r="Z106" s="2"/>
      <c r="AA106" s="2"/>
      <c r="AB106" s="2"/>
    </row>
    <row r="107">
      <c r="B107" s="266" t="s">
        <v>451</v>
      </c>
      <c r="C107" s="266" t="s">
        <v>450</v>
      </c>
      <c r="D107" s="266" t="s">
        <v>452</v>
      </c>
      <c r="E107" s="267"/>
      <c r="F107" s="268" t="str">
        <f t="shared" si="1"/>
        <v>כן</v>
      </c>
      <c r="G107" s="269">
        <f>COUNTIF(Recordings!A:A,C107)</f>
        <v>10</v>
      </c>
      <c r="H107" s="269"/>
      <c r="I107" s="269"/>
      <c r="J107" s="269"/>
      <c r="K107" s="2"/>
      <c r="L107" s="7"/>
      <c r="M107" s="2"/>
      <c r="N107" s="2"/>
      <c r="O107" s="2"/>
      <c r="P107" s="2"/>
      <c r="Q107" s="2"/>
      <c r="R107" s="2"/>
      <c r="S107" s="2"/>
      <c r="T107" s="2"/>
      <c r="U107" s="2"/>
      <c r="V107" s="2"/>
      <c r="W107" s="2"/>
      <c r="X107" s="2"/>
      <c r="Y107" s="2"/>
      <c r="Z107" s="2"/>
      <c r="AA107" s="2"/>
      <c r="AB107" s="2"/>
    </row>
    <row r="108">
      <c r="B108" s="266" t="s">
        <v>495</v>
      </c>
      <c r="C108" s="266" t="s">
        <v>494</v>
      </c>
      <c r="D108" s="266" t="s">
        <v>496</v>
      </c>
      <c r="E108" s="267"/>
      <c r="F108" s="268" t="str">
        <f t="shared" si="1"/>
        <v>בכלל לא</v>
      </c>
      <c r="G108" s="269">
        <f>COUNTIF(Recordings!A:A,C108)</f>
        <v>0</v>
      </c>
      <c r="H108" s="269"/>
      <c r="I108" s="269"/>
      <c r="J108" s="269"/>
      <c r="K108" s="2"/>
      <c r="L108" s="7"/>
      <c r="M108" s="2"/>
      <c r="N108" s="2"/>
      <c r="O108" s="2"/>
      <c r="P108" s="2"/>
      <c r="Q108" s="2"/>
      <c r="R108" s="2"/>
      <c r="S108" s="2"/>
      <c r="T108" s="2"/>
      <c r="U108" s="2"/>
      <c r="V108" s="2"/>
      <c r="W108" s="2"/>
      <c r="X108" s="2"/>
      <c r="Y108" s="2"/>
      <c r="Z108" s="2"/>
      <c r="AA108" s="2"/>
      <c r="AB108" s="2"/>
    </row>
    <row r="109">
      <c r="B109" s="266" t="s">
        <v>540</v>
      </c>
      <c r="C109" s="266" t="s">
        <v>539</v>
      </c>
      <c r="D109" s="266" t="s">
        <v>541</v>
      </c>
      <c r="E109" s="267"/>
      <c r="F109" s="268" t="str">
        <f t="shared" si="1"/>
        <v>כן</v>
      </c>
      <c r="G109" s="269">
        <f>COUNTIF(Recordings!A:A,C109)</f>
        <v>11</v>
      </c>
      <c r="H109" s="269"/>
      <c r="I109" s="269"/>
      <c r="J109" s="269"/>
      <c r="K109" s="2"/>
      <c r="L109" s="7"/>
      <c r="M109" s="2"/>
      <c r="N109" s="2"/>
      <c r="O109" s="2"/>
      <c r="P109" s="2"/>
      <c r="Q109" s="2"/>
      <c r="R109" s="2"/>
      <c r="S109" s="2"/>
      <c r="T109" s="2"/>
      <c r="U109" s="2"/>
      <c r="V109" s="2"/>
      <c r="W109" s="2"/>
      <c r="X109" s="2"/>
      <c r="Y109" s="2"/>
      <c r="Z109" s="2"/>
      <c r="AA109" s="2"/>
      <c r="AB109" s="2"/>
    </row>
    <row r="110">
      <c r="A110" s="270" t="s">
        <v>3775</v>
      </c>
      <c r="B110" s="271"/>
      <c r="C110" s="270" t="s">
        <v>3776</v>
      </c>
      <c r="D110" s="272" t="s">
        <v>3777</v>
      </c>
      <c r="E110" s="273"/>
      <c r="F110" s="274" t="str">
        <f t="shared" si="1"/>
        <v>בכלל לא</v>
      </c>
      <c r="G110" s="275">
        <f>COUNTIF(Recordings!A:A,C110)</f>
        <v>0</v>
      </c>
      <c r="H110" s="275"/>
      <c r="I110" s="275"/>
      <c r="J110" s="275"/>
      <c r="K110" s="2"/>
      <c r="L110" s="7"/>
      <c r="M110" s="2"/>
      <c r="N110" s="2"/>
      <c r="O110" s="2"/>
      <c r="P110" s="2"/>
      <c r="Q110" s="2"/>
      <c r="R110" s="2"/>
      <c r="S110" s="2"/>
      <c r="T110" s="2"/>
      <c r="U110" s="2"/>
      <c r="V110" s="2"/>
      <c r="W110" s="2"/>
      <c r="X110" s="2"/>
      <c r="Y110" s="2"/>
      <c r="Z110" s="2"/>
      <c r="AA110" s="2"/>
      <c r="AB110" s="2"/>
    </row>
    <row r="111">
      <c r="B111" s="276" t="s">
        <v>79</v>
      </c>
      <c r="C111" s="277" t="s">
        <v>78</v>
      </c>
      <c r="D111" s="277" t="s">
        <v>80</v>
      </c>
      <c r="E111" s="273"/>
      <c r="F111" s="274" t="str">
        <f t="shared" si="1"/>
        <v>בכלל לא</v>
      </c>
      <c r="G111" s="275">
        <f>COUNTIF(Recordings!A:A,C111)</f>
        <v>0</v>
      </c>
      <c r="H111" s="275"/>
      <c r="I111" s="275"/>
      <c r="J111" s="275"/>
      <c r="K111" s="2"/>
      <c r="L111" s="7"/>
      <c r="M111" s="2"/>
      <c r="N111" s="2"/>
      <c r="O111" s="2"/>
      <c r="P111" s="2"/>
      <c r="Q111" s="2"/>
      <c r="R111" s="2"/>
      <c r="S111" s="2"/>
      <c r="T111" s="2"/>
      <c r="U111" s="2"/>
      <c r="V111" s="2"/>
      <c r="W111" s="2"/>
      <c r="X111" s="2"/>
      <c r="Y111" s="2"/>
      <c r="Z111" s="2"/>
      <c r="AA111" s="2"/>
      <c r="AB111" s="2"/>
    </row>
    <row r="112">
      <c r="B112" s="278" t="s">
        <v>501</v>
      </c>
      <c r="C112" s="278" t="s">
        <v>500</v>
      </c>
      <c r="D112" s="278" t="s">
        <v>502</v>
      </c>
      <c r="E112" s="273"/>
      <c r="F112" s="274" t="str">
        <f t="shared" si="1"/>
        <v>בכלל לא</v>
      </c>
      <c r="G112" s="275">
        <f>COUNTIF(Recordings!A:A,C112)</f>
        <v>0</v>
      </c>
      <c r="H112" s="275"/>
      <c r="I112" s="275"/>
      <c r="J112" s="275"/>
      <c r="K112" s="2"/>
      <c r="L112" s="7"/>
      <c r="M112" s="2"/>
      <c r="N112" s="2"/>
      <c r="O112" s="2"/>
      <c r="P112" s="2"/>
      <c r="Q112" s="2"/>
      <c r="R112" s="2"/>
      <c r="S112" s="2"/>
      <c r="T112" s="2"/>
      <c r="U112" s="2"/>
      <c r="V112" s="2"/>
      <c r="W112" s="2"/>
      <c r="X112" s="2"/>
      <c r="Y112" s="2"/>
      <c r="Z112" s="2"/>
      <c r="AA112" s="2"/>
      <c r="AB112" s="2"/>
    </row>
    <row r="113">
      <c r="A113" s="279" t="s">
        <v>3778</v>
      </c>
      <c r="B113" s="280"/>
      <c r="C113" s="279" t="s">
        <v>3779</v>
      </c>
      <c r="D113" s="280"/>
      <c r="E113" s="281"/>
      <c r="F113" s="282" t="str">
        <f t="shared" si="1"/>
        <v>בכלל לא</v>
      </c>
      <c r="G113" s="283">
        <f>COUNTIF(Recordings!A:A,C113)</f>
        <v>0</v>
      </c>
      <c r="H113" s="283"/>
      <c r="I113" s="283"/>
      <c r="J113" s="283"/>
      <c r="K113" s="2"/>
      <c r="L113" s="7"/>
      <c r="M113" s="2"/>
      <c r="N113" s="2"/>
      <c r="O113" s="2"/>
      <c r="P113" s="2"/>
      <c r="Q113" s="2"/>
      <c r="R113" s="2"/>
      <c r="S113" s="2"/>
      <c r="T113" s="2"/>
      <c r="U113" s="2"/>
      <c r="V113" s="2"/>
      <c r="W113" s="2"/>
      <c r="X113" s="2"/>
      <c r="Y113" s="2"/>
      <c r="Z113" s="2"/>
      <c r="AA113" s="2"/>
      <c r="AB113" s="2"/>
    </row>
    <row r="114">
      <c r="B114" s="280"/>
      <c r="C114" s="279" t="s">
        <v>3780</v>
      </c>
      <c r="D114" s="280"/>
      <c r="E114" s="281"/>
      <c r="F114" s="282" t="str">
        <f t="shared" si="1"/>
        <v>בכלל לא</v>
      </c>
      <c r="G114" s="283">
        <f>COUNTIF(Recordings!A:A,C114)</f>
        <v>0</v>
      </c>
      <c r="H114" s="283"/>
      <c r="I114" s="283"/>
      <c r="J114" s="283"/>
      <c r="K114" s="2"/>
      <c r="L114" s="7"/>
      <c r="M114" s="2"/>
      <c r="N114" s="2"/>
      <c r="O114" s="2"/>
      <c r="P114" s="2"/>
      <c r="Q114" s="2"/>
      <c r="R114" s="2"/>
      <c r="S114" s="2"/>
      <c r="T114" s="2"/>
      <c r="U114" s="2"/>
      <c r="V114" s="2"/>
      <c r="W114" s="2"/>
      <c r="X114" s="2"/>
      <c r="Y114" s="2"/>
      <c r="Z114" s="2"/>
      <c r="AA114" s="2"/>
      <c r="AB114" s="2"/>
    </row>
    <row r="115">
      <c r="B115" s="280"/>
      <c r="C115" s="279" t="s">
        <v>3781</v>
      </c>
      <c r="D115" s="280"/>
      <c r="E115" s="281"/>
      <c r="F115" s="282" t="str">
        <f t="shared" si="1"/>
        <v>בכלל לא</v>
      </c>
      <c r="G115" s="283">
        <f>COUNTIF(Recordings!A:A,C115)</f>
        <v>0</v>
      </c>
      <c r="H115" s="283"/>
      <c r="I115" s="283"/>
      <c r="J115" s="283"/>
      <c r="K115" s="2"/>
      <c r="L115" s="7"/>
      <c r="M115" s="2"/>
      <c r="N115" s="2"/>
      <c r="O115" s="2"/>
      <c r="P115" s="2"/>
      <c r="Q115" s="2"/>
      <c r="R115" s="2"/>
      <c r="S115" s="2"/>
      <c r="T115" s="2"/>
      <c r="U115" s="2"/>
      <c r="V115" s="2"/>
      <c r="W115" s="2"/>
      <c r="X115" s="2"/>
      <c r="Y115" s="2"/>
      <c r="Z115" s="2"/>
      <c r="AA115" s="2"/>
      <c r="AB115" s="2"/>
    </row>
    <row r="116">
      <c r="B116" s="280"/>
      <c r="C116" s="279" t="s">
        <v>3782</v>
      </c>
      <c r="D116" s="280"/>
      <c r="E116" s="281"/>
      <c r="F116" s="282" t="str">
        <f t="shared" si="1"/>
        <v>בכלל לא</v>
      </c>
      <c r="G116" s="283">
        <f>COUNTIF(Recordings!A:A,C116)</f>
        <v>0</v>
      </c>
      <c r="H116" s="283"/>
      <c r="I116" s="283"/>
      <c r="J116" s="283"/>
      <c r="K116" s="2"/>
      <c r="L116" s="7"/>
      <c r="M116" s="2"/>
      <c r="N116" s="2"/>
      <c r="O116" s="2"/>
      <c r="P116" s="2"/>
      <c r="Q116" s="2"/>
      <c r="R116" s="2"/>
      <c r="S116" s="2"/>
      <c r="T116" s="2"/>
      <c r="U116" s="2"/>
      <c r="V116" s="2"/>
      <c r="W116" s="2"/>
      <c r="X116" s="2"/>
      <c r="Y116" s="2"/>
      <c r="Z116" s="2"/>
      <c r="AA116" s="2"/>
      <c r="AB116" s="2"/>
    </row>
    <row r="117">
      <c r="B117" s="280" t="s">
        <v>207</v>
      </c>
      <c r="C117" s="280" t="s">
        <v>206</v>
      </c>
      <c r="D117" s="280" t="s">
        <v>208</v>
      </c>
      <c r="E117" s="281"/>
      <c r="F117" s="282" t="str">
        <f t="shared" si="1"/>
        <v>בכלל לא</v>
      </c>
      <c r="G117" s="283">
        <f>COUNTIF(Recordings!A:A,C117)</f>
        <v>0</v>
      </c>
      <c r="H117" s="283"/>
      <c r="I117" s="283"/>
      <c r="J117" s="283"/>
      <c r="K117" s="2"/>
      <c r="L117" s="7"/>
      <c r="M117" s="2"/>
      <c r="N117" s="2"/>
      <c r="O117" s="2"/>
      <c r="P117" s="2"/>
      <c r="Q117" s="2"/>
      <c r="R117" s="2"/>
      <c r="S117" s="2"/>
      <c r="T117" s="2"/>
      <c r="U117" s="2"/>
      <c r="V117" s="2"/>
      <c r="W117" s="2"/>
      <c r="X117" s="2"/>
      <c r="Y117" s="2"/>
      <c r="Z117" s="2"/>
      <c r="AA117" s="2"/>
      <c r="AB117" s="2"/>
    </row>
    <row r="118">
      <c r="B118" s="280"/>
      <c r="C118" s="279" t="s">
        <v>3783</v>
      </c>
      <c r="D118" s="280"/>
      <c r="E118" s="281"/>
      <c r="F118" s="282" t="str">
        <f t="shared" si="1"/>
        <v>בכלל לא</v>
      </c>
      <c r="G118" s="283">
        <f>COUNTIF(Recordings!A:A,C118)</f>
        <v>0</v>
      </c>
      <c r="H118" s="283"/>
      <c r="I118" s="283"/>
      <c r="J118" s="283"/>
      <c r="K118" s="2"/>
      <c r="L118" s="7"/>
      <c r="M118" s="2"/>
      <c r="N118" s="2"/>
      <c r="O118" s="2"/>
      <c r="P118" s="2"/>
      <c r="Q118" s="2"/>
      <c r="R118" s="2"/>
      <c r="S118" s="2"/>
      <c r="T118" s="2"/>
      <c r="U118" s="2"/>
      <c r="V118" s="2"/>
      <c r="W118" s="2"/>
      <c r="X118" s="2"/>
      <c r="Y118" s="2"/>
      <c r="Z118" s="2"/>
      <c r="AA118" s="2"/>
      <c r="AB118" s="2"/>
    </row>
    <row r="119">
      <c r="B119" s="280"/>
      <c r="C119" s="279" t="s">
        <v>3784</v>
      </c>
      <c r="D119" s="280"/>
      <c r="E119" s="281"/>
      <c r="F119" s="282" t="str">
        <f t="shared" si="1"/>
        <v>בכלל לא</v>
      </c>
      <c r="G119" s="283">
        <f>COUNTIF(Recordings!A:A,C119)</f>
        <v>0</v>
      </c>
      <c r="H119" s="283"/>
      <c r="I119" s="283"/>
      <c r="J119" s="283"/>
      <c r="K119" s="2"/>
      <c r="L119" s="7"/>
      <c r="M119" s="2"/>
      <c r="N119" s="2"/>
      <c r="O119" s="2"/>
      <c r="P119" s="2"/>
      <c r="Q119" s="2"/>
      <c r="R119" s="2"/>
      <c r="S119" s="2"/>
      <c r="T119" s="2"/>
      <c r="U119" s="2"/>
      <c r="V119" s="2"/>
      <c r="W119" s="2"/>
      <c r="X119" s="2"/>
      <c r="Y119" s="2"/>
      <c r="Z119" s="2"/>
      <c r="AA119" s="2"/>
      <c r="AB119" s="2"/>
    </row>
    <row r="120">
      <c r="B120" s="280" t="s">
        <v>55</v>
      </c>
      <c r="C120" s="280" t="s">
        <v>54</v>
      </c>
      <c r="D120" s="280" t="s">
        <v>56</v>
      </c>
      <c r="E120" s="281"/>
      <c r="F120" s="282" t="str">
        <f t="shared" si="1"/>
        <v>כן</v>
      </c>
      <c r="G120" s="283">
        <f>COUNTIF(Recordings!A:A,C120)</f>
        <v>3</v>
      </c>
      <c r="H120" s="283"/>
      <c r="I120" s="283"/>
      <c r="J120" s="283"/>
      <c r="K120" s="2"/>
      <c r="L120" s="7"/>
      <c r="M120" s="2"/>
      <c r="N120" s="2"/>
      <c r="O120" s="2"/>
      <c r="P120" s="2"/>
      <c r="Q120" s="2"/>
      <c r="R120" s="2"/>
      <c r="S120" s="2"/>
      <c r="T120" s="2"/>
      <c r="U120" s="2"/>
      <c r="V120" s="2"/>
      <c r="W120" s="2"/>
      <c r="X120" s="2"/>
      <c r="Y120" s="2"/>
      <c r="Z120" s="2"/>
      <c r="AA120" s="2"/>
      <c r="AB120" s="2"/>
    </row>
    <row r="121">
      <c r="B121" s="280"/>
      <c r="C121" s="279" t="s">
        <v>3785</v>
      </c>
      <c r="D121" s="280"/>
      <c r="E121" s="281"/>
      <c r="F121" s="282" t="str">
        <f t="shared" si="1"/>
        <v>בכלל לא</v>
      </c>
      <c r="G121" s="283">
        <f>COUNTIF(Recordings!A:A,C121)</f>
        <v>0</v>
      </c>
      <c r="H121" s="283"/>
      <c r="I121" s="283"/>
      <c r="J121" s="283"/>
      <c r="K121" s="2"/>
      <c r="L121" s="7"/>
      <c r="M121" s="2"/>
      <c r="N121" s="2"/>
      <c r="O121" s="2"/>
      <c r="P121" s="2"/>
      <c r="Q121" s="2"/>
      <c r="R121" s="2"/>
      <c r="S121" s="2"/>
      <c r="T121" s="2"/>
      <c r="U121" s="2"/>
      <c r="V121" s="2"/>
      <c r="W121" s="2"/>
      <c r="X121" s="2"/>
      <c r="Y121" s="2"/>
      <c r="Z121" s="2"/>
      <c r="AA121" s="2"/>
      <c r="AB121" s="2"/>
    </row>
    <row r="122">
      <c r="B122" s="280"/>
      <c r="C122" s="279" t="s">
        <v>3786</v>
      </c>
      <c r="D122" s="280"/>
      <c r="E122" s="281"/>
      <c r="F122" s="282" t="str">
        <f t="shared" si="1"/>
        <v>בכלל לא</v>
      </c>
      <c r="G122" s="283">
        <f>COUNTIF(Recordings!A:A,C122)</f>
        <v>0</v>
      </c>
      <c r="H122" s="283"/>
      <c r="I122" s="283"/>
      <c r="J122" s="283"/>
      <c r="K122" s="2"/>
      <c r="L122" s="7"/>
      <c r="M122" s="2"/>
      <c r="N122" s="2"/>
      <c r="O122" s="2"/>
      <c r="P122" s="2"/>
      <c r="Q122" s="2"/>
      <c r="R122" s="2"/>
      <c r="S122" s="2"/>
      <c r="T122" s="2"/>
      <c r="U122" s="2"/>
      <c r="V122" s="2"/>
      <c r="W122" s="2"/>
      <c r="X122" s="2"/>
      <c r="Y122" s="2"/>
      <c r="Z122" s="2"/>
      <c r="AA122" s="2"/>
      <c r="AB122" s="2"/>
    </row>
    <row r="123">
      <c r="B123" s="280"/>
      <c r="C123" s="279" t="s">
        <v>3787</v>
      </c>
      <c r="D123" s="280"/>
      <c r="E123" s="281"/>
      <c r="F123" s="282" t="str">
        <f t="shared" si="1"/>
        <v>בכלל לא</v>
      </c>
      <c r="G123" s="283">
        <f>COUNTIF(Recordings!A:A,C123)</f>
        <v>0</v>
      </c>
      <c r="H123" s="283"/>
      <c r="I123" s="283"/>
      <c r="J123" s="283"/>
      <c r="K123" s="2"/>
      <c r="L123" s="7"/>
      <c r="M123" s="2"/>
      <c r="N123" s="2"/>
      <c r="O123" s="2"/>
      <c r="P123" s="2"/>
      <c r="Q123" s="2"/>
      <c r="R123" s="2"/>
      <c r="S123" s="2"/>
      <c r="T123" s="2"/>
      <c r="U123" s="2"/>
      <c r="V123" s="2"/>
      <c r="W123" s="2"/>
      <c r="X123" s="2"/>
      <c r="Y123" s="2"/>
      <c r="Z123" s="2"/>
      <c r="AA123" s="2"/>
      <c r="AB123" s="2"/>
    </row>
    <row r="124">
      <c r="B124" s="280"/>
      <c r="C124" s="279" t="s">
        <v>3788</v>
      </c>
      <c r="D124" s="280"/>
      <c r="E124" s="281"/>
      <c r="F124" s="282" t="str">
        <f t="shared" si="1"/>
        <v>בכלל לא</v>
      </c>
      <c r="G124" s="283">
        <f>COUNTIF(Recordings!A:A,C124)</f>
        <v>0</v>
      </c>
      <c r="H124" s="283"/>
      <c r="I124" s="283"/>
      <c r="J124" s="283"/>
      <c r="K124" s="2"/>
      <c r="L124" s="7"/>
      <c r="M124" s="2"/>
      <c r="N124" s="2"/>
      <c r="O124" s="2"/>
      <c r="P124" s="2"/>
      <c r="Q124" s="2"/>
      <c r="R124" s="2"/>
      <c r="S124" s="2"/>
      <c r="T124" s="2"/>
      <c r="U124" s="2"/>
      <c r="V124" s="2"/>
      <c r="W124" s="2"/>
      <c r="X124" s="2"/>
      <c r="Y124" s="2"/>
      <c r="Z124" s="2"/>
      <c r="AA124" s="2"/>
      <c r="AB124" s="2"/>
    </row>
    <row r="125">
      <c r="B125" s="280"/>
      <c r="C125" s="279" t="s">
        <v>3789</v>
      </c>
      <c r="D125" s="280"/>
      <c r="E125" s="281"/>
      <c r="F125" s="282" t="str">
        <f t="shared" si="1"/>
        <v>בכלל לא</v>
      </c>
      <c r="G125" s="283">
        <f>COUNTIF(Recordings!A:A,C125)</f>
        <v>0</v>
      </c>
      <c r="H125" s="283"/>
      <c r="I125" s="283"/>
      <c r="J125" s="283"/>
      <c r="K125" s="2"/>
      <c r="L125" s="7"/>
      <c r="M125" s="2"/>
      <c r="N125" s="2"/>
      <c r="O125" s="2"/>
      <c r="P125" s="2"/>
      <c r="Q125" s="2"/>
      <c r="R125" s="2"/>
      <c r="S125" s="2"/>
      <c r="T125" s="2"/>
      <c r="U125" s="2"/>
      <c r="V125" s="2"/>
      <c r="W125" s="2"/>
      <c r="X125" s="2"/>
      <c r="Y125" s="2"/>
      <c r="Z125" s="2"/>
      <c r="AA125" s="2"/>
      <c r="AB125" s="2"/>
    </row>
    <row r="126">
      <c r="B126" s="280"/>
      <c r="C126" s="279" t="s">
        <v>3790</v>
      </c>
      <c r="D126" s="280"/>
      <c r="E126" s="281"/>
      <c r="F126" s="282" t="str">
        <f t="shared" si="1"/>
        <v>בכלל לא</v>
      </c>
      <c r="G126" s="283">
        <f>COUNTIF(Recordings!A:A,C126)</f>
        <v>0</v>
      </c>
      <c r="H126" s="283"/>
      <c r="I126" s="283"/>
      <c r="J126" s="283"/>
      <c r="K126" s="146"/>
      <c r="L126" s="7"/>
      <c r="M126" s="146"/>
      <c r="N126" s="2"/>
      <c r="O126" s="2"/>
      <c r="P126" s="2"/>
      <c r="Q126" s="2"/>
      <c r="R126" s="2"/>
      <c r="S126" s="2"/>
      <c r="T126" s="2"/>
      <c r="U126" s="2"/>
      <c r="V126" s="2"/>
      <c r="W126" s="2"/>
      <c r="X126" s="2"/>
      <c r="Y126" s="2"/>
      <c r="Z126" s="2"/>
      <c r="AA126" s="2"/>
      <c r="AB126" s="2"/>
    </row>
    <row r="127">
      <c r="B127" s="280"/>
      <c r="C127" s="279" t="s">
        <v>3791</v>
      </c>
      <c r="D127" s="280"/>
      <c r="E127" s="281"/>
      <c r="F127" s="282" t="str">
        <f t="shared" si="1"/>
        <v>בכלל לא</v>
      </c>
      <c r="G127" s="283">
        <f>COUNTIF(Recordings!A:A,C127)</f>
        <v>0</v>
      </c>
      <c r="H127" s="283"/>
      <c r="I127" s="283"/>
      <c r="J127" s="283"/>
      <c r="K127" s="146"/>
      <c r="L127" s="7"/>
      <c r="M127" s="146"/>
      <c r="N127" s="2"/>
      <c r="O127" s="2"/>
      <c r="P127" s="2"/>
      <c r="Q127" s="2"/>
      <c r="R127" s="2"/>
      <c r="S127" s="2"/>
      <c r="T127" s="2"/>
      <c r="U127" s="2"/>
      <c r="V127" s="2"/>
      <c r="W127" s="2"/>
      <c r="X127" s="2"/>
      <c r="Y127" s="2"/>
      <c r="Z127" s="2"/>
      <c r="AA127" s="2"/>
      <c r="AB127" s="2"/>
    </row>
    <row r="128">
      <c r="B128" s="280"/>
      <c r="C128" s="279" t="s">
        <v>3792</v>
      </c>
      <c r="D128" s="280"/>
      <c r="E128" s="281"/>
      <c r="F128" s="282" t="str">
        <f t="shared" si="1"/>
        <v>בכלל לא</v>
      </c>
      <c r="G128" s="283">
        <f>COUNTIF(Recordings!A:A,C128)</f>
        <v>0</v>
      </c>
      <c r="H128" s="283"/>
      <c r="I128" s="283"/>
      <c r="J128" s="283"/>
      <c r="K128" s="2"/>
      <c r="L128" s="7"/>
      <c r="M128" s="2"/>
      <c r="N128" s="2"/>
      <c r="O128" s="2"/>
      <c r="P128" s="2"/>
      <c r="Q128" s="2"/>
      <c r="R128" s="2"/>
      <c r="S128" s="2"/>
      <c r="T128" s="2"/>
      <c r="U128" s="2"/>
      <c r="V128" s="2"/>
      <c r="W128" s="2"/>
      <c r="X128" s="2"/>
      <c r="Y128" s="2"/>
      <c r="Z128" s="2"/>
      <c r="AA128" s="2"/>
      <c r="AB128" s="2"/>
    </row>
    <row r="129">
      <c r="B129" s="280"/>
      <c r="C129" s="279" t="s">
        <v>3793</v>
      </c>
      <c r="D129" s="280"/>
      <c r="E129" s="281"/>
      <c r="F129" s="282" t="str">
        <f t="shared" si="1"/>
        <v>בכלל לא</v>
      </c>
      <c r="G129" s="283">
        <f>COUNTIF(Recordings!A:A,C129)</f>
        <v>0</v>
      </c>
      <c r="H129" s="283"/>
      <c r="I129" s="283"/>
      <c r="J129" s="283"/>
      <c r="K129" s="2"/>
      <c r="L129" s="7"/>
      <c r="M129" s="2"/>
      <c r="N129" s="2"/>
      <c r="O129" s="2"/>
      <c r="P129" s="2"/>
      <c r="Q129" s="2"/>
      <c r="R129" s="2"/>
      <c r="S129" s="2"/>
      <c r="T129" s="2"/>
      <c r="U129" s="2"/>
      <c r="V129" s="2"/>
      <c r="W129" s="2"/>
      <c r="X129" s="2"/>
      <c r="Y129" s="2"/>
      <c r="Z129" s="2"/>
      <c r="AA129" s="2"/>
      <c r="AB129" s="2"/>
    </row>
    <row r="130">
      <c r="B130" s="280"/>
      <c r="C130" s="279" t="s">
        <v>3794</v>
      </c>
      <c r="D130" s="280"/>
      <c r="E130" s="281"/>
      <c r="F130" s="282" t="str">
        <f t="shared" si="1"/>
        <v>בכלל לא</v>
      </c>
      <c r="G130" s="283">
        <f>COUNTIF(Recordings!A:A,C130)</f>
        <v>0</v>
      </c>
      <c r="H130" s="283"/>
      <c r="I130" s="283"/>
      <c r="J130" s="283"/>
      <c r="K130" s="2"/>
      <c r="L130" s="7"/>
      <c r="M130" s="2"/>
      <c r="N130" s="2"/>
      <c r="O130" s="2"/>
      <c r="P130" s="2"/>
      <c r="Q130" s="2"/>
      <c r="R130" s="2"/>
      <c r="S130" s="2"/>
      <c r="T130" s="2"/>
      <c r="U130" s="2"/>
      <c r="V130" s="2"/>
      <c r="W130" s="2"/>
      <c r="X130" s="2"/>
      <c r="Y130" s="2"/>
      <c r="Z130" s="2"/>
      <c r="AA130" s="2"/>
      <c r="AB130" s="2"/>
    </row>
    <row r="131">
      <c r="B131" s="280"/>
      <c r="C131" s="279" t="s">
        <v>3795</v>
      </c>
      <c r="D131" s="280"/>
      <c r="E131" s="281"/>
      <c r="F131" s="282" t="str">
        <f t="shared" si="1"/>
        <v>בכלל לא</v>
      </c>
      <c r="G131" s="283">
        <f>COUNTIF(Recordings!A:A,C131)</f>
        <v>0</v>
      </c>
      <c r="H131" s="283"/>
      <c r="I131" s="283"/>
      <c r="J131" s="283"/>
      <c r="K131" s="2"/>
      <c r="L131" s="7"/>
      <c r="M131" s="2"/>
      <c r="N131" s="2"/>
      <c r="O131" s="2"/>
      <c r="P131" s="2"/>
      <c r="Q131" s="2"/>
      <c r="R131" s="2"/>
      <c r="S131" s="2"/>
      <c r="T131" s="2"/>
      <c r="U131" s="2"/>
      <c r="V131" s="2"/>
      <c r="W131" s="2"/>
      <c r="X131" s="2"/>
      <c r="Y131" s="2"/>
      <c r="Z131" s="2"/>
      <c r="AA131" s="2"/>
      <c r="AB131" s="2"/>
    </row>
    <row r="132">
      <c r="B132" s="280"/>
      <c r="C132" s="279" t="s">
        <v>3796</v>
      </c>
      <c r="D132" s="280"/>
      <c r="E132" s="281"/>
      <c r="F132" s="282" t="str">
        <f t="shared" si="1"/>
        <v>בכלל לא</v>
      </c>
      <c r="G132" s="283">
        <f>COUNTIF(Recordings!A:A,C132)</f>
        <v>0</v>
      </c>
      <c r="H132" s="283"/>
      <c r="I132" s="283"/>
      <c r="J132" s="283"/>
      <c r="K132" s="2"/>
      <c r="L132" s="7"/>
      <c r="M132" s="2"/>
      <c r="N132" s="2"/>
      <c r="O132" s="2"/>
      <c r="P132" s="2"/>
      <c r="Q132" s="2"/>
      <c r="R132" s="2"/>
      <c r="S132" s="2"/>
      <c r="T132" s="2"/>
      <c r="U132" s="2"/>
      <c r="V132" s="2"/>
      <c r="W132" s="2"/>
      <c r="X132" s="2"/>
      <c r="Y132" s="2"/>
      <c r="Z132" s="2"/>
      <c r="AA132" s="2"/>
      <c r="AB132" s="2"/>
    </row>
    <row r="133">
      <c r="B133" s="280"/>
      <c r="C133" s="279" t="s">
        <v>3797</v>
      </c>
      <c r="D133" s="280"/>
      <c r="E133" s="281"/>
      <c r="F133" s="282" t="str">
        <f t="shared" si="1"/>
        <v>בכלל לא</v>
      </c>
      <c r="G133" s="283">
        <f>COUNTIF(Recordings!A:A,C133)</f>
        <v>0</v>
      </c>
      <c r="H133" s="283"/>
      <c r="I133" s="283"/>
      <c r="J133" s="283"/>
      <c r="K133" s="2"/>
      <c r="L133" s="7"/>
      <c r="M133" s="2"/>
      <c r="N133" s="2"/>
      <c r="O133" s="2"/>
      <c r="P133" s="2"/>
      <c r="Q133" s="2"/>
      <c r="R133" s="2"/>
      <c r="S133" s="2"/>
      <c r="T133" s="2"/>
      <c r="U133" s="2"/>
      <c r="V133" s="2"/>
      <c r="W133" s="2"/>
      <c r="X133" s="2"/>
      <c r="Y133" s="2"/>
      <c r="Z133" s="2"/>
      <c r="AA133" s="2"/>
      <c r="AB133" s="2"/>
    </row>
    <row r="134">
      <c r="B134" s="280"/>
      <c r="C134" s="279" t="s">
        <v>3798</v>
      </c>
      <c r="D134" s="280"/>
      <c r="E134" s="281"/>
      <c r="F134" s="282" t="str">
        <f t="shared" si="1"/>
        <v>בכלל לא</v>
      </c>
      <c r="G134" s="283">
        <f>COUNTIF(Recordings!A:A,C134)</f>
        <v>0</v>
      </c>
      <c r="H134" s="283"/>
      <c r="I134" s="283"/>
      <c r="J134" s="283"/>
      <c r="K134" s="2"/>
      <c r="L134" s="7"/>
      <c r="M134" s="2"/>
      <c r="N134" s="2"/>
      <c r="O134" s="2"/>
      <c r="P134" s="2"/>
      <c r="Q134" s="2"/>
      <c r="R134" s="2"/>
      <c r="S134" s="2"/>
      <c r="T134" s="2"/>
      <c r="U134" s="2"/>
      <c r="V134" s="2"/>
      <c r="W134" s="2"/>
      <c r="X134" s="2"/>
      <c r="Y134" s="2"/>
      <c r="Z134" s="2"/>
      <c r="AA134" s="2"/>
      <c r="AB134" s="2"/>
    </row>
    <row r="135">
      <c r="B135" s="280"/>
      <c r="C135" s="279" t="s">
        <v>3799</v>
      </c>
      <c r="D135" s="280"/>
      <c r="E135" s="281"/>
      <c r="F135" s="282" t="str">
        <f t="shared" si="1"/>
        <v>בכלל לא</v>
      </c>
      <c r="G135" s="283">
        <f>COUNTIF(Recordings!A:A,C135)</f>
        <v>0</v>
      </c>
      <c r="H135" s="283"/>
      <c r="I135" s="283"/>
      <c r="J135" s="283"/>
      <c r="K135" s="2"/>
      <c r="L135" s="7"/>
      <c r="M135" s="2"/>
      <c r="N135" s="2"/>
      <c r="O135" s="2"/>
      <c r="P135" s="2"/>
      <c r="Q135" s="2"/>
      <c r="R135" s="2"/>
      <c r="S135" s="2"/>
      <c r="T135" s="2"/>
      <c r="U135" s="2"/>
      <c r="V135" s="2"/>
      <c r="W135" s="2"/>
      <c r="X135" s="2"/>
      <c r="Y135" s="2"/>
      <c r="Z135" s="2"/>
      <c r="AA135" s="2"/>
      <c r="AB135" s="2"/>
    </row>
    <row r="136">
      <c r="B136" s="280"/>
      <c r="C136" s="279" t="s">
        <v>3800</v>
      </c>
      <c r="D136" s="280"/>
      <c r="E136" s="281"/>
      <c r="F136" s="282" t="str">
        <f t="shared" si="1"/>
        <v>בכלל לא</v>
      </c>
      <c r="G136" s="283">
        <f>COUNTIF(Recordings!A:A,C136)</f>
        <v>0</v>
      </c>
      <c r="H136" s="283"/>
      <c r="I136" s="283"/>
      <c r="J136" s="283"/>
      <c r="K136" s="2"/>
      <c r="L136" s="7"/>
      <c r="M136" s="2"/>
      <c r="N136" s="2"/>
      <c r="O136" s="2"/>
      <c r="P136" s="2"/>
      <c r="Q136" s="2"/>
      <c r="R136" s="2"/>
      <c r="S136" s="2"/>
      <c r="T136" s="2"/>
      <c r="U136" s="2"/>
      <c r="V136" s="2"/>
      <c r="W136" s="2"/>
      <c r="X136" s="2"/>
      <c r="Y136" s="2"/>
      <c r="Z136" s="2"/>
      <c r="AA136" s="2"/>
      <c r="AB136" s="2"/>
    </row>
    <row r="137">
      <c r="B137" s="280"/>
      <c r="C137" s="279" t="s">
        <v>3801</v>
      </c>
      <c r="D137" s="280"/>
      <c r="E137" s="281"/>
      <c r="F137" s="282" t="str">
        <f t="shared" si="1"/>
        <v>בכלל לא</v>
      </c>
      <c r="G137" s="283">
        <f>COUNTIF(Recordings!A:A,C137)</f>
        <v>0</v>
      </c>
      <c r="H137" s="283"/>
      <c r="I137" s="283"/>
      <c r="J137" s="283"/>
      <c r="K137" s="2"/>
      <c r="L137" s="7"/>
      <c r="M137" s="2"/>
      <c r="N137" s="2"/>
      <c r="O137" s="2"/>
      <c r="P137" s="2"/>
      <c r="Q137" s="2"/>
      <c r="R137" s="2"/>
      <c r="S137" s="2"/>
      <c r="T137" s="2"/>
      <c r="U137" s="2"/>
      <c r="V137" s="2"/>
      <c r="W137" s="2"/>
      <c r="X137" s="2"/>
      <c r="Y137" s="2"/>
      <c r="Z137" s="2"/>
      <c r="AA137" s="2"/>
      <c r="AB137" s="2"/>
    </row>
    <row r="138">
      <c r="B138" s="280"/>
      <c r="C138" s="279" t="s">
        <v>3802</v>
      </c>
      <c r="D138" s="280"/>
      <c r="E138" s="281"/>
      <c r="F138" s="282" t="str">
        <f t="shared" si="1"/>
        <v>בכלל לא</v>
      </c>
      <c r="G138" s="283">
        <f>COUNTIF(Recordings!A:A,C138)</f>
        <v>0</v>
      </c>
      <c r="H138" s="283"/>
      <c r="I138" s="283"/>
      <c r="J138" s="283"/>
      <c r="K138" s="2"/>
      <c r="L138" s="7"/>
      <c r="M138" s="2"/>
      <c r="N138" s="2"/>
      <c r="O138" s="2"/>
      <c r="P138" s="2"/>
      <c r="Q138" s="2"/>
      <c r="R138" s="2"/>
      <c r="S138" s="2"/>
      <c r="T138" s="2"/>
      <c r="U138" s="2"/>
      <c r="V138" s="2"/>
      <c r="W138" s="2"/>
      <c r="X138" s="2"/>
      <c r="Y138" s="2"/>
      <c r="Z138" s="2"/>
      <c r="AA138" s="2"/>
      <c r="AB138" s="2"/>
    </row>
    <row r="139">
      <c r="B139" s="280"/>
      <c r="C139" s="279" t="s">
        <v>3803</v>
      </c>
      <c r="D139" s="280"/>
      <c r="E139" s="281"/>
      <c r="F139" s="282" t="str">
        <f t="shared" si="1"/>
        <v>בכלל לא</v>
      </c>
      <c r="G139" s="283">
        <f>COUNTIF(Recordings!A:A,C139)</f>
        <v>0</v>
      </c>
      <c r="H139" s="283"/>
      <c r="I139" s="283"/>
      <c r="J139" s="283"/>
      <c r="K139" s="2"/>
      <c r="L139" s="7"/>
      <c r="M139" s="2"/>
      <c r="N139" s="2"/>
      <c r="O139" s="2"/>
      <c r="P139" s="2"/>
      <c r="Q139" s="2"/>
      <c r="R139" s="2"/>
      <c r="S139" s="2"/>
      <c r="T139" s="2"/>
      <c r="U139" s="2"/>
      <c r="V139" s="2"/>
      <c r="W139" s="2"/>
      <c r="X139" s="2"/>
      <c r="Y139" s="2"/>
      <c r="Z139" s="2"/>
      <c r="AA139" s="2"/>
      <c r="AB139" s="2"/>
    </row>
    <row r="140">
      <c r="B140" s="280"/>
      <c r="C140" s="279" t="s">
        <v>3804</v>
      </c>
      <c r="D140" s="280"/>
      <c r="E140" s="281"/>
      <c r="F140" s="282" t="str">
        <f t="shared" si="1"/>
        <v>בכלל לא</v>
      </c>
      <c r="G140" s="283">
        <f>COUNTIF(Recordings!A:A,C140)</f>
        <v>0</v>
      </c>
      <c r="H140" s="283"/>
      <c r="I140" s="283"/>
      <c r="J140" s="283"/>
      <c r="K140" s="2"/>
      <c r="L140" s="7"/>
      <c r="M140" s="2"/>
      <c r="N140" s="2"/>
      <c r="O140" s="2"/>
      <c r="P140" s="2"/>
      <c r="Q140" s="2"/>
      <c r="R140" s="2"/>
      <c r="S140" s="2"/>
      <c r="T140" s="2"/>
      <c r="U140" s="2"/>
      <c r="V140" s="2"/>
      <c r="W140" s="2"/>
      <c r="X140" s="2"/>
      <c r="Y140" s="2"/>
      <c r="Z140" s="2"/>
      <c r="AA140" s="2"/>
      <c r="AB140" s="2"/>
    </row>
    <row r="141">
      <c r="B141" s="280" t="s">
        <v>189</v>
      </c>
      <c r="C141" s="280" t="s">
        <v>188</v>
      </c>
      <c r="D141" s="280" t="s">
        <v>190</v>
      </c>
      <c r="E141" s="281"/>
      <c r="F141" s="282" t="str">
        <f t="shared" si="1"/>
        <v>בכלל לא</v>
      </c>
      <c r="G141" s="283">
        <f>COUNTIF(Recordings!A:A,C141)</f>
        <v>0</v>
      </c>
      <c r="H141" s="283"/>
      <c r="I141" s="283"/>
      <c r="J141" s="283"/>
      <c r="K141" s="2"/>
      <c r="L141" s="7"/>
      <c r="M141" s="2"/>
      <c r="N141" s="2"/>
      <c r="O141" s="2"/>
      <c r="P141" s="2"/>
      <c r="Q141" s="2"/>
      <c r="R141" s="2"/>
      <c r="S141" s="2"/>
      <c r="T141" s="2"/>
      <c r="U141" s="2"/>
      <c r="V141" s="2"/>
      <c r="W141" s="2"/>
      <c r="X141" s="2"/>
      <c r="Y141" s="2"/>
      <c r="Z141" s="2"/>
      <c r="AA141" s="2"/>
      <c r="AB141" s="2"/>
    </row>
    <row r="142">
      <c r="B142" s="280"/>
      <c r="C142" s="279" t="s">
        <v>3805</v>
      </c>
      <c r="D142" s="280"/>
      <c r="E142" s="281"/>
      <c r="F142" s="282" t="str">
        <f t="shared" si="1"/>
        <v>בכלל לא</v>
      </c>
      <c r="G142" s="283">
        <f>COUNTIF(Recordings!A:A,C142)</f>
        <v>0</v>
      </c>
      <c r="H142" s="283"/>
      <c r="I142" s="283"/>
      <c r="J142" s="283"/>
      <c r="K142" s="2"/>
      <c r="L142" s="7"/>
      <c r="M142" s="2"/>
      <c r="N142" s="2"/>
      <c r="O142" s="2"/>
      <c r="P142" s="2"/>
      <c r="Q142" s="2"/>
      <c r="R142" s="2"/>
      <c r="S142" s="2"/>
      <c r="T142" s="2"/>
      <c r="U142" s="2"/>
      <c r="V142" s="2"/>
      <c r="W142" s="2"/>
      <c r="X142" s="2"/>
      <c r="Y142" s="2"/>
      <c r="Z142" s="2"/>
      <c r="AA142" s="2"/>
      <c r="AB142" s="2"/>
    </row>
    <row r="143">
      <c r="B143" s="280"/>
      <c r="C143" s="279" t="s">
        <v>3806</v>
      </c>
      <c r="D143" s="280"/>
      <c r="E143" s="281"/>
      <c r="F143" s="282" t="str">
        <f t="shared" si="1"/>
        <v>בכלל לא</v>
      </c>
      <c r="G143" s="283">
        <f>COUNTIF(Recordings!A:A,C143)</f>
        <v>0</v>
      </c>
      <c r="H143" s="283"/>
      <c r="I143" s="283"/>
      <c r="J143" s="283"/>
      <c r="K143" s="2"/>
      <c r="L143" s="7"/>
      <c r="M143" s="2"/>
      <c r="N143" s="2"/>
      <c r="O143" s="2"/>
      <c r="P143" s="2"/>
      <c r="Q143" s="2"/>
      <c r="R143" s="2"/>
      <c r="S143" s="2"/>
      <c r="T143" s="2"/>
      <c r="U143" s="2"/>
      <c r="V143" s="2"/>
      <c r="W143" s="2"/>
      <c r="X143" s="2"/>
      <c r="Y143" s="2"/>
      <c r="Z143" s="2"/>
      <c r="AA143" s="2"/>
      <c r="AB143" s="2"/>
    </row>
    <row r="144">
      <c r="B144" s="280"/>
      <c r="C144" s="279" t="s">
        <v>3807</v>
      </c>
      <c r="D144" s="280"/>
      <c r="E144" s="281"/>
      <c r="F144" s="282" t="str">
        <f t="shared" si="1"/>
        <v>בכלל לא</v>
      </c>
      <c r="G144" s="283">
        <f>COUNTIF(Recordings!A:A,C144)</f>
        <v>0</v>
      </c>
      <c r="H144" s="283"/>
      <c r="I144" s="283"/>
      <c r="J144" s="283"/>
      <c r="K144" s="2"/>
      <c r="L144" s="7"/>
      <c r="M144" s="2"/>
      <c r="N144" s="2"/>
      <c r="O144" s="2"/>
      <c r="P144" s="2"/>
      <c r="Q144" s="2"/>
      <c r="R144" s="2"/>
      <c r="S144" s="2"/>
      <c r="T144" s="2"/>
      <c r="U144" s="2"/>
      <c r="V144" s="2"/>
      <c r="W144" s="2"/>
      <c r="X144" s="2"/>
      <c r="Y144" s="2"/>
      <c r="Z144" s="2"/>
      <c r="AA144" s="2"/>
      <c r="AB144" s="2"/>
    </row>
    <row r="145">
      <c r="B145" s="280"/>
      <c r="C145" s="279" t="s">
        <v>3808</v>
      </c>
      <c r="D145" s="280"/>
      <c r="E145" s="281"/>
      <c r="F145" s="282" t="str">
        <f t="shared" si="1"/>
        <v>בכלל לא</v>
      </c>
      <c r="G145" s="283">
        <f>COUNTIF(Recordings!A:A,C145)</f>
        <v>0</v>
      </c>
      <c r="H145" s="283"/>
      <c r="I145" s="283"/>
      <c r="J145" s="283"/>
      <c r="K145" s="2"/>
      <c r="L145" s="7"/>
      <c r="M145" s="2"/>
      <c r="N145" s="2"/>
      <c r="O145" s="2"/>
      <c r="P145" s="2"/>
      <c r="Q145" s="2"/>
      <c r="R145" s="2"/>
      <c r="S145" s="2"/>
      <c r="T145" s="2"/>
      <c r="U145" s="2"/>
      <c r="V145" s="2"/>
      <c r="W145" s="2"/>
      <c r="X145" s="2"/>
      <c r="Y145" s="2"/>
      <c r="Z145" s="2"/>
      <c r="AA145" s="2"/>
      <c r="AB145" s="2"/>
    </row>
    <row r="146">
      <c r="B146" s="280"/>
      <c r="C146" s="279" t="s">
        <v>3809</v>
      </c>
      <c r="D146" s="280"/>
      <c r="E146" s="281"/>
      <c r="F146" s="282" t="str">
        <f t="shared" si="1"/>
        <v>בכלל לא</v>
      </c>
      <c r="G146" s="283">
        <f>COUNTIF(Recordings!A:A,C146)</f>
        <v>0</v>
      </c>
      <c r="H146" s="283"/>
      <c r="I146" s="283"/>
      <c r="J146" s="283"/>
      <c r="K146" s="2"/>
      <c r="L146" s="7"/>
      <c r="M146" s="2"/>
      <c r="N146" s="2"/>
      <c r="O146" s="2"/>
      <c r="P146" s="2"/>
      <c r="Q146" s="2"/>
      <c r="R146" s="2"/>
      <c r="S146" s="2"/>
      <c r="T146" s="2"/>
      <c r="U146" s="2"/>
      <c r="V146" s="2"/>
      <c r="W146" s="2"/>
      <c r="X146" s="2"/>
      <c r="Y146" s="2"/>
      <c r="Z146" s="2"/>
      <c r="AA146" s="2"/>
      <c r="AB146" s="2"/>
    </row>
    <row r="147">
      <c r="B147" s="280"/>
      <c r="C147" s="279" t="s">
        <v>3778</v>
      </c>
      <c r="D147" s="280"/>
      <c r="E147" s="281"/>
      <c r="F147" s="282" t="str">
        <f t="shared" si="1"/>
        <v>בכלל לא</v>
      </c>
      <c r="G147" s="283">
        <f>COUNTIF(Recordings!A:A,C147)</f>
        <v>0</v>
      </c>
      <c r="H147" s="283"/>
      <c r="I147" s="283"/>
      <c r="J147" s="283"/>
      <c r="K147" s="2"/>
      <c r="L147" s="7"/>
      <c r="M147" s="2"/>
      <c r="N147" s="2"/>
      <c r="O147" s="2"/>
      <c r="P147" s="2"/>
      <c r="Q147" s="2"/>
      <c r="R147" s="2"/>
      <c r="S147" s="2"/>
      <c r="T147" s="2"/>
      <c r="U147" s="2"/>
      <c r="V147" s="2"/>
      <c r="W147" s="2"/>
      <c r="X147" s="2"/>
      <c r="Y147" s="2"/>
      <c r="Z147" s="2"/>
      <c r="AA147" s="2"/>
      <c r="AB147" s="2"/>
    </row>
    <row r="148">
      <c r="B148" s="280"/>
      <c r="C148" s="279" t="s">
        <v>3810</v>
      </c>
      <c r="D148" s="280"/>
      <c r="E148" s="281"/>
      <c r="F148" s="282" t="str">
        <f t="shared" si="1"/>
        <v>בכלל לא</v>
      </c>
      <c r="G148" s="283">
        <f>COUNTIF(Recordings!A:A,C148)</f>
        <v>0</v>
      </c>
      <c r="H148" s="283"/>
      <c r="I148" s="283"/>
      <c r="J148" s="283"/>
      <c r="K148" s="2"/>
      <c r="L148" s="7"/>
      <c r="M148" s="2"/>
      <c r="N148" s="2"/>
      <c r="O148" s="2"/>
      <c r="P148" s="2"/>
      <c r="Q148" s="2"/>
      <c r="R148" s="2"/>
      <c r="S148" s="2"/>
      <c r="T148" s="2"/>
      <c r="U148" s="2"/>
      <c r="V148" s="2"/>
      <c r="W148" s="2"/>
      <c r="X148" s="2"/>
      <c r="Y148" s="2"/>
      <c r="Z148" s="2"/>
      <c r="AA148" s="2"/>
      <c r="AB148" s="2"/>
    </row>
    <row r="149">
      <c r="B149" s="280"/>
      <c r="C149" s="279" t="s">
        <v>3811</v>
      </c>
      <c r="D149" s="280"/>
      <c r="E149" s="281"/>
      <c r="F149" s="282" t="str">
        <f t="shared" si="1"/>
        <v>בכלל לא</v>
      </c>
      <c r="G149" s="283">
        <f>COUNTIF(Recordings!A:A,C149)</f>
        <v>0</v>
      </c>
      <c r="H149" s="283"/>
      <c r="I149" s="283"/>
      <c r="J149" s="283"/>
      <c r="K149" s="2"/>
      <c r="L149" s="7"/>
      <c r="M149" s="2"/>
      <c r="N149" s="2"/>
      <c r="O149" s="2"/>
      <c r="P149" s="2"/>
      <c r="Q149" s="2"/>
      <c r="R149" s="2"/>
      <c r="S149" s="2"/>
      <c r="T149" s="2"/>
      <c r="U149" s="2"/>
      <c r="V149" s="2"/>
      <c r="W149" s="2"/>
      <c r="X149" s="2"/>
      <c r="Y149" s="2"/>
      <c r="Z149" s="2"/>
      <c r="AA149" s="2"/>
      <c r="AB149" s="2"/>
    </row>
    <row r="150">
      <c r="B150" s="280"/>
      <c r="C150" s="279" t="s">
        <v>3812</v>
      </c>
      <c r="D150" s="280"/>
      <c r="E150" s="281"/>
      <c r="F150" s="282" t="str">
        <f t="shared" si="1"/>
        <v>בכלל לא</v>
      </c>
      <c r="G150" s="283">
        <f>COUNTIF(Recordings!A:A,C150)</f>
        <v>0</v>
      </c>
      <c r="H150" s="283"/>
      <c r="I150" s="283"/>
      <c r="J150" s="283"/>
      <c r="K150" s="2"/>
      <c r="L150" s="7"/>
      <c r="M150" s="2"/>
      <c r="N150" s="2"/>
      <c r="O150" s="2"/>
      <c r="P150" s="2"/>
      <c r="Q150" s="2"/>
      <c r="R150" s="2"/>
      <c r="S150" s="2"/>
      <c r="T150" s="2"/>
      <c r="U150" s="2"/>
      <c r="V150" s="2"/>
      <c r="W150" s="2"/>
      <c r="X150" s="2"/>
      <c r="Y150" s="2"/>
      <c r="Z150" s="2"/>
      <c r="AA150" s="2"/>
      <c r="AB150" s="2"/>
    </row>
    <row r="151">
      <c r="B151" s="280"/>
      <c r="C151" s="279" t="s">
        <v>3813</v>
      </c>
      <c r="D151" s="280"/>
      <c r="E151" s="281"/>
      <c r="F151" s="282" t="str">
        <f t="shared" si="1"/>
        <v>בכלל לא</v>
      </c>
      <c r="G151" s="283">
        <f>COUNTIF(Recordings!A:A,C151)</f>
        <v>0</v>
      </c>
      <c r="H151" s="283"/>
      <c r="I151" s="283"/>
      <c r="J151" s="283"/>
      <c r="K151" s="2"/>
      <c r="L151" s="7"/>
      <c r="M151" s="2"/>
      <c r="N151" s="2"/>
      <c r="O151" s="2"/>
      <c r="P151" s="2"/>
      <c r="Q151" s="2"/>
      <c r="R151" s="2"/>
      <c r="S151" s="2"/>
      <c r="T151" s="2"/>
      <c r="U151" s="2"/>
      <c r="V151" s="2"/>
      <c r="W151" s="2"/>
      <c r="X151" s="2"/>
      <c r="Y151" s="2"/>
      <c r="Z151" s="2"/>
      <c r="AA151" s="2"/>
      <c r="AB151" s="2"/>
    </row>
    <row r="152">
      <c r="B152" s="280"/>
      <c r="C152" s="279" t="s">
        <v>3814</v>
      </c>
      <c r="D152" s="280"/>
      <c r="E152" s="281"/>
      <c r="F152" s="282" t="str">
        <f t="shared" si="1"/>
        <v>בכלל לא</v>
      </c>
      <c r="G152" s="283">
        <f>COUNTIF(Recordings!A:A,C152)</f>
        <v>0</v>
      </c>
      <c r="H152" s="283"/>
      <c r="I152" s="283"/>
      <c r="J152" s="283"/>
      <c r="K152" s="2"/>
      <c r="L152" s="7"/>
      <c r="M152" s="2"/>
      <c r="N152" s="2"/>
      <c r="O152" s="2"/>
      <c r="P152" s="2"/>
      <c r="Q152" s="2"/>
      <c r="R152" s="2"/>
      <c r="S152" s="2"/>
      <c r="T152" s="2"/>
      <c r="U152" s="2"/>
      <c r="V152" s="2"/>
      <c r="W152" s="2"/>
      <c r="X152" s="2"/>
      <c r="Y152" s="2"/>
      <c r="Z152" s="2"/>
      <c r="AA152" s="2"/>
      <c r="AB152" s="2"/>
    </row>
    <row r="153">
      <c r="B153" s="280" t="s">
        <v>255</v>
      </c>
      <c r="C153" s="280" t="s">
        <v>254</v>
      </c>
      <c r="D153" s="280" t="s">
        <v>256</v>
      </c>
      <c r="E153" s="281"/>
      <c r="F153" s="282" t="str">
        <f t="shared" si="1"/>
        <v>בכלל לא</v>
      </c>
      <c r="G153" s="283">
        <f>COUNTIF(Recordings!A:A,C153)</f>
        <v>0</v>
      </c>
      <c r="H153" s="283"/>
      <c r="I153" s="283"/>
      <c r="J153" s="283"/>
      <c r="K153" s="2"/>
      <c r="L153" s="7"/>
      <c r="M153" s="2"/>
      <c r="N153" s="2"/>
      <c r="O153" s="2"/>
      <c r="P153" s="2"/>
      <c r="Q153" s="2"/>
      <c r="R153" s="2"/>
      <c r="S153" s="2"/>
      <c r="T153" s="2"/>
      <c r="U153" s="2"/>
      <c r="V153" s="2"/>
      <c r="W153" s="2"/>
      <c r="X153" s="2"/>
      <c r="Y153" s="2"/>
      <c r="Z153" s="2"/>
      <c r="AA153" s="2"/>
      <c r="AB153" s="2"/>
    </row>
    <row r="154">
      <c r="B154" s="280"/>
      <c r="C154" s="279" t="s">
        <v>3815</v>
      </c>
      <c r="D154" s="280"/>
      <c r="E154" s="281"/>
      <c r="F154" s="282" t="str">
        <f t="shared" si="1"/>
        <v>בכלל לא</v>
      </c>
      <c r="G154" s="283">
        <f>COUNTIF(Recordings!A:A,C154)</f>
        <v>0</v>
      </c>
      <c r="H154" s="283"/>
      <c r="I154" s="283"/>
      <c r="J154" s="283"/>
      <c r="K154" s="2"/>
      <c r="L154" s="7"/>
      <c r="M154" s="2"/>
      <c r="N154" s="2"/>
      <c r="O154" s="2"/>
      <c r="P154" s="2"/>
      <c r="Q154" s="2"/>
      <c r="R154" s="2"/>
      <c r="S154" s="2"/>
      <c r="T154" s="2"/>
      <c r="U154" s="2"/>
      <c r="V154" s="2"/>
      <c r="W154" s="2"/>
      <c r="X154" s="2"/>
      <c r="Y154" s="2"/>
      <c r="Z154" s="2"/>
      <c r="AA154" s="2"/>
      <c r="AB154" s="2"/>
    </row>
    <row r="155">
      <c r="B155" s="280"/>
      <c r="C155" s="279" t="s">
        <v>3756</v>
      </c>
      <c r="D155" s="280"/>
      <c r="E155" s="281"/>
      <c r="F155" s="282" t="str">
        <f t="shared" si="1"/>
        <v>בכלל לא</v>
      </c>
      <c r="G155" s="283">
        <f>COUNTIF(Recordings!A:A,C155)</f>
        <v>0</v>
      </c>
      <c r="H155" s="283"/>
      <c r="I155" s="283"/>
      <c r="J155" s="283"/>
      <c r="K155" s="2"/>
      <c r="L155" s="7"/>
      <c r="M155" s="2"/>
      <c r="N155" s="2"/>
      <c r="O155" s="2"/>
      <c r="P155" s="2"/>
      <c r="Q155" s="2"/>
      <c r="R155" s="2"/>
      <c r="S155" s="2"/>
      <c r="T155" s="2"/>
      <c r="U155" s="2"/>
      <c r="V155" s="2"/>
      <c r="W155" s="2"/>
      <c r="X155" s="2"/>
      <c r="Y155" s="2"/>
      <c r="Z155" s="2"/>
      <c r="AA155" s="2"/>
      <c r="AB155" s="2"/>
    </row>
    <row r="156">
      <c r="B156" s="280" t="s">
        <v>269</v>
      </c>
      <c r="C156" s="280" t="s">
        <v>268</v>
      </c>
      <c r="D156" s="280" t="s">
        <v>270</v>
      </c>
      <c r="E156" s="281"/>
      <c r="F156" s="282" t="str">
        <f t="shared" si="1"/>
        <v>בכלל לא</v>
      </c>
      <c r="G156" s="283">
        <f>COUNTIF(Recordings!A:A,C156)</f>
        <v>0</v>
      </c>
      <c r="H156" s="283"/>
      <c r="I156" s="283"/>
      <c r="J156" s="283"/>
      <c r="K156" s="2"/>
      <c r="L156" s="7"/>
      <c r="M156" s="2"/>
      <c r="N156" s="2"/>
      <c r="O156" s="2"/>
      <c r="P156" s="2"/>
      <c r="Q156" s="2"/>
      <c r="R156" s="2"/>
      <c r="S156" s="2"/>
      <c r="T156" s="2"/>
      <c r="U156" s="2"/>
      <c r="V156" s="2"/>
      <c r="W156" s="2"/>
      <c r="X156" s="2"/>
      <c r="Y156" s="2"/>
      <c r="Z156" s="2"/>
      <c r="AA156" s="2"/>
      <c r="AB156" s="2"/>
    </row>
    <row r="157">
      <c r="B157" s="280"/>
      <c r="C157" s="279" t="s">
        <v>3816</v>
      </c>
      <c r="D157" s="280"/>
      <c r="E157" s="281"/>
      <c r="F157" s="282" t="str">
        <f t="shared" si="1"/>
        <v>בכלל לא</v>
      </c>
      <c r="G157" s="283">
        <f>COUNTIF(Recordings!A:A,C157)</f>
        <v>0</v>
      </c>
      <c r="H157" s="283"/>
      <c r="I157" s="283"/>
      <c r="J157" s="283"/>
      <c r="K157" s="2"/>
      <c r="L157" s="7"/>
      <c r="M157" s="2"/>
      <c r="N157" s="2"/>
      <c r="O157" s="2"/>
      <c r="P157" s="2"/>
      <c r="Q157" s="2"/>
      <c r="R157" s="2"/>
      <c r="S157" s="2"/>
      <c r="T157" s="2"/>
      <c r="U157" s="2"/>
      <c r="V157" s="2"/>
      <c r="W157" s="2"/>
      <c r="X157" s="2"/>
      <c r="Y157" s="2"/>
      <c r="Z157" s="2"/>
      <c r="AA157" s="2"/>
      <c r="AB157" s="2"/>
    </row>
    <row r="158">
      <c r="B158" s="280"/>
      <c r="C158" s="279" t="s">
        <v>3817</v>
      </c>
      <c r="D158" s="280"/>
      <c r="E158" s="281"/>
      <c r="F158" s="282" t="str">
        <f t="shared" si="1"/>
        <v>בכלל לא</v>
      </c>
      <c r="G158" s="283">
        <f>COUNTIF(Recordings!A:A,C158)</f>
        <v>0</v>
      </c>
      <c r="H158" s="283"/>
      <c r="I158" s="283"/>
      <c r="J158" s="283"/>
      <c r="K158" s="2"/>
      <c r="L158" s="7"/>
      <c r="M158" s="2"/>
      <c r="N158" s="2"/>
      <c r="O158" s="2"/>
      <c r="P158" s="2"/>
      <c r="Q158" s="2"/>
      <c r="R158" s="2"/>
      <c r="S158" s="2"/>
      <c r="T158" s="2"/>
      <c r="U158" s="2"/>
      <c r="V158" s="2"/>
      <c r="W158" s="2"/>
      <c r="X158" s="2"/>
      <c r="Y158" s="2"/>
      <c r="Z158" s="2"/>
      <c r="AA158" s="2"/>
      <c r="AB158" s="2"/>
    </row>
    <row r="159">
      <c r="B159" s="280"/>
      <c r="C159" s="279" t="s">
        <v>3818</v>
      </c>
      <c r="D159" s="280"/>
      <c r="E159" s="281"/>
      <c r="F159" s="282" t="str">
        <f t="shared" si="1"/>
        <v>בכלל לא</v>
      </c>
      <c r="G159" s="283">
        <f>COUNTIF(Recordings!A:A,C159)</f>
        <v>0</v>
      </c>
      <c r="H159" s="283"/>
      <c r="I159" s="283"/>
      <c r="J159" s="283"/>
      <c r="K159" s="2"/>
      <c r="L159" s="7"/>
      <c r="M159" s="2"/>
      <c r="N159" s="2"/>
      <c r="O159" s="2"/>
      <c r="P159" s="2"/>
      <c r="Q159" s="2"/>
      <c r="R159" s="2"/>
      <c r="S159" s="2"/>
      <c r="T159" s="2"/>
      <c r="U159" s="2"/>
      <c r="V159" s="2"/>
      <c r="W159" s="2"/>
      <c r="X159" s="2"/>
      <c r="Y159" s="2"/>
      <c r="Z159" s="2"/>
      <c r="AA159" s="2"/>
      <c r="AB159" s="2"/>
    </row>
    <row r="160">
      <c r="B160" s="280"/>
      <c r="C160" s="279" t="s">
        <v>3819</v>
      </c>
      <c r="D160" s="280"/>
      <c r="E160" s="281"/>
      <c r="F160" s="282" t="str">
        <f t="shared" si="1"/>
        <v>בכלל לא</v>
      </c>
      <c r="G160" s="283">
        <f>COUNTIF(Recordings!A:A,C160)</f>
        <v>0</v>
      </c>
      <c r="H160" s="283"/>
      <c r="I160" s="283"/>
      <c r="J160" s="283"/>
      <c r="K160" s="2"/>
      <c r="L160" s="7"/>
      <c r="M160" s="2"/>
      <c r="N160" s="2"/>
      <c r="O160" s="2"/>
      <c r="P160" s="2"/>
      <c r="Q160" s="2"/>
      <c r="R160" s="2"/>
      <c r="S160" s="2"/>
      <c r="T160" s="2"/>
      <c r="U160" s="2"/>
      <c r="V160" s="2"/>
      <c r="W160" s="2"/>
      <c r="X160" s="2"/>
      <c r="Y160" s="2"/>
      <c r="Z160" s="2"/>
      <c r="AA160" s="2"/>
      <c r="AB160" s="2"/>
    </row>
    <row r="161">
      <c r="B161" s="280"/>
      <c r="C161" s="279" t="s">
        <v>3820</v>
      </c>
      <c r="D161" s="280"/>
      <c r="E161" s="281"/>
      <c r="F161" s="282" t="str">
        <f t="shared" si="1"/>
        <v>בכלל לא</v>
      </c>
      <c r="G161" s="283">
        <f>COUNTIF(Recordings!A:A,C161)</f>
        <v>0</v>
      </c>
      <c r="H161" s="283"/>
      <c r="I161" s="283"/>
      <c r="J161" s="283"/>
      <c r="K161" s="2"/>
      <c r="L161" s="7"/>
      <c r="M161" s="2"/>
      <c r="N161" s="2"/>
      <c r="O161" s="2"/>
      <c r="P161" s="2"/>
      <c r="Q161" s="2"/>
      <c r="R161" s="2"/>
      <c r="S161" s="2"/>
      <c r="T161" s="2"/>
      <c r="U161" s="2"/>
      <c r="V161" s="2"/>
      <c r="W161" s="2"/>
      <c r="X161" s="2"/>
      <c r="Y161" s="2"/>
      <c r="Z161" s="2"/>
      <c r="AA161" s="2"/>
      <c r="AB161" s="2"/>
    </row>
    <row r="162">
      <c r="B162" s="280"/>
      <c r="C162" s="279" t="s">
        <v>3821</v>
      </c>
      <c r="D162" s="280"/>
      <c r="E162" s="281"/>
      <c r="F162" s="282" t="str">
        <f t="shared" si="1"/>
        <v>בכלל לא</v>
      </c>
      <c r="G162" s="283">
        <f>COUNTIF(Recordings!A:A,C162)</f>
        <v>0</v>
      </c>
      <c r="H162" s="283"/>
      <c r="I162" s="283"/>
      <c r="J162" s="283"/>
      <c r="K162" s="2"/>
      <c r="L162" s="7"/>
      <c r="M162" s="2"/>
      <c r="N162" s="2"/>
      <c r="O162" s="2"/>
      <c r="P162" s="2"/>
      <c r="Q162" s="2"/>
      <c r="R162" s="2"/>
      <c r="S162" s="2"/>
      <c r="T162" s="2"/>
      <c r="U162" s="2"/>
      <c r="V162" s="2"/>
      <c r="W162" s="2"/>
      <c r="X162" s="2"/>
      <c r="Y162" s="2"/>
      <c r="Z162" s="2"/>
      <c r="AA162" s="2"/>
      <c r="AB162" s="2"/>
    </row>
    <row r="163">
      <c r="B163" s="280"/>
      <c r="C163" s="279" t="s">
        <v>3822</v>
      </c>
      <c r="D163" s="280"/>
      <c r="E163" s="281"/>
      <c r="F163" s="282" t="str">
        <f t="shared" si="1"/>
        <v>בכלל לא</v>
      </c>
      <c r="G163" s="283">
        <f>COUNTIF(Recordings!A:A,C163)</f>
        <v>0</v>
      </c>
      <c r="H163" s="283"/>
      <c r="I163" s="283"/>
      <c r="J163" s="283"/>
      <c r="K163" s="2"/>
      <c r="L163" s="7"/>
      <c r="M163" s="2"/>
      <c r="N163" s="2"/>
      <c r="O163" s="2"/>
      <c r="P163" s="2"/>
      <c r="Q163" s="2"/>
      <c r="R163" s="2"/>
      <c r="S163" s="2"/>
      <c r="T163" s="2"/>
      <c r="U163" s="2"/>
      <c r="V163" s="2"/>
      <c r="W163" s="2"/>
      <c r="X163" s="2"/>
      <c r="Y163" s="2"/>
      <c r="Z163" s="2"/>
      <c r="AA163" s="2"/>
      <c r="AB163" s="2"/>
    </row>
    <row r="164">
      <c r="B164" s="280"/>
      <c r="C164" s="279" t="s">
        <v>3823</v>
      </c>
      <c r="D164" s="280"/>
      <c r="E164" s="281"/>
      <c r="F164" s="282" t="str">
        <f t="shared" si="1"/>
        <v>בכלל לא</v>
      </c>
      <c r="G164" s="283">
        <f>COUNTIF(Recordings!A:A,C164)</f>
        <v>0</v>
      </c>
      <c r="H164" s="283"/>
      <c r="I164" s="283"/>
      <c r="J164" s="283"/>
      <c r="K164" s="2"/>
      <c r="L164" s="7"/>
      <c r="M164" s="2"/>
      <c r="N164" s="2"/>
      <c r="O164" s="2"/>
      <c r="P164" s="2"/>
      <c r="Q164" s="2"/>
      <c r="R164" s="2"/>
      <c r="S164" s="2"/>
      <c r="T164" s="2"/>
      <c r="U164" s="2"/>
      <c r="V164" s="2"/>
      <c r="W164" s="2"/>
      <c r="X164" s="2"/>
      <c r="Y164" s="2"/>
      <c r="Z164" s="2"/>
      <c r="AA164" s="2"/>
      <c r="AB164" s="2"/>
    </row>
    <row r="165">
      <c r="B165" s="280"/>
      <c r="C165" s="279" t="s">
        <v>3824</v>
      </c>
      <c r="D165" s="280"/>
      <c r="E165" s="281"/>
      <c r="F165" s="282" t="str">
        <f t="shared" si="1"/>
        <v>בכלל לא</v>
      </c>
      <c r="G165" s="283">
        <f>COUNTIF(Recordings!A:A,C165)</f>
        <v>0</v>
      </c>
      <c r="H165" s="283"/>
      <c r="I165" s="283"/>
      <c r="J165" s="283"/>
      <c r="K165" s="2"/>
      <c r="L165" s="7"/>
      <c r="M165" s="2"/>
      <c r="N165" s="2"/>
      <c r="O165" s="2"/>
      <c r="P165" s="2"/>
      <c r="Q165" s="2"/>
      <c r="R165" s="2"/>
      <c r="S165" s="2"/>
      <c r="T165" s="2"/>
      <c r="U165" s="2"/>
      <c r="V165" s="2"/>
      <c r="W165" s="2"/>
      <c r="X165" s="2"/>
      <c r="Y165" s="2"/>
      <c r="Z165" s="2"/>
      <c r="AA165" s="2"/>
      <c r="AB165" s="2"/>
    </row>
    <row r="166">
      <c r="B166" s="280"/>
      <c r="C166" s="279" t="s">
        <v>3825</v>
      </c>
      <c r="D166" s="280"/>
      <c r="E166" s="281"/>
      <c r="F166" s="282" t="str">
        <f t="shared" si="1"/>
        <v>בכלל לא</v>
      </c>
      <c r="G166" s="283">
        <f>COUNTIF(Recordings!A:A,C166)</f>
        <v>0</v>
      </c>
      <c r="H166" s="283"/>
      <c r="I166" s="283"/>
      <c r="J166" s="283"/>
      <c r="K166" s="2"/>
      <c r="L166" s="7"/>
      <c r="M166" s="2"/>
      <c r="N166" s="2"/>
      <c r="O166" s="2"/>
      <c r="P166" s="2"/>
      <c r="Q166" s="2"/>
      <c r="R166" s="2"/>
      <c r="S166" s="2"/>
      <c r="T166" s="2"/>
      <c r="U166" s="2"/>
      <c r="V166" s="2"/>
      <c r="W166" s="2"/>
      <c r="X166" s="2"/>
      <c r="Y166" s="2"/>
      <c r="Z166" s="2"/>
      <c r="AA166" s="2"/>
      <c r="AB166" s="2"/>
    </row>
    <row r="167">
      <c r="B167" s="280"/>
      <c r="C167" s="279" t="s">
        <v>363</v>
      </c>
      <c r="D167" s="280"/>
      <c r="E167" s="281"/>
      <c r="F167" s="282" t="str">
        <f t="shared" si="1"/>
        <v>בכלל לא</v>
      </c>
      <c r="G167" s="283">
        <f>COUNTIF(Recordings!A:A,C167)</f>
        <v>0</v>
      </c>
      <c r="H167" s="283"/>
      <c r="I167" s="283"/>
      <c r="J167" s="283"/>
      <c r="K167" s="2"/>
      <c r="L167" s="7"/>
      <c r="M167" s="2"/>
      <c r="N167" s="2"/>
      <c r="O167" s="2"/>
      <c r="P167" s="2"/>
      <c r="Q167" s="2"/>
      <c r="R167" s="2"/>
      <c r="S167" s="2"/>
      <c r="T167" s="2"/>
      <c r="U167" s="2"/>
      <c r="V167" s="2"/>
      <c r="W167" s="2"/>
      <c r="X167" s="2"/>
      <c r="Y167" s="2"/>
      <c r="Z167" s="2"/>
      <c r="AA167" s="2"/>
      <c r="AB167" s="2"/>
    </row>
    <row r="168">
      <c r="B168" s="280"/>
      <c r="C168" s="279" t="s">
        <v>3826</v>
      </c>
      <c r="D168" s="280"/>
      <c r="E168" s="281"/>
      <c r="F168" s="282" t="str">
        <f t="shared" si="1"/>
        <v>בכלל לא</v>
      </c>
      <c r="G168" s="283">
        <f>COUNTIF(Recordings!A:A,C168)</f>
        <v>0</v>
      </c>
      <c r="H168" s="283"/>
      <c r="I168" s="283"/>
      <c r="J168" s="283"/>
      <c r="K168" s="2"/>
      <c r="L168" s="7"/>
      <c r="M168" s="2"/>
      <c r="N168" s="2"/>
      <c r="O168" s="2"/>
      <c r="P168" s="2"/>
      <c r="Q168" s="2"/>
      <c r="R168" s="2"/>
      <c r="S168" s="2"/>
      <c r="T168" s="2"/>
      <c r="U168" s="2"/>
      <c r="V168" s="2"/>
      <c r="W168" s="2"/>
      <c r="X168" s="2"/>
      <c r="Y168" s="2"/>
      <c r="Z168" s="2"/>
      <c r="AA168" s="2"/>
      <c r="AB168" s="2"/>
    </row>
    <row r="169">
      <c r="B169" s="280"/>
      <c r="C169" s="279" t="s">
        <v>3827</v>
      </c>
      <c r="D169" s="280"/>
      <c r="E169" s="281"/>
      <c r="F169" s="282" t="str">
        <f t="shared" si="1"/>
        <v>בכלל לא</v>
      </c>
      <c r="G169" s="283">
        <f>COUNTIF(Recordings!A:A,C169)</f>
        <v>0</v>
      </c>
      <c r="H169" s="283"/>
      <c r="I169" s="283"/>
      <c r="J169" s="283"/>
      <c r="K169" s="2"/>
      <c r="L169" s="7"/>
      <c r="M169" s="2"/>
      <c r="N169" s="2"/>
      <c r="O169" s="2"/>
      <c r="P169" s="2"/>
      <c r="Q169" s="2"/>
      <c r="R169" s="2"/>
      <c r="S169" s="2"/>
      <c r="T169" s="2"/>
      <c r="U169" s="2"/>
      <c r="V169" s="2"/>
      <c r="W169" s="2"/>
      <c r="X169" s="2"/>
      <c r="Y169" s="2"/>
      <c r="Z169" s="2"/>
      <c r="AA169" s="2"/>
      <c r="AB169" s="2"/>
    </row>
    <row r="170">
      <c r="B170" s="280"/>
      <c r="C170" s="279" t="s">
        <v>3828</v>
      </c>
      <c r="D170" s="280"/>
      <c r="E170" s="281"/>
      <c r="F170" s="282" t="str">
        <f t="shared" si="1"/>
        <v>בכלל לא</v>
      </c>
      <c r="G170" s="283">
        <f>COUNTIF(Recordings!A:A,C170)</f>
        <v>0</v>
      </c>
      <c r="H170" s="283"/>
      <c r="I170" s="283"/>
      <c r="J170" s="283"/>
      <c r="K170" s="2"/>
      <c r="L170" s="7"/>
      <c r="M170" s="2"/>
      <c r="N170" s="2"/>
      <c r="O170" s="2"/>
      <c r="P170" s="2"/>
      <c r="Q170" s="2"/>
      <c r="R170" s="2"/>
      <c r="S170" s="2"/>
      <c r="T170" s="2"/>
      <c r="U170" s="2"/>
      <c r="V170" s="2"/>
      <c r="W170" s="2"/>
      <c r="X170" s="2"/>
      <c r="Y170" s="2"/>
      <c r="Z170" s="2"/>
      <c r="AA170" s="2"/>
      <c r="AB170" s="2"/>
    </row>
    <row r="171">
      <c r="B171" s="280"/>
      <c r="C171" s="279" t="s">
        <v>3829</v>
      </c>
      <c r="D171" s="280"/>
      <c r="E171" s="281"/>
      <c r="F171" s="282" t="str">
        <f t="shared" si="1"/>
        <v>בכלל לא</v>
      </c>
      <c r="G171" s="283">
        <f>COUNTIF(Recordings!A:A,C171)</f>
        <v>0</v>
      </c>
      <c r="H171" s="283"/>
      <c r="I171" s="283"/>
      <c r="J171" s="283"/>
      <c r="K171" s="2"/>
      <c r="L171" s="7"/>
      <c r="M171" s="2"/>
      <c r="N171" s="2"/>
      <c r="O171" s="2"/>
      <c r="P171" s="2"/>
      <c r="Q171" s="2"/>
      <c r="R171" s="2"/>
      <c r="S171" s="2"/>
      <c r="T171" s="2"/>
      <c r="U171" s="2"/>
      <c r="V171" s="2"/>
      <c r="W171" s="2"/>
      <c r="X171" s="2"/>
      <c r="Y171" s="2"/>
      <c r="Z171" s="2"/>
      <c r="AA171" s="2"/>
      <c r="AB171" s="2"/>
    </row>
    <row r="172">
      <c r="B172" s="280"/>
      <c r="C172" s="279" t="s">
        <v>3830</v>
      </c>
      <c r="D172" s="280"/>
      <c r="E172" s="281"/>
      <c r="F172" s="282" t="str">
        <f t="shared" si="1"/>
        <v>בכלל לא</v>
      </c>
      <c r="G172" s="283">
        <f>COUNTIF(Recordings!A:A,C172)</f>
        <v>0</v>
      </c>
      <c r="H172" s="283"/>
      <c r="I172" s="283"/>
      <c r="J172" s="283"/>
      <c r="K172" s="2"/>
      <c r="L172" s="7"/>
      <c r="M172" s="2"/>
      <c r="N172" s="2"/>
      <c r="O172" s="2"/>
      <c r="P172" s="2"/>
      <c r="Q172" s="2"/>
      <c r="R172" s="2"/>
      <c r="S172" s="2"/>
      <c r="T172" s="2"/>
      <c r="U172" s="2"/>
      <c r="V172" s="2"/>
      <c r="W172" s="2"/>
      <c r="X172" s="2"/>
      <c r="Y172" s="2"/>
      <c r="Z172" s="2"/>
      <c r="AA172" s="2"/>
      <c r="AB172" s="2"/>
    </row>
    <row r="173">
      <c r="B173" s="280" t="s">
        <v>433</v>
      </c>
      <c r="C173" s="280" t="s">
        <v>432</v>
      </c>
      <c r="D173" s="280" t="s">
        <v>434</v>
      </c>
      <c r="E173" s="281"/>
      <c r="F173" s="282" t="str">
        <f t="shared" si="1"/>
        <v>בכלל לא</v>
      </c>
      <c r="G173" s="283">
        <f>COUNTIF(Recordings!A:A,C173)</f>
        <v>0</v>
      </c>
      <c r="H173" s="283"/>
      <c r="I173" s="283"/>
      <c r="J173" s="283"/>
      <c r="K173" s="2"/>
      <c r="L173" s="7"/>
      <c r="M173" s="2"/>
      <c r="N173" s="2"/>
      <c r="O173" s="2"/>
      <c r="P173" s="2"/>
      <c r="Q173" s="2"/>
      <c r="R173" s="2"/>
      <c r="S173" s="2"/>
      <c r="T173" s="2"/>
      <c r="U173" s="2"/>
      <c r="V173" s="2"/>
      <c r="W173" s="2"/>
      <c r="X173" s="2"/>
      <c r="Y173" s="2"/>
      <c r="Z173" s="2"/>
      <c r="AA173" s="2"/>
      <c r="AB173" s="2"/>
    </row>
    <row r="174">
      <c r="B174" s="284" t="s">
        <v>1163</v>
      </c>
      <c r="C174" s="279" t="s">
        <v>345</v>
      </c>
      <c r="D174" s="280"/>
      <c r="E174" s="281"/>
      <c r="F174" s="282" t="str">
        <f t="shared" si="1"/>
        <v>כן</v>
      </c>
      <c r="G174" s="283">
        <f>COUNTIF(Recordings!A:A,C174)</f>
        <v>4</v>
      </c>
      <c r="H174" s="283"/>
      <c r="I174" s="283"/>
      <c r="J174" s="283"/>
      <c r="K174" s="2"/>
      <c r="L174" s="7"/>
      <c r="M174" s="2"/>
      <c r="N174" s="2"/>
      <c r="O174" s="2"/>
      <c r="P174" s="2"/>
      <c r="Q174" s="2"/>
      <c r="R174" s="2"/>
      <c r="S174" s="2"/>
      <c r="T174" s="2"/>
      <c r="U174" s="2"/>
      <c r="V174" s="2"/>
      <c r="W174" s="2"/>
      <c r="X174" s="2"/>
      <c r="Y174" s="2"/>
      <c r="Z174" s="2"/>
      <c r="AA174" s="2"/>
      <c r="AB174" s="2"/>
    </row>
    <row r="175">
      <c r="B175" s="280" t="s">
        <v>349</v>
      </c>
      <c r="C175" s="280" t="s">
        <v>348</v>
      </c>
      <c r="D175" s="280" t="s">
        <v>350</v>
      </c>
      <c r="E175" s="281"/>
      <c r="F175" s="282" t="str">
        <f t="shared" si="1"/>
        <v>בכלל לא</v>
      </c>
      <c r="G175" s="283">
        <f>COUNTIF(Recordings!A:A,C175)</f>
        <v>0</v>
      </c>
      <c r="H175" s="283"/>
      <c r="I175" s="283"/>
      <c r="J175" s="283"/>
      <c r="K175" s="2"/>
      <c r="L175" s="7"/>
      <c r="M175" s="2"/>
      <c r="N175" s="2"/>
      <c r="O175" s="2"/>
      <c r="P175" s="2"/>
      <c r="Q175" s="2"/>
      <c r="R175" s="2"/>
      <c r="S175" s="2"/>
      <c r="T175" s="2"/>
      <c r="U175" s="2"/>
      <c r="V175" s="2"/>
      <c r="W175" s="2"/>
      <c r="X175" s="2"/>
      <c r="Y175" s="2"/>
      <c r="Z175" s="2"/>
      <c r="AA175" s="2"/>
      <c r="AB175" s="2"/>
    </row>
    <row r="176">
      <c r="B176" s="280"/>
      <c r="C176" s="279" t="s">
        <v>3831</v>
      </c>
      <c r="D176" s="280"/>
      <c r="E176" s="281"/>
      <c r="F176" s="282" t="str">
        <f t="shared" si="1"/>
        <v>בכלל לא</v>
      </c>
      <c r="G176" s="283">
        <f>COUNTIF(Recordings!A:A,C176)</f>
        <v>0</v>
      </c>
      <c r="H176" s="283"/>
      <c r="I176" s="283"/>
      <c r="J176" s="283"/>
      <c r="K176" s="2"/>
      <c r="L176" s="7"/>
      <c r="M176" s="2"/>
      <c r="N176" s="2"/>
      <c r="O176" s="2"/>
      <c r="P176" s="2"/>
      <c r="Q176" s="2"/>
      <c r="R176" s="2"/>
      <c r="S176" s="2"/>
      <c r="T176" s="2"/>
      <c r="U176" s="2"/>
      <c r="V176" s="2"/>
      <c r="W176" s="2"/>
      <c r="X176" s="2"/>
      <c r="Y176" s="2"/>
      <c r="Z176" s="2"/>
      <c r="AA176" s="2"/>
      <c r="AB176" s="2"/>
    </row>
    <row r="177">
      <c r="B177" s="280"/>
      <c r="C177" s="279" t="s">
        <v>3832</v>
      </c>
      <c r="D177" s="280"/>
      <c r="E177" s="281"/>
      <c r="F177" s="282" t="str">
        <f t="shared" si="1"/>
        <v>בכלל לא</v>
      </c>
      <c r="G177" s="283">
        <f>COUNTIF(Recordings!A:A,C177)</f>
        <v>0</v>
      </c>
      <c r="H177" s="283"/>
      <c r="I177" s="283"/>
      <c r="J177" s="283"/>
      <c r="K177" s="2"/>
      <c r="L177" s="7"/>
      <c r="M177" s="2"/>
      <c r="N177" s="2"/>
      <c r="O177" s="2"/>
      <c r="P177" s="2"/>
      <c r="Q177" s="2"/>
      <c r="R177" s="2"/>
      <c r="S177" s="2"/>
      <c r="T177" s="2"/>
      <c r="U177" s="2"/>
      <c r="V177" s="2"/>
      <c r="W177" s="2"/>
      <c r="X177" s="2"/>
      <c r="Y177" s="2"/>
      <c r="Z177" s="2"/>
      <c r="AA177" s="2"/>
      <c r="AB177" s="2"/>
    </row>
    <row r="178">
      <c r="B178" s="280"/>
      <c r="C178" s="279" t="s">
        <v>3833</v>
      </c>
      <c r="D178" s="280"/>
      <c r="E178" s="281"/>
      <c r="F178" s="282" t="str">
        <f t="shared" si="1"/>
        <v>בכלל לא</v>
      </c>
      <c r="G178" s="283">
        <f>COUNTIF(Recordings!A:A,C178)</f>
        <v>0</v>
      </c>
      <c r="H178" s="283"/>
      <c r="I178" s="283"/>
      <c r="J178" s="283"/>
      <c r="K178" s="2"/>
      <c r="L178" s="7"/>
      <c r="M178" s="2"/>
      <c r="N178" s="2"/>
      <c r="O178" s="2"/>
      <c r="P178" s="2"/>
      <c r="Q178" s="2"/>
      <c r="R178" s="2"/>
      <c r="S178" s="2"/>
      <c r="T178" s="2"/>
      <c r="U178" s="2"/>
      <c r="V178" s="2"/>
      <c r="W178" s="2"/>
      <c r="X178" s="2"/>
      <c r="Y178" s="2"/>
      <c r="Z178" s="2"/>
      <c r="AA178" s="2"/>
      <c r="AB178" s="2"/>
    </row>
    <row r="179">
      <c r="B179" s="280"/>
      <c r="C179" s="279" t="s">
        <v>3834</v>
      </c>
      <c r="D179" s="280"/>
      <c r="E179" s="281"/>
      <c r="F179" s="282" t="str">
        <f t="shared" si="1"/>
        <v>בכלל לא</v>
      </c>
      <c r="G179" s="283">
        <f>COUNTIF(Recordings!A:A,C179)</f>
        <v>0</v>
      </c>
      <c r="H179" s="283"/>
      <c r="I179" s="283"/>
      <c r="J179" s="283"/>
      <c r="K179" s="2"/>
      <c r="L179" s="7"/>
      <c r="M179" s="2"/>
      <c r="N179" s="2"/>
      <c r="O179" s="2"/>
      <c r="P179" s="2"/>
      <c r="Q179" s="2"/>
      <c r="R179" s="2"/>
      <c r="S179" s="2"/>
      <c r="T179" s="2"/>
      <c r="U179" s="2"/>
      <c r="V179" s="2"/>
      <c r="W179" s="2"/>
      <c r="X179" s="2"/>
      <c r="Y179" s="2"/>
      <c r="Z179" s="2"/>
      <c r="AA179" s="2"/>
      <c r="AB179" s="2"/>
    </row>
    <row r="180">
      <c r="B180" s="280"/>
      <c r="C180" s="279" t="s">
        <v>3835</v>
      </c>
      <c r="D180" s="280"/>
      <c r="E180" s="281"/>
      <c r="F180" s="282" t="str">
        <f t="shared" si="1"/>
        <v>בכלל לא</v>
      </c>
      <c r="G180" s="283">
        <f>COUNTIF(Recordings!A:A,C180)</f>
        <v>0</v>
      </c>
      <c r="H180" s="283"/>
      <c r="I180" s="283"/>
      <c r="J180" s="283"/>
      <c r="K180" s="2"/>
      <c r="L180" s="7"/>
      <c r="M180" s="2"/>
      <c r="N180" s="2"/>
      <c r="O180" s="2"/>
      <c r="P180" s="2"/>
      <c r="Q180" s="2"/>
      <c r="R180" s="2"/>
      <c r="S180" s="2"/>
      <c r="T180" s="2"/>
      <c r="U180" s="2"/>
      <c r="V180" s="2"/>
      <c r="W180" s="2"/>
      <c r="X180" s="2"/>
      <c r="Y180" s="2"/>
      <c r="Z180" s="2"/>
      <c r="AA180" s="2"/>
      <c r="AB180" s="2"/>
    </row>
    <row r="181">
      <c r="B181" s="280"/>
      <c r="C181" s="279" t="s">
        <v>3836</v>
      </c>
      <c r="D181" s="280"/>
      <c r="E181" s="281"/>
      <c r="F181" s="282" t="str">
        <f t="shared" si="1"/>
        <v>בכלל לא</v>
      </c>
      <c r="G181" s="283">
        <f>COUNTIF(Recordings!A:A,C181)</f>
        <v>0</v>
      </c>
      <c r="H181" s="283"/>
      <c r="I181" s="283"/>
      <c r="J181" s="283"/>
      <c r="K181" s="2"/>
      <c r="L181" s="7"/>
      <c r="M181" s="2"/>
      <c r="N181" s="2"/>
      <c r="O181" s="2"/>
      <c r="P181" s="2"/>
      <c r="Q181" s="2"/>
      <c r="R181" s="2"/>
      <c r="S181" s="2"/>
      <c r="T181" s="2"/>
      <c r="U181" s="2"/>
      <c r="V181" s="2"/>
      <c r="W181" s="2"/>
      <c r="X181" s="2"/>
      <c r="Y181" s="2"/>
      <c r="Z181" s="2"/>
      <c r="AA181" s="2"/>
      <c r="AB181" s="2"/>
    </row>
    <row r="182">
      <c r="B182" s="280"/>
      <c r="C182" s="279" t="s">
        <v>3837</v>
      </c>
      <c r="D182" s="280"/>
      <c r="E182" s="281"/>
      <c r="F182" s="282" t="str">
        <f t="shared" si="1"/>
        <v>בכלל לא</v>
      </c>
      <c r="G182" s="283">
        <f>COUNTIF(Recordings!A:A,C182)</f>
        <v>0</v>
      </c>
      <c r="H182" s="283"/>
      <c r="I182" s="283"/>
      <c r="J182" s="283"/>
      <c r="K182" s="2"/>
      <c r="L182" s="7"/>
      <c r="M182" s="2"/>
      <c r="N182" s="2"/>
      <c r="O182" s="2"/>
      <c r="P182" s="2"/>
      <c r="Q182" s="2"/>
      <c r="R182" s="2"/>
      <c r="S182" s="2"/>
      <c r="T182" s="2"/>
      <c r="U182" s="2"/>
      <c r="V182" s="2"/>
      <c r="W182" s="2"/>
      <c r="X182" s="2"/>
      <c r="Y182" s="2"/>
      <c r="Z182" s="2"/>
      <c r="AA182" s="2"/>
      <c r="AB182" s="2"/>
    </row>
    <row r="183">
      <c r="B183" s="280"/>
      <c r="C183" s="279" t="s">
        <v>3838</v>
      </c>
      <c r="D183" s="280"/>
      <c r="E183" s="281"/>
      <c r="F183" s="282" t="str">
        <f t="shared" si="1"/>
        <v>בכלל לא</v>
      </c>
      <c r="G183" s="283">
        <f>COUNTIF(Recordings!A:A,C183)</f>
        <v>0</v>
      </c>
      <c r="H183" s="283"/>
      <c r="I183" s="283"/>
      <c r="J183" s="283"/>
      <c r="K183" s="2"/>
      <c r="L183" s="7"/>
      <c r="M183" s="2"/>
      <c r="N183" s="2"/>
      <c r="O183" s="2"/>
      <c r="P183" s="2"/>
      <c r="Q183" s="2"/>
      <c r="R183" s="2"/>
      <c r="S183" s="2"/>
      <c r="T183" s="2"/>
      <c r="U183" s="2"/>
      <c r="V183" s="2"/>
      <c r="W183" s="2"/>
      <c r="X183" s="2"/>
      <c r="Y183" s="2"/>
      <c r="Z183" s="2"/>
      <c r="AA183" s="2"/>
      <c r="AB183" s="2"/>
    </row>
    <row r="184">
      <c r="B184" s="280"/>
      <c r="C184" s="279" t="s">
        <v>3839</v>
      </c>
      <c r="D184" s="280"/>
      <c r="E184" s="281"/>
      <c r="F184" s="282" t="str">
        <f t="shared" si="1"/>
        <v>בכלל לא</v>
      </c>
      <c r="G184" s="283">
        <f>COUNTIF(Recordings!A:A,C184)</f>
        <v>0</v>
      </c>
      <c r="H184" s="283"/>
      <c r="I184" s="283"/>
      <c r="J184" s="283"/>
      <c r="K184" s="2"/>
      <c r="L184" s="7"/>
      <c r="M184" s="2"/>
      <c r="N184" s="2"/>
      <c r="O184" s="2"/>
      <c r="P184" s="2"/>
      <c r="Q184" s="2"/>
      <c r="R184" s="2"/>
      <c r="S184" s="2"/>
      <c r="T184" s="2"/>
      <c r="U184" s="2"/>
      <c r="V184" s="2"/>
      <c r="W184" s="2"/>
      <c r="X184" s="2"/>
      <c r="Y184" s="2"/>
      <c r="Z184" s="2"/>
      <c r="AA184" s="2"/>
      <c r="AB184" s="2"/>
    </row>
    <row r="185">
      <c r="B185" s="280"/>
      <c r="C185" s="279" t="s">
        <v>3840</v>
      </c>
      <c r="D185" s="280"/>
      <c r="E185" s="281"/>
      <c r="F185" s="282" t="str">
        <f t="shared" si="1"/>
        <v>בכלל לא</v>
      </c>
      <c r="G185" s="283">
        <f>COUNTIF(Recordings!A:A,C185)</f>
        <v>0</v>
      </c>
      <c r="H185" s="283"/>
      <c r="I185" s="283"/>
      <c r="J185" s="283"/>
      <c r="K185" s="2"/>
      <c r="L185" s="7"/>
      <c r="M185" s="2"/>
      <c r="N185" s="2"/>
      <c r="O185" s="2"/>
      <c r="P185" s="2"/>
      <c r="Q185" s="2"/>
      <c r="R185" s="2"/>
      <c r="S185" s="2"/>
      <c r="T185" s="2"/>
      <c r="U185" s="2"/>
      <c r="V185" s="2"/>
      <c r="W185" s="2"/>
      <c r="X185" s="2"/>
      <c r="Y185" s="2"/>
      <c r="Z185" s="2"/>
      <c r="AA185" s="2"/>
      <c r="AB185" s="2"/>
    </row>
    <row r="186">
      <c r="B186" s="280"/>
      <c r="C186" s="279" t="s">
        <v>3841</v>
      </c>
      <c r="D186" s="280"/>
      <c r="E186" s="281"/>
      <c r="F186" s="282" t="str">
        <f t="shared" si="1"/>
        <v>בכלל לא</v>
      </c>
      <c r="G186" s="283">
        <f>COUNTIF(Recordings!A:A,C186)</f>
        <v>0</v>
      </c>
      <c r="H186" s="283"/>
      <c r="I186" s="283"/>
      <c r="J186" s="283"/>
      <c r="K186" s="2"/>
      <c r="L186" s="7"/>
      <c r="M186" s="2"/>
      <c r="N186" s="2"/>
      <c r="O186" s="2"/>
      <c r="P186" s="2"/>
      <c r="Q186" s="2"/>
      <c r="R186" s="2"/>
      <c r="S186" s="2"/>
      <c r="T186" s="2"/>
      <c r="U186" s="2"/>
      <c r="V186" s="2"/>
      <c r="W186" s="2"/>
      <c r="X186" s="2"/>
      <c r="Y186" s="2"/>
      <c r="Z186" s="2"/>
      <c r="AA186" s="2"/>
      <c r="AB186" s="2"/>
    </row>
    <row r="187">
      <c r="B187" s="280"/>
      <c r="C187" s="279" t="s">
        <v>3842</v>
      </c>
      <c r="D187" s="280"/>
      <c r="E187" s="281"/>
      <c r="F187" s="282" t="str">
        <f t="shared" si="1"/>
        <v>בכלל לא</v>
      </c>
      <c r="G187" s="283">
        <f>COUNTIF(Recordings!A:A,C187)</f>
        <v>0</v>
      </c>
      <c r="H187" s="283"/>
      <c r="I187" s="283"/>
      <c r="J187" s="283"/>
      <c r="K187" s="2"/>
      <c r="L187" s="7"/>
      <c r="M187" s="2"/>
      <c r="N187" s="2"/>
      <c r="O187" s="2"/>
      <c r="P187" s="2"/>
      <c r="Q187" s="2"/>
      <c r="R187" s="2"/>
      <c r="S187" s="2"/>
      <c r="T187" s="2"/>
      <c r="U187" s="2"/>
      <c r="V187" s="2"/>
      <c r="W187" s="2"/>
      <c r="X187" s="2"/>
      <c r="Y187" s="2"/>
      <c r="Z187" s="2"/>
      <c r="AA187" s="2"/>
      <c r="AB187" s="2"/>
    </row>
    <row r="188">
      <c r="B188" s="280"/>
      <c r="C188" s="279" t="s">
        <v>3843</v>
      </c>
      <c r="D188" s="280"/>
      <c r="E188" s="281"/>
      <c r="F188" s="282" t="str">
        <f t="shared" si="1"/>
        <v>בכלל לא</v>
      </c>
      <c r="G188" s="283">
        <f>COUNTIF(Recordings!A:A,C188)</f>
        <v>0</v>
      </c>
      <c r="H188" s="283"/>
      <c r="I188" s="283"/>
      <c r="J188" s="283"/>
      <c r="K188" s="2"/>
      <c r="L188" s="7"/>
      <c r="M188" s="2"/>
      <c r="N188" s="2"/>
      <c r="O188" s="2"/>
      <c r="P188" s="2"/>
      <c r="Q188" s="2"/>
      <c r="R188" s="2"/>
      <c r="S188" s="2"/>
      <c r="T188" s="2"/>
      <c r="U188" s="2"/>
      <c r="V188" s="2"/>
      <c r="W188" s="2"/>
      <c r="X188" s="2"/>
      <c r="Y188" s="2"/>
      <c r="Z188" s="2"/>
      <c r="AA188" s="2"/>
      <c r="AB188" s="2"/>
    </row>
    <row r="189">
      <c r="B189" s="280"/>
      <c r="C189" s="279" t="s">
        <v>3844</v>
      </c>
      <c r="D189" s="280"/>
      <c r="E189" s="281"/>
      <c r="F189" s="282" t="str">
        <f t="shared" si="1"/>
        <v>בכלל לא</v>
      </c>
      <c r="G189" s="283">
        <f>COUNTIF(Recordings!A:A,C189)</f>
        <v>0</v>
      </c>
      <c r="H189" s="283"/>
      <c r="I189" s="283"/>
      <c r="J189" s="283"/>
      <c r="K189" s="2"/>
      <c r="L189" s="7"/>
      <c r="M189" s="2"/>
      <c r="N189" s="2"/>
      <c r="O189" s="2"/>
      <c r="P189" s="2"/>
      <c r="Q189" s="2"/>
      <c r="R189" s="2"/>
      <c r="S189" s="2"/>
      <c r="T189" s="2"/>
      <c r="U189" s="2"/>
      <c r="V189" s="2"/>
      <c r="W189" s="2"/>
      <c r="X189" s="2"/>
      <c r="Y189" s="2"/>
      <c r="Z189" s="2"/>
      <c r="AA189" s="2"/>
      <c r="AB189" s="2"/>
    </row>
    <row r="190">
      <c r="B190" s="280"/>
      <c r="C190" s="279" t="s">
        <v>3845</v>
      </c>
      <c r="D190" s="280"/>
      <c r="E190" s="281"/>
      <c r="F190" s="282" t="str">
        <f t="shared" si="1"/>
        <v>בכלל לא</v>
      </c>
      <c r="G190" s="283">
        <f>COUNTIF(Recordings!A:A,C190)</f>
        <v>0</v>
      </c>
      <c r="H190" s="283"/>
      <c r="I190" s="283"/>
      <c r="J190" s="283"/>
      <c r="K190" s="2"/>
      <c r="L190" s="7"/>
      <c r="M190" s="2"/>
      <c r="N190" s="2"/>
      <c r="O190" s="2"/>
      <c r="P190" s="2"/>
      <c r="Q190" s="2"/>
      <c r="R190" s="2"/>
      <c r="S190" s="2"/>
      <c r="T190" s="2"/>
      <c r="U190" s="2"/>
      <c r="V190" s="2"/>
      <c r="W190" s="2"/>
      <c r="X190" s="2"/>
      <c r="Y190" s="2"/>
      <c r="Z190" s="2"/>
      <c r="AA190" s="2"/>
      <c r="AB190" s="2"/>
    </row>
    <row r="191">
      <c r="B191" s="280"/>
      <c r="C191" s="279" t="s">
        <v>3846</v>
      </c>
      <c r="D191" s="280"/>
      <c r="E191" s="281"/>
      <c r="F191" s="282" t="str">
        <f t="shared" si="1"/>
        <v>בכלל לא</v>
      </c>
      <c r="G191" s="283">
        <f>COUNTIF(Recordings!A:A,C191)</f>
        <v>0</v>
      </c>
      <c r="H191" s="283"/>
      <c r="I191" s="283"/>
      <c r="J191" s="283"/>
      <c r="K191" s="2"/>
      <c r="L191" s="7"/>
      <c r="M191" s="2"/>
      <c r="N191" s="2"/>
      <c r="O191" s="2"/>
      <c r="P191" s="2"/>
      <c r="Q191" s="2"/>
      <c r="R191" s="2"/>
      <c r="S191" s="2"/>
      <c r="T191" s="2"/>
      <c r="U191" s="2"/>
      <c r="V191" s="2"/>
      <c r="W191" s="2"/>
      <c r="X191" s="2"/>
      <c r="Y191" s="2"/>
      <c r="Z191" s="2"/>
      <c r="AA191" s="2"/>
      <c r="AB191" s="2"/>
    </row>
    <row r="192">
      <c r="B192" s="280"/>
      <c r="C192" s="279" t="s">
        <v>3847</v>
      </c>
      <c r="D192" s="280"/>
      <c r="E192" s="281"/>
      <c r="F192" s="282" t="str">
        <f t="shared" si="1"/>
        <v>בכלל לא</v>
      </c>
      <c r="G192" s="283">
        <f>COUNTIF(Recordings!A:A,C192)</f>
        <v>0</v>
      </c>
      <c r="H192" s="283"/>
      <c r="I192" s="283"/>
      <c r="J192" s="283"/>
      <c r="K192" s="2"/>
      <c r="L192" s="7"/>
      <c r="M192" s="2"/>
      <c r="N192" s="2"/>
      <c r="O192" s="2"/>
      <c r="P192" s="2"/>
      <c r="Q192" s="2"/>
      <c r="R192" s="2"/>
      <c r="S192" s="2"/>
      <c r="T192" s="2"/>
      <c r="U192" s="2"/>
      <c r="V192" s="2"/>
      <c r="W192" s="2"/>
      <c r="X192" s="2"/>
      <c r="Y192" s="2"/>
      <c r="Z192" s="2"/>
      <c r="AA192" s="2"/>
      <c r="AB192" s="2"/>
    </row>
    <row r="193">
      <c r="A193" s="285" t="s">
        <v>3848</v>
      </c>
      <c r="B193" s="286"/>
      <c r="C193" s="285" t="s">
        <v>3849</v>
      </c>
      <c r="D193" s="286"/>
      <c r="E193" s="287"/>
      <c r="F193" s="288" t="str">
        <f t="shared" si="1"/>
        <v>בכלל לא</v>
      </c>
      <c r="G193" s="289">
        <f>COUNTIF(Recordings!A:A,C193)</f>
        <v>0</v>
      </c>
      <c r="H193" s="289"/>
      <c r="I193" s="289"/>
      <c r="J193" s="289"/>
      <c r="K193" s="2"/>
      <c r="L193" s="7"/>
      <c r="M193" s="2"/>
      <c r="N193" s="2"/>
      <c r="O193" s="2"/>
      <c r="P193" s="2"/>
      <c r="Q193" s="2"/>
      <c r="R193" s="2"/>
      <c r="S193" s="2"/>
      <c r="T193" s="2"/>
      <c r="U193" s="2"/>
      <c r="V193" s="2"/>
      <c r="W193" s="2"/>
      <c r="X193" s="2"/>
      <c r="Y193" s="2"/>
      <c r="Z193" s="2"/>
      <c r="AA193" s="2"/>
      <c r="AB193" s="2"/>
    </row>
    <row r="194">
      <c r="B194" s="286"/>
      <c r="C194" s="285" t="s">
        <v>3850</v>
      </c>
      <c r="D194" s="286"/>
      <c r="E194" s="287"/>
      <c r="F194" s="288" t="str">
        <f t="shared" si="1"/>
        <v>בכלל לא</v>
      </c>
      <c r="G194" s="289">
        <f>COUNTIF(Recordings!A:A,C194)</f>
        <v>0</v>
      </c>
      <c r="H194" s="289"/>
      <c r="I194" s="289"/>
      <c r="J194" s="289"/>
      <c r="K194" s="2"/>
      <c r="L194" s="7"/>
      <c r="M194" s="2"/>
      <c r="N194" s="2"/>
      <c r="O194" s="2"/>
      <c r="P194" s="2"/>
      <c r="Q194" s="2"/>
      <c r="R194" s="2"/>
      <c r="S194" s="2"/>
      <c r="T194" s="2"/>
      <c r="U194" s="2"/>
      <c r="V194" s="2"/>
      <c r="W194" s="2"/>
      <c r="X194" s="2"/>
      <c r="Y194" s="2"/>
      <c r="Z194" s="2"/>
      <c r="AA194" s="2"/>
      <c r="AB194" s="2"/>
    </row>
    <row r="195">
      <c r="B195" s="286"/>
      <c r="C195" s="285" t="s">
        <v>3851</v>
      </c>
      <c r="D195" s="286"/>
      <c r="E195" s="287"/>
      <c r="F195" s="288" t="str">
        <f t="shared" si="1"/>
        <v>בכלל לא</v>
      </c>
      <c r="G195" s="289">
        <f>COUNTIF(Recordings!A:A,C195)</f>
        <v>0</v>
      </c>
      <c r="H195" s="289"/>
      <c r="I195" s="289"/>
      <c r="J195" s="289"/>
      <c r="K195" s="2"/>
      <c r="L195" s="7"/>
      <c r="M195" s="2"/>
      <c r="N195" s="2"/>
      <c r="O195" s="2"/>
      <c r="P195" s="2"/>
      <c r="Q195" s="2"/>
      <c r="R195" s="2"/>
      <c r="S195" s="2"/>
      <c r="T195" s="2"/>
      <c r="U195" s="2"/>
      <c r="V195" s="2"/>
      <c r="W195" s="2"/>
      <c r="X195" s="2"/>
      <c r="Y195" s="2"/>
      <c r="Z195" s="2"/>
      <c r="AA195" s="2"/>
      <c r="AB195" s="2"/>
    </row>
    <row r="196">
      <c r="B196" s="286"/>
      <c r="C196" s="285" t="s">
        <v>3852</v>
      </c>
      <c r="D196" s="286"/>
      <c r="E196" s="287"/>
      <c r="F196" s="288" t="str">
        <f t="shared" si="1"/>
        <v>בכלל לא</v>
      </c>
      <c r="G196" s="289">
        <f>COUNTIF(Recordings!A:A,C196)</f>
        <v>0</v>
      </c>
      <c r="H196" s="289"/>
      <c r="I196" s="289"/>
      <c r="J196" s="289"/>
      <c r="K196" s="2"/>
      <c r="L196" s="7"/>
      <c r="M196" s="2"/>
      <c r="N196" s="2"/>
      <c r="O196" s="2"/>
      <c r="P196" s="2"/>
      <c r="Q196" s="2"/>
      <c r="R196" s="2"/>
      <c r="S196" s="2"/>
      <c r="T196" s="2"/>
      <c r="U196" s="2"/>
      <c r="V196" s="2"/>
      <c r="W196" s="2"/>
      <c r="X196" s="2"/>
      <c r="Y196" s="2"/>
      <c r="Z196" s="2"/>
      <c r="AA196" s="2"/>
      <c r="AB196" s="2"/>
    </row>
    <row r="197">
      <c r="B197" s="286"/>
      <c r="C197" s="285" t="s">
        <v>3853</v>
      </c>
      <c r="D197" s="286"/>
      <c r="E197" s="287"/>
      <c r="F197" s="288" t="str">
        <f t="shared" si="1"/>
        <v>בכלל לא</v>
      </c>
      <c r="G197" s="289">
        <f>COUNTIF(Recordings!A:A,C197)</f>
        <v>0</v>
      </c>
      <c r="H197" s="289"/>
      <c r="I197" s="289"/>
      <c r="J197" s="289"/>
      <c r="K197" s="2"/>
      <c r="L197" s="7"/>
      <c r="M197" s="2"/>
      <c r="N197" s="2"/>
      <c r="O197" s="2"/>
      <c r="P197" s="2"/>
      <c r="Q197" s="2"/>
      <c r="R197" s="2"/>
      <c r="S197" s="2"/>
      <c r="T197" s="2"/>
      <c r="U197" s="2"/>
      <c r="V197" s="2"/>
      <c r="W197" s="2"/>
      <c r="X197" s="2"/>
      <c r="Y197" s="2"/>
      <c r="Z197" s="2"/>
      <c r="AA197" s="2"/>
      <c r="AB197" s="2"/>
    </row>
    <row r="198">
      <c r="A198" s="285"/>
      <c r="B198" s="290" t="s">
        <v>463</v>
      </c>
      <c r="C198" s="285" t="s">
        <v>462</v>
      </c>
      <c r="D198" s="290" t="s">
        <v>464</v>
      </c>
      <c r="E198" s="287"/>
      <c r="F198" s="288" t="str">
        <f t="shared" si="1"/>
        <v>כן</v>
      </c>
      <c r="G198" s="289">
        <f>COUNTIF(Recordings!A:A,C198)</f>
        <v>5</v>
      </c>
      <c r="H198" s="289"/>
      <c r="I198" s="289"/>
      <c r="J198" s="289"/>
      <c r="K198" s="2"/>
      <c r="L198" s="7"/>
      <c r="M198" s="2"/>
      <c r="N198" s="2"/>
      <c r="O198" s="2"/>
      <c r="P198" s="2"/>
      <c r="Q198" s="2"/>
      <c r="R198" s="2"/>
      <c r="S198" s="2"/>
      <c r="T198" s="2"/>
      <c r="U198" s="2"/>
      <c r="V198" s="2"/>
      <c r="W198" s="2"/>
      <c r="X198" s="2"/>
      <c r="Y198" s="2"/>
      <c r="Z198" s="2"/>
      <c r="AA198" s="2"/>
      <c r="AB198" s="2"/>
    </row>
    <row r="199">
      <c r="A199" s="291" t="s">
        <v>548</v>
      </c>
      <c r="B199" s="292"/>
      <c r="C199" s="291" t="s">
        <v>3854</v>
      </c>
      <c r="D199" s="292"/>
      <c r="E199" s="293"/>
      <c r="F199" s="294" t="str">
        <f t="shared" si="1"/>
        <v>בכלל לא</v>
      </c>
      <c r="G199" s="295">
        <f>COUNTIF(Recordings!A:A,C199)</f>
        <v>0</v>
      </c>
      <c r="H199" s="295"/>
      <c r="I199" s="295"/>
      <c r="J199" s="295"/>
      <c r="K199" s="2"/>
      <c r="L199" s="7"/>
      <c r="M199" s="2"/>
      <c r="N199" s="2"/>
      <c r="O199" s="2"/>
      <c r="P199" s="2"/>
      <c r="Q199" s="2"/>
      <c r="R199" s="2"/>
      <c r="S199" s="2"/>
      <c r="T199" s="2"/>
      <c r="U199" s="2"/>
      <c r="V199" s="2"/>
      <c r="W199" s="2"/>
      <c r="X199" s="2"/>
      <c r="Y199" s="2"/>
      <c r="Z199" s="2"/>
      <c r="AA199" s="2"/>
      <c r="AB199" s="2"/>
    </row>
    <row r="200">
      <c r="B200" s="292"/>
      <c r="C200" s="291" t="s">
        <v>3855</v>
      </c>
      <c r="D200" s="292"/>
      <c r="E200" s="293"/>
      <c r="F200" s="294" t="str">
        <f t="shared" si="1"/>
        <v>בכלל לא</v>
      </c>
      <c r="G200" s="295">
        <f>COUNTIF(Recordings!A:A,C200)</f>
        <v>0</v>
      </c>
      <c r="H200" s="295"/>
      <c r="I200" s="295"/>
      <c r="J200" s="295"/>
      <c r="K200" s="2"/>
      <c r="L200" s="7"/>
      <c r="M200" s="2"/>
      <c r="N200" s="2"/>
      <c r="O200" s="2"/>
      <c r="P200" s="2"/>
      <c r="Q200" s="2"/>
      <c r="R200" s="2"/>
      <c r="S200" s="2"/>
      <c r="T200" s="2"/>
      <c r="U200" s="2"/>
      <c r="V200" s="2"/>
      <c r="W200" s="2"/>
      <c r="X200" s="2"/>
      <c r="Y200" s="2"/>
      <c r="Z200" s="2"/>
      <c r="AA200" s="2"/>
      <c r="AB200" s="2"/>
    </row>
    <row r="201">
      <c r="B201" s="292"/>
      <c r="C201" s="291" t="s">
        <v>3856</v>
      </c>
      <c r="D201" s="292"/>
      <c r="E201" s="293"/>
      <c r="F201" s="294" t="str">
        <f t="shared" si="1"/>
        <v>בכלל לא</v>
      </c>
      <c r="G201" s="295">
        <f>COUNTIF(Recordings!A:A,C201)</f>
        <v>0</v>
      </c>
      <c r="H201" s="295"/>
      <c r="I201" s="295"/>
      <c r="J201" s="295"/>
      <c r="K201" s="2"/>
      <c r="L201" s="7"/>
      <c r="M201" s="2"/>
      <c r="N201" s="2"/>
      <c r="O201" s="2"/>
      <c r="P201" s="2"/>
      <c r="Q201" s="2"/>
      <c r="R201" s="2"/>
      <c r="S201" s="2"/>
      <c r="T201" s="2"/>
      <c r="U201" s="2"/>
      <c r="V201" s="2"/>
      <c r="W201" s="2"/>
      <c r="X201" s="2"/>
      <c r="Y201" s="2"/>
      <c r="Z201" s="2"/>
      <c r="AA201" s="2"/>
      <c r="AB201" s="2"/>
    </row>
    <row r="202">
      <c r="B202" s="292"/>
      <c r="C202" s="291" t="s">
        <v>3857</v>
      </c>
      <c r="D202" s="292"/>
      <c r="E202" s="293"/>
      <c r="F202" s="294" t="str">
        <f t="shared" si="1"/>
        <v>בכלל לא</v>
      </c>
      <c r="G202" s="295">
        <f>COUNTIF(Recordings!A:A,C202)</f>
        <v>0</v>
      </c>
      <c r="H202" s="295"/>
      <c r="I202" s="295"/>
      <c r="J202" s="295"/>
      <c r="K202" s="2"/>
      <c r="L202" s="7"/>
      <c r="M202" s="2"/>
      <c r="N202" s="2"/>
      <c r="O202" s="2"/>
      <c r="P202" s="2"/>
      <c r="Q202" s="2"/>
      <c r="R202" s="2"/>
      <c r="S202" s="2"/>
      <c r="T202" s="2"/>
      <c r="U202" s="2"/>
      <c r="V202" s="2"/>
      <c r="W202" s="2"/>
      <c r="X202" s="2"/>
      <c r="Y202" s="2"/>
      <c r="Z202" s="2"/>
      <c r="AA202" s="2"/>
      <c r="AB202" s="2"/>
    </row>
    <row r="203">
      <c r="B203" s="292"/>
      <c r="C203" s="291" t="s">
        <v>3858</v>
      </c>
      <c r="D203" s="292"/>
      <c r="E203" s="293"/>
      <c r="F203" s="294" t="str">
        <f t="shared" si="1"/>
        <v>בכלל לא</v>
      </c>
      <c r="G203" s="295">
        <f>COUNTIF(Recordings!A:A,C203)</f>
        <v>0</v>
      </c>
      <c r="H203" s="295"/>
      <c r="I203" s="295"/>
      <c r="J203" s="295"/>
      <c r="K203" s="2"/>
      <c r="L203" s="7"/>
      <c r="M203" s="2"/>
      <c r="N203" s="2"/>
      <c r="O203" s="2"/>
      <c r="P203" s="2"/>
      <c r="Q203" s="2"/>
      <c r="R203" s="2"/>
      <c r="S203" s="2"/>
      <c r="T203" s="2"/>
      <c r="U203" s="2"/>
      <c r="V203" s="2"/>
      <c r="W203" s="2"/>
      <c r="X203" s="2"/>
      <c r="Y203" s="2"/>
      <c r="Z203" s="2"/>
      <c r="AA203" s="2"/>
      <c r="AB203" s="2"/>
    </row>
    <row r="204">
      <c r="B204" s="292"/>
      <c r="C204" s="291" t="s">
        <v>3859</v>
      </c>
      <c r="D204" s="292"/>
      <c r="E204" s="293"/>
      <c r="F204" s="294" t="str">
        <f t="shared" si="1"/>
        <v>בכלל לא</v>
      </c>
      <c r="G204" s="295">
        <f>COUNTIF(Recordings!A:A,C204)</f>
        <v>0</v>
      </c>
      <c r="H204" s="295"/>
      <c r="I204" s="295"/>
      <c r="J204" s="295"/>
      <c r="K204" s="2"/>
      <c r="L204" s="7"/>
      <c r="M204" s="2"/>
      <c r="N204" s="2"/>
      <c r="O204" s="2"/>
      <c r="P204" s="2"/>
      <c r="Q204" s="2"/>
      <c r="R204" s="2"/>
      <c r="S204" s="2"/>
      <c r="T204" s="2"/>
      <c r="U204" s="2"/>
      <c r="V204" s="2"/>
      <c r="W204" s="2"/>
      <c r="X204" s="2"/>
      <c r="Y204" s="2"/>
      <c r="Z204" s="2"/>
      <c r="AA204" s="2"/>
      <c r="AB204" s="2"/>
    </row>
    <row r="205">
      <c r="B205" s="292"/>
      <c r="C205" s="291" t="s">
        <v>3860</v>
      </c>
      <c r="D205" s="292"/>
      <c r="E205" s="293"/>
      <c r="F205" s="294" t="str">
        <f t="shared" si="1"/>
        <v>בכלל לא</v>
      </c>
      <c r="G205" s="295">
        <f>COUNTIF(Recordings!A:A,C205)</f>
        <v>0</v>
      </c>
      <c r="H205" s="295"/>
      <c r="I205" s="295"/>
      <c r="J205" s="295"/>
      <c r="K205" s="2"/>
      <c r="L205" s="7"/>
      <c r="M205" s="2"/>
      <c r="N205" s="2"/>
      <c r="O205" s="2"/>
      <c r="P205" s="2"/>
      <c r="Q205" s="2"/>
      <c r="R205" s="2"/>
      <c r="S205" s="2"/>
      <c r="T205" s="2"/>
      <c r="U205" s="2"/>
      <c r="V205" s="2"/>
      <c r="W205" s="2"/>
      <c r="X205" s="2"/>
      <c r="Y205" s="2"/>
      <c r="Z205" s="2"/>
      <c r="AA205" s="2"/>
      <c r="AB205" s="2"/>
    </row>
    <row r="206">
      <c r="B206" s="292"/>
      <c r="C206" s="291" t="s">
        <v>3861</v>
      </c>
      <c r="D206" s="292"/>
      <c r="E206" s="293"/>
      <c r="F206" s="294" t="str">
        <f t="shared" si="1"/>
        <v>בכלל לא</v>
      </c>
      <c r="G206" s="295">
        <f>COUNTIF(Recordings!A:A,C206)</f>
        <v>0</v>
      </c>
      <c r="H206" s="295"/>
      <c r="I206" s="295"/>
      <c r="J206" s="295"/>
      <c r="K206" s="2"/>
      <c r="L206" s="7"/>
      <c r="M206" s="2"/>
      <c r="N206" s="2"/>
      <c r="O206" s="2"/>
      <c r="P206" s="2"/>
      <c r="Q206" s="2"/>
      <c r="R206" s="2"/>
      <c r="S206" s="2"/>
      <c r="T206" s="2"/>
      <c r="U206" s="2"/>
      <c r="V206" s="2"/>
      <c r="W206" s="2"/>
      <c r="X206" s="2"/>
      <c r="Y206" s="2"/>
      <c r="Z206" s="2"/>
      <c r="AA206" s="2"/>
      <c r="AB206" s="2"/>
    </row>
    <row r="207">
      <c r="B207" s="292"/>
      <c r="C207" s="291" t="s">
        <v>3862</v>
      </c>
      <c r="D207" s="292"/>
      <c r="E207" s="293"/>
      <c r="F207" s="294" t="str">
        <f t="shared" si="1"/>
        <v>בכלל לא</v>
      </c>
      <c r="G207" s="295">
        <f>COUNTIF(Recordings!A:A,C207)</f>
        <v>0</v>
      </c>
      <c r="H207" s="295"/>
      <c r="I207" s="295"/>
      <c r="J207" s="295"/>
      <c r="K207" s="2"/>
      <c r="L207" s="7"/>
      <c r="M207" s="2"/>
      <c r="N207" s="2"/>
      <c r="O207" s="2"/>
      <c r="P207" s="2"/>
      <c r="Q207" s="2"/>
      <c r="R207" s="2"/>
      <c r="S207" s="2"/>
      <c r="T207" s="2"/>
      <c r="U207" s="2"/>
      <c r="V207" s="2"/>
      <c r="W207" s="2"/>
      <c r="X207" s="2"/>
      <c r="Y207" s="2"/>
      <c r="Z207" s="2"/>
      <c r="AA207" s="2"/>
      <c r="AB207" s="2"/>
    </row>
    <row r="208">
      <c r="B208" s="292"/>
      <c r="C208" s="291" t="s">
        <v>3863</v>
      </c>
      <c r="D208" s="292"/>
      <c r="E208" s="293"/>
      <c r="F208" s="294" t="str">
        <f t="shared" si="1"/>
        <v>בכלל לא</v>
      </c>
      <c r="G208" s="295">
        <f>COUNTIF(Recordings!A:A,C208)</f>
        <v>0</v>
      </c>
      <c r="H208" s="295"/>
      <c r="I208" s="295"/>
      <c r="J208" s="295"/>
      <c r="K208" s="2"/>
      <c r="L208" s="7"/>
      <c r="M208" s="2"/>
      <c r="N208" s="2"/>
      <c r="O208" s="2"/>
      <c r="P208" s="2"/>
      <c r="Q208" s="2"/>
      <c r="R208" s="2"/>
      <c r="S208" s="2"/>
      <c r="T208" s="2"/>
      <c r="U208" s="2"/>
      <c r="V208" s="2"/>
      <c r="W208" s="2"/>
      <c r="X208" s="2"/>
      <c r="Y208" s="2"/>
      <c r="Z208" s="2"/>
      <c r="AA208" s="2"/>
      <c r="AB208" s="2"/>
    </row>
    <row r="209">
      <c r="B209" s="292"/>
      <c r="C209" s="291" t="s">
        <v>3864</v>
      </c>
      <c r="D209" s="292"/>
      <c r="E209" s="293"/>
      <c r="F209" s="294" t="str">
        <f t="shared" si="1"/>
        <v>בכלל לא</v>
      </c>
      <c r="G209" s="295">
        <f>COUNTIF(Recordings!A:A,C209)</f>
        <v>0</v>
      </c>
      <c r="H209" s="295"/>
      <c r="I209" s="295"/>
      <c r="J209" s="295"/>
      <c r="K209" s="2"/>
      <c r="L209" s="7"/>
      <c r="M209" s="2"/>
      <c r="N209" s="2"/>
      <c r="O209" s="2"/>
      <c r="P209" s="2"/>
      <c r="Q209" s="2"/>
      <c r="R209" s="2"/>
      <c r="S209" s="2"/>
      <c r="T209" s="2"/>
      <c r="U209" s="2"/>
      <c r="V209" s="2"/>
      <c r="W209" s="2"/>
      <c r="X209" s="2"/>
      <c r="Y209" s="2"/>
      <c r="Z209" s="2"/>
      <c r="AA209" s="2"/>
      <c r="AB209" s="2"/>
    </row>
    <row r="210">
      <c r="B210" s="292"/>
      <c r="C210" s="291" t="s">
        <v>3865</v>
      </c>
      <c r="D210" s="292"/>
      <c r="E210" s="293"/>
      <c r="F210" s="294" t="str">
        <f t="shared" si="1"/>
        <v>בכלל לא</v>
      </c>
      <c r="G210" s="295">
        <f>COUNTIF(Recordings!A:A,C210)</f>
        <v>0</v>
      </c>
      <c r="H210" s="295"/>
      <c r="I210" s="295"/>
      <c r="J210" s="295"/>
      <c r="K210" s="2"/>
      <c r="L210" s="7"/>
      <c r="M210" s="2"/>
      <c r="N210" s="2"/>
      <c r="O210" s="2"/>
      <c r="P210" s="2"/>
      <c r="Q210" s="2"/>
      <c r="R210" s="2"/>
      <c r="S210" s="2"/>
      <c r="T210" s="2"/>
      <c r="U210" s="2"/>
      <c r="V210" s="2"/>
      <c r="W210" s="2"/>
      <c r="X210" s="2"/>
      <c r="Y210" s="2"/>
      <c r="Z210" s="2"/>
      <c r="AA210" s="2"/>
      <c r="AB210" s="2"/>
    </row>
    <row r="211">
      <c r="B211" s="292"/>
      <c r="C211" s="291" t="s">
        <v>3866</v>
      </c>
      <c r="D211" s="292"/>
      <c r="E211" s="293"/>
      <c r="F211" s="294" t="str">
        <f t="shared" si="1"/>
        <v>בכלל לא</v>
      </c>
      <c r="G211" s="295">
        <f>COUNTIF(Recordings!A:A,C211)</f>
        <v>0</v>
      </c>
      <c r="H211" s="295"/>
      <c r="I211" s="295"/>
      <c r="J211" s="295"/>
      <c r="K211" s="2"/>
      <c r="L211" s="7"/>
      <c r="M211" s="2"/>
      <c r="N211" s="2"/>
      <c r="O211" s="2"/>
      <c r="P211" s="2"/>
      <c r="Q211" s="2"/>
      <c r="R211" s="2"/>
      <c r="S211" s="2"/>
      <c r="T211" s="2"/>
      <c r="U211" s="2"/>
      <c r="V211" s="2"/>
      <c r="W211" s="2"/>
      <c r="X211" s="2"/>
      <c r="Y211" s="2"/>
      <c r="Z211" s="2"/>
      <c r="AA211" s="2"/>
      <c r="AB211" s="2"/>
    </row>
    <row r="212">
      <c r="B212" s="292"/>
      <c r="C212" s="291" t="s">
        <v>3867</v>
      </c>
      <c r="D212" s="292"/>
      <c r="E212" s="293"/>
      <c r="F212" s="294" t="str">
        <f t="shared" si="1"/>
        <v>בכלל לא</v>
      </c>
      <c r="G212" s="295">
        <f>COUNTIF(Recordings!A:A,C212)</f>
        <v>0</v>
      </c>
      <c r="H212" s="295"/>
      <c r="I212" s="295"/>
      <c r="J212" s="295"/>
      <c r="K212" s="2"/>
      <c r="L212" s="7"/>
      <c r="M212" s="2"/>
      <c r="N212" s="2"/>
      <c r="O212" s="2"/>
      <c r="P212" s="2"/>
      <c r="Q212" s="2"/>
      <c r="R212" s="2"/>
      <c r="S212" s="2"/>
      <c r="T212" s="2"/>
      <c r="U212" s="2"/>
      <c r="V212" s="2"/>
      <c r="W212" s="2"/>
      <c r="X212" s="2"/>
      <c r="Y212" s="2"/>
      <c r="Z212" s="2"/>
      <c r="AA212" s="2"/>
      <c r="AB212" s="2"/>
    </row>
    <row r="213">
      <c r="B213" s="292"/>
      <c r="C213" s="291" t="s">
        <v>3868</v>
      </c>
      <c r="D213" s="292"/>
      <c r="E213" s="293"/>
      <c r="F213" s="294" t="str">
        <f t="shared" si="1"/>
        <v>בכלל לא</v>
      </c>
      <c r="G213" s="295">
        <f>COUNTIF(Recordings!A:A,C213)</f>
        <v>0</v>
      </c>
      <c r="H213" s="295"/>
      <c r="I213" s="295"/>
      <c r="J213" s="295"/>
      <c r="K213" s="2"/>
      <c r="L213" s="7"/>
      <c r="M213" s="2"/>
      <c r="N213" s="2"/>
      <c r="O213" s="2"/>
      <c r="P213" s="2"/>
      <c r="Q213" s="2"/>
      <c r="R213" s="2"/>
      <c r="S213" s="2"/>
      <c r="T213" s="2"/>
      <c r="U213" s="2"/>
      <c r="V213" s="2"/>
      <c r="W213" s="2"/>
      <c r="X213" s="2"/>
      <c r="Y213" s="2"/>
      <c r="Z213" s="2"/>
      <c r="AA213" s="2"/>
      <c r="AB213" s="2"/>
    </row>
    <row r="214">
      <c r="B214" s="292"/>
      <c r="C214" s="291" t="s">
        <v>3869</v>
      </c>
      <c r="D214" s="292"/>
      <c r="E214" s="293"/>
      <c r="F214" s="294" t="str">
        <f t="shared" si="1"/>
        <v>בכלל לא</v>
      </c>
      <c r="G214" s="295">
        <f>COUNTIF(Recordings!A:A,C214)</f>
        <v>0</v>
      </c>
      <c r="H214" s="295"/>
      <c r="I214" s="295"/>
      <c r="J214" s="295"/>
      <c r="K214" s="2"/>
      <c r="L214" s="7"/>
      <c r="M214" s="2"/>
      <c r="N214" s="2"/>
      <c r="O214" s="2"/>
      <c r="P214" s="2"/>
      <c r="Q214" s="2"/>
      <c r="R214" s="2"/>
      <c r="S214" s="2"/>
      <c r="T214" s="2"/>
      <c r="U214" s="2"/>
      <c r="V214" s="2"/>
      <c r="W214" s="2"/>
      <c r="X214" s="2"/>
      <c r="Y214" s="2"/>
      <c r="Z214" s="2"/>
      <c r="AA214" s="2"/>
      <c r="AB214" s="2"/>
    </row>
    <row r="215">
      <c r="B215" s="292"/>
      <c r="C215" s="291" t="s">
        <v>3870</v>
      </c>
      <c r="D215" s="292"/>
      <c r="E215" s="293"/>
      <c r="F215" s="294" t="str">
        <f t="shared" si="1"/>
        <v>בכלל לא</v>
      </c>
      <c r="G215" s="295">
        <f>COUNTIF(Recordings!A:A,C215)</f>
        <v>0</v>
      </c>
      <c r="H215" s="295"/>
      <c r="I215" s="295"/>
      <c r="J215" s="295"/>
      <c r="K215" s="2"/>
      <c r="L215" s="7"/>
      <c r="M215" s="2"/>
      <c r="N215" s="2"/>
      <c r="O215" s="2"/>
      <c r="P215" s="2"/>
      <c r="Q215" s="2"/>
      <c r="R215" s="2"/>
      <c r="S215" s="2"/>
      <c r="T215" s="2"/>
      <c r="U215" s="2"/>
      <c r="V215" s="2"/>
      <c r="W215" s="2"/>
      <c r="X215" s="2"/>
      <c r="Y215" s="2"/>
      <c r="Z215" s="2"/>
      <c r="AA215" s="2"/>
      <c r="AB215" s="2"/>
    </row>
    <row r="216">
      <c r="B216" s="292"/>
      <c r="C216" s="291" t="s">
        <v>3871</v>
      </c>
      <c r="D216" s="292"/>
      <c r="E216" s="293"/>
      <c r="F216" s="294" t="str">
        <f t="shared" si="1"/>
        <v>בכלל לא</v>
      </c>
      <c r="G216" s="295">
        <f>COUNTIF(Recordings!A:A,C216)</f>
        <v>0</v>
      </c>
      <c r="H216" s="295"/>
      <c r="I216" s="295"/>
      <c r="J216" s="295"/>
      <c r="K216" s="2"/>
      <c r="L216" s="7"/>
      <c r="M216" s="2"/>
      <c r="N216" s="2"/>
      <c r="O216" s="2"/>
      <c r="P216" s="2"/>
      <c r="Q216" s="2"/>
      <c r="R216" s="2"/>
      <c r="S216" s="2"/>
      <c r="T216" s="2"/>
      <c r="U216" s="2"/>
      <c r="V216" s="2"/>
      <c r="W216" s="2"/>
      <c r="X216" s="2"/>
      <c r="Y216" s="2"/>
      <c r="Z216" s="2"/>
      <c r="AA216" s="2"/>
      <c r="AB216" s="2"/>
    </row>
    <row r="217">
      <c r="B217" s="292"/>
      <c r="C217" s="291" t="s">
        <v>3872</v>
      </c>
      <c r="D217" s="292"/>
      <c r="E217" s="293"/>
      <c r="F217" s="294" t="str">
        <f t="shared" si="1"/>
        <v>בכלל לא</v>
      </c>
      <c r="G217" s="295">
        <f>COUNTIF(Recordings!A:A,C217)</f>
        <v>0</v>
      </c>
      <c r="H217" s="295"/>
      <c r="I217" s="295"/>
      <c r="J217" s="295"/>
      <c r="K217" s="2"/>
      <c r="L217" s="7"/>
      <c r="M217" s="2"/>
      <c r="N217" s="2"/>
      <c r="O217" s="2"/>
      <c r="P217" s="2"/>
      <c r="Q217" s="2"/>
      <c r="R217" s="2"/>
      <c r="S217" s="2"/>
      <c r="T217" s="2"/>
      <c r="U217" s="2"/>
      <c r="V217" s="2"/>
      <c r="W217" s="2"/>
      <c r="X217" s="2"/>
      <c r="Y217" s="2"/>
      <c r="Z217" s="2"/>
      <c r="AA217" s="2"/>
      <c r="AB217" s="2"/>
    </row>
    <row r="218">
      <c r="B218" s="292"/>
      <c r="C218" s="291" t="s">
        <v>3873</v>
      </c>
      <c r="D218" s="292"/>
      <c r="E218" s="293"/>
      <c r="F218" s="294" t="str">
        <f t="shared" si="1"/>
        <v>בכלל לא</v>
      </c>
      <c r="G218" s="295">
        <f>COUNTIF(Recordings!A:A,C218)</f>
        <v>0</v>
      </c>
      <c r="H218" s="295"/>
      <c r="I218" s="295"/>
      <c r="J218" s="295"/>
      <c r="K218" s="2"/>
      <c r="L218" s="7"/>
      <c r="M218" s="2"/>
      <c r="N218" s="2"/>
      <c r="O218" s="2"/>
      <c r="P218" s="2"/>
      <c r="Q218" s="2"/>
      <c r="R218" s="2"/>
      <c r="S218" s="2"/>
      <c r="T218" s="2"/>
      <c r="U218" s="2"/>
      <c r="V218" s="2"/>
      <c r="W218" s="2"/>
      <c r="X218" s="2"/>
      <c r="Y218" s="2"/>
      <c r="Z218" s="2"/>
      <c r="AA218" s="2"/>
      <c r="AB218" s="2"/>
    </row>
    <row r="219">
      <c r="B219" s="292"/>
      <c r="C219" s="291" t="s">
        <v>3874</v>
      </c>
      <c r="D219" s="292"/>
      <c r="E219" s="293"/>
      <c r="F219" s="294" t="str">
        <f t="shared" si="1"/>
        <v>בכלל לא</v>
      </c>
      <c r="G219" s="295">
        <f>COUNTIF(Recordings!A:A,C219)</f>
        <v>0</v>
      </c>
      <c r="H219" s="295"/>
      <c r="I219" s="295"/>
      <c r="J219" s="295"/>
      <c r="K219" s="2"/>
      <c r="L219" s="7"/>
      <c r="M219" s="2"/>
      <c r="N219" s="2"/>
      <c r="O219" s="2"/>
      <c r="P219" s="2"/>
      <c r="Q219" s="2"/>
      <c r="R219" s="2"/>
      <c r="S219" s="2"/>
      <c r="T219" s="2"/>
      <c r="U219" s="2"/>
      <c r="V219" s="2"/>
      <c r="W219" s="2"/>
      <c r="X219" s="2"/>
      <c r="Y219" s="2"/>
      <c r="Z219" s="2"/>
      <c r="AA219" s="2"/>
      <c r="AB219" s="2"/>
    </row>
    <row r="220">
      <c r="B220" s="292"/>
      <c r="C220" s="291" t="s">
        <v>3875</v>
      </c>
      <c r="D220" s="292"/>
      <c r="E220" s="293"/>
      <c r="F220" s="294" t="str">
        <f t="shared" si="1"/>
        <v>בכלל לא</v>
      </c>
      <c r="G220" s="295">
        <f>COUNTIF(Recordings!A:A,C220)</f>
        <v>0</v>
      </c>
      <c r="H220" s="295"/>
      <c r="I220" s="295"/>
      <c r="J220" s="295"/>
      <c r="K220" s="2"/>
      <c r="L220" s="7"/>
      <c r="M220" s="2"/>
      <c r="N220" s="2"/>
      <c r="O220" s="2"/>
      <c r="P220" s="2"/>
      <c r="Q220" s="2"/>
      <c r="R220" s="2"/>
      <c r="S220" s="2"/>
      <c r="T220" s="2"/>
      <c r="U220" s="2"/>
      <c r="V220" s="2"/>
      <c r="W220" s="2"/>
      <c r="X220" s="2"/>
      <c r="Y220" s="2"/>
      <c r="Z220" s="2"/>
      <c r="AA220" s="2"/>
      <c r="AB220" s="2"/>
    </row>
    <row r="221">
      <c r="B221" s="292"/>
      <c r="C221" s="291" t="s">
        <v>3876</v>
      </c>
      <c r="D221" s="292"/>
      <c r="E221" s="293"/>
      <c r="F221" s="294" t="str">
        <f t="shared" si="1"/>
        <v>בכלל לא</v>
      </c>
      <c r="G221" s="295">
        <f>COUNTIF(Recordings!A:A,C221)</f>
        <v>0</v>
      </c>
      <c r="H221" s="295"/>
      <c r="I221" s="295"/>
      <c r="J221" s="295"/>
      <c r="K221" s="2"/>
      <c r="L221" s="7"/>
      <c r="M221" s="2"/>
      <c r="N221" s="2"/>
      <c r="O221" s="2"/>
      <c r="P221" s="2"/>
      <c r="Q221" s="2"/>
      <c r="R221" s="2"/>
      <c r="S221" s="2"/>
      <c r="T221" s="2"/>
      <c r="U221" s="2"/>
      <c r="V221" s="2"/>
      <c r="W221" s="2"/>
      <c r="X221" s="2"/>
      <c r="Y221" s="2"/>
      <c r="Z221" s="2"/>
      <c r="AA221" s="2"/>
      <c r="AB221" s="2"/>
    </row>
    <row r="222">
      <c r="B222" s="292"/>
      <c r="C222" s="291" t="s">
        <v>3877</v>
      </c>
      <c r="D222" s="292"/>
      <c r="E222" s="293"/>
      <c r="F222" s="294" t="str">
        <f t="shared" si="1"/>
        <v>בכלל לא</v>
      </c>
      <c r="G222" s="295">
        <f>COUNTIF(Recordings!A:A,C222)</f>
        <v>0</v>
      </c>
      <c r="H222" s="295"/>
      <c r="I222" s="295"/>
      <c r="J222" s="295"/>
      <c r="K222" s="2"/>
      <c r="L222" s="7"/>
      <c r="M222" s="2"/>
      <c r="N222" s="2"/>
      <c r="O222" s="2"/>
      <c r="P222" s="2"/>
      <c r="Q222" s="2"/>
      <c r="R222" s="2"/>
      <c r="S222" s="2"/>
      <c r="T222" s="2"/>
      <c r="U222" s="2"/>
      <c r="V222" s="2"/>
      <c r="W222" s="2"/>
      <c r="X222" s="2"/>
      <c r="Y222" s="2"/>
      <c r="Z222" s="2"/>
      <c r="AA222" s="2"/>
      <c r="AB222" s="2"/>
    </row>
    <row r="223">
      <c r="B223" s="292"/>
      <c r="C223" s="291" t="s">
        <v>3878</v>
      </c>
      <c r="D223" s="292"/>
      <c r="E223" s="293"/>
      <c r="F223" s="294" t="str">
        <f t="shared" si="1"/>
        <v>בכלל לא</v>
      </c>
      <c r="G223" s="295">
        <f>COUNTIF(Recordings!A:A,C223)</f>
        <v>0</v>
      </c>
      <c r="H223" s="295"/>
      <c r="I223" s="295"/>
      <c r="J223" s="295"/>
      <c r="K223" s="2"/>
      <c r="L223" s="7"/>
      <c r="M223" s="2"/>
      <c r="N223" s="2"/>
      <c r="O223" s="2"/>
      <c r="P223" s="2"/>
      <c r="Q223" s="2"/>
      <c r="R223" s="2"/>
      <c r="S223" s="2"/>
      <c r="T223" s="2"/>
      <c r="U223" s="2"/>
      <c r="V223" s="2"/>
      <c r="W223" s="2"/>
      <c r="X223" s="2"/>
      <c r="Y223" s="2"/>
      <c r="Z223" s="2"/>
      <c r="AA223" s="2"/>
      <c r="AB223" s="2"/>
    </row>
    <row r="224">
      <c r="B224" s="292"/>
      <c r="C224" s="291" t="s">
        <v>3879</v>
      </c>
      <c r="D224" s="292"/>
      <c r="E224" s="293"/>
      <c r="F224" s="294" t="str">
        <f t="shared" si="1"/>
        <v>בכלל לא</v>
      </c>
      <c r="G224" s="295">
        <f>COUNTIF(Recordings!A:A,C224)</f>
        <v>0</v>
      </c>
      <c r="H224" s="295"/>
      <c r="I224" s="295"/>
      <c r="J224" s="295"/>
      <c r="K224" s="2"/>
      <c r="L224" s="7"/>
      <c r="M224" s="2"/>
      <c r="N224" s="2"/>
      <c r="O224" s="2"/>
      <c r="P224" s="2"/>
      <c r="Q224" s="2"/>
      <c r="R224" s="2"/>
      <c r="S224" s="2"/>
      <c r="T224" s="2"/>
      <c r="U224" s="2"/>
      <c r="V224" s="2"/>
      <c r="W224" s="2"/>
      <c r="X224" s="2"/>
      <c r="Y224" s="2"/>
      <c r="Z224" s="2"/>
      <c r="AA224" s="2"/>
      <c r="AB224" s="2"/>
    </row>
    <row r="225">
      <c r="B225" s="292"/>
      <c r="C225" s="291" t="s">
        <v>3880</v>
      </c>
      <c r="D225" s="292"/>
      <c r="E225" s="293"/>
      <c r="F225" s="294" t="str">
        <f t="shared" si="1"/>
        <v>בכלל לא</v>
      </c>
      <c r="G225" s="295">
        <f>COUNTIF(Recordings!A:A,C225)</f>
        <v>0</v>
      </c>
      <c r="H225" s="295"/>
      <c r="I225" s="295"/>
      <c r="J225" s="295"/>
      <c r="K225" s="2"/>
      <c r="L225" s="7"/>
      <c r="M225" s="2"/>
      <c r="N225" s="2"/>
      <c r="O225" s="2"/>
      <c r="P225" s="2"/>
      <c r="Q225" s="2"/>
      <c r="R225" s="2"/>
      <c r="S225" s="2"/>
      <c r="T225" s="2"/>
      <c r="U225" s="2"/>
      <c r="V225" s="2"/>
      <c r="W225" s="2"/>
      <c r="X225" s="2"/>
      <c r="Y225" s="2"/>
      <c r="Z225" s="2"/>
      <c r="AA225" s="2"/>
      <c r="AB225" s="2"/>
    </row>
    <row r="226">
      <c r="B226" s="292"/>
      <c r="C226" s="291" t="s">
        <v>3881</v>
      </c>
      <c r="D226" s="292"/>
      <c r="E226" s="293"/>
      <c r="F226" s="294" t="str">
        <f t="shared" si="1"/>
        <v>בכלל לא</v>
      </c>
      <c r="G226" s="295">
        <f>COUNTIF(Recordings!A:A,C226)</f>
        <v>0</v>
      </c>
      <c r="H226" s="295"/>
      <c r="I226" s="295"/>
      <c r="J226" s="295"/>
      <c r="K226" s="2"/>
      <c r="L226" s="7"/>
      <c r="M226" s="2"/>
      <c r="N226" s="2"/>
      <c r="O226" s="2"/>
      <c r="P226" s="2"/>
      <c r="Q226" s="2"/>
      <c r="R226" s="2"/>
      <c r="S226" s="2"/>
      <c r="T226" s="2"/>
      <c r="U226" s="2"/>
      <c r="V226" s="2"/>
      <c r="W226" s="2"/>
      <c r="X226" s="2"/>
      <c r="Y226" s="2"/>
      <c r="Z226" s="2"/>
      <c r="AA226" s="2"/>
      <c r="AB226" s="2"/>
    </row>
    <row r="227">
      <c r="B227" s="292"/>
      <c r="C227" s="291" t="s">
        <v>3882</v>
      </c>
      <c r="D227" s="292"/>
      <c r="E227" s="293"/>
      <c r="F227" s="294" t="str">
        <f t="shared" si="1"/>
        <v>בכלל לא</v>
      </c>
      <c r="G227" s="295">
        <f>COUNTIF(Recordings!A:A,C227)</f>
        <v>0</v>
      </c>
      <c r="H227" s="295"/>
      <c r="I227" s="295"/>
      <c r="J227" s="295"/>
      <c r="K227" s="2"/>
      <c r="L227" s="7"/>
      <c r="M227" s="2"/>
      <c r="N227" s="2"/>
      <c r="O227" s="2"/>
      <c r="P227" s="2"/>
      <c r="Q227" s="2"/>
      <c r="R227" s="2"/>
      <c r="S227" s="2"/>
      <c r="T227" s="2"/>
      <c r="U227" s="2"/>
      <c r="V227" s="2"/>
      <c r="W227" s="2"/>
      <c r="X227" s="2"/>
      <c r="Y227" s="2"/>
      <c r="Z227" s="2"/>
      <c r="AA227" s="2"/>
      <c r="AB227" s="2"/>
    </row>
    <row r="228">
      <c r="B228" s="292"/>
      <c r="C228" s="291" t="s">
        <v>3883</v>
      </c>
      <c r="D228" s="292"/>
      <c r="E228" s="293"/>
      <c r="F228" s="294" t="str">
        <f t="shared" si="1"/>
        <v>בכלל לא</v>
      </c>
      <c r="G228" s="295">
        <f>COUNTIF(Recordings!A:A,C228)</f>
        <v>0</v>
      </c>
      <c r="H228" s="295"/>
      <c r="I228" s="295"/>
      <c r="J228" s="295"/>
      <c r="K228" s="2"/>
      <c r="L228" s="7"/>
      <c r="M228" s="2"/>
      <c r="N228" s="2"/>
      <c r="O228" s="2"/>
      <c r="P228" s="2"/>
      <c r="Q228" s="2"/>
      <c r="R228" s="2"/>
      <c r="S228" s="2"/>
      <c r="T228" s="2"/>
      <c r="U228" s="2"/>
      <c r="V228" s="2"/>
      <c r="W228" s="2"/>
      <c r="X228" s="2"/>
      <c r="Y228" s="2"/>
      <c r="Z228" s="2"/>
      <c r="AA228" s="2"/>
      <c r="AB228" s="2"/>
    </row>
    <row r="229">
      <c r="B229" s="292"/>
      <c r="C229" s="291" t="s">
        <v>3884</v>
      </c>
      <c r="D229" s="292"/>
      <c r="E229" s="293"/>
      <c r="F229" s="294" t="str">
        <f t="shared" si="1"/>
        <v>בכלל לא</v>
      </c>
      <c r="G229" s="295">
        <f>COUNTIF(Recordings!A:A,C229)</f>
        <v>0</v>
      </c>
      <c r="H229" s="295"/>
      <c r="I229" s="295"/>
      <c r="J229" s="295"/>
      <c r="K229" s="2"/>
      <c r="L229" s="7"/>
      <c r="M229" s="2"/>
      <c r="N229" s="2"/>
      <c r="O229" s="2"/>
      <c r="P229" s="2"/>
      <c r="Q229" s="2"/>
      <c r="R229" s="2"/>
      <c r="S229" s="2"/>
      <c r="T229" s="2"/>
      <c r="U229" s="2"/>
      <c r="V229" s="2"/>
      <c r="W229" s="2"/>
      <c r="X229" s="2"/>
      <c r="Y229" s="2"/>
      <c r="Z229" s="2"/>
      <c r="AA229" s="2"/>
      <c r="AB229" s="2"/>
    </row>
    <row r="230">
      <c r="B230" s="292"/>
      <c r="C230" s="291" t="s">
        <v>277</v>
      </c>
      <c r="D230" s="292"/>
      <c r="E230" s="293"/>
      <c r="F230" s="294" t="str">
        <f t="shared" si="1"/>
        <v>בכלל לא</v>
      </c>
      <c r="G230" s="295">
        <f>COUNTIF(Recordings!A:A,C230)</f>
        <v>0</v>
      </c>
      <c r="H230" s="295"/>
      <c r="I230" s="295"/>
      <c r="J230" s="295"/>
      <c r="K230" s="2"/>
      <c r="L230" s="7"/>
      <c r="M230" s="2"/>
      <c r="N230" s="2"/>
      <c r="O230" s="2"/>
      <c r="P230" s="2"/>
      <c r="Q230" s="2"/>
      <c r="R230" s="2"/>
      <c r="S230" s="2"/>
      <c r="T230" s="2"/>
      <c r="U230" s="2"/>
      <c r="V230" s="2"/>
      <c r="W230" s="2"/>
      <c r="X230" s="2"/>
      <c r="Y230" s="2"/>
      <c r="Z230" s="2"/>
      <c r="AA230" s="2"/>
      <c r="AB230" s="2"/>
    </row>
    <row r="231">
      <c r="B231" s="292"/>
      <c r="C231" s="291" t="s">
        <v>3885</v>
      </c>
      <c r="D231" s="292"/>
      <c r="E231" s="293"/>
      <c r="F231" s="294" t="str">
        <f t="shared" si="1"/>
        <v>בכלל לא</v>
      </c>
      <c r="G231" s="295">
        <f>COUNTIF(Recordings!A:A,C231)</f>
        <v>0</v>
      </c>
      <c r="H231" s="295"/>
      <c r="I231" s="295"/>
      <c r="J231" s="295"/>
      <c r="K231" s="2"/>
      <c r="L231" s="7"/>
      <c r="M231" s="2"/>
      <c r="N231" s="2"/>
      <c r="O231" s="2"/>
      <c r="P231" s="2"/>
      <c r="Q231" s="2"/>
      <c r="R231" s="2"/>
      <c r="S231" s="2"/>
      <c r="T231" s="2"/>
      <c r="U231" s="2"/>
      <c r="V231" s="2"/>
      <c r="W231" s="2"/>
      <c r="X231" s="2"/>
      <c r="Y231" s="2"/>
      <c r="Z231" s="2"/>
      <c r="AA231" s="2"/>
      <c r="AB231" s="2"/>
    </row>
    <row r="232">
      <c r="B232" s="292"/>
      <c r="C232" s="291" t="s">
        <v>3886</v>
      </c>
      <c r="D232" s="292"/>
      <c r="E232" s="293"/>
      <c r="F232" s="294" t="str">
        <f t="shared" si="1"/>
        <v>בכלל לא</v>
      </c>
      <c r="G232" s="295">
        <f>COUNTIF(Recordings!A:A,C232)</f>
        <v>0</v>
      </c>
      <c r="H232" s="295"/>
      <c r="I232" s="295"/>
      <c r="J232" s="295"/>
      <c r="K232" s="2"/>
      <c r="L232" s="7"/>
      <c r="M232" s="2"/>
      <c r="N232" s="2"/>
      <c r="O232" s="2"/>
      <c r="P232" s="2"/>
      <c r="Q232" s="2"/>
      <c r="R232" s="2"/>
      <c r="S232" s="2"/>
      <c r="T232" s="2"/>
      <c r="U232" s="2"/>
      <c r="V232" s="2"/>
      <c r="W232" s="2"/>
      <c r="X232" s="2"/>
      <c r="Y232" s="2"/>
      <c r="Z232" s="2"/>
      <c r="AA232" s="2"/>
      <c r="AB232" s="2"/>
    </row>
    <row r="233">
      <c r="B233" s="292"/>
      <c r="C233" s="291" t="s">
        <v>3887</v>
      </c>
      <c r="D233" s="292"/>
      <c r="E233" s="293"/>
      <c r="F233" s="294" t="str">
        <f t="shared" si="1"/>
        <v>בכלל לא</v>
      </c>
      <c r="G233" s="295">
        <f>COUNTIF(Recordings!A:A,C233)</f>
        <v>0</v>
      </c>
      <c r="H233" s="295"/>
      <c r="I233" s="295"/>
      <c r="J233" s="295"/>
      <c r="K233" s="2"/>
      <c r="L233" s="7"/>
      <c r="M233" s="2"/>
      <c r="N233" s="2"/>
      <c r="O233" s="2"/>
      <c r="P233" s="2"/>
      <c r="Q233" s="2"/>
      <c r="R233" s="2"/>
      <c r="S233" s="2"/>
      <c r="T233" s="2"/>
      <c r="U233" s="2"/>
      <c r="V233" s="2"/>
      <c r="W233" s="2"/>
      <c r="X233" s="2"/>
      <c r="Y233" s="2"/>
      <c r="Z233" s="2"/>
      <c r="AA233" s="2"/>
      <c r="AB233" s="2"/>
    </row>
    <row r="234">
      <c r="B234" s="292"/>
      <c r="C234" s="291" t="s">
        <v>3888</v>
      </c>
      <c r="D234" s="292"/>
      <c r="E234" s="293"/>
      <c r="F234" s="294" t="str">
        <f t="shared" si="1"/>
        <v>בכלל לא</v>
      </c>
      <c r="G234" s="295">
        <f>COUNTIF(Recordings!A:A,C234)</f>
        <v>0</v>
      </c>
      <c r="H234" s="295"/>
      <c r="I234" s="295"/>
      <c r="J234" s="295"/>
      <c r="K234" s="2"/>
      <c r="L234" s="7"/>
      <c r="M234" s="2"/>
      <c r="N234" s="2"/>
      <c r="O234" s="2"/>
      <c r="P234" s="2"/>
      <c r="Q234" s="2"/>
      <c r="R234" s="2"/>
      <c r="S234" s="2"/>
      <c r="T234" s="2"/>
      <c r="U234" s="2"/>
      <c r="V234" s="2"/>
      <c r="W234" s="2"/>
      <c r="X234" s="2"/>
      <c r="Y234" s="2"/>
      <c r="Z234" s="2"/>
      <c r="AA234" s="2"/>
      <c r="AB234" s="2"/>
    </row>
    <row r="235">
      <c r="B235" s="292"/>
      <c r="C235" s="291" t="s">
        <v>3889</v>
      </c>
      <c r="D235" s="292"/>
      <c r="E235" s="293"/>
      <c r="F235" s="294" t="str">
        <f t="shared" si="1"/>
        <v>בכלל לא</v>
      </c>
      <c r="G235" s="295">
        <f>COUNTIF(Recordings!A:A,C235)</f>
        <v>0</v>
      </c>
      <c r="H235" s="295"/>
      <c r="I235" s="295"/>
      <c r="J235" s="295"/>
      <c r="K235" s="2"/>
      <c r="L235" s="7"/>
      <c r="M235" s="2"/>
      <c r="N235" s="2"/>
      <c r="O235" s="2"/>
      <c r="P235" s="2"/>
      <c r="Q235" s="2"/>
      <c r="R235" s="2"/>
      <c r="S235" s="2"/>
      <c r="T235" s="2"/>
      <c r="U235" s="2"/>
      <c r="V235" s="2"/>
      <c r="W235" s="2"/>
      <c r="X235" s="2"/>
      <c r="Y235" s="2"/>
      <c r="Z235" s="2"/>
      <c r="AA235" s="2"/>
      <c r="AB235" s="2"/>
    </row>
    <row r="236">
      <c r="B236" s="292"/>
      <c r="C236" s="291" t="s">
        <v>3890</v>
      </c>
      <c r="D236" s="292"/>
      <c r="E236" s="293"/>
      <c r="F236" s="294" t="str">
        <f t="shared" si="1"/>
        <v>בכלל לא</v>
      </c>
      <c r="G236" s="295">
        <f>COUNTIF(Recordings!A:A,C236)</f>
        <v>0</v>
      </c>
      <c r="H236" s="295"/>
      <c r="I236" s="295"/>
      <c r="J236" s="295"/>
      <c r="K236" s="2"/>
      <c r="L236" s="7"/>
      <c r="M236" s="2"/>
      <c r="N236" s="2"/>
      <c r="O236" s="2"/>
      <c r="P236" s="2"/>
      <c r="Q236" s="2"/>
      <c r="R236" s="2"/>
      <c r="S236" s="2"/>
      <c r="T236" s="2"/>
      <c r="U236" s="2"/>
      <c r="V236" s="2"/>
      <c r="W236" s="2"/>
      <c r="X236" s="2"/>
      <c r="Y236" s="2"/>
      <c r="Z236" s="2"/>
      <c r="AA236" s="2"/>
      <c r="AB236" s="2"/>
    </row>
    <row r="237">
      <c r="B237" s="292"/>
      <c r="C237" s="291" t="s">
        <v>3891</v>
      </c>
      <c r="D237" s="292"/>
      <c r="E237" s="293"/>
      <c r="F237" s="294" t="str">
        <f t="shared" si="1"/>
        <v>בכלל לא</v>
      </c>
      <c r="G237" s="295">
        <f>COUNTIF(Recordings!A:A,C237)</f>
        <v>0</v>
      </c>
      <c r="H237" s="295"/>
      <c r="I237" s="295"/>
      <c r="J237" s="295"/>
      <c r="K237" s="2"/>
      <c r="L237" s="7"/>
      <c r="M237" s="2"/>
      <c r="N237" s="2"/>
      <c r="O237" s="2"/>
      <c r="P237" s="2"/>
      <c r="Q237" s="2"/>
      <c r="R237" s="2"/>
      <c r="S237" s="2"/>
      <c r="T237" s="2"/>
      <c r="U237" s="2"/>
      <c r="V237" s="2"/>
      <c r="W237" s="2"/>
      <c r="X237" s="2"/>
      <c r="Y237" s="2"/>
      <c r="Z237" s="2"/>
      <c r="AA237" s="2"/>
      <c r="AB237" s="2"/>
    </row>
    <row r="238">
      <c r="B238" s="292"/>
      <c r="C238" s="291" t="s">
        <v>3892</v>
      </c>
      <c r="D238" s="292"/>
      <c r="E238" s="293"/>
      <c r="F238" s="294" t="str">
        <f t="shared" si="1"/>
        <v>בכלל לא</v>
      </c>
      <c r="G238" s="295">
        <f>COUNTIF(Recordings!A:A,C238)</f>
        <v>0</v>
      </c>
      <c r="H238" s="295"/>
      <c r="I238" s="295"/>
      <c r="J238" s="295"/>
      <c r="K238" s="2"/>
      <c r="L238" s="7"/>
      <c r="M238" s="2"/>
      <c r="N238" s="2"/>
      <c r="O238" s="2"/>
      <c r="P238" s="2"/>
      <c r="Q238" s="2"/>
      <c r="R238" s="2"/>
      <c r="S238" s="2"/>
      <c r="T238" s="2"/>
      <c r="U238" s="2"/>
      <c r="V238" s="2"/>
      <c r="W238" s="2"/>
      <c r="X238" s="2"/>
      <c r="Y238" s="2"/>
      <c r="Z238" s="2"/>
      <c r="AA238" s="2"/>
      <c r="AB238" s="2"/>
    </row>
    <row r="239">
      <c r="B239" s="292"/>
      <c r="C239" s="291" t="s">
        <v>3893</v>
      </c>
      <c r="D239" s="292"/>
      <c r="E239" s="293"/>
      <c r="F239" s="294" t="str">
        <f t="shared" si="1"/>
        <v>בכלל לא</v>
      </c>
      <c r="G239" s="295">
        <f>COUNTIF(Recordings!A:A,C239)</f>
        <v>0</v>
      </c>
      <c r="H239" s="295"/>
      <c r="I239" s="295"/>
      <c r="J239" s="295"/>
      <c r="K239" s="2"/>
      <c r="L239" s="7"/>
      <c r="M239" s="2"/>
      <c r="N239" s="2"/>
      <c r="O239" s="2"/>
      <c r="P239" s="2"/>
      <c r="Q239" s="2"/>
      <c r="R239" s="2"/>
      <c r="S239" s="2"/>
      <c r="T239" s="2"/>
      <c r="U239" s="2"/>
      <c r="V239" s="2"/>
      <c r="W239" s="2"/>
      <c r="X239" s="2"/>
      <c r="Y239" s="2"/>
      <c r="Z239" s="2"/>
      <c r="AA239" s="2"/>
      <c r="AB239" s="2"/>
    </row>
    <row r="240">
      <c r="B240" s="292"/>
      <c r="C240" s="291" t="s">
        <v>3894</v>
      </c>
      <c r="D240" s="292"/>
      <c r="E240" s="293"/>
      <c r="F240" s="294" t="str">
        <f t="shared" si="1"/>
        <v>בכלל לא</v>
      </c>
      <c r="G240" s="295">
        <f>COUNTIF(Recordings!A:A,C240)</f>
        <v>0</v>
      </c>
      <c r="H240" s="295"/>
      <c r="I240" s="295"/>
      <c r="J240" s="295"/>
      <c r="K240" s="2"/>
      <c r="L240" s="7"/>
      <c r="M240" s="2"/>
      <c r="N240" s="2"/>
      <c r="O240" s="2"/>
      <c r="P240" s="2"/>
      <c r="Q240" s="2"/>
      <c r="R240" s="2"/>
      <c r="S240" s="2"/>
      <c r="T240" s="2"/>
      <c r="U240" s="2"/>
      <c r="V240" s="2"/>
      <c r="W240" s="2"/>
      <c r="X240" s="2"/>
      <c r="Y240" s="2"/>
      <c r="Z240" s="2"/>
      <c r="AA240" s="2"/>
      <c r="AB240" s="2"/>
    </row>
    <row r="241">
      <c r="B241" s="292"/>
      <c r="C241" s="291" t="s">
        <v>3895</v>
      </c>
      <c r="D241" s="292"/>
      <c r="E241" s="293"/>
      <c r="F241" s="294" t="str">
        <f t="shared" si="1"/>
        <v>בכלל לא</v>
      </c>
      <c r="G241" s="295">
        <f>COUNTIF(Recordings!A:A,C241)</f>
        <v>0</v>
      </c>
      <c r="H241" s="295"/>
      <c r="I241" s="295"/>
      <c r="J241" s="295"/>
      <c r="K241" s="2"/>
      <c r="L241" s="7"/>
      <c r="M241" s="2"/>
      <c r="N241" s="2"/>
      <c r="O241" s="2"/>
      <c r="P241" s="2"/>
      <c r="Q241" s="2"/>
      <c r="R241" s="2"/>
      <c r="S241" s="2"/>
      <c r="T241" s="2"/>
      <c r="U241" s="2"/>
      <c r="V241" s="2"/>
      <c r="W241" s="2"/>
      <c r="X241" s="2"/>
      <c r="Y241" s="2"/>
      <c r="Z241" s="2"/>
      <c r="AA241" s="2"/>
      <c r="AB241" s="2"/>
    </row>
    <row r="242">
      <c r="B242" s="292"/>
      <c r="C242" s="291" t="s">
        <v>3896</v>
      </c>
      <c r="D242" s="292"/>
      <c r="E242" s="293"/>
      <c r="F242" s="294" t="str">
        <f t="shared" si="1"/>
        <v>בכלל לא</v>
      </c>
      <c r="G242" s="295">
        <f>COUNTIF(Recordings!A:A,C242)</f>
        <v>0</v>
      </c>
      <c r="H242" s="295"/>
      <c r="I242" s="295"/>
      <c r="J242" s="295"/>
      <c r="K242" s="2"/>
      <c r="L242" s="7"/>
      <c r="M242" s="2"/>
      <c r="N242" s="2"/>
      <c r="O242" s="2"/>
      <c r="P242" s="2"/>
      <c r="Q242" s="2"/>
      <c r="R242" s="2"/>
      <c r="S242" s="2"/>
      <c r="T242" s="2"/>
      <c r="U242" s="2"/>
      <c r="V242" s="2"/>
      <c r="W242" s="2"/>
      <c r="X242" s="2"/>
      <c r="Y242" s="2"/>
      <c r="Z242" s="2"/>
      <c r="AA242" s="2"/>
      <c r="AB242" s="2"/>
    </row>
    <row r="243">
      <c r="B243" s="292"/>
      <c r="C243" s="291" t="s">
        <v>3897</v>
      </c>
      <c r="D243" s="292"/>
      <c r="E243" s="293"/>
      <c r="F243" s="294" t="str">
        <f t="shared" si="1"/>
        <v>בכלל לא</v>
      </c>
      <c r="G243" s="295">
        <f>COUNTIF(Recordings!A:A,C243)</f>
        <v>0</v>
      </c>
      <c r="H243" s="295"/>
      <c r="I243" s="295"/>
      <c r="J243" s="295"/>
      <c r="K243" s="2"/>
      <c r="L243" s="7"/>
      <c r="M243" s="2"/>
      <c r="N243" s="2"/>
      <c r="O243" s="2"/>
      <c r="P243" s="2"/>
      <c r="Q243" s="2"/>
      <c r="R243" s="2"/>
      <c r="S243" s="2"/>
      <c r="T243" s="2"/>
      <c r="U243" s="2"/>
      <c r="V243" s="2"/>
      <c r="W243" s="2"/>
      <c r="X243" s="2"/>
      <c r="Y243" s="2"/>
      <c r="Z243" s="2"/>
      <c r="AA243" s="2"/>
      <c r="AB243" s="2"/>
    </row>
    <row r="244">
      <c r="B244" s="292"/>
      <c r="C244" s="291" t="s">
        <v>3898</v>
      </c>
      <c r="D244" s="292"/>
      <c r="E244" s="293"/>
      <c r="F244" s="294" t="str">
        <f t="shared" si="1"/>
        <v>בכלל לא</v>
      </c>
      <c r="G244" s="295">
        <f>COUNTIF(Recordings!A:A,C244)</f>
        <v>0</v>
      </c>
      <c r="H244" s="295"/>
      <c r="I244" s="295"/>
      <c r="J244" s="295"/>
      <c r="K244" s="2"/>
      <c r="L244" s="7"/>
      <c r="M244" s="2"/>
      <c r="N244" s="2"/>
      <c r="O244" s="2"/>
      <c r="P244" s="2"/>
      <c r="Q244" s="2"/>
      <c r="R244" s="2"/>
      <c r="S244" s="2"/>
      <c r="T244" s="2"/>
      <c r="U244" s="2"/>
      <c r="V244" s="2"/>
      <c r="W244" s="2"/>
      <c r="X244" s="2"/>
      <c r="Y244" s="2"/>
      <c r="Z244" s="2"/>
      <c r="AA244" s="2"/>
      <c r="AB244" s="2"/>
    </row>
    <row r="245">
      <c r="B245" s="292"/>
      <c r="C245" s="291" t="s">
        <v>3899</v>
      </c>
      <c r="D245" s="292"/>
      <c r="E245" s="293"/>
      <c r="F245" s="294" t="str">
        <f t="shared" si="1"/>
        <v>בכלל לא</v>
      </c>
      <c r="G245" s="295">
        <f>COUNTIF(Recordings!A:A,C245)</f>
        <v>0</v>
      </c>
      <c r="H245" s="295"/>
      <c r="I245" s="295"/>
      <c r="J245" s="295"/>
      <c r="K245" s="2"/>
      <c r="L245" s="7"/>
      <c r="M245" s="2"/>
      <c r="N245" s="2"/>
      <c r="O245" s="2"/>
      <c r="P245" s="2"/>
      <c r="Q245" s="2"/>
      <c r="R245" s="2"/>
      <c r="S245" s="2"/>
      <c r="T245" s="2"/>
      <c r="U245" s="2"/>
      <c r="V245" s="2"/>
      <c r="W245" s="2"/>
      <c r="X245" s="2"/>
      <c r="Y245" s="2"/>
      <c r="Z245" s="2"/>
      <c r="AA245" s="2"/>
      <c r="AB245" s="2"/>
    </row>
    <row r="246">
      <c r="B246" s="292"/>
      <c r="C246" s="291" t="s">
        <v>3900</v>
      </c>
      <c r="D246" s="292"/>
      <c r="E246" s="293"/>
      <c r="F246" s="294" t="str">
        <f t="shared" si="1"/>
        <v>בכלל לא</v>
      </c>
      <c r="G246" s="295">
        <f>COUNTIF(Recordings!A:A,C246)</f>
        <v>0</v>
      </c>
      <c r="H246" s="295"/>
      <c r="I246" s="295"/>
      <c r="J246" s="295"/>
      <c r="K246" s="2"/>
      <c r="L246" s="7"/>
      <c r="M246" s="2"/>
      <c r="N246" s="2"/>
      <c r="O246" s="2"/>
      <c r="P246" s="2"/>
      <c r="Q246" s="2"/>
      <c r="R246" s="2"/>
      <c r="S246" s="2"/>
      <c r="T246" s="2"/>
      <c r="U246" s="2"/>
      <c r="V246" s="2"/>
      <c r="W246" s="2"/>
      <c r="X246" s="2"/>
      <c r="Y246" s="2"/>
      <c r="Z246" s="2"/>
      <c r="AA246" s="2"/>
      <c r="AB246" s="2"/>
    </row>
    <row r="247">
      <c r="B247" s="292"/>
      <c r="C247" s="291" t="s">
        <v>3901</v>
      </c>
      <c r="D247" s="292"/>
      <c r="E247" s="293"/>
      <c r="F247" s="294" t="str">
        <f t="shared" si="1"/>
        <v>בכלל לא</v>
      </c>
      <c r="G247" s="295">
        <f>COUNTIF(Recordings!A:A,C247)</f>
        <v>0</v>
      </c>
      <c r="H247" s="295"/>
      <c r="I247" s="295"/>
      <c r="J247" s="295"/>
      <c r="K247" s="2"/>
      <c r="L247" s="7"/>
      <c r="M247" s="2"/>
      <c r="N247" s="2"/>
      <c r="O247" s="2"/>
      <c r="P247" s="2"/>
      <c r="Q247" s="2"/>
      <c r="R247" s="2"/>
      <c r="S247" s="2"/>
      <c r="T247" s="2"/>
      <c r="U247" s="2"/>
      <c r="V247" s="2"/>
      <c r="W247" s="2"/>
      <c r="X247" s="2"/>
      <c r="Y247" s="2"/>
      <c r="Z247" s="2"/>
      <c r="AA247" s="2"/>
      <c r="AB247" s="2"/>
    </row>
    <row r="248">
      <c r="B248" s="292"/>
      <c r="C248" s="291" t="s">
        <v>3902</v>
      </c>
      <c r="D248" s="292"/>
      <c r="E248" s="293"/>
      <c r="F248" s="294" t="str">
        <f t="shared" si="1"/>
        <v>בכלל לא</v>
      </c>
      <c r="G248" s="295">
        <f>COUNTIF(Recordings!A:A,C248)</f>
        <v>0</v>
      </c>
      <c r="H248" s="295"/>
      <c r="I248" s="295"/>
      <c r="J248" s="295"/>
      <c r="K248" s="2"/>
      <c r="L248" s="7"/>
      <c r="M248" s="2"/>
      <c r="N248" s="2"/>
      <c r="O248" s="2"/>
      <c r="P248" s="2"/>
      <c r="Q248" s="2"/>
      <c r="R248" s="2"/>
      <c r="S248" s="2"/>
      <c r="T248" s="2"/>
      <c r="U248" s="2"/>
      <c r="V248" s="2"/>
      <c r="W248" s="2"/>
      <c r="X248" s="2"/>
      <c r="Y248" s="2"/>
      <c r="Z248" s="2"/>
      <c r="AA248" s="2"/>
      <c r="AB248" s="2"/>
    </row>
    <row r="249">
      <c r="B249" s="292"/>
      <c r="C249" s="291" t="s">
        <v>3903</v>
      </c>
      <c r="D249" s="292"/>
      <c r="E249" s="293"/>
      <c r="F249" s="294" t="str">
        <f t="shared" si="1"/>
        <v>בכלל לא</v>
      </c>
      <c r="G249" s="295">
        <f>COUNTIF(Recordings!A:A,C249)</f>
        <v>0</v>
      </c>
      <c r="H249" s="295"/>
      <c r="I249" s="295"/>
      <c r="J249" s="295"/>
      <c r="K249" s="2"/>
      <c r="L249" s="7"/>
      <c r="M249" s="2"/>
      <c r="N249" s="2"/>
      <c r="O249" s="2"/>
      <c r="P249" s="2"/>
      <c r="Q249" s="2"/>
      <c r="R249" s="2"/>
      <c r="S249" s="2"/>
      <c r="T249" s="2"/>
      <c r="U249" s="2"/>
      <c r="V249" s="2"/>
      <c r="W249" s="2"/>
      <c r="X249" s="2"/>
      <c r="Y249" s="2"/>
      <c r="Z249" s="2"/>
      <c r="AA249" s="2"/>
      <c r="AB249" s="2"/>
    </row>
    <row r="250">
      <c r="B250" s="292"/>
      <c r="C250" s="291" t="s">
        <v>3904</v>
      </c>
      <c r="D250" s="292"/>
      <c r="E250" s="293"/>
      <c r="F250" s="294" t="str">
        <f t="shared" si="1"/>
        <v>בכלל לא</v>
      </c>
      <c r="G250" s="295">
        <f>COUNTIF(Recordings!A:A,C250)</f>
        <v>0</v>
      </c>
      <c r="H250" s="295"/>
      <c r="I250" s="295"/>
      <c r="J250" s="295"/>
      <c r="K250" s="2"/>
      <c r="L250" s="7"/>
      <c r="M250" s="2"/>
      <c r="N250" s="2"/>
      <c r="O250" s="2"/>
      <c r="P250" s="2"/>
      <c r="Q250" s="2"/>
      <c r="R250" s="2"/>
      <c r="S250" s="2"/>
      <c r="T250" s="2"/>
      <c r="U250" s="2"/>
      <c r="V250" s="2"/>
      <c r="W250" s="2"/>
      <c r="X250" s="2"/>
      <c r="Y250" s="2"/>
      <c r="Z250" s="2"/>
      <c r="AA250" s="2"/>
      <c r="AB250" s="2"/>
    </row>
    <row r="251">
      <c r="B251" s="292"/>
      <c r="C251" s="291" t="s">
        <v>3905</v>
      </c>
      <c r="D251" s="292"/>
      <c r="E251" s="293"/>
      <c r="F251" s="294" t="str">
        <f t="shared" si="1"/>
        <v>בכלל לא</v>
      </c>
      <c r="G251" s="295">
        <f>COUNTIF(Recordings!A:A,C251)</f>
        <v>0</v>
      </c>
      <c r="H251" s="295"/>
      <c r="I251" s="295"/>
      <c r="J251" s="295"/>
      <c r="K251" s="2"/>
      <c r="L251" s="7"/>
      <c r="M251" s="2"/>
      <c r="N251" s="2"/>
      <c r="O251" s="2"/>
      <c r="P251" s="2"/>
      <c r="Q251" s="2"/>
      <c r="R251" s="2"/>
      <c r="S251" s="2"/>
      <c r="T251" s="2"/>
      <c r="U251" s="2"/>
      <c r="V251" s="2"/>
      <c r="W251" s="2"/>
      <c r="X251" s="2"/>
      <c r="Y251" s="2"/>
      <c r="Z251" s="2"/>
      <c r="AA251" s="2"/>
      <c r="AB251" s="2"/>
    </row>
    <row r="252">
      <c r="B252" s="292" t="s">
        <v>549</v>
      </c>
      <c r="C252" s="292" t="s">
        <v>548</v>
      </c>
      <c r="D252" s="292" t="s">
        <v>550</v>
      </c>
      <c r="E252" s="293"/>
      <c r="F252" s="294" t="str">
        <f t="shared" si="1"/>
        <v>כן</v>
      </c>
      <c r="G252" s="295">
        <f>COUNTIF(Recordings!A:A,C252)</f>
        <v>10</v>
      </c>
      <c r="H252" s="295"/>
      <c r="I252" s="295"/>
      <c r="J252" s="295"/>
      <c r="K252" s="2"/>
      <c r="L252" s="7"/>
      <c r="M252" s="2"/>
      <c r="N252" s="2"/>
      <c r="O252" s="2"/>
      <c r="P252" s="2"/>
      <c r="Q252" s="2"/>
      <c r="R252" s="2"/>
      <c r="S252" s="2"/>
      <c r="T252" s="2"/>
      <c r="U252" s="2"/>
      <c r="V252" s="2"/>
      <c r="W252" s="2"/>
      <c r="X252" s="2"/>
      <c r="Y252" s="2"/>
      <c r="Z252" s="2"/>
      <c r="AA252" s="2"/>
      <c r="AB252" s="2"/>
    </row>
    <row r="253">
      <c r="B253" s="292"/>
      <c r="C253" s="291" t="s">
        <v>3906</v>
      </c>
      <c r="D253" s="292"/>
      <c r="E253" s="293"/>
      <c r="F253" s="294" t="str">
        <f t="shared" si="1"/>
        <v>בכלל לא</v>
      </c>
      <c r="G253" s="295">
        <f>COUNTIF(Recordings!A:A,C253)</f>
        <v>0</v>
      </c>
      <c r="H253" s="295"/>
      <c r="I253" s="295"/>
      <c r="J253" s="295"/>
      <c r="K253" s="2"/>
      <c r="L253" s="7"/>
      <c r="M253" s="2"/>
      <c r="N253" s="2"/>
      <c r="O253" s="2"/>
      <c r="P253" s="2"/>
      <c r="Q253" s="2"/>
      <c r="R253" s="2"/>
      <c r="S253" s="2"/>
      <c r="T253" s="2"/>
      <c r="U253" s="2"/>
      <c r="V253" s="2"/>
      <c r="W253" s="2"/>
      <c r="X253" s="2"/>
      <c r="Y253" s="2"/>
      <c r="Z253" s="2"/>
      <c r="AA253" s="2"/>
      <c r="AB253" s="2"/>
    </row>
    <row r="254">
      <c r="B254" s="292"/>
      <c r="C254" s="291" t="s">
        <v>3907</v>
      </c>
      <c r="D254" s="292"/>
      <c r="E254" s="293"/>
      <c r="F254" s="294" t="str">
        <f t="shared" si="1"/>
        <v>בכלל לא</v>
      </c>
      <c r="G254" s="295">
        <f>COUNTIF(Recordings!A:A,C254)</f>
        <v>0</v>
      </c>
      <c r="H254" s="295"/>
      <c r="I254" s="295"/>
      <c r="J254" s="295"/>
      <c r="K254" s="2"/>
      <c r="L254" s="7"/>
      <c r="M254" s="2"/>
      <c r="N254" s="2"/>
      <c r="O254" s="2"/>
      <c r="P254" s="2"/>
      <c r="Q254" s="2"/>
      <c r="R254" s="2"/>
      <c r="S254" s="2"/>
      <c r="T254" s="2"/>
      <c r="U254" s="2"/>
      <c r="V254" s="2"/>
      <c r="W254" s="2"/>
      <c r="X254" s="2"/>
      <c r="Y254" s="2"/>
      <c r="Z254" s="2"/>
      <c r="AA254" s="2"/>
      <c r="AB254" s="2"/>
    </row>
    <row r="255">
      <c r="B255" s="292"/>
      <c r="C255" s="291" t="s">
        <v>3908</v>
      </c>
      <c r="D255" s="292"/>
      <c r="E255" s="293"/>
      <c r="F255" s="294" t="str">
        <f t="shared" si="1"/>
        <v>בכלל לא</v>
      </c>
      <c r="G255" s="295">
        <f>COUNTIF(Recordings!A:A,C255)</f>
        <v>0</v>
      </c>
      <c r="H255" s="295"/>
      <c r="I255" s="295"/>
      <c r="J255" s="295"/>
      <c r="K255" s="2"/>
      <c r="L255" s="7"/>
      <c r="M255" s="2"/>
      <c r="N255" s="2"/>
      <c r="O255" s="2"/>
      <c r="P255" s="2"/>
      <c r="Q255" s="2"/>
      <c r="R255" s="2"/>
      <c r="S255" s="2"/>
      <c r="T255" s="2"/>
      <c r="U255" s="2"/>
      <c r="V255" s="2"/>
      <c r="W255" s="2"/>
      <c r="X255" s="2"/>
      <c r="Y255" s="2"/>
      <c r="Z255" s="2"/>
      <c r="AA255" s="2"/>
      <c r="AB255" s="2"/>
    </row>
    <row r="256">
      <c r="A256" s="296" t="s">
        <v>3909</v>
      </c>
      <c r="B256" s="297"/>
      <c r="C256" s="296" t="s">
        <v>3910</v>
      </c>
      <c r="D256" s="297"/>
      <c r="E256" s="298"/>
      <c r="F256" s="299" t="str">
        <f t="shared" si="1"/>
        <v>בכלל לא</v>
      </c>
      <c r="G256" s="300">
        <f>COUNTIF(Recordings!A:A,C256)</f>
        <v>0</v>
      </c>
      <c r="H256" s="300"/>
      <c r="I256" s="300"/>
      <c r="J256" s="300"/>
      <c r="K256" s="2"/>
      <c r="L256" s="7"/>
      <c r="M256" s="2"/>
      <c r="N256" s="2"/>
      <c r="O256" s="2"/>
      <c r="P256" s="2"/>
      <c r="Q256" s="2"/>
      <c r="R256" s="2"/>
      <c r="S256" s="2"/>
      <c r="T256" s="2"/>
      <c r="U256" s="2"/>
      <c r="V256" s="2"/>
      <c r="W256" s="2"/>
      <c r="X256" s="2"/>
      <c r="Y256" s="2"/>
      <c r="Z256" s="2"/>
      <c r="AA256" s="2"/>
      <c r="AB256" s="2"/>
    </row>
    <row r="257">
      <c r="B257" s="297"/>
      <c r="C257" s="296" t="s">
        <v>3911</v>
      </c>
      <c r="D257" s="297"/>
      <c r="E257" s="298"/>
      <c r="F257" s="299" t="str">
        <f t="shared" si="1"/>
        <v>בכלל לא</v>
      </c>
      <c r="G257" s="300">
        <f>COUNTIF(Recordings!A:A,C257)</f>
        <v>0</v>
      </c>
      <c r="H257" s="300"/>
      <c r="I257" s="300"/>
      <c r="J257" s="300"/>
      <c r="K257" s="2"/>
      <c r="L257" s="7"/>
      <c r="M257" s="2"/>
      <c r="N257" s="2"/>
      <c r="O257" s="2"/>
      <c r="P257" s="2"/>
      <c r="Q257" s="2"/>
      <c r="R257" s="2"/>
      <c r="S257" s="2"/>
      <c r="T257" s="2"/>
      <c r="U257" s="2"/>
      <c r="V257" s="2"/>
      <c r="W257" s="2"/>
      <c r="X257" s="2"/>
      <c r="Y257" s="2"/>
      <c r="Z257" s="2"/>
      <c r="AA257" s="2"/>
      <c r="AB257" s="2"/>
    </row>
    <row r="258">
      <c r="B258" s="297" t="s">
        <v>337</v>
      </c>
      <c r="C258" s="297" t="s">
        <v>336</v>
      </c>
      <c r="D258" s="301" t="s">
        <v>338</v>
      </c>
      <c r="E258" s="298"/>
      <c r="F258" s="299" t="str">
        <f t="shared" si="1"/>
        <v>כן</v>
      </c>
      <c r="G258" s="300">
        <f>COUNTIF(Recordings!A:A,C258)</f>
        <v>1</v>
      </c>
      <c r="H258" s="300"/>
      <c r="I258" s="300"/>
      <c r="J258" s="300"/>
      <c r="K258" s="2"/>
      <c r="L258" s="7"/>
      <c r="M258" s="2"/>
      <c r="N258" s="2"/>
      <c r="O258" s="2"/>
      <c r="P258" s="2"/>
      <c r="Q258" s="2"/>
      <c r="R258" s="2"/>
      <c r="S258" s="2"/>
      <c r="T258" s="2"/>
      <c r="U258" s="2"/>
      <c r="V258" s="2"/>
      <c r="W258" s="2"/>
      <c r="X258" s="2"/>
      <c r="Y258" s="2"/>
      <c r="Z258" s="2"/>
      <c r="AA258" s="2"/>
      <c r="AB258" s="2"/>
    </row>
    <row r="259">
      <c r="B259" s="297" t="s">
        <v>1808</v>
      </c>
      <c r="C259" s="297" t="s">
        <v>81</v>
      </c>
      <c r="D259" s="297" t="s">
        <v>83</v>
      </c>
      <c r="E259" s="298"/>
      <c r="F259" s="299" t="str">
        <f t="shared" si="1"/>
        <v>כן</v>
      </c>
      <c r="G259" s="300">
        <f>COUNTIF(Recordings!A:A,C259)</f>
        <v>2</v>
      </c>
      <c r="H259" s="300"/>
      <c r="I259" s="300"/>
      <c r="J259" s="300"/>
      <c r="K259" s="2"/>
      <c r="L259" s="7"/>
      <c r="M259" s="2"/>
      <c r="N259" s="2"/>
      <c r="O259" s="2"/>
      <c r="P259" s="2"/>
      <c r="Q259" s="2"/>
      <c r="R259" s="2"/>
      <c r="S259" s="2"/>
      <c r="T259" s="2"/>
      <c r="U259" s="2"/>
      <c r="V259" s="2"/>
      <c r="W259" s="2"/>
      <c r="X259" s="2"/>
      <c r="Y259" s="2"/>
      <c r="Z259" s="2"/>
      <c r="AA259" s="2"/>
      <c r="AB259" s="2"/>
    </row>
    <row r="260">
      <c r="B260" s="297"/>
      <c r="C260" s="296" t="s">
        <v>3912</v>
      </c>
      <c r="D260" s="297"/>
      <c r="E260" s="298"/>
      <c r="F260" s="299" t="str">
        <f t="shared" si="1"/>
        <v>בכלל לא</v>
      </c>
      <c r="G260" s="300">
        <f>COUNTIF(Recordings!A:A,C260)</f>
        <v>0</v>
      </c>
      <c r="H260" s="300"/>
      <c r="I260" s="300"/>
      <c r="J260" s="300"/>
      <c r="K260" s="2"/>
      <c r="L260" s="7"/>
      <c r="M260" s="2"/>
      <c r="N260" s="2"/>
      <c r="O260" s="2"/>
      <c r="P260" s="2"/>
      <c r="Q260" s="2"/>
      <c r="R260" s="2"/>
      <c r="S260" s="2"/>
      <c r="T260" s="2"/>
      <c r="U260" s="2"/>
      <c r="V260" s="2"/>
      <c r="W260" s="2"/>
      <c r="X260" s="2"/>
      <c r="Y260" s="2"/>
      <c r="Z260" s="2"/>
      <c r="AA260" s="2"/>
      <c r="AB260" s="2"/>
    </row>
    <row r="261">
      <c r="B261" s="297"/>
      <c r="C261" s="296" t="s">
        <v>3913</v>
      </c>
      <c r="D261" s="297"/>
      <c r="E261" s="298"/>
      <c r="F261" s="299" t="str">
        <f t="shared" si="1"/>
        <v>בכלל לא</v>
      </c>
      <c r="G261" s="300">
        <f>COUNTIF(Recordings!A:A,C261)</f>
        <v>0</v>
      </c>
      <c r="H261" s="300"/>
      <c r="I261" s="300"/>
      <c r="J261" s="300"/>
      <c r="K261" s="2"/>
      <c r="L261" s="7"/>
      <c r="M261" s="2"/>
      <c r="N261" s="2"/>
      <c r="O261" s="2"/>
      <c r="P261" s="2"/>
      <c r="Q261" s="2"/>
      <c r="R261" s="2"/>
      <c r="S261" s="2"/>
      <c r="T261" s="2"/>
      <c r="U261" s="2"/>
      <c r="V261" s="2"/>
      <c r="W261" s="2"/>
      <c r="X261" s="2"/>
      <c r="Y261" s="2"/>
      <c r="Z261" s="2"/>
      <c r="AA261" s="2"/>
      <c r="AB261" s="2"/>
    </row>
    <row r="262">
      <c r="B262" s="297"/>
      <c r="C262" s="296" t="s">
        <v>3914</v>
      </c>
      <c r="D262" s="297"/>
      <c r="E262" s="298"/>
      <c r="F262" s="299" t="str">
        <f t="shared" si="1"/>
        <v>בכלל לא</v>
      </c>
      <c r="G262" s="300">
        <f>COUNTIF(Recordings!A:A,C262)</f>
        <v>0</v>
      </c>
      <c r="H262" s="300"/>
      <c r="I262" s="300"/>
      <c r="J262" s="300"/>
      <c r="K262" s="2"/>
      <c r="L262" s="7"/>
      <c r="M262" s="2"/>
      <c r="N262" s="2"/>
      <c r="O262" s="2"/>
      <c r="P262" s="2"/>
      <c r="Q262" s="2"/>
      <c r="R262" s="2"/>
      <c r="S262" s="2"/>
      <c r="T262" s="2"/>
      <c r="U262" s="2"/>
      <c r="V262" s="2"/>
      <c r="W262" s="2"/>
      <c r="X262" s="2"/>
      <c r="Y262" s="2"/>
      <c r="Z262" s="2"/>
      <c r="AA262" s="2"/>
      <c r="AB262" s="2"/>
    </row>
    <row r="263">
      <c r="B263" s="297"/>
      <c r="C263" s="296" t="s">
        <v>3915</v>
      </c>
      <c r="D263" s="297"/>
      <c r="E263" s="298"/>
      <c r="F263" s="299" t="str">
        <f t="shared" si="1"/>
        <v>בכלל לא</v>
      </c>
      <c r="G263" s="300">
        <f>COUNTIF(Recordings!A:A,C263)</f>
        <v>0</v>
      </c>
      <c r="H263" s="300"/>
      <c r="I263" s="300"/>
      <c r="J263" s="300"/>
      <c r="K263" s="2"/>
      <c r="L263" s="7"/>
      <c r="M263" s="2"/>
      <c r="N263" s="2"/>
      <c r="O263" s="2"/>
      <c r="P263" s="2"/>
      <c r="Q263" s="2"/>
      <c r="R263" s="2"/>
      <c r="S263" s="2"/>
      <c r="T263" s="2"/>
      <c r="U263" s="2"/>
      <c r="V263" s="2"/>
      <c r="W263" s="2"/>
      <c r="X263" s="2"/>
      <c r="Y263" s="2"/>
      <c r="Z263" s="2"/>
      <c r="AA263" s="2"/>
      <c r="AB263" s="2"/>
    </row>
    <row r="264">
      <c r="B264" s="297"/>
      <c r="C264" s="296" t="s">
        <v>3916</v>
      </c>
      <c r="D264" s="297"/>
      <c r="E264" s="298"/>
      <c r="F264" s="299" t="str">
        <f t="shared" si="1"/>
        <v>בכלל לא</v>
      </c>
      <c r="G264" s="300">
        <f>COUNTIF(Recordings!A:A,C264)</f>
        <v>0</v>
      </c>
      <c r="H264" s="300"/>
      <c r="I264" s="300"/>
      <c r="J264" s="300"/>
      <c r="K264" s="2"/>
      <c r="L264" s="7"/>
      <c r="M264" s="2"/>
      <c r="N264" s="2"/>
      <c r="O264" s="2"/>
      <c r="P264" s="2"/>
      <c r="Q264" s="2"/>
      <c r="R264" s="2"/>
      <c r="S264" s="2"/>
      <c r="T264" s="2"/>
      <c r="U264" s="2"/>
      <c r="V264" s="2"/>
      <c r="W264" s="2"/>
      <c r="X264" s="2"/>
      <c r="Y264" s="2"/>
      <c r="Z264" s="2"/>
      <c r="AA264" s="2"/>
      <c r="AB264" s="2"/>
    </row>
    <row r="265">
      <c r="B265" s="297"/>
      <c r="C265" s="296" t="s">
        <v>3917</v>
      </c>
      <c r="D265" s="297"/>
      <c r="E265" s="298"/>
      <c r="F265" s="299" t="str">
        <f t="shared" si="1"/>
        <v>בכלל לא</v>
      </c>
      <c r="G265" s="300">
        <f>COUNTIF(Recordings!A:A,C265)</f>
        <v>0</v>
      </c>
      <c r="H265" s="300"/>
      <c r="I265" s="300"/>
      <c r="J265" s="300"/>
      <c r="K265" s="2"/>
      <c r="L265" s="7"/>
      <c r="M265" s="2"/>
      <c r="N265" s="2"/>
      <c r="O265" s="2"/>
      <c r="P265" s="2"/>
      <c r="Q265" s="2"/>
      <c r="R265" s="2"/>
      <c r="S265" s="2"/>
      <c r="T265" s="2"/>
      <c r="U265" s="2"/>
      <c r="V265" s="2"/>
      <c r="W265" s="2"/>
      <c r="X265" s="2"/>
      <c r="Y265" s="2"/>
      <c r="Z265" s="2"/>
      <c r="AA265" s="2"/>
      <c r="AB265" s="2"/>
    </row>
    <row r="266">
      <c r="B266" s="297"/>
      <c r="C266" s="296" t="s">
        <v>3918</v>
      </c>
      <c r="D266" s="297"/>
      <c r="E266" s="298"/>
      <c r="F266" s="299" t="str">
        <f t="shared" si="1"/>
        <v>בכלל לא</v>
      </c>
      <c r="G266" s="300">
        <f>COUNTIF(Recordings!A:A,C266)</f>
        <v>0</v>
      </c>
      <c r="H266" s="300"/>
      <c r="I266" s="300"/>
      <c r="J266" s="300"/>
      <c r="K266" s="2"/>
      <c r="L266" s="7"/>
      <c r="M266" s="2"/>
      <c r="N266" s="2"/>
      <c r="O266" s="2"/>
      <c r="P266" s="2"/>
      <c r="Q266" s="2"/>
      <c r="R266" s="2"/>
      <c r="S266" s="2"/>
      <c r="T266" s="2"/>
      <c r="U266" s="2"/>
      <c r="V266" s="2"/>
      <c r="W266" s="2"/>
      <c r="X266" s="2"/>
      <c r="Y266" s="2"/>
      <c r="Z266" s="2"/>
      <c r="AA266" s="2"/>
      <c r="AB266" s="2"/>
    </row>
    <row r="267">
      <c r="B267" s="297"/>
      <c r="C267" s="296" t="s">
        <v>3919</v>
      </c>
      <c r="D267" s="297"/>
      <c r="E267" s="298"/>
      <c r="F267" s="299" t="str">
        <f t="shared" si="1"/>
        <v>בכלל לא</v>
      </c>
      <c r="G267" s="300">
        <f>COUNTIF(Recordings!A:A,C267)</f>
        <v>0</v>
      </c>
      <c r="H267" s="300"/>
      <c r="I267" s="300"/>
      <c r="J267" s="300"/>
      <c r="K267" s="2"/>
      <c r="L267" s="7"/>
      <c r="M267" s="2"/>
      <c r="N267" s="2"/>
      <c r="O267" s="2"/>
      <c r="P267" s="2"/>
      <c r="Q267" s="2"/>
      <c r="R267" s="2"/>
      <c r="S267" s="2"/>
      <c r="T267" s="2"/>
      <c r="U267" s="2"/>
      <c r="V267" s="2"/>
      <c r="W267" s="2"/>
      <c r="X267" s="2"/>
      <c r="Y267" s="2"/>
      <c r="Z267" s="2"/>
      <c r="AA267" s="2"/>
      <c r="AB267" s="2"/>
    </row>
    <row r="268">
      <c r="B268" s="297"/>
      <c r="C268" s="296" t="s">
        <v>3920</v>
      </c>
      <c r="D268" s="297"/>
      <c r="E268" s="298"/>
      <c r="F268" s="299" t="str">
        <f t="shared" si="1"/>
        <v>בכלל לא</v>
      </c>
      <c r="G268" s="300">
        <f>COUNTIF(Recordings!A:A,C268)</f>
        <v>0</v>
      </c>
      <c r="H268" s="300"/>
      <c r="I268" s="300"/>
      <c r="J268" s="300"/>
      <c r="K268" s="2"/>
      <c r="L268" s="7"/>
      <c r="M268" s="2"/>
      <c r="N268" s="2"/>
      <c r="O268" s="2"/>
      <c r="P268" s="2"/>
      <c r="Q268" s="2"/>
      <c r="R268" s="2"/>
      <c r="S268" s="2"/>
      <c r="T268" s="2"/>
      <c r="U268" s="2"/>
      <c r="V268" s="2"/>
      <c r="W268" s="2"/>
      <c r="X268" s="2"/>
      <c r="Y268" s="2"/>
      <c r="Z268" s="2"/>
      <c r="AA268" s="2"/>
      <c r="AB268" s="2"/>
    </row>
    <row r="269">
      <c r="B269" s="297"/>
      <c r="C269" s="296" t="s">
        <v>3921</v>
      </c>
      <c r="D269" s="297"/>
      <c r="E269" s="298"/>
      <c r="F269" s="299" t="str">
        <f t="shared" si="1"/>
        <v>בכלל לא</v>
      </c>
      <c r="G269" s="300">
        <f>COUNTIF(Recordings!A:A,C269)</f>
        <v>0</v>
      </c>
      <c r="H269" s="300"/>
      <c r="I269" s="300"/>
      <c r="J269" s="300"/>
      <c r="K269" s="2"/>
      <c r="L269" s="7"/>
      <c r="M269" s="2"/>
      <c r="N269" s="2"/>
      <c r="O269" s="2"/>
      <c r="P269" s="2"/>
      <c r="Q269" s="2"/>
      <c r="R269" s="2"/>
      <c r="S269" s="2"/>
      <c r="T269" s="2"/>
      <c r="U269" s="2"/>
      <c r="V269" s="2"/>
      <c r="W269" s="2"/>
      <c r="X269" s="2"/>
      <c r="Y269" s="2"/>
      <c r="Z269" s="2"/>
      <c r="AA269" s="2"/>
      <c r="AB269" s="2"/>
    </row>
    <row r="270">
      <c r="B270" s="297"/>
      <c r="C270" s="296" t="s">
        <v>3922</v>
      </c>
      <c r="D270" s="297"/>
      <c r="E270" s="298"/>
      <c r="F270" s="299" t="str">
        <f t="shared" si="1"/>
        <v>בכלל לא</v>
      </c>
      <c r="G270" s="300">
        <f>COUNTIF(Recordings!A:A,C270)</f>
        <v>0</v>
      </c>
      <c r="H270" s="300"/>
      <c r="I270" s="300"/>
      <c r="J270" s="300"/>
      <c r="K270" s="2"/>
      <c r="L270" s="7"/>
      <c r="M270" s="2"/>
      <c r="N270" s="2"/>
      <c r="O270" s="2"/>
      <c r="P270" s="2"/>
      <c r="Q270" s="2"/>
      <c r="R270" s="2"/>
      <c r="S270" s="2"/>
      <c r="T270" s="2"/>
      <c r="U270" s="2"/>
      <c r="V270" s="2"/>
      <c r="W270" s="2"/>
      <c r="X270" s="2"/>
      <c r="Y270" s="2"/>
      <c r="Z270" s="2"/>
      <c r="AA270" s="2"/>
      <c r="AB270" s="2"/>
    </row>
    <row r="271">
      <c r="B271" s="297"/>
      <c r="C271" s="296" t="s">
        <v>3923</v>
      </c>
      <c r="D271" s="297"/>
      <c r="E271" s="298"/>
      <c r="F271" s="299" t="str">
        <f t="shared" si="1"/>
        <v>בכלל לא</v>
      </c>
      <c r="G271" s="300">
        <f>COUNTIF(Recordings!A:A,C271)</f>
        <v>0</v>
      </c>
      <c r="H271" s="300"/>
      <c r="I271" s="300"/>
      <c r="J271" s="300"/>
      <c r="K271" s="2"/>
      <c r="L271" s="7"/>
      <c r="M271" s="2"/>
      <c r="N271" s="2"/>
      <c r="O271" s="2"/>
      <c r="P271" s="2"/>
      <c r="Q271" s="2"/>
      <c r="R271" s="2"/>
      <c r="S271" s="2"/>
      <c r="T271" s="2"/>
      <c r="U271" s="2"/>
      <c r="V271" s="2"/>
      <c r="W271" s="2"/>
      <c r="X271" s="2"/>
      <c r="Y271" s="2"/>
      <c r="Z271" s="2"/>
      <c r="AA271" s="2"/>
      <c r="AB271" s="2"/>
    </row>
    <row r="272">
      <c r="B272" s="297"/>
      <c r="C272" s="296" t="s">
        <v>3924</v>
      </c>
      <c r="D272" s="297"/>
      <c r="E272" s="298"/>
      <c r="F272" s="299" t="str">
        <f t="shared" si="1"/>
        <v>בכלל לא</v>
      </c>
      <c r="G272" s="300">
        <f>COUNTIF(Recordings!A:A,C272)</f>
        <v>0</v>
      </c>
      <c r="H272" s="300"/>
      <c r="I272" s="300"/>
      <c r="J272" s="300"/>
      <c r="K272" s="2"/>
      <c r="L272" s="7"/>
      <c r="M272" s="2"/>
      <c r="N272" s="2"/>
      <c r="O272" s="2"/>
      <c r="P272" s="2"/>
      <c r="Q272" s="2"/>
      <c r="R272" s="2"/>
      <c r="S272" s="2"/>
      <c r="T272" s="2"/>
      <c r="U272" s="2"/>
      <c r="V272" s="2"/>
      <c r="W272" s="2"/>
      <c r="X272" s="2"/>
      <c r="Y272" s="2"/>
      <c r="Z272" s="2"/>
      <c r="AA272" s="2"/>
      <c r="AB272" s="2"/>
    </row>
    <row r="273">
      <c r="B273" s="297"/>
      <c r="C273" s="296" t="s">
        <v>3925</v>
      </c>
      <c r="D273" s="297"/>
      <c r="E273" s="298"/>
      <c r="F273" s="299" t="str">
        <f t="shared" si="1"/>
        <v>בכלל לא</v>
      </c>
      <c r="G273" s="300">
        <f>COUNTIF(Recordings!A:A,C273)</f>
        <v>0</v>
      </c>
      <c r="H273" s="300"/>
      <c r="I273" s="300"/>
      <c r="J273" s="300"/>
      <c r="K273" s="2"/>
      <c r="L273" s="7"/>
      <c r="M273" s="2"/>
      <c r="N273" s="2"/>
      <c r="O273" s="2"/>
      <c r="P273" s="2"/>
      <c r="Q273" s="2"/>
      <c r="R273" s="2"/>
      <c r="S273" s="2"/>
      <c r="T273" s="2"/>
      <c r="U273" s="2"/>
      <c r="V273" s="2"/>
      <c r="W273" s="2"/>
      <c r="X273" s="2"/>
      <c r="Y273" s="2"/>
      <c r="Z273" s="2"/>
      <c r="AA273" s="2"/>
      <c r="AB273" s="2"/>
    </row>
    <row r="274">
      <c r="B274" s="297"/>
      <c r="C274" s="296" t="s">
        <v>3926</v>
      </c>
      <c r="D274" s="297"/>
      <c r="E274" s="298"/>
      <c r="F274" s="299" t="str">
        <f t="shared" si="1"/>
        <v>בכלל לא</v>
      </c>
      <c r="G274" s="300">
        <f>COUNTIF(Recordings!A:A,C274)</f>
        <v>0</v>
      </c>
      <c r="H274" s="300"/>
      <c r="I274" s="300"/>
      <c r="J274" s="300"/>
      <c r="K274" s="2"/>
      <c r="L274" s="2"/>
      <c r="M274" s="2"/>
      <c r="N274" s="2"/>
      <c r="O274" s="2"/>
      <c r="P274" s="2"/>
      <c r="Q274" s="2"/>
      <c r="R274" s="2"/>
      <c r="S274" s="2"/>
      <c r="T274" s="2"/>
      <c r="U274" s="2"/>
      <c r="V274" s="2"/>
      <c r="W274" s="2"/>
      <c r="X274" s="2"/>
      <c r="Y274" s="2"/>
      <c r="Z274" s="2"/>
      <c r="AA274" s="2"/>
      <c r="AB274" s="2"/>
    </row>
    <row r="275">
      <c r="B275" s="297"/>
      <c r="C275" s="296" t="s">
        <v>3927</v>
      </c>
      <c r="D275" s="297"/>
      <c r="E275" s="298"/>
      <c r="F275" s="299" t="str">
        <f t="shared" si="1"/>
        <v>בכלל לא</v>
      </c>
      <c r="G275" s="300">
        <f>COUNTIF(Recordings!A:A,C275)</f>
        <v>0</v>
      </c>
      <c r="H275" s="300"/>
      <c r="I275" s="300"/>
      <c r="J275" s="300"/>
      <c r="K275" s="2"/>
      <c r="L275" s="2"/>
      <c r="M275" s="2"/>
      <c r="N275" s="2"/>
      <c r="O275" s="2"/>
      <c r="P275" s="2"/>
      <c r="Q275" s="2"/>
      <c r="R275" s="2"/>
      <c r="S275" s="2"/>
      <c r="T275" s="2"/>
      <c r="U275" s="2"/>
      <c r="V275" s="2"/>
      <c r="W275" s="2"/>
      <c r="X275" s="2"/>
      <c r="Y275" s="2"/>
      <c r="Z275" s="2"/>
      <c r="AA275" s="2"/>
      <c r="AB275" s="2"/>
    </row>
    <row r="276">
      <c r="B276" s="297"/>
      <c r="C276" s="296" t="s">
        <v>3928</v>
      </c>
      <c r="D276" s="297"/>
      <c r="E276" s="298"/>
      <c r="F276" s="299" t="str">
        <f t="shared" si="1"/>
        <v>בכלל לא</v>
      </c>
      <c r="G276" s="300">
        <f>COUNTIF(Recordings!A:A,C276)</f>
        <v>0</v>
      </c>
      <c r="H276" s="300"/>
      <c r="I276" s="300"/>
      <c r="J276" s="300"/>
      <c r="K276" s="2"/>
      <c r="L276" s="2"/>
      <c r="M276" s="2"/>
      <c r="N276" s="2"/>
      <c r="O276" s="2"/>
      <c r="P276" s="2"/>
      <c r="Q276" s="2"/>
      <c r="R276" s="2"/>
      <c r="S276" s="2"/>
      <c r="T276" s="2"/>
      <c r="U276" s="2"/>
      <c r="V276" s="2"/>
      <c r="W276" s="2"/>
      <c r="X276" s="2"/>
      <c r="Y276" s="2"/>
      <c r="Z276" s="2"/>
      <c r="AA276" s="2"/>
      <c r="AB276" s="2"/>
    </row>
    <row r="277">
      <c r="B277" s="297"/>
      <c r="C277" s="296" t="s">
        <v>3929</v>
      </c>
      <c r="D277" s="297"/>
      <c r="E277" s="298"/>
      <c r="F277" s="299" t="str">
        <f t="shared" si="1"/>
        <v>בכלל לא</v>
      </c>
      <c r="G277" s="300">
        <f>COUNTIF(Recordings!A:A,C277)</f>
        <v>0</v>
      </c>
      <c r="H277" s="300"/>
      <c r="I277" s="300"/>
      <c r="J277" s="300"/>
      <c r="K277" s="2"/>
      <c r="L277" s="2"/>
      <c r="M277" s="2"/>
      <c r="N277" s="2"/>
      <c r="O277" s="2"/>
      <c r="P277" s="2"/>
      <c r="Q277" s="2"/>
      <c r="R277" s="2"/>
      <c r="S277" s="2"/>
      <c r="T277" s="2"/>
      <c r="U277" s="2"/>
      <c r="V277" s="2"/>
      <c r="W277" s="2"/>
      <c r="X277" s="2"/>
      <c r="Y277" s="2"/>
      <c r="Z277" s="2"/>
      <c r="AA277" s="2"/>
      <c r="AB277" s="2"/>
    </row>
    <row r="278">
      <c r="B278" s="297"/>
      <c r="C278" s="296" t="s">
        <v>3930</v>
      </c>
      <c r="D278" s="297"/>
      <c r="E278" s="298"/>
      <c r="F278" s="299" t="str">
        <f t="shared" si="1"/>
        <v>בכלל לא</v>
      </c>
      <c r="G278" s="300">
        <f>COUNTIF(Recordings!A:A,C278)</f>
        <v>0</v>
      </c>
      <c r="H278" s="300"/>
      <c r="I278" s="300"/>
      <c r="J278" s="300"/>
      <c r="K278" s="2"/>
      <c r="L278" s="2"/>
      <c r="M278" s="2"/>
      <c r="N278" s="2"/>
      <c r="O278" s="2"/>
      <c r="P278" s="2"/>
      <c r="Q278" s="2"/>
      <c r="R278" s="2"/>
      <c r="S278" s="2"/>
      <c r="T278" s="2"/>
      <c r="U278" s="2"/>
      <c r="V278" s="2"/>
      <c r="W278" s="2"/>
      <c r="X278" s="2"/>
      <c r="Y278" s="2"/>
      <c r="Z278" s="2"/>
      <c r="AA278" s="2"/>
      <c r="AB278" s="2"/>
    </row>
    <row r="279">
      <c r="B279" s="297"/>
      <c r="C279" s="296" t="s">
        <v>3931</v>
      </c>
      <c r="D279" s="297"/>
      <c r="E279" s="298"/>
      <c r="F279" s="299" t="str">
        <f t="shared" si="1"/>
        <v>בכלל לא</v>
      </c>
      <c r="G279" s="300">
        <f>COUNTIF(Recordings!A:A,C279)</f>
        <v>0</v>
      </c>
      <c r="H279" s="300"/>
      <c r="I279" s="300"/>
      <c r="J279" s="300"/>
      <c r="K279" s="2"/>
      <c r="L279" s="2"/>
      <c r="M279" s="2"/>
      <c r="N279" s="2"/>
      <c r="O279" s="2"/>
      <c r="P279" s="2"/>
      <c r="Q279" s="2"/>
      <c r="R279" s="2"/>
      <c r="S279" s="2"/>
      <c r="T279" s="2"/>
      <c r="U279" s="2"/>
      <c r="V279" s="2"/>
      <c r="W279" s="2"/>
      <c r="X279" s="2"/>
      <c r="Y279" s="2"/>
      <c r="Z279" s="2"/>
      <c r="AA279" s="2"/>
      <c r="AB279" s="2"/>
    </row>
    <row r="280">
      <c r="B280" s="297"/>
      <c r="C280" s="296" t="s">
        <v>3932</v>
      </c>
      <c r="D280" s="297"/>
      <c r="E280" s="298"/>
      <c r="F280" s="299" t="str">
        <f t="shared" si="1"/>
        <v>בכלל לא</v>
      </c>
      <c r="G280" s="300">
        <f>COUNTIF(Recordings!A:A,C280)</f>
        <v>0</v>
      </c>
      <c r="H280" s="300"/>
      <c r="I280" s="300"/>
      <c r="J280" s="300"/>
      <c r="K280" s="2"/>
      <c r="L280" s="2"/>
      <c r="M280" s="2"/>
      <c r="N280" s="2"/>
      <c r="O280" s="2"/>
      <c r="P280" s="2"/>
      <c r="Q280" s="2"/>
      <c r="R280" s="2"/>
      <c r="S280" s="2"/>
      <c r="T280" s="2"/>
      <c r="U280" s="2"/>
      <c r="V280" s="2"/>
      <c r="W280" s="2"/>
      <c r="X280" s="2"/>
      <c r="Y280" s="2"/>
      <c r="Z280" s="2"/>
      <c r="AA280" s="2"/>
      <c r="AB280" s="2"/>
    </row>
    <row r="281">
      <c r="B281" s="297"/>
      <c r="C281" s="296" t="s">
        <v>3933</v>
      </c>
      <c r="D281" s="297"/>
      <c r="E281" s="298"/>
      <c r="F281" s="299" t="str">
        <f t="shared" si="1"/>
        <v>בכלל לא</v>
      </c>
      <c r="G281" s="300">
        <f>COUNTIF(Recordings!A:A,C281)</f>
        <v>0</v>
      </c>
      <c r="H281" s="300"/>
      <c r="I281" s="300"/>
      <c r="J281" s="300"/>
      <c r="K281" s="2"/>
      <c r="L281" s="2"/>
      <c r="M281" s="2"/>
      <c r="N281" s="2"/>
      <c r="O281" s="2"/>
      <c r="P281" s="2"/>
      <c r="Q281" s="2"/>
      <c r="R281" s="2"/>
      <c r="S281" s="2"/>
      <c r="T281" s="2"/>
      <c r="U281" s="2"/>
      <c r="V281" s="2"/>
      <c r="W281" s="2"/>
      <c r="X281" s="2"/>
      <c r="Y281" s="2"/>
      <c r="Z281" s="2"/>
      <c r="AA281" s="2"/>
      <c r="AB281" s="2"/>
    </row>
    <row r="282">
      <c r="B282" s="297"/>
      <c r="C282" s="296" t="s">
        <v>3934</v>
      </c>
      <c r="D282" s="297"/>
      <c r="E282" s="298"/>
      <c r="F282" s="299" t="str">
        <f t="shared" si="1"/>
        <v>בכלל לא</v>
      </c>
      <c r="G282" s="300">
        <f>COUNTIF(Recordings!A:A,C282)</f>
        <v>0</v>
      </c>
      <c r="H282" s="300"/>
      <c r="I282" s="300"/>
      <c r="J282" s="300"/>
      <c r="K282" s="2"/>
      <c r="L282" s="2"/>
      <c r="M282" s="2"/>
      <c r="N282" s="2"/>
      <c r="O282" s="2"/>
      <c r="P282" s="2"/>
      <c r="Q282" s="2"/>
      <c r="R282" s="2"/>
      <c r="S282" s="2"/>
      <c r="T282" s="2"/>
      <c r="U282" s="2"/>
      <c r="V282" s="2"/>
      <c r="W282" s="2"/>
      <c r="X282" s="2"/>
      <c r="Y282" s="2"/>
      <c r="Z282" s="2"/>
      <c r="AA282" s="2"/>
      <c r="AB282" s="2"/>
    </row>
    <row r="283">
      <c r="B283" s="297"/>
      <c r="C283" s="296" t="s">
        <v>3935</v>
      </c>
      <c r="D283" s="297"/>
      <c r="E283" s="298"/>
      <c r="F283" s="299" t="str">
        <f t="shared" si="1"/>
        <v>בכלל לא</v>
      </c>
      <c r="G283" s="300">
        <f>COUNTIF(Recordings!A:A,C283)</f>
        <v>0</v>
      </c>
      <c r="H283" s="300"/>
      <c r="I283" s="300"/>
      <c r="J283" s="300"/>
      <c r="K283" s="2"/>
      <c r="L283" s="2"/>
      <c r="M283" s="2"/>
      <c r="N283" s="2"/>
      <c r="O283" s="2"/>
      <c r="P283" s="2"/>
      <c r="Q283" s="2"/>
      <c r="R283" s="2"/>
      <c r="S283" s="2"/>
      <c r="T283" s="2"/>
      <c r="U283" s="2"/>
      <c r="V283" s="2"/>
      <c r="W283" s="2"/>
      <c r="X283" s="2"/>
      <c r="Y283" s="2"/>
      <c r="Z283" s="2"/>
      <c r="AA283" s="2"/>
      <c r="AB283" s="2"/>
    </row>
    <row r="284">
      <c r="B284" s="297"/>
      <c r="C284" s="296" t="s">
        <v>3936</v>
      </c>
      <c r="D284" s="297"/>
      <c r="E284" s="298"/>
      <c r="F284" s="299" t="str">
        <f t="shared" si="1"/>
        <v>בכלל לא</v>
      </c>
      <c r="G284" s="300">
        <f>COUNTIF(Recordings!A:A,C284)</f>
        <v>0</v>
      </c>
      <c r="H284" s="300"/>
      <c r="I284" s="300"/>
      <c r="J284" s="300"/>
      <c r="K284" s="2"/>
      <c r="L284" s="2"/>
      <c r="M284" s="2"/>
      <c r="N284" s="2"/>
      <c r="O284" s="2"/>
      <c r="P284" s="2"/>
      <c r="Q284" s="2"/>
      <c r="R284" s="2"/>
      <c r="S284" s="2"/>
      <c r="T284" s="2"/>
      <c r="U284" s="2"/>
      <c r="V284" s="2"/>
      <c r="W284" s="2"/>
      <c r="X284" s="2"/>
      <c r="Y284" s="2"/>
      <c r="Z284" s="2"/>
      <c r="AA284" s="2"/>
      <c r="AB284" s="2"/>
    </row>
    <row r="285">
      <c r="B285" s="297"/>
      <c r="C285" s="296" t="s">
        <v>3937</v>
      </c>
      <c r="D285" s="297"/>
      <c r="E285" s="298"/>
      <c r="F285" s="299" t="str">
        <f t="shared" si="1"/>
        <v>בכלל לא</v>
      </c>
      <c r="G285" s="300">
        <f>COUNTIF(Recordings!A:A,C285)</f>
        <v>0</v>
      </c>
      <c r="H285" s="300"/>
      <c r="I285" s="300"/>
      <c r="J285" s="300"/>
      <c r="K285" s="2"/>
      <c r="L285" s="2"/>
      <c r="M285" s="2"/>
      <c r="N285" s="2"/>
      <c r="O285" s="2"/>
      <c r="P285" s="2"/>
      <c r="Q285" s="2"/>
      <c r="R285" s="2"/>
      <c r="S285" s="2"/>
      <c r="T285" s="2"/>
      <c r="U285" s="2"/>
      <c r="V285" s="2"/>
      <c r="W285" s="2"/>
      <c r="X285" s="2"/>
      <c r="Y285" s="2"/>
      <c r="Z285" s="2"/>
      <c r="AA285" s="2"/>
      <c r="AB285" s="2"/>
    </row>
    <row r="286">
      <c r="B286" s="297"/>
      <c r="C286" s="296" t="s">
        <v>3938</v>
      </c>
      <c r="D286" s="297"/>
      <c r="E286" s="298"/>
      <c r="F286" s="299" t="str">
        <f t="shared" si="1"/>
        <v>בכלל לא</v>
      </c>
      <c r="G286" s="300">
        <f>COUNTIF(Recordings!A:A,C286)</f>
        <v>0</v>
      </c>
      <c r="H286" s="300"/>
      <c r="I286" s="300"/>
      <c r="J286" s="300"/>
      <c r="K286" s="2"/>
      <c r="L286" s="2"/>
      <c r="M286" s="2"/>
      <c r="N286" s="2"/>
      <c r="O286" s="2"/>
      <c r="P286" s="2"/>
      <c r="Q286" s="2"/>
      <c r="R286" s="2"/>
      <c r="S286" s="2"/>
      <c r="T286" s="2"/>
      <c r="U286" s="2"/>
      <c r="V286" s="2"/>
      <c r="W286" s="2"/>
      <c r="X286" s="2"/>
      <c r="Y286" s="2"/>
      <c r="Z286" s="2"/>
      <c r="AA286" s="2"/>
      <c r="AB286" s="2"/>
    </row>
    <row r="287">
      <c r="A287" s="302" t="s">
        <v>3939</v>
      </c>
      <c r="B287" s="303"/>
      <c r="C287" s="302" t="s">
        <v>3940</v>
      </c>
      <c r="D287" s="303"/>
      <c r="E287" s="304"/>
      <c r="F287" s="305" t="str">
        <f t="shared" si="1"/>
        <v>בכלל לא</v>
      </c>
      <c r="G287" s="306">
        <f>COUNTIF(Recordings!A:A,C287)</f>
        <v>0</v>
      </c>
      <c r="H287" s="306"/>
      <c r="I287" s="306"/>
      <c r="J287" s="306"/>
      <c r="K287" s="2"/>
      <c r="L287" s="2"/>
      <c r="M287" s="2"/>
      <c r="N287" s="2"/>
      <c r="O287" s="2"/>
      <c r="P287" s="2"/>
      <c r="Q287" s="2"/>
      <c r="R287" s="2"/>
      <c r="S287" s="2"/>
      <c r="T287" s="2"/>
      <c r="U287" s="2"/>
      <c r="V287" s="2"/>
      <c r="W287" s="2"/>
      <c r="X287" s="2"/>
      <c r="Y287" s="2"/>
      <c r="Z287" s="2"/>
      <c r="AA287" s="2"/>
      <c r="AB287" s="2"/>
    </row>
    <row r="288">
      <c r="B288" s="303"/>
      <c r="C288" s="302" t="s">
        <v>3941</v>
      </c>
      <c r="D288" s="303"/>
      <c r="E288" s="304"/>
      <c r="F288" s="305" t="str">
        <f t="shared" si="1"/>
        <v>בכלל לא</v>
      </c>
      <c r="G288" s="306">
        <f>COUNTIF(Recordings!A:A,C288)</f>
        <v>0</v>
      </c>
      <c r="H288" s="306"/>
      <c r="I288" s="306"/>
      <c r="J288" s="306"/>
      <c r="K288" s="2"/>
      <c r="L288" s="2"/>
      <c r="M288" s="2"/>
      <c r="N288" s="2"/>
      <c r="O288" s="2"/>
      <c r="P288" s="2"/>
      <c r="Q288" s="2"/>
      <c r="R288" s="2"/>
      <c r="S288" s="2"/>
      <c r="T288" s="2"/>
      <c r="U288" s="2"/>
      <c r="V288" s="2"/>
      <c r="W288" s="2"/>
      <c r="X288" s="2"/>
      <c r="Y288" s="2"/>
      <c r="Z288" s="2"/>
      <c r="AA288" s="2"/>
      <c r="AB288" s="2"/>
    </row>
    <row r="289">
      <c r="B289" s="303"/>
      <c r="C289" s="302" t="s">
        <v>3942</v>
      </c>
      <c r="D289" s="303"/>
      <c r="E289" s="304"/>
      <c r="F289" s="305" t="str">
        <f t="shared" si="1"/>
        <v>בכלל לא</v>
      </c>
      <c r="G289" s="306">
        <f>COUNTIF(Recordings!A:A,C289)</f>
        <v>0</v>
      </c>
      <c r="H289" s="306"/>
      <c r="I289" s="306"/>
      <c r="J289" s="306"/>
      <c r="K289" s="2"/>
      <c r="L289" s="2"/>
      <c r="M289" s="2"/>
      <c r="N289" s="2"/>
      <c r="O289" s="2"/>
      <c r="P289" s="2"/>
      <c r="Q289" s="2"/>
      <c r="R289" s="2"/>
      <c r="S289" s="2"/>
      <c r="T289" s="2"/>
      <c r="U289" s="2"/>
      <c r="V289" s="2"/>
      <c r="W289" s="2"/>
      <c r="X289" s="2"/>
      <c r="Y289" s="2"/>
      <c r="Z289" s="2"/>
      <c r="AA289" s="2"/>
      <c r="AB289" s="2"/>
    </row>
    <row r="290">
      <c r="B290" s="303"/>
      <c r="C290" s="302" t="s">
        <v>3943</v>
      </c>
      <c r="D290" s="303"/>
      <c r="E290" s="304"/>
      <c r="F290" s="305" t="str">
        <f t="shared" si="1"/>
        <v>בכלל לא</v>
      </c>
      <c r="G290" s="306">
        <f>COUNTIF(Recordings!A:A,C290)</f>
        <v>0</v>
      </c>
      <c r="H290" s="306"/>
      <c r="I290" s="306"/>
      <c r="J290" s="306"/>
      <c r="K290" s="2"/>
      <c r="L290" s="2"/>
      <c r="M290" s="2"/>
      <c r="N290" s="2"/>
      <c r="O290" s="2"/>
      <c r="P290" s="2"/>
      <c r="Q290" s="2"/>
      <c r="R290" s="2"/>
      <c r="S290" s="2"/>
      <c r="T290" s="2"/>
      <c r="U290" s="2"/>
      <c r="V290" s="2"/>
      <c r="W290" s="2"/>
      <c r="X290" s="2"/>
      <c r="Y290" s="2"/>
      <c r="Z290" s="2"/>
      <c r="AA290" s="2"/>
      <c r="AB290" s="2"/>
    </row>
    <row r="291">
      <c r="B291" s="303"/>
      <c r="C291" s="302" t="s">
        <v>3944</v>
      </c>
      <c r="D291" s="303"/>
      <c r="E291" s="304"/>
      <c r="F291" s="305" t="str">
        <f t="shared" si="1"/>
        <v>בכלל לא</v>
      </c>
      <c r="G291" s="306">
        <f>COUNTIF(Recordings!A:A,C291)</f>
        <v>0</v>
      </c>
      <c r="H291" s="306"/>
      <c r="I291" s="306"/>
      <c r="J291" s="306"/>
      <c r="K291" s="2"/>
      <c r="L291" s="2"/>
      <c r="M291" s="2"/>
      <c r="N291" s="2"/>
      <c r="O291" s="2"/>
      <c r="P291" s="2"/>
      <c r="Q291" s="2"/>
      <c r="R291" s="2"/>
      <c r="S291" s="2"/>
      <c r="T291" s="2"/>
      <c r="U291" s="2"/>
      <c r="V291" s="2"/>
      <c r="W291" s="2"/>
      <c r="X291" s="2"/>
      <c r="Y291" s="2"/>
      <c r="Z291" s="2"/>
      <c r="AA291" s="2"/>
      <c r="AB291" s="2"/>
    </row>
    <row r="292">
      <c r="B292" s="303"/>
      <c r="C292" s="302" t="s">
        <v>3945</v>
      </c>
      <c r="D292" s="303"/>
      <c r="E292" s="304"/>
      <c r="F292" s="305" t="str">
        <f t="shared" si="1"/>
        <v>בכלל לא</v>
      </c>
      <c r="G292" s="306">
        <f>COUNTIF(Recordings!A:A,C292)</f>
        <v>0</v>
      </c>
      <c r="H292" s="306"/>
      <c r="I292" s="306"/>
      <c r="J292" s="306"/>
      <c r="K292" s="2"/>
      <c r="L292" s="2"/>
      <c r="M292" s="2"/>
      <c r="N292" s="2"/>
      <c r="O292" s="2"/>
      <c r="P292" s="2"/>
      <c r="Q292" s="2"/>
      <c r="R292" s="2"/>
      <c r="S292" s="2"/>
      <c r="T292" s="2"/>
      <c r="U292" s="2"/>
      <c r="V292" s="2"/>
      <c r="W292" s="2"/>
      <c r="X292" s="2"/>
      <c r="Y292" s="2"/>
      <c r="Z292" s="2"/>
      <c r="AA292" s="2"/>
      <c r="AB292" s="2"/>
    </row>
    <row r="293">
      <c r="B293" s="303"/>
      <c r="C293" s="302" t="s">
        <v>3946</v>
      </c>
      <c r="D293" s="303"/>
      <c r="E293" s="304"/>
      <c r="F293" s="305" t="str">
        <f t="shared" si="1"/>
        <v>בכלל לא</v>
      </c>
      <c r="G293" s="306">
        <f>COUNTIF(Recordings!A:A,C293)</f>
        <v>0</v>
      </c>
      <c r="H293" s="306"/>
      <c r="I293" s="306"/>
      <c r="J293" s="306"/>
      <c r="K293" s="2"/>
      <c r="L293" s="2"/>
      <c r="M293" s="2"/>
      <c r="N293" s="2"/>
      <c r="O293" s="2"/>
      <c r="P293" s="2"/>
      <c r="Q293" s="2"/>
      <c r="R293" s="2"/>
      <c r="S293" s="2"/>
      <c r="T293" s="2"/>
      <c r="U293" s="2"/>
      <c r="V293" s="2"/>
      <c r="W293" s="2"/>
      <c r="X293" s="2"/>
      <c r="Y293" s="2"/>
      <c r="Z293" s="2"/>
      <c r="AA293" s="2"/>
      <c r="AB293" s="2"/>
    </row>
    <row r="294">
      <c r="B294" s="303"/>
      <c r="C294" s="302" t="s">
        <v>3947</v>
      </c>
      <c r="D294" s="303"/>
      <c r="E294" s="304"/>
      <c r="F294" s="305" t="str">
        <f t="shared" si="1"/>
        <v>בכלל לא</v>
      </c>
      <c r="G294" s="306">
        <f>COUNTIF(Recordings!A:A,C294)</f>
        <v>0</v>
      </c>
      <c r="H294" s="306"/>
      <c r="I294" s="306"/>
      <c r="J294" s="306"/>
      <c r="K294" s="2"/>
      <c r="L294" s="2"/>
      <c r="M294" s="2"/>
      <c r="N294" s="2"/>
      <c r="O294" s="2"/>
      <c r="P294" s="2"/>
      <c r="Q294" s="2"/>
      <c r="R294" s="2"/>
      <c r="S294" s="2"/>
      <c r="T294" s="2"/>
      <c r="U294" s="2"/>
      <c r="V294" s="2"/>
      <c r="W294" s="2"/>
      <c r="X294" s="2"/>
      <c r="Y294" s="2"/>
      <c r="Z294" s="2"/>
      <c r="AA294" s="2"/>
      <c r="AB294" s="2"/>
    </row>
    <row r="295">
      <c r="B295" s="303"/>
      <c r="C295" s="302" t="s">
        <v>3948</v>
      </c>
      <c r="D295" s="303"/>
      <c r="E295" s="304"/>
      <c r="F295" s="305" t="str">
        <f t="shared" si="1"/>
        <v>בכלל לא</v>
      </c>
      <c r="G295" s="306">
        <f>COUNTIF(Recordings!A:A,C295)</f>
        <v>0</v>
      </c>
      <c r="H295" s="306"/>
      <c r="I295" s="306"/>
      <c r="J295" s="306"/>
      <c r="K295" s="2"/>
      <c r="L295" s="2"/>
      <c r="M295" s="2"/>
      <c r="N295" s="2"/>
      <c r="O295" s="2"/>
      <c r="P295" s="2"/>
      <c r="Q295" s="2"/>
      <c r="R295" s="2"/>
      <c r="S295" s="2"/>
      <c r="T295" s="2"/>
      <c r="U295" s="2"/>
      <c r="V295" s="2"/>
      <c r="W295" s="2"/>
      <c r="X295" s="2"/>
      <c r="Y295" s="2"/>
      <c r="Z295" s="2"/>
      <c r="AA295" s="2"/>
      <c r="AB295" s="2"/>
    </row>
    <row r="296">
      <c r="B296" s="303"/>
      <c r="C296" s="302" t="s">
        <v>3949</v>
      </c>
      <c r="D296" s="303"/>
      <c r="E296" s="304"/>
      <c r="F296" s="305" t="str">
        <f t="shared" si="1"/>
        <v>בכלל לא</v>
      </c>
      <c r="G296" s="306">
        <f>COUNTIF(Recordings!A:A,C296)</f>
        <v>0</v>
      </c>
      <c r="H296" s="306"/>
      <c r="I296" s="306"/>
      <c r="J296" s="306"/>
      <c r="K296" s="2"/>
      <c r="L296" s="2"/>
      <c r="M296" s="2"/>
      <c r="N296" s="2"/>
      <c r="O296" s="2"/>
      <c r="P296" s="2"/>
      <c r="Q296" s="2"/>
      <c r="R296" s="2"/>
      <c r="S296" s="2"/>
      <c r="T296" s="2"/>
      <c r="U296" s="2"/>
      <c r="V296" s="2"/>
      <c r="W296" s="2"/>
      <c r="X296" s="2"/>
      <c r="Y296" s="2"/>
      <c r="Z296" s="2"/>
      <c r="AA296" s="2"/>
      <c r="AB296" s="2"/>
    </row>
    <row r="297">
      <c r="B297" s="303"/>
      <c r="C297" s="302" t="s">
        <v>3950</v>
      </c>
      <c r="D297" s="303"/>
      <c r="E297" s="304"/>
      <c r="F297" s="305" t="str">
        <f t="shared" si="1"/>
        <v>בכלל לא</v>
      </c>
      <c r="G297" s="306">
        <f>COUNTIF(Recordings!A:A,C297)</f>
        <v>0</v>
      </c>
      <c r="H297" s="306"/>
      <c r="I297" s="306"/>
      <c r="J297" s="306"/>
      <c r="K297" s="2"/>
      <c r="L297" s="2"/>
      <c r="M297" s="2"/>
      <c r="N297" s="2"/>
      <c r="O297" s="2"/>
      <c r="P297" s="2"/>
      <c r="Q297" s="2"/>
      <c r="R297" s="2"/>
      <c r="S297" s="2"/>
      <c r="T297" s="2"/>
      <c r="U297" s="2"/>
      <c r="V297" s="2"/>
      <c r="W297" s="2"/>
      <c r="X297" s="2"/>
      <c r="Y297" s="2"/>
      <c r="Z297" s="2"/>
      <c r="AA297" s="2"/>
      <c r="AB297" s="2"/>
    </row>
    <row r="298">
      <c r="B298" s="303"/>
      <c r="C298" s="302" t="s">
        <v>3951</v>
      </c>
      <c r="D298" s="303"/>
      <c r="E298" s="304"/>
      <c r="F298" s="305" t="str">
        <f t="shared" si="1"/>
        <v>בכלל לא</v>
      </c>
      <c r="G298" s="306">
        <f>COUNTIF(Recordings!A:A,C298)</f>
        <v>0</v>
      </c>
      <c r="H298" s="306"/>
      <c r="I298" s="306"/>
      <c r="J298" s="306"/>
      <c r="K298" s="2"/>
      <c r="L298" s="2"/>
      <c r="M298" s="2"/>
      <c r="N298" s="2"/>
      <c r="O298" s="2"/>
      <c r="P298" s="2"/>
      <c r="Q298" s="2"/>
      <c r="R298" s="2"/>
      <c r="S298" s="2"/>
      <c r="T298" s="2"/>
      <c r="U298" s="2"/>
      <c r="V298" s="2"/>
      <c r="W298" s="2"/>
      <c r="X298" s="2"/>
      <c r="Y298" s="2"/>
      <c r="Z298" s="2"/>
      <c r="AA298" s="2"/>
      <c r="AB298" s="2"/>
    </row>
    <row r="299">
      <c r="B299" s="303"/>
      <c r="C299" s="302" t="s">
        <v>3952</v>
      </c>
      <c r="D299" s="303"/>
      <c r="E299" s="304"/>
      <c r="F299" s="305" t="str">
        <f t="shared" si="1"/>
        <v>בכלל לא</v>
      </c>
      <c r="G299" s="306">
        <f>COUNTIF(Recordings!A:A,C299)</f>
        <v>0</v>
      </c>
      <c r="H299" s="306"/>
      <c r="I299" s="306"/>
      <c r="J299" s="306"/>
      <c r="K299" s="2"/>
      <c r="L299" s="2"/>
      <c r="M299" s="2"/>
      <c r="N299" s="2"/>
      <c r="O299" s="2"/>
      <c r="P299" s="2"/>
      <c r="Q299" s="2"/>
      <c r="R299" s="2"/>
      <c r="S299" s="2"/>
      <c r="T299" s="2"/>
      <c r="U299" s="2"/>
      <c r="V299" s="2"/>
      <c r="W299" s="2"/>
      <c r="X299" s="2"/>
      <c r="Y299" s="2"/>
      <c r="Z299" s="2"/>
      <c r="AA299" s="2"/>
      <c r="AB299" s="2"/>
    </row>
    <row r="300">
      <c r="B300" s="303"/>
      <c r="C300" s="302" t="s">
        <v>3953</v>
      </c>
      <c r="D300" s="303"/>
      <c r="E300" s="304"/>
      <c r="F300" s="305" t="str">
        <f t="shared" si="1"/>
        <v>בכלל לא</v>
      </c>
      <c r="G300" s="306">
        <f>COUNTIF(Recordings!A:A,C300)</f>
        <v>0</v>
      </c>
      <c r="H300" s="306"/>
      <c r="I300" s="306"/>
      <c r="J300" s="306"/>
      <c r="K300" s="2"/>
      <c r="L300" s="2"/>
      <c r="M300" s="2"/>
      <c r="N300" s="2"/>
      <c r="O300" s="2"/>
      <c r="P300" s="2"/>
      <c r="Q300" s="2"/>
      <c r="R300" s="2"/>
      <c r="S300" s="2"/>
      <c r="T300" s="2"/>
      <c r="U300" s="2"/>
      <c r="V300" s="2"/>
      <c r="W300" s="2"/>
      <c r="X300" s="2"/>
      <c r="Y300" s="2"/>
      <c r="Z300" s="2"/>
      <c r="AA300" s="2"/>
      <c r="AB300" s="2"/>
    </row>
    <row r="301">
      <c r="B301" s="303"/>
      <c r="C301" s="302" t="s">
        <v>3954</v>
      </c>
      <c r="D301" s="303"/>
      <c r="E301" s="304"/>
      <c r="F301" s="305" t="str">
        <f t="shared" si="1"/>
        <v>בכלל לא</v>
      </c>
      <c r="G301" s="306">
        <f>COUNTIF(Recordings!A:A,C301)</f>
        <v>0</v>
      </c>
      <c r="H301" s="306"/>
      <c r="I301" s="306"/>
      <c r="J301" s="306"/>
      <c r="K301" s="2"/>
      <c r="L301" s="2"/>
      <c r="M301" s="2"/>
      <c r="N301" s="2"/>
      <c r="O301" s="2"/>
      <c r="P301" s="2"/>
      <c r="Q301" s="2"/>
      <c r="R301" s="2"/>
      <c r="S301" s="2"/>
      <c r="T301" s="2"/>
      <c r="U301" s="2"/>
      <c r="V301" s="2"/>
      <c r="W301" s="2"/>
      <c r="X301" s="2"/>
      <c r="Y301" s="2"/>
      <c r="Z301" s="2"/>
      <c r="AA301" s="2"/>
      <c r="AB301" s="2"/>
    </row>
    <row r="302">
      <c r="B302" s="303"/>
      <c r="C302" s="302" t="s">
        <v>3955</v>
      </c>
      <c r="D302" s="303"/>
      <c r="E302" s="304"/>
      <c r="F302" s="305" t="str">
        <f t="shared" si="1"/>
        <v>בכלל לא</v>
      </c>
      <c r="G302" s="306">
        <f>COUNTIF(Recordings!A:A,C302)</f>
        <v>0</v>
      </c>
      <c r="H302" s="306"/>
      <c r="I302" s="306"/>
      <c r="J302" s="306"/>
      <c r="K302" s="2"/>
      <c r="L302" s="2"/>
      <c r="M302" s="2"/>
      <c r="N302" s="2"/>
      <c r="O302" s="2"/>
      <c r="P302" s="2"/>
      <c r="Q302" s="2"/>
      <c r="R302" s="2"/>
      <c r="S302" s="2"/>
      <c r="T302" s="2"/>
      <c r="U302" s="2"/>
      <c r="V302" s="2"/>
      <c r="W302" s="2"/>
      <c r="X302" s="2"/>
      <c r="Y302" s="2"/>
      <c r="Z302" s="2"/>
      <c r="AA302" s="2"/>
      <c r="AB302" s="2"/>
    </row>
    <row r="303">
      <c r="B303" s="303"/>
      <c r="C303" s="302" t="s">
        <v>3956</v>
      </c>
      <c r="D303" s="303"/>
      <c r="E303" s="304"/>
      <c r="F303" s="305" t="str">
        <f t="shared" si="1"/>
        <v>בכלל לא</v>
      </c>
      <c r="G303" s="306">
        <f>COUNTIF(Recordings!A:A,C303)</f>
        <v>0</v>
      </c>
      <c r="H303" s="306"/>
      <c r="I303" s="306"/>
      <c r="J303" s="306"/>
      <c r="K303" s="2"/>
      <c r="L303" s="2"/>
      <c r="M303" s="2"/>
      <c r="N303" s="2"/>
      <c r="O303" s="2"/>
      <c r="P303" s="2"/>
      <c r="Q303" s="2"/>
      <c r="R303" s="2"/>
      <c r="S303" s="2"/>
      <c r="T303" s="2"/>
      <c r="U303" s="2"/>
      <c r="V303" s="2"/>
      <c r="W303" s="2"/>
      <c r="X303" s="2"/>
      <c r="Y303" s="2"/>
      <c r="Z303" s="2"/>
      <c r="AA303" s="2"/>
      <c r="AB303" s="2"/>
    </row>
    <row r="304">
      <c r="B304" s="303"/>
      <c r="C304" s="302" t="s">
        <v>3957</v>
      </c>
      <c r="D304" s="303"/>
      <c r="E304" s="304"/>
      <c r="F304" s="305" t="str">
        <f t="shared" si="1"/>
        <v>בכלל לא</v>
      </c>
      <c r="G304" s="306">
        <f>COUNTIF(Recordings!A:A,C304)</f>
        <v>0</v>
      </c>
      <c r="H304" s="306"/>
      <c r="I304" s="306"/>
      <c r="J304" s="306"/>
      <c r="K304" s="2"/>
      <c r="L304" s="2"/>
      <c r="M304" s="2"/>
      <c r="N304" s="2"/>
      <c r="O304" s="2"/>
      <c r="P304" s="2"/>
      <c r="Q304" s="2"/>
      <c r="R304" s="2"/>
      <c r="S304" s="2"/>
      <c r="T304" s="2"/>
      <c r="U304" s="2"/>
      <c r="V304" s="2"/>
      <c r="W304" s="2"/>
      <c r="X304" s="2"/>
      <c r="Y304" s="2"/>
      <c r="Z304" s="2"/>
      <c r="AA304" s="2"/>
      <c r="AB304" s="2"/>
    </row>
    <row r="305">
      <c r="B305" s="303"/>
      <c r="C305" s="302" t="s">
        <v>3958</v>
      </c>
      <c r="D305" s="303"/>
      <c r="E305" s="304"/>
      <c r="F305" s="305" t="str">
        <f t="shared" si="1"/>
        <v>בכלל לא</v>
      </c>
      <c r="G305" s="306">
        <f>COUNTIF(Recordings!A:A,C305)</f>
        <v>0</v>
      </c>
      <c r="H305" s="306"/>
      <c r="I305" s="306"/>
      <c r="J305" s="306"/>
      <c r="K305" s="2"/>
      <c r="L305" s="2"/>
      <c r="M305" s="2"/>
      <c r="N305" s="2"/>
      <c r="O305" s="2"/>
      <c r="P305" s="2"/>
      <c r="Q305" s="2"/>
      <c r="R305" s="2"/>
      <c r="S305" s="2"/>
      <c r="T305" s="2"/>
      <c r="U305" s="2"/>
      <c r="V305" s="2"/>
      <c r="W305" s="2"/>
      <c r="X305" s="2"/>
      <c r="Y305" s="2"/>
      <c r="Z305" s="2"/>
      <c r="AA305" s="2"/>
      <c r="AB305" s="2"/>
    </row>
    <row r="306">
      <c r="B306" s="303"/>
      <c r="C306" s="302" t="s">
        <v>3959</v>
      </c>
      <c r="D306" s="303"/>
      <c r="E306" s="304"/>
      <c r="F306" s="305" t="str">
        <f t="shared" si="1"/>
        <v>בכלל לא</v>
      </c>
      <c r="G306" s="306">
        <f>COUNTIF(Recordings!A:A,C306)</f>
        <v>0</v>
      </c>
      <c r="H306" s="306"/>
      <c r="I306" s="306"/>
      <c r="J306" s="306"/>
      <c r="K306" s="2"/>
      <c r="L306" s="2"/>
      <c r="M306" s="2"/>
      <c r="N306" s="2"/>
      <c r="O306" s="2"/>
      <c r="P306" s="2"/>
      <c r="Q306" s="2"/>
      <c r="R306" s="2"/>
      <c r="S306" s="2"/>
      <c r="T306" s="2"/>
      <c r="U306" s="2"/>
      <c r="V306" s="2"/>
      <c r="W306" s="2"/>
      <c r="X306" s="2"/>
      <c r="Y306" s="2"/>
      <c r="Z306" s="2"/>
      <c r="AA306" s="2"/>
      <c r="AB306" s="2"/>
    </row>
    <row r="307">
      <c r="B307" s="303"/>
      <c r="C307" s="302" t="s">
        <v>3960</v>
      </c>
      <c r="D307" s="303"/>
      <c r="E307" s="304"/>
      <c r="F307" s="305" t="str">
        <f t="shared" si="1"/>
        <v>בכלל לא</v>
      </c>
      <c r="G307" s="306">
        <f>COUNTIF(Recordings!A:A,C307)</f>
        <v>0</v>
      </c>
      <c r="H307" s="306"/>
      <c r="I307" s="306"/>
      <c r="J307" s="306"/>
      <c r="K307" s="2"/>
      <c r="L307" s="2"/>
      <c r="M307" s="2"/>
      <c r="N307" s="2"/>
      <c r="O307" s="2"/>
      <c r="P307" s="2"/>
      <c r="Q307" s="2"/>
      <c r="R307" s="2"/>
      <c r="S307" s="2"/>
      <c r="T307" s="2"/>
      <c r="U307" s="2"/>
      <c r="V307" s="2"/>
      <c r="W307" s="2"/>
      <c r="X307" s="2"/>
      <c r="Y307" s="2"/>
      <c r="Z307" s="2"/>
      <c r="AA307" s="2"/>
      <c r="AB307" s="2"/>
    </row>
    <row r="308">
      <c r="B308" s="303"/>
      <c r="C308" s="302" t="s">
        <v>3961</v>
      </c>
      <c r="D308" s="303"/>
      <c r="E308" s="304"/>
      <c r="F308" s="305" t="str">
        <f t="shared" si="1"/>
        <v>בכלל לא</v>
      </c>
      <c r="G308" s="306">
        <f>COUNTIF(Recordings!A:A,C308)</f>
        <v>0</v>
      </c>
      <c r="H308" s="306"/>
      <c r="I308" s="306"/>
      <c r="J308" s="306"/>
      <c r="K308" s="2"/>
      <c r="L308" s="2"/>
      <c r="M308" s="2"/>
      <c r="N308" s="2"/>
      <c r="O308" s="2"/>
      <c r="P308" s="2"/>
      <c r="Q308" s="2"/>
      <c r="R308" s="2"/>
      <c r="S308" s="2"/>
      <c r="T308" s="2"/>
      <c r="U308" s="2"/>
      <c r="V308" s="2"/>
      <c r="W308" s="2"/>
      <c r="X308" s="2"/>
      <c r="Y308" s="2"/>
      <c r="Z308" s="2"/>
      <c r="AA308" s="2"/>
      <c r="AB308" s="2"/>
    </row>
    <row r="309">
      <c r="B309" s="303"/>
      <c r="C309" s="302" t="s">
        <v>3962</v>
      </c>
      <c r="D309" s="303"/>
      <c r="E309" s="304"/>
      <c r="F309" s="305" t="str">
        <f t="shared" si="1"/>
        <v>בכלל לא</v>
      </c>
      <c r="G309" s="306">
        <f>COUNTIF(Recordings!A:A,C309)</f>
        <v>0</v>
      </c>
      <c r="H309" s="306"/>
      <c r="I309" s="306"/>
      <c r="J309" s="306"/>
      <c r="K309" s="2"/>
      <c r="L309" s="2"/>
      <c r="M309" s="2"/>
      <c r="N309" s="2"/>
      <c r="O309" s="2"/>
      <c r="P309" s="2"/>
      <c r="Q309" s="2"/>
      <c r="R309" s="2"/>
      <c r="S309" s="2"/>
      <c r="T309" s="2"/>
      <c r="U309" s="2"/>
      <c r="V309" s="2"/>
      <c r="W309" s="2"/>
      <c r="X309" s="2"/>
      <c r="Y309" s="2"/>
      <c r="Z309" s="2"/>
      <c r="AA309" s="2"/>
      <c r="AB309" s="2"/>
    </row>
    <row r="310">
      <c r="B310" s="303"/>
      <c r="C310" s="302" t="s">
        <v>3963</v>
      </c>
      <c r="D310" s="303"/>
      <c r="E310" s="304"/>
      <c r="F310" s="305" t="str">
        <f t="shared" si="1"/>
        <v>בכלל לא</v>
      </c>
      <c r="G310" s="306">
        <f>COUNTIF(Recordings!A:A,C310)</f>
        <v>0</v>
      </c>
      <c r="H310" s="306"/>
      <c r="I310" s="306"/>
      <c r="J310" s="306"/>
      <c r="K310" s="2"/>
      <c r="L310" s="2"/>
      <c r="M310" s="2"/>
      <c r="N310" s="2"/>
      <c r="O310" s="2"/>
      <c r="P310" s="2"/>
      <c r="Q310" s="2"/>
      <c r="R310" s="2"/>
      <c r="S310" s="2"/>
      <c r="T310" s="2"/>
      <c r="U310" s="2"/>
      <c r="V310" s="2"/>
      <c r="W310" s="2"/>
      <c r="X310" s="2"/>
      <c r="Y310" s="2"/>
      <c r="Z310" s="2"/>
      <c r="AA310" s="2"/>
      <c r="AB310" s="2"/>
    </row>
    <row r="311">
      <c r="B311" s="303"/>
      <c r="C311" s="302" t="s">
        <v>3964</v>
      </c>
      <c r="D311" s="303"/>
      <c r="E311" s="304"/>
      <c r="F311" s="305" t="str">
        <f t="shared" si="1"/>
        <v>בכלל לא</v>
      </c>
      <c r="G311" s="306">
        <f>COUNTIF(Recordings!A:A,C311)</f>
        <v>0</v>
      </c>
      <c r="H311" s="306"/>
      <c r="I311" s="306"/>
      <c r="J311" s="306"/>
      <c r="K311" s="2"/>
      <c r="L311" s="2"/>
      <c r="M311" s="2"/>
      <c r="N311" s="2"/>
      <c r="O311" s="2"/>
      <c r="P311" s="2"/>
      <c r="Q311" s="2"/>
      <c r="R311" s="2"/>
      <c r="S311" s="2"/>
      <c r="T311" s="2"/>
      <c r="U311" s="2"/>
      <c r="V311" s="2"/>
      <c r="W311" s="2"/>
      <c r="X311" s="2"/>
      <c r="Y311" s="2"/>
      <c r="Z311" s="2"/>
      <c r="AA311" s="2"/>
      <c r="AB311" s="2"/>
    </row>
    <row r="312">
      <c r="B312" s="303"/>
      <c r="C312" s="302" t="s">
        <v>3965</v>
      </c>
      <c r="D312" s="303"/>
      <c r="E312" s="304"/>
      <c r="F312" s="305" t="str">
        <f t="shared" si="1"/>
        <v>בכלל לא</v>
      </c>
      <c r="G312" s="306">
        <f>COUNTIF(Recordings!A:A,C312)</f>
        <v>0</v>
      </c>
      <c r="H312" s="306"/>
      <c r="I312" s="306"/>
      <c r="J312" s="306"/>
      <c r="K312" s="2"/>
      <c r="L312" s="2"/>
      <c r="M312" s="2"/>
      <c r="N312" s="2"/>
      <c r="O312" s="2"/>
      <c r="P312" s="2"/>
      <c r="Q312" s="2"/>
      <c r="R312" s="2"/>
      <c r="S312" s="2"/>
      <c r="T312" s="2"/>
      <c r="U312" s="2"/>
      <c r="V312" s="2"/>
      <c r="W312" s="2"/>
      <c r="X312" s="2"/>
      <c r="Y312" s="2"/>
      <c r="Z312" s="2"/>
      <c r="AA312" s="2"/>
      <c r="AB312" s="2"/>
    </row>
    <row r="313">
      <c r="B313" s="303"/>
      <c r="C313" s="302" t="s">
        <v>3966</v>
      </c>
      <c r="D313" s="303"/>
      <c r="E313" s="304"/>
      <c r="F313" s="305" t="str">
        <f t="shared" si="1"/>
        <v>בכלל לא</v>
      </c>
      <c r="G313" s="306">
        <f>COUNTIF(Recordings!A:A,C313)</f>
        <v>0</v>
      </c>
      <c r="H313" s="306"/>
      <c r="I313" s="306"/>
      <c r="J313" s="306"/>
      <c r="K313" s="2"/>
      <c r="L313" s="2"/>
      <c r="M313" s="2"/>
      <c r="N313" s="2"/>
      <c r="O313" s="2"/>
      <c r="P313" s="2"/>
      <c r="Q313" s="2"/>
      <c r="R313" s="2"/>
      <c r="S313" s="2"/>
      <c r="T313" s="2"/>
      <c r="U313" s="2"/>
      <c r="V313" s="2"/>
      <c r="W313" s="2"/>
      <c r="X313" s="2"/>
      <c r="Y313" s="2"/>
      <c r="Z313" s="2"/>
      <c r="AA313" s="2"/>
      <c r="AB313" s="2"/>
    </row>
    <row r="314">
      <c r="B314" s="303"/>
      <c r="C314" s="302" t="s">
        <v>3967</v>
      </c>
      <c r="D314" s="303"/>
      <c r="E314" s="304"/>
      <c r="F314" s="305" t="str">
        <f t="shared" si="1"/>
        <v>בכלל לא</v>
      </c>
      <c r="G314" s="306">
        <f>COUNTIF(Recordings!A:A,C314)</f>
        <v>0</v>
      </c>
      <c r="H314" s="306"/>
      <c r="I314" s="306"/>
      <c r="J314" s="306"/>
      <c r="K314" s="2"/>
      <c r="L314" s="2"/>
      <c r="M314" s="2"/>
      <c r="N314" s="2"/>
      <c r="O314" s="2"/>
      <c r="P314" s="2"/>
      <c r="Q314" s="2"/>
      <c r="R314" s="2"/>
      <c r="S314" s="2"/>
      <c r="T314" s="2"/>
      <c r="U314" s="2"/>
      <c r="V314" s="2"/>
      <c r="W314" s="2"/>
      <c r="X314" s="2"/>
      <c r="Y314" s="2"/>
      <c r="Z314" s="2"/>
      <c r="AA314" s="2"/>
      <c r="AB314" s="2"/>
    </row>
    <row r="315">
      <c r="B315" s="303"/>
      <c r="C315" s="302" t="s">
        <v>3968</v>
      </c>
      <c r="D315" s="303"/>
      <c r="E315" s="304"/>
      <c r="F315" s="305" t="str">
        <f t="shared" si="1"/>
        <v>בכלל לא</v>
      </c>
      <c r="G315" s="306">
        <f>COUNTIF(Recordings!A:A,C315)</f>
        <v>0</v>
      </c>
      <c r="H315" s="306"/>
      <c r="I315" s="306"/>
      <c r="J315" s="306"/>
      <c r="K315" s="2"/>
      <c r="L315" s="2"/>
      <c r="M315" s="2"/>
      <c r="N315" s="2"/>
      <c r="O315" s="2"/>
      <c r="P315" s="2"/>
      <c r="Q315" s="2"/>
      <c r="R315" s="2"/>
      <c r="S315" s="2"/>
      <c r="T315" s="2"/>
      <c r="U315" s="2"/>
      <c r="V315" s="2"/>
      <c r="W315" s="2"/>
      <c r="X315" s="2"/>
      <c r="Y315" s="2"/>
      <c r="Z315" s="2"/>
      <c r="AA315" s="2"/>
      <c r="AB315" s="2"/>
    </row>
    <row r="316">
      <c r="B316" s="303"/>
      <c r="C316" s="302" t="s">
        <v>3969</v>
      </c>
      <c r="D316" s="303"/>
      <c r="E316" s="304"/>
      <c r="F316" s="305" t="str">
        <f t="shared" si="1"/>
        <v>בכלל לא</v>
      </c>
      <c r="G316" s="306">
        <f>COUNTIF(Recordings!A:A,C316)</f>
        <v>0</v>
      </c>
      <c r="H316" s="306"/>
      <c r="I316" s="306"/>
      <c r="J316" s="306"/>
      <c r="K316" s="2"/>
      <c r="L316" s="2"/>
      <c r="M316" s="2"/>
      <c r="N316" s="2"/>
      <c r="O316" s="2"/>
      <c r="P316" s="2"/>
      <c r="Q316" s="2"/>
      <c r="R316" s="2"/>
      <c r="S316" s="2"/>
      <c r="T316" s="2"/>
      <c r="U316" s="2"/>
      <c r="V316" s="2"/>
      <c r="W316" s="2"/>
      <c r="X316" s="2"/>
      <c r="Y316" s="2"/>
      <c r="Z316" s="2"/>
      <c r="AA316" s="2"/>
      <c r="AB316" s="2"/>
    </row>
    <row r="317">
      <c r="B317" s="303"/>
      <c r="C317" s="302" t="s">
        <v>3970</v>
      </c>
      <c r="D317" s="303"/>
      <c r="E317" s="304"/>
      <c r="F317" s="305" t="str">
        <f t="shared" si="1"/>
        <v>בכלל לא</v>
      </c>
      <c r="G317" s="306">
        <f>COUNTIF(Recordings!A:A,C317)</f>
        <v>0</v>
      </c>
      <c r="H317" s="306"/>
      <c r="I317" s="306"/>
      <c r="J317" s="306"/>
      <c r="K317" s="2"/>
      <c r="L317" s="2"/>
      <c r="M317" s="2"/>
      <c r="N317" s="2"/>
      <c r="O317" s="2"/>
      <c r="P317" s="2"/>
      <c r="Q317" s="2"/>
      <c r="R317" s="2"/>
      <c r="S317" s="2"/>
      <c r="T317" s="2"/>
      <c r="U317" s="2"/>
      <c r="V317" s="2"/>
      <c r="W317" s="2"/>
      <c r="X317" s="2"/>
      <c r="Y317" s="2"/>
      <c r="Z317" s="2"/>
      <c r="AA317" s="2"/>
      <c r="AB317" s="2"/>
    </row>
    <row r="318">
      <c r="B318" s="303"/>
      <c r="C318" s="302" t="s">
        <v>3971</v>
      </c>
      <c r="D318" s="303"/>
      <c r="E318" s="304"/>
      <c r="F318" s="305" t="str">
        <f t="shared" si="1"/>
        <v>בכלל לא</v>
      </c>
      <c r="G318" s="306">
        <f>COUNTIF(Recordings!A:A,C318)</f>
        <v>0</v>
      </c>
      <c r="H318" s="306"/>
      <c r="I318" s="306"/>
      <c r="J318" s="306"/>
      <c r="K318" s="2"/>
      <c r="L318" s="2"/>
      <c r="M318" s="2"/>
      <c r="N318" s="2"/>
      <c r="O318" s="2"/>
      <c r="P318" s="2"/>
      <c r="Q318" s="2"/>
      <c r="R318" s="2"/>
      <c r="S318" s="2"/>
      <c r="T318" s="2"/>
      <c r="U318" s="2"/>
      <c r="V318" s="2"/>
      <c r="W318" s="2"/>
      <c r="X318" s="2"/>
      <c r="Y318" s="2"/>
      <c r="Z318" s="2"/>
      <c r="AA318" s="2"/>
      <c r="AB318" s="2"/>
    </row>
    <row r="319">
      <c r="B319" s="303"/>
      <c r="C319" s="302" t="s">
        <v>3972</v>
      </c>
      <c r="D319" s="303"/>
      <c r="E319" s="304"/>
      <c r="F319" s="305" t="str">
        <f t="shared" si="1"/>
        <v>בכלל לא</v>
      </c>
      <c r="G319" s="306">
        <f>COUNTIF(Recordings!A:A,C319)</f>
        <v>0</v>
      </c>
      <c r="H319" s="306"/>
      <c r="I319" s="306"/>
      <c r="J319" s="306"/>
      <c r="K319" s="2"/>
      <c r="L319" s="2"/>
      <c r="M319" s="2"/>
      <c r="N319" s="2"/>
      <c r="O319" s="2"/>
      <c r="P319" s="2"/>
      <c r="Q319" s="2"/>
      <c r="R319" s="2"/>
      <c r="S319" s="2"/>
      <c r="T319" s="2"/>
      <c r="U319" s="2"/>
      <c r="V319" s="2"/>
      <c r="W319" s="2"/>
      <c r="X319" s="2"/>
      <c r="Y319" s="2"/>
      <c r="Z319" s="2"/>
      <c r="AA319" s="2"/>
      <c r="AB319" s="2"/>
    </row>
    <row r="320">
      <c r="A320" s="307" t="s">
        <v>3973</v>
      </c>
      <c r="B320" s="308"/>
      <c r="C320" s="307" t="s">
        <v>3974</v>
      </c>
      <c r="D320" s="308"/>
      <c r="E320" s="309"/>
      <c r="F320" s="310" t="str">
        <f t="shared" si="1"/>
        <v>בכלל לא</v>
      </c>
      <c r="G320" s="311">
        <f>COUNTIF(Recordings!A:A,C320)</f>
        <v>0</v>
      </c>
      <c r="H320" s="311"/>
      <c r="I320" s="311"/>
      <c r="J320" s="311"/>
      <c r="K320" s="2"/>
      <c r="L320" s="2"/>
      <c r="M320" s="2"/>
      <c r="N320" s="2"/>
      <c r="O320" s="2"/>
      <c r="P320" s="2"/>
      <c r="Q320" s="2"/>
      <c r="R320" s="2"/>
      <c r="S320" s="2"/>
      <c r="T320" s="2"/>
      <c r="U320" s="2"/>
      <c r="V320" s="2"/>
      <c r="W320" s="2"/>
      <c r="X320" s="2"/>
      <c r="Y320" s="2"/>
      <c r="Z320" s="2"/>
      <c r="AA320" s="2"/>
      <c r="AB320" s="2"/>
    </row>
    <row r="321">
      <c r="B321" s="308"/>
      <c r="C321" s="307" t="s">
        <v>3975</v>
      </c>
      <c r="D321" s="308"/>
      <c r="E321" s="309"/>
      <c r="F321" s="310" t="str">
        <f t="shared" si="1"/>
        <v>בכלל לא</v>
      </c>
      <c r="G321" s="311">
        <f>COUNTIF(Recordings!A:A,C321)</f>
        <v>0</v>
      </c>
      <c r="H321" s="311"/>
      <c r="I321" s="311"/>
      <c r="J321" s="311"/>
      <c r="K321" s="2"/>
      <c r="L321" s="2"/>
      <c r="M321" s="2"/>
      <c r="N321" s="2"/>
      <c r="O321" s="2"/>
      <c r="P321" s="2"/>
      <c r="Q321" s="2"/>
      <c r="R321" s="2"/>
      <c r="S321" s="2"/>
      <c r="T321" s="2"/>
      <c r="U321" s="2"/>
      <c r="V321" s="2"/>
      <c r="W321" s="2"/>
      <c r="X321" s="2"/>
      <c r="Y321" s="2"/>
      <c r="Z321" s="2"/>
      <c r="AA321" s="2"/>
      <c r="AB321" s="2"/>
    </row>
    <row r="322">
      <c r="B322" s="308"/>
      <c r="C322" s="307" t="s">
        <v>3976</v>
      </c>
      <c r="D322" s="308"/>
      <c r="E322" s="309"/>
      <c r="F322" s="310" t="str">
        <f t="shared" si="1"/>
        <v>בכלל לא</v>
      </c>
      <c r="G322" s="311">
        <f>COUNTIF(Recordings!A:A,C322)</f>
        <v>0</v>
      </c>
      <c r="H322" s="311"/>
      <c r="I322" s="311"/>
      <c r="J322" s="311"/>
      <c r="K322" s="2"/>
      <c r="L322" s="2"/>
      <c r="M322" s="2"/>
      <c r="N322" s="2"/>
      <c r="O322" s="2"/>
      <c r="P322" s="2"/>
      <c r="Q322" s="2"/>
      <c r="R322" s="2"/>
      <c r="S322" s="2"/>
      <c r="T322" s="2"/>
      <c r="U322" s="2"/>
      <c r="V322" s="2"/>
      <c r="W322" s="2"/>
      <c r="X322" s="2"/>
      <c r="Y322" s="2"/>
      <c r="Z322" s="2"/>
      <c r="AA322" s="2"/>
      <c r="AB322" s="2"/>
    </row>
    <row r="323">
      <c r="B323" s="308"/>
      <c r="C323" s="307" t="s">
        <v>3977</v>
      </c>
      <c r="D323" s="308"/>
      <c r="E323" s="309"/>
      <c r="F323" s="310" t="str">
        <f t="shared" si="1"/>
        <v>בכלל לא</v>
      </c>
      <c r="G323" s="311">
        <f>COUNTIF(Recordings!A:A,C323)</f>
        <v>0</v>
      </c>
      <c r="H323" s="311"/>
      <c r="I323" s="311"/>
      <c r="J323" s="311"/>
      <c r="K323" s="2"/>
      <c r="L323" s="2"/>
      <c r="M323" s="2"/>
      <c r="N323" s="2"/>
      <c r="O323" s="2"/>
      <c r="P323" s="2"/>
      <c r="Q323" s="2"/>
      <c r="R323" s="2"/>
      <c r="S323" s="2"/>
      <c r="T323" s="2"/>
      <c r="U323" s="2"/>
      <c r="V323" s="2"/>
      <c r="W323" s="2"/>
      <c r="X323" s="2"/>
      <c r="Y323" s="2"/>
      <c r="Z323" s="2"/>
      <c r="AA323" s="2"/>
      <c r="AB323" s="2"/>
    </row>
    <row r="324">
      <c r="B324" s="308"/>
      <c r="C324" s="307" t="s">
        <v>3978</v>
      </c>
      <c r="D324" s="308"/>
      <c r="E324" s="309"/>
      <c r="F324" s="310" t="str">
        <f t="shared" si="1"/>
        <v>בכלל לא</v>
      </c>
      <c r="G324" s="311">
        <f>COUNTIF(Recordings!A:A,C324)</f>
        <v>0</v>
      </c>
      <c r="H324" s="311"/>
      <c r="I324" s="311"/>
      <c r="J324" s="311"/>
      <c r="K324" s="2"/>
      <c r="L324" s="2"/>
      <c r="M324" s="2"/>
      <c r="N324" s="2"/>
      <c r="O324" s="2"/>
      <c r="P324" s="2"/>
      <c r="Q324" s="2"/>
      <c r="R324" s="2"/>
      <c r="S324" s="2"/>
      <c r="T324" s="2"/>
      <c r="U324" s="2"/>
      <c r="V324" s="2"/>
      <c r="W324" s="2"/>
      <c r="X324" s="2"/>
      <c r="Y324" s="2"/>
      <c r="Z324" s="2"/>
      <c r="AA324" s="2"/>
      <c r="AB324" s="2"/>
    </row>
    <row r="325">
      <c r="B325" s="308"/>
      <c r="C325" s="307" t="s">
        <v>3979</v>
      </c>
      <c r="D325" s="308"/>
      <c r="E325" s="309"/>
      <c r="F325" s="310" t="str">
        <f t="shared" si="1"/>
        <v>בכלל לא</v>
      </c>
      <c r="G325" s="311">
        <f>COUNTIF(Recordings!A:A,C325)</f>
        <v>0</v>
      </c>
      <c r="H325" s="311"/>
      <c r="I325" s="311"/>
      <c r="J325" s="311"/>
      <c r="K325" s="2"/>
      <c r="L325" s="2"/>
      <c r="M325" s="2"/>
      <c r="N325" s="2"/>
      <c r="O325" s="2"/>
      <c r="P325" s="2"/>
      <c r="Q325" s="2"/>
      <c r="R325" s="2"/>
      <c r="S325" s="2"/>
      <c r="T325" s="2"/>
      <c r="U325" s="2"/>
      <c r="V325" s="2"/>
      <c r="W325" s="2"/>
      <c r="X325" s="2"/>
      <c r="Y325" s="2"/>
      <c r="Z325" s="2"/>
      <c r="AA325" s="2"/>
      <c r="AB325" s="2"/>
    </row>
    <row r="326">
      <c r="B326" s="308"/>
      <c r="C326" s="307" t="s">
        <v>3973</v>
      </c>
      <c r="D326" s="308"/>
      <c r="E326" s="309"/>
      <c r="F326" s="310" t="str">
        <f t="shared" si="1"/>
        <v>בכלל לא</v>
      </c>
      <c r="G326" s="311">
        <f>COUNTIF(Recordings!A:A,C326)</f>
        <v>0</v>
      </c>
      <c r="H326" s="311"/>
      <c r="I326" s="311"/>
      <c r="J326" s="311"/>
      <c r="K326" s="2"/>
      <c r="L326" s="2"/>
      <c r="M326" s="2"/>
      <c r="N326" s="2"/>
      <c r="O326" s="2"/>
      <c r="P326" s="2"/>
      <c r="Q326" s="2"/>
      <c r="R326" s="2"/>
      <c r="S326" s="2"/>
      <c r="T326" s="2"/>
      <c r="U326" s="2"/>
      <c r="V326" s="2"/>
      <c r="W326" s="2"/>
      <c r="X326" s="2"/>
      <c r="Y326" s="2"/>
      <c r="Z326" s="2"/>
      <c r="AA326" s="2"/>
      <c r="AB326" s="2"/>
    </row>
    <row r="327">
      <c r="B327" s="308"/>
      <c r="C327" s="307" t="s">
        <v>3980</v>
      </c>
      <c r="D327" s="308"/>
      <c r="E327" s="309"/>
      <c r="F327" s="310" t="str">
        <f t="shared" si="1"/>
        <v>בכלל לא</v>
      </c>
      <c r="G327" s="311">
        <f>COUNTIF(Recordings!A:A,C327)</f>
        <v>0</v>
      </c>
      <c r="H327" s="311"/>
      <c r="I327" s="311"/>
      <c r="J327" s="311"/>
      <c r="K327" s="2"/>
      <c r="L327" s="2"/>
      <c r="M327" s="2"/>
      <c r="N327" s="2"/>
      <c r="O327" s="2"/>
      <c r="P327" s="2"/>
      <c r="Q327" s="2"/>
      <c r="R327" s="2"/>
      <c r="S327" s="2"/>
      <c r="T327" s="2"/>
      <c r="U327" s="2"/>
      <c r="V327" s="2"/>
      <c r="W327" s="2"/>
      <c r="X327" s="2"/>
      <c r="Y327" s="2"/>
      <c r="Z327" s="2"/>
      <c r="AA327" s="2"/>
      <c r="AB327" s="2"/>
    </row>
    <row r="328">
      <c r="B328" s="308"/>
      <c r="C328" s="307" t="s">
        <v>3981</v>
      </c>
      <c r="D328" s="308"/>
      <c r="E328" s="309"/>
      <c r="F328" s="310" t="str">
        <f t="shared" si="1"/>
        <v>בכלל לא</v>
      </c>
      <c r="G328" s="311">
        <f>COUNTIF(Recordings!A:A,C328)</f>
        <v>0</v>
      </c>
      <c r="H328" s="311"/>
      <c r="I328" s="311"/>
      <c r="J328" s="311"/>
      <c r="K328" s="2"/>
      <c r="L328" s="2"/>
      <c r="M328" s="2"/>
      <c r="N328" s="2"/>
      <c r="O328" s="2"/>
      <c r="P328" s="2"/>
      <c r="Q328" s="2"/>
      <c r="R328" s="2"/>
      <c r="S328" s="2"/>
      <c r="T328" s="2"/>
      <c r="U328" s="2"/>
      <c r="V328" s="2"/>
      <c r="W328" s="2"/>
      <c r="X328" s="2"/>
      <c r="Y328" s="2"/>
      <c r="Z328" s="2"/>
      <c r="AA328" s="2"/>
      <c r="AB328" s="2"/>
    </row>
    <row r="329">
      <c r="B329" s="308"/>
      <c r="C329" s="307" t="s">
        <v>3982</v>
      </c>
      <c r="D329" s="308"/>
      <c r="E329" s="309"/>
      <c r="F329" s="310" t="str">
        <f t="shared" si="1"/>
        <v>בכלל לא</v>
      </c>
      <c r="G329" s="311">
        <f>COUNTIF(Recordings!A:A,C329)</f>
        <v>0</v>
      </c>
      <c r="H329" s="311"/>
      <c r="I329" s="311"/>
      <c r="J329" s="311"/>
      <c r="K329" s="2"/>
      <c r="L329" s="2"/>
      <c r="M329" s="2"/>
      <c r="N329" s="2"/>
      <c r="O329" s="2"/>
      <c r="P329" s="2"/>
      <c r="Q329" s="2"/>
      <c r="R329" s="2"/>
      <c r="S329" s="2"/>
      <c r="T329" s="2"/>
      <c r="U329" s="2"/>
      <c r="V329" s="2"/>
      <c r="W329" s="2"/>
      <c r="X329" s="2"/>
      <c r="Y329" s="2"/>
      <c r="Z329" s="2"/>
      <c r="AA329" s="2"/>
      <c r="AB329" s="2"/>
    </row>
    <row r="330">
      <c r="B330" s="308"/>
      <c r="C330" s="307" t="s">
        <v>3983</v>
      </c>
      <c r="D330" s="308"/>
      <c r="E330" s="309"/>
      <c r="F330" s="310" t="str">
        <f t="shared" si="1"/>
        <v>בכלל לא</v>
      </c>
      <c r="G330" s="311">
        <f>COUNTIF(Recordings!A:A,C330)</f>
        <v>0</v>
      </c>
      <c r="H330" s="311"/>
      <c r="I330" s="311"/>
      <c r="J330" s="311"/>
      <c r="K330" s="2"/>
      <c r="L330" s="2"/>
      <c r="M330" s="2"/>
      <c r="N330" s="2"/>
      <c r="O330" s="2"/>
      <c r="P330" s="2"/>
      <c r="Q330" s="2"/>
      <c r="R330" s="2"/>
      <c r="S330" s="2"/>
      <c r="T330" s="2"/>
      <c r="U330" s="2"/>
      <c r="V330" s="2"/>
      <c r="W330" s="2"/>
      <c r="X330" s="2"/>
      <c r="Y330" s="2"/>
      <c r="Z330" s="2"/>
      <c r="AA330" s="2"/>
      <c r="AB330" s="2"/>
    </row>
    <row r="331">
      <c r="B331" s="308"/>
      <c r="C331" s="307" t="s">
        <v>3984</v>
      </c>
      <c r="D331" s="308"/>
      <c r="E331" s="309"/>
      <c r="F331" s="310" t="str">
        <f t="shared" si="1"/>
        <v>בכלל לא</v>
      </c>
      <c r="G331" s="311">
        <f>COUNTIF(Recordings!A:A,C331)</f>
        <v>0</v>
      </c>
      <c r="H331" s="311"/>
      <c r="I331" s="311"/>
      <c r="J331" s="311"/>
      <c r="K331" s="2"/>
      <c r="L331" s="2"/>
      <c r="M331" s="2"/>
      <c r="N331" s="2"/>
      <c r="O331" s="2"/>
      <c r="P331" s="2"/>
      <c r="Q331" s="2"/>
      <c r="R331" s="2"/>
      <c r="S331" s="2"/>
      <c r="T331" s="2"/>
      <c r="U331" s="2"/>
      <c r="V331" s="2"/>
      <c r="W331" s="2"/>
      <c r="X331" s="2"/>
      <c r="Y331" s="2"/>
      <c r="Z331" s="2"/>
      <c r="AA331" s="2"/>
      <c r="AB331" s="2"/>
    </row>
    <row r="332">
      <c r="B332" s="308"/>
      <c r="C332" s="307" t="s">
        <v>3985</v>
      </c>
      <c r="D332" s="308"/>
      <c r="E332" s="309"/>
      <c r="F332" s="310" t="str">
        <f t="shared" si="1"/>
        <v>בכלל לא</v>
      </c>
      <c r="G332" s="311">
        <f>COUNTIF(Recordings!A:A,C332)</f>
        <v>0</v>
      </c>
      <c r="H332" s="311"/>
      <c r="I332" s="311"/>
      <c r="J332" s="311"/>
      <c r="K332" s="2"/>
      <c r="L332" s="2"/>
      <c r="M332" s="2"/>
      <c r="N332" s="2"/>
      <c r="O332" s="2"/>
      <c r="P332" s="2"/>
      <c r="Q332" s="2"/>
      <c r="R332" s="2"/>
      <c r="S332" s="2"/>
      <c r="T332" s="2"/>
      <c r="U332" s="2"/>
      <c r="V332" s="2"/>
      <c r="W332" s="2"/>
      <c r="X332" s="2"/>
      <c r="Y332" s="2"/>
      <c r="Z332" s="2"/>
      <c r="AA332" s="2"/>
      <c r="AB332" s="2"/>
    </row>
    <row r="333">
      <c r="B333" s="308"/>
      <c r="C333" s="307" t="s">
        <v>3986</v>
      </c>
      <c r="D333" s="308"/>
      <c r="E333" s="309"/>
      <c r="F333" s="310" t="str">
        <f t="shared" si="1"/>
        <v>בכלל לא</v>
      </c>
      <c r="G333" s="311">
        <f>COUNTIF(Recordings!A:A,C333)</f>
        <v>0</v>
      </c>
      <c r="H333" s="311"/>
      <c r="I333" s="311"/>
      <c r="J333" s="311"/>
      <c r="K333" s="2"/>
      <c r="L333" s="2"/>
      <c r="M333" s="2"/>
      <c r="N333" s="2"/>
      <c r="O333" s="2"/>
      <c r="P333" s="2"/>
      <c r="Q333" s="2"/>
      <c r="R333" s="2"/>
      <c r="S333" s="2"/>
      <c r="T333" s="2"/>
      <c r="U333" s="2"/>
      <c r="V333" s="2"/>
      <c r="W333" s="2"/>
      <c r="X333" s="2"/>
      <c r="Y333" s="2"/>
      <c r="Z333" s="2"/>
      <c r="AA333" s="2"/>
      <c r="AB333" s="2"/>
    </row>
    <row r="334">
      <c r="B334" s="308"/>
      <c r="C334" s="307" t="s">
        <v>3987</v>
      </c>
      <c r="D334" s="308"/>
      <c r="E334" s="309"/>
      <c r="F334" s="310" t="str">
        <f t="shared" si="1"/>
        <v>בכלל לא</v>
      </c>
      <c r="G334" s="311">
        <f>COUNTIF(Recordings!A:A,C334)</f>
        <v>0</v>
      </c>
      <c r="H334" s="311"/>
      <c r="I334" s="311"/>
      <c r="J334" s="311"/>
      <c r="K334" s="2"/>
      <c r="L334" s="2"/>
      <c r="M334" s="2"/>
      <c r="N334" s="2"/>
      <c r="O334" s="2"/>
      <c r="P334" s="2"/>
      <c r="Q334" s="2"/>
      <c r="R334" s="2"/>
      <c r="S334" s="2"/>
      <c r="T334" s="2"/>
      <c r="U334" s="2"/>
      <c r="V334" s="2"/>
      <c r="W334" s="2"/>
      <c r="X334" s="2"/>
      <c r="Y334" s="2"/>
      <c r="Z334" s="2"/>
      <c r="AA334" s="2"/>
      <c r="AB334" s="2"/>
    </row>
    <row r="335">
      <c r="B335" s="308"/>
      <c r="C335" s="307" t="s">
        <v>3988</v>
      </c>
      <c r="D335" s="308"/>
      <c r="E335" s="309"/>
      <c r="F335" s="310" t="str">
        <f t="shared" si="1"/>
        <v>בכלל לא</v>
      </c>
      <c r="G335" s="311">
        <f>COUNTIF(Recordings!A:A,C335)</f>
        <v>0</v>
      </c>
      <c r="H335" s="311"/>
      <c r="I335" s="311"/>
      <c r="J335" s="311"/>
      <c r="K335" s="2"/>
      <c r="L335" s="2"/>
      <c r="M335" s="2"/>
      <c r="N335" s="2"/>
      <c r="O335" s="2"/>
      <c r="P335" s="2"/>
      <c r="Q335" s="2"/>
      <c r="R335" s="2"/>
      <c r="S335" s="2"/>
      <c r="T335" s="2"/>
      <c r="U335" s="2"/>
      <c r="V335" s="2"/>
      <c r="W335" s="2"/>
      <c r="X335" s="2"/>
      <c r="Y335" s="2"/>
      <c r="Z335" s="2"/>
      <c r="AA335" s="2"/>
      <c r="AB335" s="2"/>
    </row>
    <row r="336">
      <c r="A336" s="312" t="s">
        <v>3989</v>
      </c>
      <c r="B336" s="313"/>
      <c r="C336" s="312" t="s">
        <v>3990</v>
      </c>
      <c r="D336" s="313"/>
      <c r="E336" s="314"/>
      <c r="F336" s="315" t="str">
        <f t="shared" si="1"/>
        <v>בכלל לא</v>
      </c>
      <c r="G336" s="316">
        <f>COUNTIF(Recordings!A:A,C336)</f>
        <v>0</v>
      </c>
      <c r="H336" s="316"/>
      <c r="I336" s="316"/>
      <c r="J336" s="316"/>
      <c r="K336" s="2"/>
      <c r="L336" s="2"/>
      <c r="M336" s="2"/>
      <c r="N336" s="2"/>
      <c r="O336" s="2"/>
      <c r="P336" s="2"/>
      <c r="Q336" s="2"/>
      <c r="R336" s="2"/>
      <c r="S336" s="2"/>
      <c r="T336" s="2"/>
      <c r="U336" s="2"/>
      <c r="V336" s="2"/>
      <c r="W336" s="2"/>
      <c r="X336" s="2"/>
      <c r="Y336" s="2"/>
      <c r="Z336" s="2"/>
      <c r="AA336" s="2"/>
      <c r="AB336" s="2"/>
    </row>
    <row r="337">
      <c r="B337" s="313"/>
      <c r="C337" s="312" t="s">
        <v>3989</v>
      </c>
      <c r="D337" s="313"/>
      <c r="E337" s="314"/>
      <c r="F337" s="315" t="str">
        <f t="shared" si="1"/>
        <v>בכלל לא</v>
      </c>
      <c r="G337" s="316">
        <f>COUNTIF(Recordings!A:A,C337)</f>
        <v>0</v>
      </c>
      <c r="H337" s="316"/>
      <c r="I337" s="316"/>
      <c r="J337" s="316"/>
      <c r="K337" s="2"/>
      <c r="L337" s="2"/>
      <c r="M337" s="2"/>
      <c r="N337" s="2"/>
      <c r="O337" s="2"/>
      <c r="P337" s="2"/>
      <c r="Q337" s="2"/>
      <c r="R337" s="2"/>
      <c r="S337" s="2"/>
      <c r="T337" s="2"/>
      <c r="U337" s="2"/>
      <c r="V337" s="2"/>
      <c r="W337" s="2"/>
      <c r="X337" s="2"/>
      <c r="Y337" s="2"/>
      <c r="Z337" s="2"/>
      <c r="AA337" s="2"/>
      <c r="AB337" s="2"/>
    </row>
    <row r="338">
      <c r="A338" s="317" t="s">
        <v>60</v>
      </c>
      <c r="B338" s="318" t="s">
        <v>61</v>
      </c>
      <c r="C338" s="317" t="s">
        <v>60</v>
      </c>
      <c r="D338" s="318" t="s">
        <v>62</v>
      </c>
      <c r="E338" s="319"/>
      <c r="F338" s="320" t="str">
        <f t="shared" si="1"/>
        <v>כן</v>
      </c>
      <c r="G338" s="321">
        <f>COUNTIF(Recordings!A:A,C338)</f>
        <v>8</v>
      </c>
      <c r="H338" s="321"/>
      <c r="I338" s="321"/>
      <c r="J338" s="321"/>
      <c r="K338" s="2"/>
      <c r="L338" s="2"/>
      <c r="M338" s="2"/>
      <c r="N338" s="2"/>
      <c r="O338" s="2"/>
      <c r="P338" s="2"/>
      <c r="Q338" s="2"/>
      <c r="R338" s="2"/>
      <c r="S338" s="2"/>
      <c r="T338" s="2"/>
      <c r="U338" s="2"/>
      <c r="V338" s="2"/>
      <c r="W338" s="2"/>
      <c r="X338" s="2"/>
      <c r="Y338" s="2"/>
      <c r="Z338" s="2"/>
      <c r="AA338" s="2"/>
      <c r="AB338" s="2"/>
    </row>
    <row r="339">
      <c r="B339" s="322" t="s">
        <v>40</v>
      </c>
      <c r="C339" s="317" t="s">
        <v>39</v>
      </c>
      <c r="D339" s="323" t="s">
        <v>41</v>
      </c>
      <c r="E339" s="324"/>
      <c r="F339" s="320" t="str">
        <f t="shared" si="1"/>
        <v>כן</v>
      </c>
      <c r="G339" s="321">
        <f>COUNTIF(Recordings!A:A,C339)</f>
        <v>1</v>
      </c>
      <c r="H339" s="321"/>
      <c r="I339" s="321"/>
      <c r="J339" s="321"/>
      <c r="K339" s="2"/>
      <c r="L339" s="2"/>
      <c r="M339" s="2"/>
      <c r="N339" s="2"/>
      <c r="O339" s="2"/>
      <c r="P339" s="2"/>
      <c r="Q339" s="2"/>
      <c r="R339" s="2"/>
      <c r="S339" s="2"/>
      <c r="T339" s="2"/>
      <c r="U339" s="2"/>
      <c r="V339" s="2"/>
      <c r="W339" s="2"/>
      <c r="X339" s="2"/>
      <c r="Y339" s="2"/>
      <c r="Z339" s="2"/>
      <c r="AA339" s="2"/>
      <c r="AB339" s="2"/>
    </row>
    <row r="340">
      <c r="B340" s="325" t="s">
        <v>180</v>
      </c>
      <c r="C340" s="326" t="s">
        <v>179</v>
      </c>
      <c r="D340" s="327" t="s">
        <v>181</v>
      </c>
      <c r="E340" s="324"/>
      <c r="F340" s="320" t="str">
        <f t="shared" si="1"/>
        <v>כן</v>
      </c>
      <c r="G340" s="321">
        <f>COUNTIF(Recordings!A:A,C340)</f>
        <v>7</v>
      </c>
      <c r="H340" s="321"/>
      <c r="I340" s="321"/>
      <c r="J340" s="321"/>
      <c r="K340" s="2"/>
      <c r="L340" s="2"/>
      <c r="M340" s="2"/>
      <c r="N340" s="2"/>
      <c r="O340" s="2"/>
      <c r="P340" s="2"/>
      <c r="Q340" s="2"/>
      <c r="R340" s="2"/>
      <c r="S340" s="2"/>
      <c r="T340" s="2"/>
      <c r="U340" s="2"/>
      <c r="V340" s="2"/>
      <c r="W340" s="2"/>
      <c r="X340" s="2"/>
      <c r="Y340" s="2"/>
      <c r="Z340" s="2"/>
      <c r="AA340" s="2"/>
      <c r="AB340" s="2"/>
    </row>
    <row r="341">
      <c r="B341" s="327" t="s">
        <v>213</v>
      </c>
      <c r="C341" s="328" t="s">
        <v>1865</v>
      </c>
      <c r="D341" s="327" t="s">
        <v>214</v>
      </c>
      <c r="E341" s="324"/>
      <c r="F341" s="320" t="str">
        <f t="shared" si="1"/>
        <v>כן</v>
      </c>
      <c r="G341" s="321">
        <f>COUNTIF(Recordings!A:A,C341)</f>
        <v>3</v>
      </c>
      <c r="H341" s="321"/>
      <c r="I341" s="321"/>
      <c r="J341" s="321"/>
      <c r="K341" s="2"/>
      <c r="L341" s="2"/>
      <c r="M341" s="2"/>
      <c r="N341" s="2"/>
      <c r="O341" s="2"/>
      <c r="P341" s="2"/>
      <c r="Q341" s="2"/>
      <c r="R341" s="2"/>
      <c r="S341" s="2"/>
      <c r="T341" s="2"/>
      <c r="U341" s="2"/>
      <c r="V341" s="2"/>
      <c r="W341" s="2"/>
      <c r="X341" s="2"/>
      <c r="Y341" s="2"/>
      <c r="Z341" s="2"/>
      <c r="AA341" s="2"/>
      <c r="AB341" s="2"/>
    </row>
    <row r="342">
      <c r="B342" s="326" t="s">
        <v>445</v>
      </c>
      <c r="C342" s="329" t="s">
        <v>444</v>
      </c>
      <c r="D342" s="329" t="s">
        <v>446</v>
      </c>
      <c r="E342" s="324"/>
      <c r="F342" s="320" t="str">
        <f t="shared" si="1"/>
        <v>כן</v>
      </c>
      <c r="G342" s="321">
        <f>COUNTIF(Recordings!A:A,C342)</f>
        <v>8</v>
      </c>
      <c r="H342" s="321"/>
      <c r="I342" s="321"/>
      <c r="J342" s="321"/>
      <c r="K342" s="2"/>
      <c r="L342" s="2"/>
      <c r="M342" s="2"/>
      <c r="N342" s="2"/>
      <c r="O342" s="2"/>
      <c r="P342" s="2"/>
      <c r="Q342" s="2"/>
      <c r="R342" s="2"/>
      <c r="S342" s="2"/>
      <c r="T342" s="2"/>
      <c r="U342" s="2"/>
      <c r="V342" s="2"/>
      <c r="W342" s="2"/>
      <c r="X342" s="2"/>
      <c r="Y342" s="2"/>
      <c r="Z342" s="2"/>
      <c r="AA342" s="2"/>
      <c r="AB342" s="2"/>
    </row>
    <row r="343">
      <c r="B343" s="325" t="s">
        <v>284</v>
      </c>
      <c r="C343" s="317" t="s">
        <v>283</v>
      </c>
      <c r="D343" s="323" t="s">
        <v>279</v>
      </c>
      <c r="E343" s="324"/>
      <c r="F343" s="320" t="str">
        <f t="shared" si="1"/>
        <v>כן</v>
      </c>
      <c r="G343" s="321">
        <f>COUNTIF(Recordings!A:A,C343)</f>
        <v>9</v>
      </c>
      <c r="H343" s="321"/>
      <c r="I343" s="321"/>
      <c r="J343" s="321"/>
      <c r="K343" s="2"/>
      <c r="L343" s="2"/>
      <c r="M343" s="2"/>
      <c r="N343" s="2"/>
      <c r="O343" s="2"/>
      <c r="P343" s="2"/>
      <c r="Q343" s="2"/>
      <c r="R343" s="2"/>
      <c r="S343" s="2"/>
      <c r="T343" s="2"/>
      <c r="U343" s="2"/>
      <c r="V343" s="2"/>
      <c r="W343" s="2"/>
      <c r="X343" s="2"/>
      <c r="Y343" s="2"/>
      <c r="Z343" s="2"/>
      <c r="AA343" s="2"/>
      <c r="AB343" s="2"/>
    </row>
    <row r="344">
      <c r="A344" s="330" t="s">
        <v>2655</v>
      </c>
      <c r="B344" s="331" t="s">
        <v>2656</v>
      </c>
      <c r="C344" s="330" t="s">
        <v>2655</v>
      </c>
      <c r="D344" s="332"/>
      <c r="E344" s="333"/>
      <c r="F344" s="334" t="str">
        <f t="shared" si="1"/>
        <v>כן</v>
      </c>
      <c r="G344" s="335">
        <f>COUNTIF(Recordings!A:A,C344)</f>
        <v>2</v>
      </c>
      <c r="H344" s="335"/>
      <c r="I344" s="335"/>
      <c r="J344" s="335"/>
      <c r="K344" s="2"/>
      <c r="L344" s="2"/>
      <c r="M344" s="2"/>
      <c r="N344" s="2"/>
      <c r="O344" s="2"/>
      <c r="P344" s="2"/>
      <c r="Q344" s="2"/>
      <c r="R344" s="2"/>
      <c r="S344" s="2"/>
      <c r="T344" s="2"/>
      <c r="U344" s="2"/>
      <c r="V344" s="2"/>
      <c r="W344" s="2"/>
      <c r="X344" s="2"/>
      <c r="Y344" s="2"/>
      <c r="Z344" s="2"/>
      <c r="AA344" s="2"/>
      <c r="AB344" s="2"/>
    </row>
    <row r="345">
      <c r="A345" s="336" t="s">
        <v>263</v>
      </c>
      <c r="B345" s="337"/>
      <c r="C345" s="336" t="s">
        <v>3991</v>
      </c>
      <c r="D345" s="337"/>
      <c r="E345" s="338"/>
      <c r="F345" s="339" t="str">
        <f t="shared" si="1"/>
        <v>בכלל לא</v>
      </c>
      <c r="G345" s="340">
        <f>COUNTIF(Recordings!A:A,C345)</f>
        <v>0</v>
      </c>
      <c r="H345" s="340"/>
      <c r="I345" s="340"/>
      <c r="J345" s="340"/>
      <c r="K345" s="2"/>
      <c r="L345" s="2"/>
      <c r="M345" s="2"/>
      <c r="N345" s="2"/>
      <c r="O345" s="2"/>
      <c r="P345" s="2"/>
      <c r="Q345" s="2"/>
      <c r="R345" s="2"/>
      <c r="S345" s="2"/>
      <c r="T345" s="2"/>
      <c r="U345" s="2"/>
      <c r="V345" s="2"/>
      <c r="W345" s="2"/>
      <c r="X345" s="2"/>
      <c r="Y345" s="2"/>
      <c r="Z345" s="2"/>
      <c r="AA345" s="2"/>
      <c r="AB345" s="2"/>
    </row>
    <row r="346">
      <c r="B346" s="337"/>
      <c r="C346" s="336" t="s">
        <v>3992</v>
      </c>
      <c r="D346" s="337"/>
      <c r="E346" s="338"/>
      <c r="F346" s="339" t="str">
        <f t="shared" si="1"/>
        <v>בכלל לא</v>
      </c>
      <c r="G346" s="340">
        <f>COUNTIF(Recordings!A:A,C346)</f>
        <v>0</v>
      </c>
      <c r="H346" s="340"/>
      <c r="I346" s="340"/>
      <c r="J346" s="340"/>
      <c r="K346" s="2"/>
      <c r="L346" s="2"/>
      <c r="M346" s="2"/>
      <c r="N346" s="2"/>
      <c r="O346" s="2"/>
      <c r="P346" s="2"/>
      <c r="Q346" s="2"/>
      <c r="R346" s="2"/>
      <c r="S346" s="2"/>
      <c r="T346" s="2"/>
      <c r="U346" s="2"/>
      <c r="V346" s="2"/>
      <c r="W346" s="2"/>
      <c r="X346" s="2"/>
      <c r="Y346" s="2"/>
      <c r="Z346" s="2"/>
      <c r="AA346" s="2"/>
      <c r="AB346" s="2"/>
    </row>
    <row r="347">
      <c r="B347" s="337"/>
      <c r="C347" s="336" t="s">
        <v>3993</v>
      </c>
      <c r="D347" s="337"/>
      <c r="E347" s="338"/>
      <c r="F347" s="339" t="str">
        <f t="shared" si="1"/>
        <v>בכלל לא</v>
      </c>
      <c r="G347" s="340">
        <f>COUNTIF(Recordings!A:A,C347)</f>
        <v>0</v>
      </c>
      <c r="H347" s="340"/>
      <c r="I347" s="340"/>
      <c r="J347" s="340"/>
      <c r="K347" s="2"/>
      <c r="L347" s="2"/>
      <c r="M347" s="2"/>
      <c r="N347" s="2"/>
      <c r="O347" s="2"/>
      <c r="P347" s="2"/>
      <c r="Q347" s="2"/>
      <c r="R347" s="2"/>
      <c r="S347" s="2"/>
      <c r="T347" s="2"/>
      <c r="U347" s="2"/>
      <c r="V347" s="2"/>
      <c r="W347" s="2"/>
      <c r="X347" s="2"/>
      <c r="Y347" s="2"/>
      <c r="Z347" s="2"/>
      <c r="AA347" s="2"/>
      <c r="AB347" s="2"/>
    </row>
    <row r="348">
      <c r="B348" s="337"/>
      <c r="C348" s="336" t="s">
        <v>3994</v>
      </c>
      <c r="D348" s="337"/>
      <c r="E348" s="338"/>
      <c r="F348" s="339" t="str">
        <f t="shared" si="1"/>
        <v>בכלל לא</v>
      </c>
      <c r="G348" s="340">
        <f>COUNTIF(Recordings!A:A,C348)</f>
        <v>0</v>
      </c>
      <c r="H348" s="340"/>
      <c r="I348" s="340"/>
      <c r="J348" s="340"/>
      <c r="K348" s="2"/>
      <c r="L348" s="2"/>
      <c r="M348" s="2"/>
      <c r="N348" s="2"/>
      <c r="O348" s="2"/>
      <c r="P348" s="2"/>
      <c r="Q348" s="2"/>
      <c r="R348" s="2"/>
      <c r="S348" s="2"/>
      <c r="T348" s="2"/>
      <c r="U348" s="2"/>
      <c r="V348" s="2"/>
      <c r="W348" s="2"/>
      <c r="X348" s="2"/>
      <c r="Y348" s="2"/>
      <c r="Z348" s="2"/>
      <c r="AA348" s="2"/>
      <c r="AB348" s="2"/>
    </row>
    <row r="349">
      <c r="B349" s="337" t="s">
        <v>195</v>
      </c>
      <c r="C349" s="337" t="s">
        <v>194</v>
      </c>
      <c r="D349" s="337" t="s">
        <v>196</v>
      </c>
      <c r="E349" s="338"/>
      <c r="F349" s="339" t="str">
        <f t="shared" si="1"/>
        <v>כן</v>
      </c>
      <c r="G349" s="340">
        <f>COUNTIF(Recordings!A:A,C349)</f>
        <v>2</v>
      </c>
      <c r="H349" s="340"/>
      <c r="I349" s="340"/>
      <c r="J349" s="340"/>
      <c r="K349" s="2"/>
      <c r="L349" s="2"/>
      <c r="M349" s="2"/>
      <c r="N349" s="2"/>
      <c r="O349" s="2"/>
      <c r="P349" s="2"/>
      <c r="Q349" s="2"/>
      <c r="R349" s="2"/>
      <c r="S349" s="2"/>
      <c r="T349" s="2"/>
      <c r="U349" s="2"/>
      <c r="V349" s="2"/>
      <c r="W349" s="2"/>
      <c r="X349" s="2"/>
      <c r="Y349" s="2"/>
      <c r="Z349" s="2"/>
      <c r="AA349" s="2"/>
      <c r="AB349" s="2"/>
    </row>
    <row r="350">
      <c r="B350" s="337"/>
      <c r="C350" s="336" t="s">
        <v>3790</v>
      </c>
      <c r="D350" s="337"/>
      <c r="E350" s="338"/>
      <c r="F350" s="339" t="str">
        <f t="shared" si="1"/>
        <v>בכלל לא</v>
      </c>
      <c r="G350" s="340">
        <f>COUNTIF(Recordings!A:A,C350)</f>
        <v>0</v>
      </c>
      <c r="H350" s="340"/>
      <c r="I350" s="340"/>
      <c r="J350" s="340"/>
      <c r="K350" s="2"/>
      <c r="L350" s="2"/>
      <c r="M350" s="2"/>
      <c r="N350" s="2"/>
      <c r="O350" s="2"/>
      <c r="P350" s="2"/>
      <c r="Q350" s="2"/>
      <c r="R350" s="2"/>
      <c r="S350" s="2"/>
      <c r="T350" s="2"/>
      <c r="U350" s="2"/>
      <c r="V350" s="2"/>
      <c r="W350" s="2"/>
      <c r="X350" s="2"/>
      <c r="Y350" s="2"/>
      <c r="Z350" s="2"/>
      <c r="AA350" s="2"/>
      <c r="AB350" s="2"/>
    </row>
    <row r="351">
      <c r="B351" s="341" t="s">
        <v>1807</v>
      </c>
      <c r="C351" s="336" t="s">
        <v>81</v>
      </c>
      <c r="D351" s="337"/>
      <c r="E351" s="338"/>
      <c r="F351" s="339" t="str">
        <f t="shared" si="1"/>
        <v>כן</v>
      </c>
      <c r="G351" s="340">
        <f>COUNTIF(Recordings!A:A,C351)</f>
        <v>2</v>
      </c>
      <c r="H351" s="340"/>
      <c r="I351" s="340"/>
      <c r="J351" s="340"/>
      <c r="K351" s="2"/>
      <c r="L351" s="2"/>
      <c r="M351" s="2"/>
      <c r="N351" s="2"/>
      <c r="O351" s="2"/>
      <c r="P351" s="2"/>
      <c r="Q351" s="2"/>
      <c r="R351" s="2"/>
      <c r="S351" s="2"/>
      <c r="T351" s="2"/>
      <c r="U351" s="2"/>
      <c r="V351" s="2"/>
      <c r="W351" s="2"/>
      <c r="X351" s="2"/>
      <c r="Y351" s="2"/>
      <c r="Z351" s="2"/>
      <c r="AA351" s="2"/>
      <c r="AB351" s="2"/>
    </row>
    <row r="352">
      <c r="B352" s="337"/>
      <c r="C352" s="336" t="s">
        <v>3995</v>
      </c>
      <c r="D352" s="337"/>
      <c r="E352" s="338"/>
      <c r="F352" s="339" t="str">
        <f t="shared" si="1"/>
        <v>בכלל לא</v>
      </c>
      <c r="G352" s="340">
        <f>COUNTIF(Recordings!A:A,C352)</f>
        <v>0</v>
      </c>
      <c r="H352" s="340"/>
      <c r="I352" s="340"/>
      <c r="J352" s="340"/>
      <c r="K352" s="2"/>
      <c r="L352" s="2"/>
      <c r="M352" s="2"/>
      <c r="N352" s="2"/>
      <c r="O352" s="2"/>
      <c r="P352" s="2"/>
      <c r="Q352" s="2"/>
      <c r="R352" s="2"/>
      <c r="S352" s="2"/>
      <c r="T352" s="2"/>
      <c r="U352" s="2"/>
      <c r="V352" s="2"/>
      <c r="W352" s="2"/>
      <c r="X352" s="2"/>
      <c r="Y352" s="2"/>
      <c r="Z352" s="2"/>
      <c r="AA352" s="2"/>
      <c r="AB352" s="2"/>
    </row>
    <row r="353">
      <c r="B353" s="337"/>
      <c r="C353" s="336" t="s">
        <v>3996</v>
      </c>
      <c r="D353" s="337"/>
      <c r="E353" s="338"/>
      <c r="F353" s="339" t="str">
        <f t="shared" si="1"/>
        <v>בכלל לא</v>
      </c>
      <c r="G353" s="340">
        <f>COUNTIF(Recordings!A:A,C353)</f>
        <v>0</v>
      </c>
      <c r="H353" s="340"/>
      <c r="I353" s="340"/>
      <c r="J353" s="340"/>
      <c r="K353" s="2"/>
      <c r="L353" s="2"/>
      <c r="M353" s="2"/>
      <c r="N353" s="2"/>
      <c r="O353" s="2"/>
      <c r="P353" s="2"/>
      <c r="Q353" s="2"/>
      <c r="R353" s="2"/>
      <c r="S353" s="2"/>
      <c r="T353" s="2"/>
      <c r="U353" s="2"/>
      <c r="V353" s="2"/>
      <c r="W353" s="2"/>
      <c r="X353" s="2"/>
      <c r="Y353" s="2"/>
      <c r="Z353" s="2"/>
      <c r="AA353" s="2"/>
      <c r="AB353" s="2"/>
    </row>
    <row r="354">
      <c r="B354" s="337"/>
      <c r="C354" s="336" t="s">
        <v>3997</v>
      </c>
      <c r="D354" s="337"/>
      <c r="E354" s="338"/>
      <c r="F354" s="339" t="str">
        <f t="shared" si="1"/>
        <v>בכלל לא</v>
      </c>
      <c r="G354" s="340">
        <f>COUNTIF(Recordings!A:A,C354)</f>
        <v>0</v>
      </c>
      <c r="H354" s="340"/>
      <c r="I354" s="340"/>
      <c r="J354" s="340"/>
      <c r="K354" s="2"/>
      <c r="L354" s="2"/>
      <c r="M354" s="2"/>
      <c r="N354" s="2"/>
      <c r="O354" s="2"/>
      <c r="P354" s="2"/>
      <c r="Q354" s="2"/>
      <c r="R354" s="2"/>
      <c r="S354" s="2"/>
      <c r="T354" s="2"/>
      <c r="U354" s="2"/>
      <c r="V354" s="2"/>
      <c r="W354" s="2"/>
      <c r="X354" s="2"/>
      <c r="Y354" s="2"/>
      <c r="Z354" s="2"/>
      <c r="AA354" s="2"/>
      <c r="AB354" s="2"/>
    </row>
    <row r="355">
      <c r="B355" s="337"/>
      <c r="C355" s="336" t="s">
        <v>3998</v>
      </c>
      <c r="D355" s="337"/>
      <c r="E355" s="338"/>
      <c r="F355" s="339" t="str">
        <f t="shared" si="1"/>
        <v>בכלל לא</v>
      </c>
      <c r="G355" s="340">
        <f>COUNTIF(Recordings!A:A,C355)</f>
        <v>0</v>
      </c>
      <c r="H355" s="340"/>
      <c r="I355" s="340"/>
      <c r="J355" s="340"/>
      <c r="K355" s="2"/>
      <c r="L355" s="2"/>
      <c r="M355" s="2"/>
      <c r="N355" s="2"/>
      <c r="O355" s="2"/>
      <c r="P355" s="2"/>
      <c r="Q355" s="2"/>
      <c r="R355" s="2"/>
      <c r="S355" s="2"/>
      <c r="T355" s="2"/>
      <c r="U355" s="2"/>
      <c r="V355" s="2"/>
      <c r="W355" s="2"/>
      <c r="X355" s="2"/>
      <c r="Y355" s="2"/>
      <c r="Z355" s="2"/>
      <c r="AA355" s="2"/>
      <c r="AB355" s="2"/>
    </row>
    <row r="356">
      <c r="B356" s="337"/>
      <c r="C356" s="336" t="s">
        <v>3796</v>
      </c>
      <c r="D356" s="337"/>
      <c r="E356" s="338"/>
      <c r="F356" s="339" t="str">
        <f t="shared" si="1"/>
        <v>בכלל לא</v>
      </c>
      <c r="G356" s="340">
        <f>COUNTIF(Recordings!A:A,C356)</f>
        <v>0</v>
      </c>
      <c r="H356" s="340"/>
      <c r="I356" s="340"/>
      <c r="J356" s="340"/>
      <c r="K356" s="2"/>
      <c r="L356" s="2"/>
      <c r="M356" s="2"/>
      <c r="N356" s="2"/>
      <c r="O356" s="2"/>
      <c r="P356" s="2"/>
      <c r="Q356" s="2"/>
      <c r="R356" s="2"/>
      <c r="S356" s="2"/>
      <c r="T356" s="2"/>
      <c r="U356" s="2"/>
      <c r="V356" s="2"/>
      <c r="W356" s="2"/>
      <c r="X356" s="2"/>
      <c r="Y356" s="2"/>
      <c r="Z356" s="2"/>
      <c r="AA356" s="2"/>
      <c r="AB356" s="2"/>
    </row>
    <row r="357">
      <c r="B357" s="337"/>
      <c r="C357" s="336" t="s">
        <v>3999</v>
      </c>
      <c r="D357" s="337"/>
      <c r="E357" s="338"/>
      <c r="F357" s="339" t="str">
        <f t="shared" si="1"/>
        <v>בכלל לא</v>
      </c>
      <c r="G357" s="340">
        <f>COUNTIF(Recordings!A:A,C357)</f>
        <v>0</v>
      </c>
      <c r="H357" s="340"/>
      <c r="I357" s="340"/>
      <c r="J357" s="340"/>
      <c r="K357" s="2"/>
      <c r="L357" s="2"/>
      <c r="M357" s="2"/>
      <c r="N357" s="2"/>
      <c r="O357" s="2"/>
      <c r="P357" s="2"/>
      <c r="Q357" s="2"/>
      <c r="R357" s="2"/>
      <c r="S357" s="2"/>
      <c r="T357" s="2"/>
      <c r="U357" s="2"/>
      <c r="V357" s="2"/>
      <c r="W357" s="2"/>
      <c r="X357" s="2"/>
      <c r="Y357" s="2"/>
      <c r="Z357" s="2"/>
      <c r="AA357" s="2"/>
      <c r="AB357" s="2"/>
    </row>
    <row r="358">
      <c r="B358" s="337"/>
      <c r="C358" s="336" t="s">
        <v>3862</v>
      </c>
      <c r="D358" s="337"/>
      <c r="E358" s="338"/>
      <c r="F358" s="339" t="str">
        <f t="shared" si="1"/>
        <v>בכלל לא</v>
      </c>
      <c r="G358" s="340">
        <f>COUNTIF(Recordings!A:A,C358)</f>
        <v>0</v>
      </c>
      <c r="H358" s="340"/>
      <c r="I358" s="340"/>
      <c r="J358" s="340"/>
      <c r="K358" s="2"/>
      <c r="L358" s="2"/>
      <c r="M358" s="2"/>
      <c r="N358" s="2"/>
      <c r="O358" s="2"/>
      <c r="P358" s="2"/>
      <c r="Q358" s="2"/>
      <c r="R358" s="2"/>
      <c r="S358" s="2"/>
      <c r="T358" s="2"/>
      <c r="U358" s="2"/>
      <c r="V358" s="2"/>
      <c r="W358" s="2"/>
      <c r="X358" s="2"/>
      <c r="Y358" s="2"/>
      <c r="Z358" s="2"/>
      <c r="AA358" s="2"/>
      <c r="AB358" s="2"/>
    </row>
    <row r="359">
      <c r="B359" s="337"/>
      <c r="C359" s="336" t="s">
        <v>4000</v>
      </c>
      <c r="D359" s="337"/>
      <c r="E359" s="338"/>
      <c r="F359" s="339" t="str">
        <f t="shared" si="1"/>
        <v>בכלל לא</v>
      </c>
      <c r="G359" s="340">
        <f>COUNTIF(Recordings!A:A,C359)</f>
        <v>0</v>
      </c>
      <c r="H359" s="340"/>
      <c r="I359" s="340"/>
      <c r="J359" s="340"/>
      <c r="K359" s="2"/>
      <c r="L359" s="2"/>
      <c r="M359" s="2"/>
      <c r="N359" s="2"/>
      <c r="O359" s="2"/>
      <c r="P359" s="2"/>
      <c r="Q359" s="2"/>
      <c r="R359" s="2"/>
      <c r="S359" s="2"/>
      <c r="T359" s="2"/>
      <c r="U359" s="2"/>
      <c r="V359" s="2"/>
      <c r="W359" s="2"/>
      <c r="X359" s="2"/>
      <c r="Y359" s="2"/>
      <c r="Z359" s="2"/>
      <c r="AA359" s="2"/>
      <c r="AB359" s="2"/>
    </row>
    <row r="360">
      <c r="B360" s="337" t="s">
        <v>133</v>
      </c>
      <c r="C360" s="337" t="s">
        <v>132</v>
      </c>
      <c r="D360" s="337" t="s">
        <v>134</v>
      </c>
      <c r="E360" s="338"/>
      <c r="F360" s="339" t="str">
        <f t="shared" si="1"/>
        <v>כן</v>
      </c>
      <c r="G360" s="340">
        <f>COUNTIF(Recordings!A:A,C360)</f>
        <v>3</v>
      </c>
      <c r="H360" s="340"/>
      <c r="I360" s="340"/>
      <c r="J360" s="340"/>
      <c r="K360" s="2"/>
      <c r="L360" s="2"/>
      <c r="M360" s="2"/>
      <c r="N360" s="2"/>
      <c r="O360" s="2"/>
      <c r="P360" s="2"/>
      <c r="Q360" s="2"/>
      <c r="R360" s="2"/>
      <c r="S360" s="2"/>
      <c r="T360" s="2"/>
      <c r="U360" s="2"/>
      <c r="V360" s="2"/>
      <c r="W360" s="2"/>
      <c r="X360" s="2"/>
      <c r="Y360" s="2"/>
      <c r="Z360" s="2"/>
      <c r="AA360" s="2"/>
      <c r="AB360" s="2"/>
    </row>
    <row r="361">
      <c r="B361" s="337"/>
      <c r="C361" s="336" t="s">
        <v>4001</v>
      </c>
      <c r="D361" s="337"/>
      <c r="E361" s="338"/>
      <c r="F361" s="339" t="str">
        <f t="shared" si="1"/>
        <v>בכלל לא</v>
      </c>
      <c r="G361" s="340">
        <f>COUNTIF(Recordings!A:A,C361)</f>
        <v>0</v>
      </c>
      <c r="H361" s="340"/>
      <c r="I361" s="340"/>
      <c r="J361" s="340"/>
      <c r="K361" s="2"/>
      <c r="L361" s="2"/>
      <c r="M361" s="2"/>
      <c r="N361" s="2"/>
      <c r="O361" s="2"/>
      <c r="P361" s="2"/>
      <c r="Q361" s="2"/>
      <c r="R361" s="2"/>
      <c r="S361" s="2"/>
      <c r="T361" s="2"/>
      <c r="U361" s="2"/>
      <c r="V361" s="2"/>
      <c r="W361" s="2"/>
      <c r="X361" s="2"/>
      <c r="Y361" s="2"/>
      <c r="Z361" s="2"/>
      <c r="AA361" s="2"/>
      <c r="AB361" s="2"/>
    </row>
    <row r="362">
      <c r="B362" s="337"/>
      <c r="C362" s="336" t="s">
        <v>4002</v>
      </c>
      <c r="D362" s="337"/>
      <c r="E362" s="338"/>
      <c r="F362" s="339" t="str">
        <f t="shared" si="1"/>
        <v>בכלל לא</v>
      </c>
      <c r="G362" s="340">
        <f>COUNTIF(Recordings!A:A,C362)</f>
        <v>0</v>
      </c>
      <c r="H362" s="340"/>
      <c r="I362" s="340"/>
      <c r="J362" s="340"/>
      <c r="K362" s="2"/>
      <c r="L362" s="2"/>
      <c r="M362" s="2"/>
      <c r="N362" s="2"/>
      <c r="O362" s="2"/>
      <c r="P362" s="2"/>
      <c r="Q362" s="2"/>
      <c r="R362" s="2"/>
      <c r="S362" s="2"/>
      <c r="T362" s="2"/>
      <c r="U362" s="2"/>
      <c r="V362" s="2"/>
      <c r="W362" s="2"/>
      <c r="X362" s="2"/>
      <c r="Y362" s="2"/>
      <c r="Z362" s="2"/>
      <c r="AA362" s="2"/>
      <c r="AB362" s="2"/>
    </row>
    <row r="363">
      <c r="B363" s="337" t="s">
        <v>169</v>
      </c>
      <c r="C363" s="337" t="s">
        <v>168</v>
      </c>
      <c r="D363" s="337" t="s">
        <v>140</v>
      </c>
      <c r="E363" s="338"/>
      <c r="F363" s="339" t="str">
        <f t="shared" si="1"/>
        <v>כן</v>
      </c>
      <c r="G363" s="340">
        <f>COUNTIF(Recordings!A:A,C363)</f>
        <v>2</v>
      </c>
      <c r="H363" s="340"/>
      <c r="I363" s="340"/>
      <c r="J363" s="340"/>
      <c r="K363" s="2"/>
      <c r="L363" s="2"/>
      <c r="M363" s="2"/>
      <c r="N363" s="2"/>
      <c r="O363" s="2"/>
      <c r="P363" s="2"/>
      <c r="Q363" s="2"/>
      <c r="R363" s="2"/>
      <c r="S363" s="2"/>
      <c r="T363" s="2"/>
      <c r="U363" s="2"/>
      <c r="V363" s="2"/>
      <c r="W363" s="2"/>
      <c r="X363" s="2"/>
      <c r="Y363" s="2"/>
      <c r="Z363" s="2"/>
      <c r="AA363" s="2"/>
      <c r="AB363" s="2"/>
    </row>
    <row r="364">
      <c r="B364" s="337"/>
      <c r="C364" s="336" t="s">
        <v>4003</v>
      </c>
      <c r="D364" s="337"/>
      <c r="E364" s="338"/>
      <c r="F364" s="339" t="str">
        <f t="shared" si="1"/>
        <v>בכלל לא</v>
      </c>
      <c r="G364" s="340">
        <f>COUNTIF(Recordings!A:A,C364)</f>
        <v>0</v>
      </c>
      <c r="H364" s="340"/>
      <c r="I364" s="340"/>
      <c r="J364" s="340"/>
      <c r="K364" s="2"/>
      <c r="L364" s="2"/>
      <c r="M364" s="2"/>
      <c r="N364" s="2"/>
      <c r="O364" s="2"/>
      <c r="P364" s="2"/>
      <c r="Q364" s="2"/>
      <c r="R364" s="2"/>
      <c r="S364" s="2"/>
      <c r="T364" s="2"/>
      <c r="U364" s="2"/>
      <c r="V364" s="2"/>
      <c r="W364" s="2"/>
      <c r="X364" s="2"/>
      <c r="Y364" s="2"/>
      <c r="Z364" s="2"/>
      <c r="AA364" s="2"/>
      <c r="AB364" s="2"/>
    </row>
    <row r="365">
      <c r="B365" s="337"/>
      <c r="C365" s="336" t="s">
        <v>4004</v>
      </c>
      <c r="D365" s="337"/>
      <c r="E365" s="338"/>
      <c r="F365" s="339" t="str">
        <f t="shared" si="1"/>
        <v>בכלל לא</v>
      </c>
      <c r="G365" s="340">
        <f>COUNTIF(Recordings!A:A,C365)</f>
        <v>0</v>
      </c>
      <c r="H365" s="340"/>
      <c r="I365" s="340"/>
      <c r="J365" s="340"/>
      <c r="K365" s="2"/>
      <c r="L365" s="2"/>
      <c r="M365" s="2"/>
      <c r="N365" s="2"/>
      <c r="O365" s="2"/>
      <c r="P365" s="2"/>
      <c r="Q365" s="2"/>
      <c r="R365" s="2"/>
      <c r="S365" s="2"/>
      <c r="T365" s="2"/>
      <c r="U365" s="2"/>
      <c r="V365" s="2"/>
      <c r="W365" s="2"/>
      <c r="X365" s="2"/>
      <c r="Y365" s="2"/>
      <c r="Z365" s="2"/>
      <c r="AA365" s="2"/>
      <c r="AB365" s="2"/>
    </row>
    <row r="366">
      <c r="B366" s="337" t="s">
        <v>177</v>
      </c>
      <c r="C366" s="337" t="s">
        <v>176</v>
      </c>
      <c r="D366" s="337" t="s">
        <v>178</v>
      </c>
      <c r="E366" s="338"/>
      <c r="F366" s="339" t="str">
        <f t="shared" si="1"/>
        <v>כן</v>
      </c>
      <c r="G366" s="340">
        <f>COUNTIF(Recordings!A:A,C366)</f>
        <v>8</v>
      </c>
      <c r="H366" s="340"/>
      <c r="I366" s="340"/>
      <c r="J366" s="340"/>
      <c r="K366" s="2"/>
      <c r="L366" s="2"/>
      <c r="M366" s="2"/>
      <c r="N366" s="2"/>
      <c r="O366" s="2"/>
      <c r="P366" s="2"/>
      <c r="Q366" s="2"/>
      <c r="R366" s="2"/>
      <c r="S366" s="2"/>
      <c r="T366" s="2"/>
      <c r="U366" s="2"/>
      <c r="V366" s="2"/>
      <c r="W366" s="2"/>
      <c r="X366" s="2"/>
      <c r="Y366" s="2"/>
      <c r="Z366" s="2"/>
      <c r="AA366" s="2"/>
      <c r="AB366" s="2"/>
    </row>
    <row r="367">
      <c r="B367" s="337"/>
      <c r="C367" s="336" t="s">
        <v>4005</v>
      </c>
      <c r="D367" s="337"/>
      <c r="E367" s="338"/>
      <c r="F367" s="339" t="str">
        <f t="shared" si="1"/>
        <v>בכלל לא</v>
      </c>
      <c r="G367" s="340">
        <f>COUNTIF(Recordings!A:A,C367)</f>
        <v>0</v>
      </c>
      <c r="H367" s="340"/>
      <c r="I367" s="340"/>
      <c r="J367" s="340"/>
      <c r="K367" s="2"/>
      <c r="L367" s="2"/>
      <c r="M367" s="2"/>
      <c r="N367" s="2"/>
      <c r="O367" s="2"/>
      <c r="P367" s="2"/>
      <c r="Q367" s="2"/>
      <c r="R367" s="2"/>
      <c r="S367" s="2"/>
      <c r="T367" s="2"/>
      <c r="U367" s="2"/>
      <c r="V367" s="2"/>
      <c r="W367" s="2"/>
      <c r="X367" s="2"/>
      <c r="Y367" s="2"/>
      <c r="Z367" s="2"/>
      <c r="AA367" s="2"/>
      <c r="AB367" s="2"/>
    </row>
    <row r="368">
      <c r="B368" s="337"/>
      <c r="C368" s="336" t="s">
        <v>4006</v>
      </c>
      <c r="D368" s="337"/>
      <c r="E368" s="338"/>
      <c r="F368" s="339" t="str">
        <f t="shared" si="1"/>
        <v>בכלל לא</v>
      </c>
      <c r="G368" s="340">
        <f>COUNTIF(Recordings!A:A,C368)</f>
        <v>0</v>
      </c>
      <c r="H368" s="340"/>
      <c r="I368" s="340"/>
      <c r="J368" s="340"/>
      <c r="K368" s="2"/>
      <c r="L368" s="2"/>
      <c r="M368" s="2"/>
      <c r="N368" s="2"/>
      <c r="O368" s="2"/>
      <c r="P368" s="2"/>
      <c r="Q368" s="2"/>
      <c r="R368" s="2"/>
      <c r="S368" s="2"/>
      <c r="T368" s="2"/>
      <c r="U368" s="2"/>
      <c r="V368" s="2"/>
      <c r="W368" s="2"/>
      <c r="X368" s="2"/>
      <c r="Y368" s="2"/>
      <c r="Z368" s="2"/>
      <c r="AA368" s="2"/>
      <c r="AB368" s="2"/>
    </row>
    <row r="369">
      <c r="B369" s="337"/>
      <c r="C369" s="336" t="s">
        <v>4007</v>
      </c>
      <c r="D369" s="337"/>
      <c r="E369" s="338"/>
      <c r="F369" s="339" t="str">
        <f t="shared" si="1"/>
        <v>בכלל לא</v>
      </c>
      <c r="G369" s="340">
        <f>COUNTIF(Recordings!A:A,C369)</f>
        <v>0</v>
      </c>
      <c r="H369" s="340"/>
      <c r="I369" s="340"/>
      <c r="J369" s="340"/>
      <c r="K369" s="2"/>
      <c r="L369" s="2"/>
      <c r="M369" s="2"/>
      <c r="N369" s="2"/>
      <c r="O369" s="2"/>
      <c r="P369" s="2"/>
      <c r="Q369" s="2"/>
      <c r="R369" s="2"/>
      <c r="S369" s="2"/>
      <c r="T369" s="2"/>
      <c r="U369" s="2"/>
      <c r="V369" s="2"/>
      <c r="W369" s="2"/>
      <c r="X369" s="2"/>
      <c r="Y369" s="2"/>
      <c r="Z369" s="2"/>
      <c r="AA369" s="2"/>
      <c r="AB369" s="2"/>
    </row>
    <row r="370">
      <c r="B370" s="337"/>
      <c r="C370" s="336" t="s">
        <v>4008</v>
      </c>
      <c r="D370" s="337"/>
      <c r="E370" s="338"/>
      <c r="F370" s="339" t="str">
        <f t="shared" si="1"/>
        <v>בכלל לא</v>
      </c>
      <c r="G370" s="340">
        <f>COUNTIF(Recordings!A:A,C370)</f>
        <v>0</v>
      </c>
      <c r="H370" s="340"/>
      <c r="I370" s="340"/>
      <c r="J370" s="340"/>
      <c r="K370" s="2"/>
      <c r="L370" s="2"/>
      <c r="M370" s="2"/>
      <c r="N370" s="2"/>
      <c r="O370" s="2"/>
      <c r="P370" s="2"/>
      <c r="Q370" s="2"/>
      <c r="R370" s="2"/>
      <c r="S370" s="2"/>
      <c r="T370" s="2"/>
      <c r="U370" s="2"/>
      <c r="V370" s="2"/>
      <c r="W370" s="2"/>
      <c r="X370" s="2"/>
      <c r="Y370" s="2"/>
      <c r="Z370" s="2"/>
      <c r="AA370" s="2"/>
      <c r="AB370" s="2"/>
    </row>
    <row r="371">
      <c r="B371" s="337"/>
      <c r="C371" s="336" t="s">
        <v>4009</v>
      </c>
      <c r="D371" s="337"/>
      <c r="E371" s="338"/>
      <c r="F371" s="339" t="str">
        <f t="shared" si="1"/>
        <v>בכלל לא</v>
      </c>
      <c r="G371" s="340">
        <f>COUNTIF(Recordings!A:A,C371)</f>
        <v>0</v>
      </c>
      <c r="H371" s="340"/>
      <c r="I371" s="340"/>
      <c r="J371" s="340"/>
      <c r="K371" s="2"/>
      <c r="L371" s="2"/>
      <c r="M371" s="2"/>
      <c r="N371" s="2"/>
      <c r="O371" s="2"/>
      <c r="P371" s="2"/>
      <c r="Q371" s="2"/>
      <c r="R371" s="2"/>
      <c r="S371" s="2"/>
      <c r="T371" s="2"/>
      <c r="U371" s="2"/>
      <c r="V371" s="2"/>
      <c r="W371" s="2"/>
      <c r="X371" s="2"/>
      <c r="Y371" s="2"/>
      <c r="Z371" s="2"/>
      <c r="AA371" s="2"/>
      <c r="AB371" s="2"/>
    </row>
    <row r="372">
      <c r="B372" s="337"/>
      <c r="C372" s="336" t="s">
        <v>4010</v>
      </c>
      <c r="D372" s="337"/>
      <c r="E372" s="338"/>
      <c r="F372" s="339" t="str">
        <f t="shared" si="1"/>
        <v>בכלל לא</v>
      </c>
      <c r="G372" s="340">
        <f>COUNTIF(Recordings!A:A,C372)</f>
        <v>0</v>
      </c>
      <c r="H372" s="340"/>
      <c r="I372" s="340"/>
      <c r="J372" s="340"/>
      <c r="K372" s="2"/>
      <c r="L372" s="2"/>
      <c r="M372" s="2"/>
      <c r="N372" s="2"/>
      <c r="O372" s="2"/>
      <c r="P372" s="2"/>
      <c r="Q372" s="2"/>
      <c r="R372" s="2"/>
      <c r="S372" s="2"/>
      <c r="T372" s="2"/>
      <c r="U372" s="2"/>
      <c r="V372" s="2"/>
      <c r="W372" s="2"/>
      <c r="X372" s="2"/>
      <c r="Y372" s="2"/>
      <c r="Z372" s="2"/>
      <c r="AA372" s="2"/>
      <c r="AB372" s="2"/>
    </row>
    <row r="373">
      <c r="B373" s="337" t="s">
        <v>237</v>
      </c>
      <c r="C373" s="337" t="s">
        <v>236</v>
      </c>
      <c r="D373" s="337" t="s">
        <v>238</v>
      </c>
      <c r="E373" s="338"/>
      <c r="F373" s="339" t="str">
        <f t="shared" si="1"/>
        <v>כן</v>
      </c>
      <c r="G373" s="340">
        <f>COUNTIF(Recordings!A:A,C373)</f>
        <v>8</v>
      </c>
      <c r="H373" s="340"/>
      <c r="I373" s="340"/>
      <c r="J373" s="340"/>
      <c r="K373" s="2"/>
      <c r="L373" s="2"/>
      <c r="M373" s="2"/>
      <c r="N373" s="2"/>
      <c r="O373" s="2"/>
      <c r="P373" s="2"/>
      <c r="Q373" s="2"/>
      <c r="R373" s="2"/>
      <c r="S373" s="2"/>
      <c r="T373" s="2"/>
      <c r="U373" s="2"/>
      <c r="V373" s="2"/>
      <c r="W373" s="2"/>
      <c r="X373" s="2"/>
      <c r="Y373" s="2"/>
      <c r="Z373" s="2"/>
      <c r="AA373" s="2"/>
      <c r="AB373" s="2"/>
    </row>
    <row r="374">
      <c r="B374" s="337"/>
      <c r="C374" s="336" t="s">
        <v>4011</v>
      </c>
      <c r="D374" s="337"/>
      <c r="E374" s="338"/>
      <c r="F374" s="339" t="str">
        <f t="shared" si="1"/>
        <v>בכלל לא</v>
      </c>
      <c r="G374" s="340">
        <f>COUNTIF(Recordings!A:A,C374)</f>
        <v>0</v>
      </c>
      <c r="H374" s="340"/>
      <c r="I374" s="340"/>
      <c r="J374" s="340"/>
      <c r="K374" s="2"/>
      <c r="L374" s="2"/>
      <c r="M374" s="2"/>
      <c r="N374" s="2"/>
      <c r="O374" s="2"/>
      <c r="P374" s="2"/>
      <c r="Q374" s="2"/>
      <c r="R374" s="2"/>
      <c r="S374" s="2"/>
      <c r="T374" s="2"/>
      <c r="U374" s="2"/>
      <c r="V374" s="2"/>
      <c r="W374" s="2"/>
      <c r="X374" s="2"/>
      <c r="Y374" s="2"/>
      <c r="Z374" s="2"/>
      <c r="AA374" s="2"/>
      <c r="AB374" s="2"/>
    </row>
    <row r="375">
      <c r="B375" s="337"/>
      <c r="C375" s="336" t="s">
        <v>4012</v>
      </c>
      <c r="D375" s="337"/>
      <c r="E375" s="338"/>
      <c r="F375" s="339" t="str">
        <f t="shared" si="1"/>
        <v>בכלל לא</v>
      </c>
      <c r="G375" s="340">
        <f>COUNTIF(Recordings!A:A,C375)</f>
        <v>0</v>
      </c>
      <c r="H375" s="340"/>
      <c r="I375" s="340"/>
      <c r="J375" s="340"/>
      <c r="K375" s="2"/>
      <c r="L375" s="2"/>
      <c r="M375" s="2"/>
      <c r="N375" s="2"/>
      <c r="O375" s="2"/>
      <c r="P375" s="2"/>
      <c r="Q375" s="2"/>
      <c r="R375" s="2"/>
      <c r="S375" s="2"/>
      <c r="T375" s="2"/>
      <c r="U375" s="2"/>
      <c r="V375" s="2"/>
      <c r="W375" s="2"/>
      <c r="X375" s="2"/>
      <c r="Y375" s="2"/>
      <c r="Z375" s="2"/>
      <c r="AA375" s="2"/>
      <c r="AB375" s="2"/>
    </row>
    <row r="376">
      <c r="B376" s="337"/>
      <c r="C376" s="336" t="s">
        <v>4013</v>
      </c>
      <c r="D376" s="337"/>
      <c r="E376" s="338"/>
      <c r="F376" s="339" t="str">
        <f t="shared" si="1"/>
        <v>בכלל לא</v>
      </c>
      <c r="G376" s="340">
        <f>COUNTIF(Recordings!A:A,C376)</f>
        <v>0</v>
      </c>
      <c r="H376" s="340"/>
      <c r="I376" s="340"/>
      <c r="J376" s="340"/>
      <c r="K376" s="2"/>
      <c r="L376" s="2"/>
      <c r="M376" s="2"/>
      <c r="N376" s="2"/>
      <c r="O376" s="2"/>
      <c r="P376" s="2"/>
      <c r="Q376" s="2"/>
      <c r="R376" s="2"/>
      <c r="S376" s="2"/>
      <c r="T376" s="2"/>
      <c r="U376" s="2"/>
      <c r="V376" s="2"/>
      <c r="W376" s="2"/>
      <c r="X376" s="2"/>
      <c r="Y376" s="2"/>
      <c r="Z376" s="2"/>
      <c r="AA376" s="2"/>
      <c r="AB376" s="2"/>
    </row>
    <row r="377">
      <c r="B377" s="337"/>
      <c r="C377" s="336" t="s">
        <v>4014</v>
      </c>
      <c r="D377" s="337"/>
      <c r="E377" s="338"/>
      <c r="F377" s="339" t="str">
        <f t="shared" si="1"/>
        <v>בכלל לא</v>
      </c>
      <c r="G377" s="340">
        <f>COUNTIF(Recordings!A:A,C377)</f>
        <v>0</v>
      </c>
      <c r="H377" s="340"/>
      <c r="I377" s="340"/>
      <c r="J377" s="340"/>
      <c r="K377" s="2"/>
      <c r="L377" s="2"/>
      <c r="M377" s="2"/>
      <c r="N377" s="2"/>
      <c r="O377" s="2"/>
      <c r="P377" s="2"/>
      <c r="Q377" s="2"/>
      <c r="R377" s="2"/>
      <c r="S377" s="2"/>
      <c r="T377" s="2"/>
      <c r="U377" s="2"/>
      <c r="V377" s="2"/>
      <c r="W377" s="2"/>
      <c r="X377" s="2"/>
      <c r="Y377" s="2"/>
      <c r="Z377" s="2"/>
      <c r="AA377" s="2"/>
      <c r="AB377" s="2"/>
    </row>
    <row r="378">
      <c r="B378" s="337"/>
      <c r="C378" s="336" t="s">
        <v>4015</v>
      </c>
      <c r="D378" s="337"/>
      <c r="E378" s="338"/>
      <c r="F378" s="339" t="str">
        <f t="shared" si="1"/>
        <v>בכלל לא</v>
      </c>
      <c r="G378" s="340">
        <f>COUNTIF(Recordings!A:A,C378)</f>
        <v>0</v>
      </c>
      <c r="H378" s="340"/>
      <c r="I378" s="340"/>
      <c r="J378" s="340"/>
      <c r="K378" s="2"/>
      <c r="L378" s="2"/>
      <c r="M378" s="2"/>
      <c r="N378" s="2"/>
      <c r="O378" s="2"/>
      <c r="P378" s="2"/>
      <c r="Q378" s="2"/>
      <c r="R378" s="2"/>
      <c r="S378" s="2"/>
      <c r="T378" s="2"/>
      <c r="U378" s="2"/>
      <c r="V378" s="2"/>
      <c r="W378" s="2"/>
      <c r="X378" s="2"/>
      <c r="Y378" s="2"/>
      <c r="Z378" s="2"/>
      <c r="AA378" s="2"/>
      <c r="AB378" s="2"/>
    </row>
    <row r="379">
      <c r="B379" s="337"/>
      <c r="C379" s="336" t="s">
        <v>4016</v>
      </c>
      <c r="D379" s="337"/>
      <c r="E379" s="338"/>
      <c r="F379" s="339" t="str">
        <f t="shared" si="1"/>
        <v>בכלל לא</v>
      </c>
      <c r="G379" s="340">
        <f>COUNTIF(Recordings!A:A,C379)</f>
        <v>0</v>
      </c>
      <c r="H379" s="340"/>
      <c r="I379" s="340"/>
      <c r="J379" s="340"/>
      <c r="K379" s="2"/>
      <c r="L379" s="2"/>
      <c r="M379" s="2"/>
      <c r="N379" s="2"/>
      <c r="O379" s="2"/>
      <c r="P379" s="2"/>
      <c r="Q379" s="2"/>
      <c r="R379" s="2"/>
      <c r="S379" s="2"/>
      <c r="T379" s="2"/>
      <c r="U379" s="2"/>
      <c r="V379" s="2"/>
      <c r="W379" s="2"/>
      <c r="X379" s="2"/>
      <c r="Y379" s="2"/>
      <c r="Z379" s="2"/>
      <c r="AA379" s="2"/>
      <c r="AB379" s="2"/>
    </row>
    <row r="380">
      <c r="B380" s="337"/>
      <c r="C380" s="336" t="s">
        <v>4017</v>
      </c>
      <c r="D380" s="337"/>
      <c r="E380" s="338"/>
      <c r="F380" s="339" t="str">
        <f t="shared" si="1"/>
        <v>בכלל לא</v>
      </c>
      <c r="G380" s="340">
        <f>COUNTIF(Recordings!A:A,C380)</f>
        <v>0</v>
      </c>
      <c r="H380" s="340"/>
      <c r="I380" s="340"/>
      <c r="J380" s="340"/>
      <c r="K380" s="2"/>
      <c r="L380" s="2"/>
      <c r="M380" s="2"/>
      <c r="N380" s="2"/>
      <c r="O380" s="2"/>
      <c r="P380" s="2"/>
      <c r="Q380" s="2"/>
      <c r="R380" s="2"/>
      <c r="S380" s="2"/>
      <c r="T380" s="2"/>
      <c r="U380" s="2"/>
      <c r="V380" s="2"/>
      <c r="W380" s="2"/>
      <c r="X380" s="2"/>
      <c r="Y380" s="2"/>
      <c r="Z380" s="2"/>
      <c r="AA380" s="2"/>
      <c r="AB380" s="2"/>
    </row>
    <row r="381">
      <c r="B381" s="337" t="s">
        <v>258</v>
      </c>
      <c r="C381" s="337" t="s">
        <v>257</v>
      </c>
      <c r="D381" s="337" t="s">
        <v>259</v>
      </c>
      <c r="E381" s="338"/>
      <c r="F381" s="339" t="str">
        <f t="shared" si="1"/>
        <v>כן</v>
      </c>
      <c r="G381" s="340">
        <f>COUNTIF(Recordings!A:A,C381)</f>
        <v>2</v>
      </c>
      <c r="H381" s="340"/>
      <c r="I381" s="340"/>
      <c r="J381" s="340"/>
      <c r="K381" s="2"/>
      <c r="L381" s="2"/>
      <c r="M381" s="2"/>
      <c r="N381" s="2"/>
      <c r="O381" s="2"/>
      <c r="P381" s="2"/>
      <c r="Q381" s="2"/>
      <c r="R381" s="2"/>
      <c r="S381" s="2"/>
      <c r="T381" s="2"/>
      <c r="U381" s="2"/>
      <c r="V381" s="2"/>
      <c r="W381" s="2"/>
      <c r="X381" s="2"/>
      <c r="Y381" s="2"/>
      <c r="Z381" s="2"/>
      <c r="AA381" s="2"/>
      <c r="AB381" s="2"/>
    </row>
    <row r="382">
      <c r="B382" s="337"/>
      <c r="C382" s="336" t="s">
        <v>4018</v>
      </c>
      <c r="D382" s="337"/>
      <c r="E382" s="338"/>
      <c r="F382" s="339" t="str">
        <f t="shared" si="1"/>
        <v>בכלל לא</v>
      </c>
      <c r="G382" s="340">
        <f>COUNTIF(Recordings!A:A,C382)</f>
        <v>0</v>
      </c>
      <c r="H382" s="340"/>
      <c r="I382" s="340"/>
      <c r="J382" s="340"/>
      <c r="K382" s="2"/>
      <c r="L382" s="2"/>
      <c r="M382" s="2"/>
      <c r="N382" s="2"/>
      <c r="O382" s="2"/>
      <c r="P382" s="2"/>
      <c r="Q382" s="2"/>
      <c r="R382" s="2"/>
      <c r="S382" s="2"/>
      <c r="T382" s="2"/>
      <c r="U382" s="2"/>
      <c r="V382" s="2"/>
      <c r="W382" s="2"/>
      <c r="X382" s="2"/>
      <c r="Y382" s="2"/>
      <c r="Z382" s="2"/>
      <c r="AA382" s="2"/>
      <c r="AB382" s="2"/>
    </row>
    <row r="383">
      <c r="B383" s="337"/>
      <c r="C383" s="336" t="s">
        <v>4019</v>
      </c>
      <c r="D383" s="337"/>
      <c r="E383" s="338"/>
      <c r="F383" s="339" t="str">
        <f t="shared" si="1"/>
        <v>בכלל לא</v>
      </c>
      <c r="G383" s="340">
        <f>COUNTIF(Recordings!A:A,C383)</f>
        <v>0</v>
      </c>
      <c r="H383" s="340"/>
      <c r="I383" s="340"/>
      <c r="J383" s="340"/>
      <c r="K383" s="2"/>
      <c r="L383" s="2"/>
      <c r="M383" s="2"/>
      <c r="N383" s="2"/>
      <c r="O383" s="2"/>
      <c r="P383" s="2"/>
      <c r="Q383" s="2"/>
      <c r="R383" s="2"/>
      <c r="S383" s="2"/>
      <c r="T383" s="2"/>
      <c r="U383" s="2"/>
      <c r="V383" s="2"/>
      <c r="W383" s="2"/>
      <c r="X383" s="2"/>
      <c r="Y383" s="2"/>
      <c r="Z383" s="2"/>
      <c r="AA383" s="2"/>
      <c r="AB383" s="2"/>
    </row>
    <row r="384">
      <c r="B384" s="337"/>
      <c r="C384" s="336" t="s">
        <v>4020</v>
      </c>
      <c r="D384" s="337"/>
      <c r="E384" s="338"/>
      <c r="F384" s="339" t="str">
        <f t="shared" si="1"/>
        <v>בכלל לא</v>
      </c>
      <c r="G384" s="340">
        <f>COUNTIF(Recordings!A:A,C384)</f>
        <v>0</v>
      </c>
      <c r="H384" s="340"/>
      <c r="I384" s="340"/>
      <c r="J384" s="340"/>
      <c r="K384" s="2"/>
      <c r="L384" s="2"/>
      <c r="M384" s="2"/>
      <c r="N384" s="2"/>
      <c r="O384" s="2"/>
      <c r="P384" s="2"/>
      <c r="Q384" s="2"/>
      <c r="R384" s="2"/>
      <c r="S384" s="2"/>
      <c r="T384" s="2"/>
      <c r="U384" s="2"/>
      <c r="V384" s="2"/>
      <c r="W384" s="2"/>
      <c r="X384" s="2"/>
      <c r="Y384" s="2"/>
      <c r="Z384" s="2"/>
      <c r="AA384" s="2"/>
      <c r="AB384" s="2"/>
    </row>
    <row r="385">
      <c r="B385" s="342" t="s">
        <v>264</v>
      </c>
      <c r="C385" s="343" t="s">
        <v>263</v>
      </c>
      <c r="D385" s="344" t="s">
        <v>265</v>
      </c>
      <c r="E385" s="345"/>
      <c r="F385" s="339" t="str">
        <f t="shared" si="1"/>
        <v>כן</v>
      </c>
      <c r="G385" s="340">
        <f>COUNTIF(Recordings!A:A,C385)</f>
        <v>3</v>
      </c>
      <c r="H385" s="340"/>
      <c r="I385" s="340"/>
      <c r="J385" s="340"/>
      <c r="K385" s="2"/>
      <c r="L385" s="2"/>
      <c r="M385" s="2"/>
      <c r="N385" s="2"/>
      <c r="O385" s="2"/>
      <c r="P385" s="2"/>
      <c r="Q385" s="2"/>
      <c r="R385" s="2"/>
      <c r="S385" s="2"/>
      <c r="T385" s="2"/>
      <c r="U385" s="2"/>
      <c r="V385" s="2"/>
      <c r="W385" s="2"/>
      <c r="X385" s="2"/>
      <c r="Y385" s="2"/>
      <c r="Z385" s="2"/>
      <c r="AA385" s="2"/>
      <c r="AB385" s="2"/>
    </row>
    <row r="386">
      <c r="B386" s="337"/>
      <c r="C386" s="336" t="s">
        <v>4021</v>
      </c>
      <c r="D386" s="337"/>
      <c r="E386" s="338"/>
      <c r="F386" s="339" t="str">
        <f t="shared" si="1"/>
        <v>בכלל לא</v>
      </c>
      <c r="G386" s="340">
        <f>COUNTIF(Recordings!A:A,C386)</f>
        <v>0</v>
      </c>
      <c r="H386" s="340"/>
      <c r="I386" s="340"/>
      <c r="J386" s="340"/>
      <c r="K386" s="2"/>
      <c r="L386" s="2"/>
      <c r="M386" s="2"/>
      <c r="N386" s="2"/>
      <c r="O386" s="2"/>
      <c r="P386" s="2"/>
      <c r="Q386" s="2"/>
      <c r="R386" s="2"/>
      <c r="S386" s="2"/>
      <c r="T386" s="2"/>
      <c r="U386" s="2"/>
      <c r="V386" s="2"/>
      <c r="W386" s="2"/>
      <c r="X386" s="2"/>
      <c r="Y386" s="2"/>
      <c r="Z386" s="2"/>
      <c r="AA386" s="2"/>
      <c r="AB386" s="2"/>
    </row>
    <row r="387">
      <c r="B387" s="337"/>
      <c r="C387" s="336" t="s">
        <v>4022</v>
      </c>
      <c r="D387" s="337"/>
      <c r="E387" s="338"/>
      <c r="F387" s="339" t="str">
        <f t="shared" si="1"/>
        <v>בכלל לא</v>
      </c>
      <c r="G387" s="340">
        <f>COUNTIF(Recordings!A:A,C387)</f>
        <v>0</v>
      </c>
      <c r="H387" s="340"/>
      <c r="I387" s="340"/>
      <c r="J387" s="340"/>
      <c r="K387" s="2"/>
      <c r="L387" s="2"/>
      <c r="M387" s="2"/>
      <c r="N387" s="2"/>
      <c r="O387" s="2"/>
      <c r="P387" s="2"/>
      <c r="Q387" s="2"/>
      <c r="R387" s="2"/>
      <c r="S387" s="2"/>
      <c r="T387" s="2"/>
      <c r="U387" s="2"/>
      <c r="V387" s="2"/>
      <c r="W387" s="2"/>
      <c r="X387" s="2"/>
      <c r="Y387" s="2"/>
      <c r="Z387" s="2"/>
      <c r="AA387" s="2"/>
      <c r="AB387" s="2"/>
    </row>
    <row r="388">
      <c r="B388" s="337"/>
      <c r="C388" s="336" t="s">
        <v>4023</v>
      </c>
      <c r="D388" s="337"/>
      <c r="E388" s="338"/>
      <c r="F388" s="339" t="str">
        <f t="shared" si="1"/>
        <v>בכלל לא</v>
      </c>
      <c r="G388" s="340">
        <f>COUNTIF(Recordings!A:A,C388)</f>
        <v>0</v>
      </c>
      <c r="H388" s="340"/>
      <c r="I388" s="340"/>
      <c r="J388" s="340"/>
      <c r="K388" s="2"/>
      <c r="L388" s="2"/>
      <c r="M388" s="2"/>
      <c r="N388" s="2"/>
      <c r="O388" s="2"/>
      <c r="P388" s="2"/>
      <c r="Q388" s="2"/>
      <c r="R388" s="2"/>
      <c r="S388" s="2"/>
      <c r="T388" s="2"/>
      <c r="U388" s="2"/>
      <c r="V388" s="2"/>
      <c r="W388" s="2"/>
      <c r="X388" s="2"/>
      <c r="Y388" s="2"/>
      <c r="Z388" s="2"/>
      <c r="AA388" s="2"/>
      <c r="AB388" s="2"/>
    </row>
    <row r="389">
      <c r="B389" s="337"/>
      <c r="C389" s="336" t="s">
        <v>4024</v>
      </c>
      <c r="D389" s="337"/>
      <c r="E389" s="338"/>
      <c r="F389" s="339" t="str">
        <f t="shared" si="1"/>
        <v>בכלל לא</v>
      </c>
      <c r="G389" s="340">
        <f>COUNTIF(Recordings!A:A,C389)</f>
        <v>0</v>
      </c>
      <c r="H389" s="340"/>
      <c r="I389" s="340"/>
      <c r="J389" s="340"/>
      <c r="K389" s="2"/>
      <c r="L389" s="2"/>
      <c r="M389" s="2"/>
      <c r="N389" s="2"/>
      <c r="O389" s="2"/>
      <c r="P389" s="2"/>
      <c r="Q389" s="2"/>
      <c r="R389" s="2"/>
      <c r="S389" s="2"/>
      <c r="T389" s="2"/>
      <c r="U389" s="2"/>
      <c r="V389" s="2"/>
      <c r="W389" s="2"/>
      <c r="X389" s="2"/>
      <c r="Y389" s="2"/>
      <c r="Z389" s="2"/>
      <c r="AA389" s="2"/>
      <c r="AB389" s="2"/>
    </row>
    <row r="390">
      <c r="B390" s="337" t="s">
        <v>286</v>
      </c>
      <c r="C390" s="337" t="s">
        <v>285</v>
      </c>
      <c r="D390" s="337" t="s">
        <v>287</v>
      </c>
      <c r="E390" s="338"/>
      <c r="F390" s="339" t="str">
        <f t="shared" si="1"/>
        <v>כן</v>
      </c>
      <c r="G390" s="340">
        <f>COUNTIF(Recordings!A:A,C390)</f>
        <v>2</v>
      </c>
      <c r="H390" s="340"/>
      <c r="I390" s="340"/>
      <c r="J390" s="340"/>
      <c r="K390" s="2"/>
      <c r="L390" s="2"/>
      <c r="M390" s="2"/>
      <c r="N390" s="2"/>
      <c r="O390" s="2"/>
      <c r="P390" s="2"/>
      <c r="Q390" s="2"/>
      <c r="R390" s="2"/>
      <c r="S390" s="2"/>
      <c r="T390" s="2"/>
      <c r="U390" s="2"/>
      <c r="V390" s="2"/>
      <c r="W390" s="2"/>
      <c r="X390" s="2"/>
      <c r="Y390" s="2"/>
      <c r="Z390" s="2"/>
      <c r="AA390" s="2"/>
      <c r="AB390" s="2"/>
    </row>
    <row r="391">
      <c r="B391" s="337"/>
      <c r="C391" s="336" t="s">
        <v>4025</v>
      </c>
      <c r="D391" s="337"/>
      <c r="E391" s="338"/>
      <c r="F391" s="339" t="str">
        <f t="shared" si="1"/>
        <v>בכלל לא</v>
      </c>
      <c r="G391" s="340">
        <f>COUNTIF(Recordings!A:A,C391)</f>
        <v>0</v>
      </c>
      <c r="H391" s="340"/>
      <c r="I391" s="340"/>
      <c r="J391" s="340"/>
      <c r="K391" s="2"/>
      <c r="L391" s="2"/>
      <c r="M391" s="2"/>
      <c r="N391" s="2"/>
      <c r="O391" s="2"/>
      <c r="P391" s="2"/>
      <c r="Q391" s="2"/>
      <c r="R391" s="2"/>
      <c r="S391" s="2"/>
      <c r="T391" s="2"/>
      <c r="U391" s="2"/>
      <c r="V391" s="2"/>
      <c r="W391" s="2"/>
      <c r="X391" s="2"/>
      <c r="Y391" s="2"/>
      <c r="Z391" s="2"/>
      <c r="AA391" s="2"/>
      <c r="AB391" s="2"/>
    </row>
    <row r="392">
      <c r="B392" s="337" t="s">
        <v>304</v>
      </c>
      <c r="C392" s="336" t="s">
        <v>303</v>
      </c>
      <c r="D392" s="337" t="s">
        <v>305</v>
      </c>
      <c r="E392" s="338"/>
      <c r="F392" s="339" t="str">
        <f t="shared" si="1"/>
        <v>כן</v>
      </c>
      <c r="G392" s="340">
        <f>COUNTIF(Recordings!A:A,C392)</f>
        <v>1</v>
      </c>
      <c r="H392" s="340"/>
      <c r="I392" s="340"/>
      <c r="J392" s="340"/>
      <c r="K392" s="2"/>
      <c r="L392" s="2"/>
      <c r="M392" s="2"/>
      <c r="N392" s="2"/>
      <c r="O392" s="2"/>
      <c r="P392" s="2"/>
      <c r="Q392" s="2"/>
      <c r="R392" s="2"/>
      <c r="S392" s="2"/>
      <c r="T392" s="2"/>
      <c r="U392" s="2"/>
      <c r="V392" s="2"/>
      <c r="W392" s="2"/>
      <c r="X392" s="2"/>
      <c r="Y392" s="2"/>
      <c r="Z392" s="2"/>
      <c r="AA392" s="2"/>
      <c r="AB392" s="2"/>
    </row>
    <row r="393">
      <c r="B393" s="337" t="s">
        <v>307</v>
      </c>
      <c r="C393" s="337" t="s">
        <v>306</v>
      </c>
      <c r="D393" s="337" t="s">
        <v>308</v>
      </c>
      <c r="E393" s="338"/>
      <c r="F393" s="339" t="str">
        <f t="shared" si="1"/>
        <v>כן</v>
      </c>
      <c r="G393" s="340">
        <f>COUNTIF(Recordings!A:A,C393)</f>
        <v>3</v>
      </c>
      <c r="H393" s="340"/>
      <c r="I393" s="340"/>
      <c r="J393" s="340"/>
      <c r="K393" s="2"/>
      <c r="L393" s="2"/>
      <c r="M393" s="2"/>
      <c r="N393" s="2"/>
      <c r="O393" s="2"/>
      <c r="P393" s="2"/>
      <c r="Q393" s="2"/>
      <c r="R393" s="2"/>
      <c r="S393" s="2"/>
      <c r="T393" s="2"/>
      <c r="U393" s="2"/>
      <c r="V393" s="2"/>
      <c r="W393" s="2"/>
      <c r="X393" s="2"/>
      <c r="Y393" s="2"/>
      <c r="Z393" s="2"/>
      <c r="AA393" s="2"/>
      <c r="AB393" s="2"/>
    </row>
    <row r="394">
      <c r="B394" s="337" t="s">
        <v>340</v>
      </c>
      <c r="C394" s="337" t="s">
        <v>339</v>
      </c>
      <c r="D394" s="337" t="s">
        <v>434</v>
      </c>
      <c r="E394" s="338"/>
      <c r="F394" s="339" t="str">
        <f t="shared" si="1"/>
        <v>כן</v>
      </c>
      <c r="G394" s="340">
        <f>COUNTIF(Recordings!A:A,C394)</f>
        <v>2</v>
      </c>
      <c r="H394" s="340"/>
      <c r="I394" s="340"/>
      <c r="J394" s="340"/>
      <c r="K394" s="2"/>
      <c r="L394" s="2"/>
      <c r="M394" s="2"/>
      <c r="N394" s="2"/>
      <c r="O394" s="2"/>
      <c r="P394" s="2"/>
      <c r="Q394" s="2"/>
      <c r="R394" s="2"/>
      <c r="S394" s="2"/>
      <c r="T394" s="2"/>
      <c r="U394" s="2"/>
      <c r="V394" s="2"/>
      <c r="W394" s="2"/>
      <c r="X394" s="2"/>
      <c r="Y394" s="2"/>
      <c r="Z394" s="2"/>
      <c r="AA394" s="2"/>
      <c r="AB394" s="2"/>
    </row>
    <row r="395">
      <c r="B395" s="337" t="s">
        <v>343</v>
      </c>
      <c r="C395" s="337" t="s">
        <v>342</v>
      </c>
      <c r="D395" s="337" t="s">
        <v>344</v>
      </c>
      <c r="E395" s="338"/>
      <c r="F395" s="339" t="str">
        <f t="shared" si="1"/>
        <v>כן</v>
      </c>
      <c r="G395" s="340">
        <f>COUNTIF(Recordings!A:A,C395)</f>
        <v>1</v>
      </c>
      <c r="H395" s="340"/>
      <c r="I395" s="340"/>
      <c r="J395" s="340"/>
      <c r="K395" s="2"/>
      <c r="L395" s="2"/>
      <c r="M395" s="2"/>
      <c r="N395" s="2"/>
      <c r="O395" s="2"/>
      <c r="P395" s="2"/>
      <c r="Q395" s="2"/>
      <c r="R395" s="2"/>
      <c r="S395" s="2"/>
      <c r="T395" s="2"/>
      <c r="U395" s="2"/>
      <c r="V395" s="2"/>
      <c r="W395" s="2"/>
      <c r="X395" s="2"/>
      <c r="Y395" s="2"/>
      <c r="Z395" s="2"/>
      <c r="AA395" s="2"/>
      <c r="AB395" s="2"/>
    </row>
    <row r="396">
      <c r="B396" s="337"/>
      <c r="C396" s="336" t="s">
        <v>4026</v>
      </c>
      <c r="D396" s="337"/>
      <c r="E396" s="338"/>
      <c r="F396" s="339" t="str">
        <f t="shared" si="1"/>
        <v>בכלל לא</v>
      </c>
      <c r="G396" s="340">
        <f>COUNTIF(Recordings!A:A,C396)</f>
        <v>0</v>
      </c>
      <c r="H396" s="340"/>
      <c r="I396" s="340"/>
      <c r="J396" s="340"/>
      <c r="K396" s="2"/>
      <c r="L396" s="2"/>
      <c r="M396" s="2"/>
      <c r="N396" s="2"/>
      <c r="O396" s="2"/>
      <c r="P396" s="2"/>
      <c r="Q396" s="2"/>
      <c r="R396" s="2"/>
      <c r="S396" s="2"/>
      <c r="T396" s="2"/>
      <c r="U396" s="2"/>
      <c r="V396" s="2"/>
      <c r="W396" s="2"/>
      <c r="X396" s="2"/>
      <c r="Y396" s="2"/>
      <c r="Z396" s="2"/>
      <c r="AA396" s="2"/>
      <c r="AB396" s="2"/>
    </row>
    <row r="397">
      <c r="B397" s="337"/>
      <c r="C397" s="336" t="s">
        <v>4027</v>
      </c>
      <c r="D397" s="337"/>
      <c r="E397" s="338"/>
      <c r="F397" s="339" t="str">
        <f t="shared" si="1"/>
        <v>בכלל לא</v>
      </c>
      <c r="G397" s="340">
        <f>COUNTIF(Recordings!A:A,C397)</f>
        <v>0</v>
      </c>
      <c r="H397" s="340"/>
      <c r="I397" s="340"/>
      <c r="J397" s="340"/>
      <c r="K397" s="2"/>
      <c r="L397" s="2"/>
      <c r="M397" s="2"/>
      <c r="N397" s="2"/>
      <c r="O397" s="2"/>
      <c r="P397" s="2"/>
      <c r="Q397" s="2"/>
      <c r="R397" s="2"/>
      <c r="S397" s="2"/>
      <c r="T397" s="2"/>
      <c r="U397" s="2"/>
      <c r="V397" s="2"/>
      <c r="W397" s="2"/>
      <c r="X397" s="2"/>
      <c r="Y397" s="2"/>
      <c r="Z397" s="2"/>
      <c r="AA397" s="2"/>
      <c r="AB397" s="2"/>
    </row>
    <row r="398">
      <c r="B398" s="337"/>
      <c r="C398" s="336" t="s">
        <v>3826</v>
      </c>
      <c r="D398" s="337"/>
      <c r="E398" s="338"/>
      <c r="F398" s="339" t="str">
        <f t="shared" si="1"/>
        <v>בכלל לא</v>
      </c>
      <c r="G398" s="340">
        <f>COUNTIF(Recordings!A:A,C398)</f>
        <v>0</v>
      </c>
      <c r="H398" s="340"/>
      <c r="I398" s="340"/>
      <c r="J398" s="340"/>
      <c r="K398" s="2"/>
      <c r="L398" s="2"/>
      <c r="M398" s="2"/>
      <c r="N398" s="2"/>
      <c r="O398" s="2"/>
      <c r="P398" s="2"/>
      <c r="Q398" s="2"/>
      <c r="R398" s="2"/>
      <c r="S398" s="2"/>
      <c r="T398" s="2"/>
      <c r="U398" s="2"/>
      <c r="V398" s="2"/>
      <c r="W398" s="2"/>
      <c r="X398" s="2"/>
      <c r="Y398" s="2"/>
      <c r="Z398" s="2"/>
      <c r="AA398" s="2"/>
      <c r="AB398" s="2"/>
    </row>
    <row r="399">
      <c r="B399" s="337"/>
      <c r="C399" s="336" t="s">
        <v>4028</v>
      </c>
      <c r="D399" s="337"/>
      <c r="E399" s="338"/>
      <c r="F399" s="339" t="str">
        <f t="shared" si="1"/>
        <v>בכלל לא</v>
      </c>
      <c r="G399" s="340">
        <f>COUNTIF(Recordings!A:A,C399)</f>
        <v>0</v>
      </c>
      <c r="H399" s="340"/>
      <c r="I399" s="340"/>
      <c r="J399" s="340"/>
      <c r="K399" s="2"/>
      <c r="L399" s="2"/>
      <c r="M399" s="2"/>
      <c r="N399" s="2"/>
      <c r="O399" s="2"/>
      <c r="P399" s="2"/>
      <c r="Q399" s="2"/>
      <c r="R399" s="2"/>
      <c r="S399" s="2"/>
      <c r="T399" s="2"/>
      <c r="U399" s="2"/>
      <c r="V399" s="2"/>
      <c r="W399" s="2"/>
      <c r="X399" s="2"/>
      <c r="Y399" s="2"/>
      <c r="Z399" s="2"/>
      <c r="AA399" s="2"/>
      <c r="AB399" s="2"/>
    </row>
    <row r="400">
      <c r="B400" s="337"/>
      <c r="C400" s="336" t="s">
        <v>4029</v>
      </c>
      <c r="D400" s="337"/>
      <c r="E400" s="338"/>
      <c r="F400" s="339" t="str">
        <f t="shared" si="1"/>
        <v>בכלל לא</v>
      </c>
      <c r="G400" s="340">
        <f>COUNTIF(Recordings!A:A,C400)</f>
        <v>0</v>
      </c>
      <c r="H400" s="340"/>
      <c r="I400" s="340"/>
      <c r="J400" s="340"/>
      <c r="K400" s="2"/>
      <c r="L400" s="2"/>
      <c r="M400" s="2"/>
      <c r="N400" s="2"/>
      <c r="O400" s="2"/>
      <c r="P400" s="2"/>
      <c r="Q400" s="2"/>
      <c r="R400" s="2"/>
      <c r="S400" s="2"/>
      <c r="T400" s="2"/>
      <c r="U400" s="2"/>
      <c r="V400" s="2"/>
      <c r="W400" s="2"/>
      <c r="X400" s="2"/>
      <c r="Y400" s="2"/>
      <c r="Z400" s="2"/>
      <c r="AA400" s="2"/>
      <c r="AB400" s="2"/>
    </row>
    <row r="401">
      <c r="B401" s="337"/>
      <c r="C401" s="336" t="s">
        <v>4030</v>
      </c>
      <c r="D401" s="337"/>
      <c r="E401" s="338"/>
      <c r="F401" s="339" t="str">
        <f t="shared" si="1"/>
        <v>בכלל לא</v>
      </c>
      <c r="G401" s="340">
        <f>COUNTIF(Recordings!A:A,C401)</f>
        <v>0</v>
      </c>
      <c r="H401" s="340"/>
      <c r="I401" s="340"/>
      <c r="J401" s="340"/>
      <c r="K401" s="2"/>
      <c r="L401" s="2"/>
      <c r="M401" s="2"/>
      <c r="N401" s="2"/>
      <c r="O401" s="2"/>
      <c r="P401" s="2"/>
      <c r="Q401" s="2"/>
      <c r="R401" s="2"/>
      <c r="S401" s="2"/>
      <c r="T401" s="2"/>
      <c r="U401" s="2"/>
      <c r="V401" s="2"/>
      <c r="W401" s="2"/>
      <c r="X401" s="2"/>
      <c r="Y401" s="2"/>
      <c r="Z401" s="2"/>
      <c r="AA401" s="2"/>
      <c r="AB401" s="2"/>
    </row>
    <row r="402">
      <c r="B402" s="337"/>
      <c r="C402" s="336" t="s">
        <v>4031</v>
      </c>
      <c r="D402" s="337"/>
      <c r="E402" s="338"/>
      <c r="F402" s="339" t="str">
        <f t="shared" si="1"/>
        <v>בכלל לא</v>
      </c>
      <c r="G402" s="340">
        <f>COUNTIF(Recordings!A:A,C402)</f>
        <v>0</v>
      </c>
      <c r="H402" s="340"/>
      <c r="I402" s="340"/>
      <c r="J402" s="340"/>
      <c r="K402" s="2"/>
      <c r="L402" s="2"/>
      <c r="M402" s="2"/>
      <c r="N402" s="2"/>
      <c r="O402" s="2"/>
      <c r="P402" s="2"/>
      <c r="Q402" s="2"/>
      <c r="R402" s="2"/>
      <c r="S402" s="2"/>
      <c r="T402" s="2"/>
      <c r="U402" s="2"/>
      <c r="V402" s="2"/>
      <c r="W402" s="2"/>
      <c r="X402" s="2"/>
      <c r="Y402" s="2"/>
      <c r="Z402" s="2"/>
      <c r="AA402" s="2"/>
      <c r="AB402" s="2"/>
    </row>
    <row r="403">
      <c r="B403" s="337"/>
      <c r="C403" s="336" t="s">
        <v>4032</v>
      </c>
      <c r="D403" s="337"/>
      <c r="E403" s="338"/>
      <c r="F403" s="339" t="str">
        <f t="shared" si="1"/>
        <v>בכלל לא</v>
      </c>
      <c r="G403" s="340">
        <f>COUNTIF(Recordings!A:A,C403)</f>
        <v>0</v>
      </c>
      <c r="H403" s="340"/>
      <c r="I403" s="340"/>
      <c r="J403" s="340"/>
      <c r="K403" s="2"/>
      <c r="L403" s="2"/>
      <c r="M403" s="2"/>
      <c r="N403" s="2"/>
      <c r="O403" s="2"/>
      <c r="P403" s="2"/>
      <c r="Q403" s="2"/>
      <c r="R403" s="2"/>
      <c r="S403" s="2"/>
      <c r="T403" s="2"/>
      <c r="U403" s="2"/>
      <c r="V403" s="2"/>
      <c r="W403" s="2"/>
      <c r="X403" s="2"/>
      <c r="Y403" s="2"/>
      <c r="Z403" s="2"/>
      <c r="AA403" s="2"/>
      <c r="AB403" s="2"/>
    </row>
    <row r="404">
      <c r="B404" s="337"/>
      <c r="C404" s="336" t="s">
        <v>4033</v>
      </c>
      <c r="D404" s="337"/>
      <c r="E404" s="338"/>
      <c r="F404" s="339" t="str">
        <f t="shared" si="1"/>
        <v>בכלל לא</v>
      </c>
      <c r="G404" s="340">
        <f>COUNTIF(Recordings!A:A,C404)</f>
        <v>0</v>
      </c>
      <c r="H404" s="340"/>
      <c r="I404" s="340"/>
      <c r="J404" s="340"/>
      <c r="K404" s="2"/>
      <c r="L404" s="2"/>
      <c r="M404" s="2"/>
      <c r="N404" s="2"/>
      <c r="O404" s="2"/>
      <c r="P404" s="2"/>
      <c r="Q404" s="2"/>
      <c r="R404" s="2"/>
      <c r="S404" s="2"/>
      <c r="T404" s="2"/>
      <c r="U404" s="2"/>
      <c r="V404" s="2"/>
      <c r="W404" s="2"/>
      <c r="X404" s="2"/>
      <c r="Y404" s="2"/>
      <c r="Z404" s="2"/>
      <c r="AA404" s="2"/>
      <c r="AB404" s="2"/>
    </row>
    <row r="405">
      <c r="B405" s="337"/>
      <c r="C405" s="336" t="s">
        <v>4034</v>
      </c>
      <c r="D405" s="337"/>
      <c r="E405" s="338"/>
      <c r="F405" s="339" t="str">
        <f t="shared" si="1"/>
        <v>בכלל לא</v>
      </c>
      <c r="G405" s="340">
        <f>COUNTIF(Recordings!A:A,C405)</f>
        <v>0</v>
      </c>
      <c r="H405" s="340"/>
      <c r="I405" s="340"/>
      <c r="J405" s="340"/>
      <c r="K405" s="2"/>
      <c r="L405" s="2"/>
      <c r="M405" s="2"/>
      <c r="N405" s="2"/>
      <c r="O405" s="2"/>
      <c r="P405" s="2"/>
      <c r="Q405" s="2"/>
      <c r="R405" s="2"/>
      <c r="S405" s="2"/>
      <c r="T405" s="2"/>
      <c r="U405" s="2"/>
      <c r="V405" s="2"/>
      <c r="W405" s="2"/>
      <c r="X405" s="2"/>
      <c r="Y405" s="2"/>
      <c r="Z405" s="2"/>
      <c r="AA405" s="2"/>
      <c r="AB405" s="2"/>
    </row>
    <row r="406">
      <c r="B406" s="337" t="s">
        <v>507</v>
      </c>
      <c r="C406" s="337" t="s">
        <v>506</v>
      </c>
      <c r="D406" s="337" t="s">
        <v>508</v>
      </c>
      <c r="E406" s="338"/>
      <c r="F406" s="339" t="str">
        <f t="shared" si="1"/>
        <v>כן</v>
      </c>
      <c r="G406" s="340">
        <f>COUNTIF(Recordings!A:A,C406)</f>
        <v>3</v>
      </c>
      <c r="H406" s="340"/>
      <c r="I406" s="340"/>
      <c r="J406" s="340"/>
      <c r="K406" s="2"/>
      <c r="L406" s="2"/>
      <c r="M406" s="2"/>
      <c r="N406" s="2"/>
      <c r="O406" s="2"/>
      <c r="P406" s="2"/>
      <c r="Q406" s="2"/>
      <c r="R406" s="2"/>
      <c r="S406" s="2"/>
      <c r="T406" s="2"/>
      <c r="U406" s="2"/>
      <c r="V406" s="2"/>
      <c r="W406" s="2"/>
      <c r="X406" s="2"/>
      <c r="Y406" s="2"/>
      <c r="Z406" s="2"/>
      <c r="AA406" s="2"/>
      <c r="AB406" s="2"/>
    </row>
    <row r="407">
      <c r="B407" s="337"/>
      <c r="C407" s="336" t="s">
        <v>4035</v>
      </c>
      <c r="D407" s="337"/>
      <c r="E407" s="338"/>
      <c r="F407" s="339" t="str">
        <f t="shared" si="1"/>
        <v>בכלל לא</v>
      </c>
      <c r="G407" s="340">
        <f>COUNTIF(Recordings!A:A,C407)</f>
        <v>0</v>
      </c>
      <c r="H407" s="340"/>
      <c r="I407" s="340"/>
      <c r="J407" s="340"/>
      <c r="K407" s="2"/>
      <c r="L407" s="2"/>
      <c r="M407" s="2"/>
      <c r="N407" s="2"/>
      <c r="O407" s="2"/>
      <c r="P407" s="2"/>
      <c r="Q407" s="2"/>
      <c r="R407" s="2"/>
      <c r="S407" s="2"/>
      <c r="T407" s="2"/>
      <c r="U407" s="2"/>
      <c r="V407" s="2"/>
      <c r="W407" s="2"/>
      <c r="X407" s="2"/>
      <c r="Y407" s="2"/>
      <c r="Z407" s="2"/>
      <c r="AA407" s="2"/>
      <c r="AB407" s="2"/>
    </row>
    <row r="408">
      <c r="B408" s="337"/>
      <c r="C408" s="336" t="s">
        <v>4036</v>
      </c>
      <c r="D408" s="337"/>
      <c r="E408" s="338"/>
      <c r="F408" s="339" t="str">
        <f t="shared" si="1"/>
        <v>בכלל לא</v>
      </c>
      <c r="G408" s="340">
        <f>COUNTIF(Recordings!A:A,C408)</f>
        <v>0</v>
      </c>
      <c r="H408" s="340"/>
      <c r="I408" s="340"/>
      <c r="J408" s="340"/>
      <c r="K408" s="2"/>
      <c r="L408" s="2"/>
      <c r="M408" s="2"/>
      <c r="N408" s="2"/>
      <c r="O408" s="2"/>
      <c r="P408" s="2"/>
      <c r="Q408" s="2"/>
      <c r="R408" s="2"/>
      <c r="S408" s="2"/>
      <c r="T408" s="2"/>
      <c r="U408" s="2"/>
      <c r="V408" s="2"/>
      <c r="W408" s="2"/>
      <c r="X408" s="2"/>
      <c r="Y408" s="2"/>
      <c r="Z408" s="2"/>
      <c r="AA408" s="2"/>
      <c r="AB408" s="2"/>
    </row>
    <row r="409">
      <c r="B409" s="337"/>
      <c r="C409" s="336" t="s">
        <v>4037</v>
      </c>
      <c r="D409" s="337"/>
      <c r="E409" s="338"/>
      <c r="F409" s="339" t="str">
        <f t="shared" si="1"/>
        <v>בכלל לא</v>
      </c>
      <c r="G409" s="340">
        <f>COUNTIF(Recordings!A:A,C409)</f>
        <v>0</v>
      </c>
      <c r="H409" s="340"/>
      <c r="I409" s="340"/>
      <c r="J409" s="340"/>
      <c r="K409" s="2"/>
      <c r="L409" s="2"/>
      <c r="M409" s="2"/>
      <c r="N409" s="2"/>
      <c r="O409" s="2"/>
      <c r="P409" s="2"/>
      <c r="Q409" s="2"/>
      <c r="R409" s="2"/>
      <c r="S409" s="2"/>
      <c r="T409" s="2"/>
      <c r="U409" s="2"/>
      <c r="V409" s="2"/>
      <c r="W409" s="2"/>
      <c r="X409" s="2"/>
      <c r="Y409" s="2"/>
      <c r="Z409" s="2"/>
      <c r="AA409" s="2"/>
      <c r="AB409" s="2"/>
    </row>
    <row r="410">
      <c r="B410" s="337"/>
      <c r="C410" s="336" t="s">
        <v>4038</v>
      </c>
      <c r="D410" s="337"/>
      <c r="E410" s="338"/>
      <c r="F410" s="339" t="str">
        <f t="shared" si="1"/>
        <v>בכלל לא</v>
      </c>
      <c r="G410" s="340">
        <f>COUNTIF(Recordings!A:A,C410)</f>
        <v>0</v>
      </c>
      <c r="H410" s="340"/>
      <c r="I410" s="340"/>
      <c r="J410" s="340"/>
      <c r="K410" s="2"/>
      <c r="L410" s="2"/>
      <c r="M410" s="2"/>
      <c r="N410" s="2"/>
      <c r="O410" s="2"/>
      <c r="P410" s="2"/>
      <c r="Q410" s="2"/>
      <c r="R410" s="2"/>
      <c r="S410" s="2"/>
      <c r="T410" s="2"/>
      <c r="U410" s="2"/>
      <c r="V410" s="2"/>
      <c r="W410" s="2"/>
      <c r="X410" s="2"/>
      <c r="Y410" s="2"/>
      <c r="Z410" s="2"/>
      <c r="AA410" s="2"/>
      <c r="AB410" s="2"/>
    </row>
    <row r="411">
      <c r="A411" s="346" t="s">
        <v>18</v>
      </c>
      <c r="B411" s="347" t="s">
        <v>19</v>
      </c>
      <c r="C411" s="346" t="s">
        <v>18</v>
      </c>
      <c r="D411" s="347" t="s">
        <v>20</v>
      </c>
      <c r="E411" s="348"/>
      <c r="F411" s="349" t="str">
        <f t="shared" si="1"/>
        <v>כן</v>
      </c>
      <c r="G411" s="350">
        <f>COUNTIF(Recordings!A:A,C411)</f>
        <v>2</v>
      </c>
      <c r="H411" s="350"/>
      <c r="I411" s="350"/>
      <c r="J411" s="350"/>
      <c r="K411" s="2"/>
      <c r="L411" s="2"/>
      <c r="M411" s="2"/>
      <c r="N411" s="2"/>
      <c r="O411" s="2"/>
      <c r="P411" s="2"/>
      <c r="Q411" s="2"/>
      <c r="R411" s="2"/>
      <c r="S411" s="2"/>
      <c r="T411" s="2"/>
      <c r="U411" s="2"/>
      <c r="V411" s="2"/>
      <c r="W411" s="2"/>
      <c r="X411" s="2"/>
      <c r="Y411" s="2"/>
      <c r="Z411" s="2"/>
      <c r="AA411" s="2"/>
      <c r="AB411" s="2"/>
    </row>
    <row r="412">
      <c r="B412" s="351"/>
      <c r="C412" s="346" t="s">
        <v>4039</v>
      </c>
      <c r="D412" s="351"/>
      <c r="E412" s="352"/>
      <c r="F412" s="349" t="str">
        <f t="shared" si="1"/>
        <v>בכלל לא</v>
      </c>
      <c r="G412" s="350">
        <f>COUNTIF(Recordings!A:A,C412)</f>
        <v>0</v>
      </c>
      <c r="H412" s="350"/>
      <c r="I412" s="350"/>
      <c r="J412" s="350"/>
      <c r="K412" s="2"/>
      <c r="L412" s="2"/>
      <c r="M412" s="2"/>
      <c r="N412" s="2"/>
      <c r="O412" s="2"/>
      <c r="P412" s="2"/>
      <c r="Q412" s="2"/>
      <c r="R412" s="2"/>
      <c r="S412" s="2"/>
      <c r="T412" s="2"/>
      <c r="U412" s="2"/>
      <c r="V412" s="2"/>
      <c r="W412" s="2"/>
      <c r="X412" s="2"/>
      <c r="Y412" s="2"/>
      <c r="Z412" s="2"/>
      <c r="AA412" s="2"/>
      <c r="AB412" s="2"/>
    </row>
    <row r="413">
      <c r="B413" s="351"/>
      <c r="C413" s="346" t="s">
        <v>4040</v>
      </c>
      <c r="D413" s="351"/>
      <c r="E413" s="352"/>
      <c r="F413" s="349" t="str">
        <f t="shared" si="1"/>
        <v>בכלל לא</v>
      </c>
      <c r="G413" s="350">
        <f>COUNTIF(Recordings!A:A,C413)</f>
        <v>0</v>
      </c>
      <c r="H413" s="350"/>
      <c r="I413" s="350"/>
      <c r="J413" s="350"/>
      <c r="K413" s="2"/>
      <c r="L413" s="2"/>
      <c r="M413" s="2"/>
      <c r="N413" s="2"/>
      <c r="O413" s="2"/>
      <c r="P413" s="2"/>
      <c r="Q413" s="2"/>
      <c r="R413" s="2"/>
      <c r="S413" s="2"/>
      <c r="T413" s="2"/>
      <c r="U413" s="2"/>
      <c r="V413" s="2"/>
      <c r="W413" s="2"/>
      <c r="X413" s="2"/>
      <c r="Y413" s="2"/>
      <c r="Z413" s="2"/>
      <c r="AA413" s="2"/>
      <c r="AB413" s="2"/>
    </row>
    <row r="414">
      <c r="B414" s="351"/>
      <c r="C414" s="346" t="s">
        <v>4041</v>
      </c>
      <c r="D414" s="351"/>
      <c r="E414" s="352"/>
      <c r="F414" s="349" t="str">
        <f t="shared" si="1"/>
        <v>בכלל לא</v>
      </c>
      <c r="G414" s="350">
        <f>COUNTIF(Recordings!A:A,C414)</f>
        <v>0</v>
      </c>
      <c r="H414" s="350"/>
      <c r="I414" s="350"/>
      <c r="J414" s="350"/>
      <c r="K414" s="2"/>
      <c r="L414" s="2"/>
      <c r="M414" s="2"/>
      <c r="N414" s="2"/>
      <c r="O414" s="2"/>
      <c r="P414" s="2"/>
      <c r="Q414" s="2"/>
      <c r="R414" s="2"/>
      <c r="S414" s="2"/>
      <c r="T414" s="2"/>
      <c r="U414" s="2"/>
      <c r="V414" s="2"/>
      <c r="W414" s="2"/>
      <c r="X414" s="2"/>
      <c r="Y414" s="2"/>
      <c r="Z414" s="2"/>
      <c r="AA414" s="2"/>
      <c r="AB414" s="2"/>
    </row>
    <row r="415">
      <c r="A415" s="353" t="s">
        <v>2467</v>
      </c>
      <c r="B415" s="354" t="s">
        <v>1892</v>
      </c>
      <c r="C415" s="353" t="s">
        <v>1891</v>
      </c>
      <c r="D415" s="355"/>
      <c r="E415" s="356"/>
      <c r="F415" s="357" t="str">
        <f t="shared" si="1"/>
        <v>כן</v>
      </c>
      <c r="G415" s="358">
        <f>COUNTIF(Recordings!A:A,C415)</f>
        <v>12</v>
      </c>
      <c r="H415" s="358"/>
      <c r="I415" s="358"/>
      <c r="J415" s="358"/>
      <c r="K415" s="2"/>
      <c r="L415" s="2"/>
      <c r="M415" s="2"/>
      <c r="N415" s="2"/>
      <c r="O415" s="2"/>
      <c r="P415" s="2"/>
      <c r="Q415" s="2"/>
      <c r="R415" s="2"/>
      <c r="S415" s="2"/>
      <c r="T415" s="2"/>
      <c r="U415" s="2"/>
      <c r="V415" s="2"/>
      <c r="W415" s="2"/>
      <c r="X415" s="2"/>
      <c r="Y415" s="2"/>
      <c r="Z415" s="2"/>
      <c r="AA415" s="2"/>
      <c r="AB415" s="2"/>
    </row>
    <row r="416">
      <c r="B416" s="355" t="s">
        <v>7</v>
      </c>
      <c r="C416" s="355" t="s">
        <v>6</v>
      </c>
      <c r="D416" s="355" t="s">
        <v>8</v>
      </c>
      <c r="E416" s="356"/>
      <c r="F416" s="357" t="str">
        <f t="shared" si="1"/>
        <v>כן</v>
      </c>
      <c r="G416" s="358">
        <f>COUNTIF(Recordings!A:A,C416)</f>
        <v>15</v>
      </c>
      <c r="H416" s="358"/>
      <c r="I416" s="358"/>
      <c r="J416" s="358"/>
      <c r="K416" s="2"/>
      <c r="L416" s="2"/>
      <c r="M416" s="2"/>
      <c r="N416" s="2"/>
      <c r="O416" s="2"/>
      <c r="P416" s="2"/>
      <c r="Q416" s="2"/>
      <c r="R416" s="2"/>
      <c r="S416" s="2"/>
      <c r="T416" s="2"/>
      <c r="U416" s="2"/>
      <c r="V416" s="2"/>
      <c r="W416" s="2"/>
      <c r="X416" s="2"/>
      <c r="Y416" s="2"/>
      <c r="Z416" s="2"/>
      <c r="AA416" s="2"/>
      <c r="AB416" s="2"/>
    </row>
    <row r="417">
      <c r="B417" s="355"/>
      <c r="C417" s="353" t="s">
        <v>4042</v>
      </c>
      <c r="D417" s="355"/>
      <c r="E417" s="356"/>
      <c r="F417" s="357" t="str">
        <f t="shared" si="1"/>
        <v>בכלל לא</v>
      </c>
      <c r="G417" s="358">
        <f>COUNTIF(Recordings!A:A,C417)</f>
        <v>0</v>
      </c>
      <c r="H417" s="358"/>
      <c r="I417" s="358"/>
      <c r="J417" s="358"/>
      <c r="K417" s="2"/>
      <c r="L417" s="2"/>
      <c r="M417" s="2"/>
      <c r="N417" s="2"/>
      <c r="O417" s="2"/>
      <c r="P417" s="2"/>
      <c r="Q417" s="2"/>
      <c r="R417" s="2"/>
      <c r="S417" s="2"/>
      <c r="T417" s="2"/>
      <c r="U417" s="2"/>
      <c r="V417" s="2"/>
      <c r="W417" s="2"/>
      <c r="X417" s="2"/>
      <c r="Y417" s="2"/>
      <c r="Z417" s="2"/>
      <c r="AA417" s="2"/>
      <c r="AB417" s="2"/>
    </row>
    <row r="418">
      <c r="B418" s="354" t="s">
        <v>34</v>
      </c>
      <c r="C418" s="353" t="s">
        <v>33</v>
      </c>
      <c r="D418" s="354" t="s">
        <v>35</v>
      </c>
      <c r="E418" s="356"/>
      <c r="F418" s="357" t="str">
        <f t="shared" si="1"/>
        <v>כן</v>
      </c>
      <c r="G418" s="358">
        <f>COUNTIF(Recordings!A:A,C418)</f>
        <v>5</v>
      </c>
      <c r="H418" s="358"/>
      <c r="I418" s="358"/>
      <c r="J418" s="358"/>
      <c r="K418" s="2"/>
      <c r="L418" s="2"/>
      <c r="M418" s="2"/>
      <c r="N418" s="2"/>
      <c r="O418" s="2"/>
      <c r="P418" s="2"/>
      <c r="Q418" s="2"/>
      <c r="R418" s="2"/>
      <c r="S418" s="2"/>
      <c r="T418" s="2"/>
      <c r="U418" s="2"/>
      <c r="V418" s="2"/>
      <c r="W418" s="2"/>
      <c r="X418" s="2"/>
      <c r="Y418" s="2"/>
      <c r="Z418" s="2"/>
      <c r="AA418" s="2"/>
      <c r="AB418" s="2"/>
    </row>
    <row r="419">
      <c r="B419" s="354" t="s">
        <v>43</v>
      </c>
      <c r="C419" s="353" t="s">
        <v>42</v>
      </c>
      <c r="D419" s="354" t="s">
        <v>44</v>
      </c>
      <c r="E419" s="356"/>
      <c r="F419" s="357" t="str">
        <f t="shared" si="1"/>
        <v>כן</v>
      </c>
      <c r="G419" s="358">
        <f>COUNTIF(Recordings!A:A,C419)</f>
        <v>6</v>
      </c>
      <c r="H419" s="358"/>
      <c r="I419" s="358"/>
      <c r="J419" s="358"/>
      <c r="K419" s="2"/>
      <c r="L419" s="2"/>
      <c r="M419" s="2"/>
      <c r="N419" s="2"/>
      <c r="O419" s="2"/>
      <c r="P419" s="2"/>
      <c r="Q419" s="2"/>
      <c r="R419" s="2"/>
      <c r="S419" s="2"/>
      <c r="T419" s="2"/>
      <c r="U419" s="2"/>
      <c r="V419" s="2"/>
      <c r="W419" s="2"/>
      <c r="X419" s="2"/>
      <c r="Y419" s="2"/>
      <c r="Z419" s="2"/>
      <c r="AA419" s="2"/>
      <c r="AB419" s="2"/>
    </row>
    <row r="420">
      <c r="B420" s="355"/>
      <c r="C420" s="353" t="s">
        <v>4043</v>
      </c>
      <c r="D420" s="355"/>
      <c r="E420" s="356"/>
      <c r="F420" s="357" t="str">
        <f t="shared" si="1"/>
        <v>בכלל לא</v>
      </c>
      <c r="G420" s="358">
        <f>COUNTIF(Recordings!A:A,C420)</f>
        <v>0</v>
      </c>
      <c r="H420" s="358"/>
      <c r="I420" s="358"/>
      <c r="J420" s="358"/>
      <c r="K420" s="2"/>
      <c r="L420" s="2"/>
      <c r="M420" s="2"/>
      <c r="N420" s="2"/>
      <c r="O420" s="2"/>
      <c r="P420" s="2"/>
      <c r="Q420" s="2"/>
      <c r="R420" s="2"/>
      <c r="S420" s="2"/>
      <c r="T420" s="2"/>
      <c r="U420" s="2"/>
      <c r="V420" s="2"/>
      <c r="W420" s="2"/>
      <c r="X420" s="2"/>
      <c r="Y420" s="2"/>
      <c r="Z420" s="2"/>
      <c r="AA420" s="2"/>
      <c r="AB420" s="2"/>
    </row>
    <row r="421">
      <c r="B421" s="355"/>
      <c r="C421" s="353" t="s">
        <v>4044</v>
      </c>
      <c r="D421" s="355"/>
      <c r="E421" s="356"/>
      <c r="F421" s="357" t="str">
        <f t="shared" si="1"/>
        <v>בכלל לא</v>
      </c>
      <c r="G421" s="358">
        <f>COUNTIF(Recordings!A:A,C421)</f>
        <v>0</v>
      </c>
      <c r="H421" s="358"/>
      <c r="I421" s="358"/>
      <c r="J421" s="358"/>
      <c r="K421" s="2"/>
      <c r="L421" s="2"/>
      <c r="M421" s="2"/>
      <c r="N421" s="2"/>
      <c r="O421" s="2"/>
      <c r="P421" s="2"/>
      <c r="Q421" s="2"/>
      <c r="R421" s="2"/>
      <c r="S421" s="2"/>
      <c r="T421" s="2"/>
      <c r="U421" s="2"/>
      <c r="V421" s="2"/>
      <c r="W421" s="2"/>
      <c r="X421" s="2"/>
      <c r="Y421" s="2"/>
      <c r="Z421" s="2"/>
      <c r="AA421" s="2"/>
      <c r="AB421" s="2"/>
    </row>
    <row r="422">
      <c r="B422" s="355"/>
      <c r="C422" s="353" t="s">
        <v>4045</v>
      </c>
      <c r="D422" s="355"/>
      <c r="E422" s="356"/>
      <c r="F422" s="357" t="str">
        <f t="shared" si="1"/>
        <v>בכלל לא</v>
      </c>
      <c r="G422" s="358">
        <f>COUNTIF(Recordings!A:A,C422)</f>
        <v>0</v>
      </c>
      <c r="H422" s="358"/>
      <c r="I422" s="358"/>
      <c r="J422" s="358"/>
      <c r="K422" s="2"/>
      <c r="L422" s="2"/>
      <c r="M422" s="2"/>
      <c r="N422" s="2"/>
      <c r="O422" s="2"/>
      <c r="P422" s="2"/>
      <c r="Q422" s="2"/>
      <c r="R422" s="2"/>
      <c r="S422" s="2"/>
      <c r="T422" s="2"/>
      <c r="U422" s="2"/>
      <c r="V422" s="2"/>
      <c r="W422" s="2"/>
      <c r="X422" s="2"/>
      <c r="Y422" s="2"/>
      <c r="Z422" s="2"/>
      <c r="AA422" s="2"/>
      <c r="AB422" s="2"/>
    </row>
    <row r="423">
      <c r="B423" s="355"/>
      <c r="C423" s="353" t="s">
        <v>4046</v>
      </c>
      <c r="D423" s="355"/>
      <c r="E423" s="356"/>
      <c r="F423" s="357" t="str">
        <f t="shared" si="1"/>
        <v>בכלל לא</v>
      </c>
      <c r="G423" s="358">
        <f>COUNTIF(Recordings!A:A,C423)</f>
        <v>0</v>
      </c>
      <c r="H423" s="358"/>
      <c r="I423" s="358"/>
      <c r="J423" s="358"/>
      <c r="K423" s="2"/>
      <c r="L423" s="2"/>
      <c r="M423" s="2"/>
      <c r="N423" s="2"/>
      <c r="O423" s="2"/>
      <c r="P423" s="2"/>
      <c r="Q423" s="2"/>
      <c r="R423" s="2"/>
      <c r="S423" s="2"/>
      <c r="T423" s="2"/>
      <c r="U423" s="2"/>
      <c r="V423" s="2"/>
      <c r="W423" s="2"/>
      <c r="X423" s="2"/>
      <c r="Y423" s="2"/>
      <c r="Z423" s="2"/>
      <c r="AA423" s="2"/>
      <c r="AB423" s="2"/>
    </row>
    <row r="424">
      <c r="B424" s="355"/>
      <c r="C424" s="353" t="s">
        <v>4047</v>
      </c>
      <c r="D424" s="355"/>
      <c r="E424" s="356"/>
      <c r="F424" s="357" t="str">
        <f t="shared" si="1"/>
        <v>בכלל לא</v>
      </c>
      <c r="G424" s="358">
        <f>COUNTIF(Recordings!A:A,C424)</f>
        <v>0</v>
      </c>
      <c r="H424" s="358"/>
      <c r="I424" s="358"/>
      <c r="J424" s="358"/>
      <c r="K424" s="2"/>
      <c r="L424" s="2"/>
      <c r="M424" s="2"/>
      <c r="N424" s="2"/>
      <c r="O424" s="2"/>
      <c r="P424" s="2"/>
      <c r="Q424" s="2"/>
      <c r="R424" s="2"/>
      <c r="S424" s="2"/>
      <c r="T424" s="2"/>
      <c r="U424" s="2"/>
      <c r="V424" s="2"/>
      <c r="W424" s="2"/>
      <c r="X424" s="2"/>
      <c r="Y424" s="2"/>
      <c r="Z424" s="2"/>
      <c r="AA424" s="2"/>
      <c r="AB424" s="2"/>
    </row>
    <row r="425">
      <c r="B425" s="355"/>
      <c r="C425" s="353" t="s">
        <v>4048</v>
      </c>
      <c r="D425" s="355"/>
      <c r="E425" s="356"/>
      <c r="F425" s="357" t="str">
        <f t="shared" si="1"/>
        <v>בכלל לא</v>
      </c>
      <c r="G425" s="358">
        <f>COUNTIF(Recordings!A:A,C425)</f>
        <v>0</v>
      </c>
      <c r="H425" s="358"/>
      <c r="I425" s="358"/>
      <c r="J425" s="358"/>
      <c r="K425" s="2"/>
      <c r="L425" s="2"/>
      <c r="M425" s="2"/>
      <c r="N425" s="2"/>
      <c r="O425" s="2"/>
      <c r="P425" s="2"/>
      <c r="Q425" s="2"/>
      <c r="R425" s="2"/>
      <c r="S425" s="2"/>
      <c r="T425" s="2"/>
      <c r="U425" s="2"/>
      <c r="V425" s="2"/>
      <c r="W425" s="2"/>
      <c r="X425" s="2"/>
      <c r="Y425" s="2"/>
      <c r="Z425" s="2"/>
      <c r="AA425" s="2"/>
      <c r="AB425" s="2"/>
    </row>
    <row r="426">
      <c r="B426" s="354" t="s">
        <v>2591</v>
      </c>
      <c r="C426" s="353" t="s">
        <v>75</v>
      </c>
      <c r="D426" s="354" t="s">
        <v>77</v>
      </c>
      <c r="E426" s="359"/>
      <c r="F426" s="357" t="str">
        <f t="shared" si="1"/>
        <v>כן</v>
      </c>
      <c r="G426" s="358">
        <f>COUNTIF(Recordings!A:A,C426)</f>
        <v>10</v>
      </c>
      <c r="H426" s="358"/>
      <c r="I426" s="358"/>
      <c r="J426" s="358"/>
      <c r="K426" s="2"/>
      <c r="L426" s="2"/>
      <c r="M426" s="2"/>
      <c r="N426" s="2"/>
      <c r="O426" s="2"/>
      <c r="P426" s="2"/>
      <c r="Q426" s="2"/>
      <c r="R426" s="2"/>
      <c r="S426" s="2"/>
      <c r="T426" s="2"/>
      <c r="U426" s="2"/>
      <c r="V426" s="2"/>
      <c r="W426" s="2"/>
      <c r="X426" s="2"/>
      <c r="Y426" s="2"/>
      <c r="Z426" s="2"/>
      <c r="AA426" s="2"/>
      <c r="AB426" s="2"/>
    </row>
    <row r="427">
      <c r="B427" s="354" t="s">
        <v>88</v>
      </c>
      <c r="C427" s="353" t="s">
        <v>87</v>
      </c>
      <c r="D427" s="354" t="s">
        <v>89</v>
      </c>
      <c r="E427" s="356"/>
      <c r="F427" s="357" t="str">
        <f t="shared" si="1"/>
        <v>כן</v>
      </c>
      <c r="G427" s="358">
        <f>COUNTIF(Recordings!A:A,C427)</f>
        <v>9</v>
      </c>
      <c r="H427" s="358"/>
      <c r="I427" s="358"/>
      <c r="J427" s="358"/>
      <c r="K427" s="2"/>
      <c r="L427" s="2"/>
      <c r="M427" s="2"/>
      <c r="N427" s="2"/>
      <c r="O427" s="2"/>
      <c r="P427" s="2"/>
      <c r="Q427" s="2"/>
      <c r="R427" s="2"/>
      <c r="S427" s="2"/>
      <c r="T427" s="2"/>
      <c r="U427" s="2"/>
      <c r="V427" s="2"/>
      <c r="W427" s="2"/>
      <c r="X427" s="2"/>
      <c r="Y427" s="2"/>
      <c r="Z427" s="2"/>
      <c r="AA427" s="2"/>
      <c r="AB427" s="2"/>
    </row>
    <row r="428">
      <c r="B428" s="360" t="s">
        <v>2003</v>
      </c>
      <c r="C428" s="353" t="s">
        <v>2002</v>
      </c>
      <c r="D428" s="354" t="s">
        <v>437</v>
      </c>
      <c r="E428" s="356"/>
      <c r="F428" s="357" t="str">
        <f t="shared" si="1"/>
        <v>כן</v>
      </c>
      <c r="G428" s="358">
        <f>COUNTIF(Recordings!A:A,C428)</f>
        <v>14</v>
      </c>
      <c r="H428" s="358"/>
      <c r="I428" s="358"/>
      <c r="J428" s="358"/>
      <c r="K428" s="2"/>
      <c r="L428" s="2"/>
      <c r="M428" s="2"/>
      <c r="N428" s="2"/>
      <c r="O428" s="2"/>
      <c r="P428" s="2"/>
      <c r="Q428" s="2"/>
      <c r="R428" s="2"/>
      <c r="S428" s="2"/>
      <c r="T428" s="2"/>
      <c r="U428" s="2"/>
      <c r="V428" s="2"/>
      <c r="W428" s="2"/>
      <c r="X428" s="2"/>
      <c r="Y428" s="2"/>
      <c r="Z428" s="2"/>
      <c r="AA428" s="2"/>
      <c r="AB428" s="2"/>
    </row>
    <row r="429">
      <c r="B429" s="354" t="s">
        <v>94</v>
      </c>
      <c r="C429" s="353" t="s">
        <v>93</v>
      </c>
      <c r="D429" s="354" t="s">
        <v>95</v>
      </c>
      <c r="E429" s="356"/>
      <c r="F429" s="357" t="str">
        <f t="shared" si="1"/>
        <v>כן</v>
      </c>
      <c r="G429" s="358">
        <f>COUNTIF(Recordings!A:A,C429)</f>
        <v>4</v>
      </c>
      <c r="H429" s="358"/>
      <c r="I429" s="358"/>
      <c r="J429" s="358"/>
      <c r="K429" s="2"/>
      <c r="L429" s="2"/>
      <c r="M429" s="2"/>
      <c r="N429" s="2"/>
      <c r="O429" s="2"/>
      <c r="P429" s="2"/>
      <c r="Q429" s="2"/>
      <c r="R429" s="2"/>
      <c r="S429" s="2"/>
      <c r="T429" s="2"/>
      <c r="U429" s="2"/>
      <c r="V429" s="2"/>
      <c r="W429" s="2"/>
      <c r="X429" s="2"/>
      <c r="Y429" s="2"/>
      <c r="Z429" s="2"/>
      <c r="AA429" s="2"/>
      <c r="AB429" s="2"/>
    </row>
    <row r="430">
      <c r="B430" s="354" t="s">
        <v>97</v>
      </c>
      <c r="C430" s="353" t="s">
        <v>96</v>
      </c>
      <c r="D430" s="354" t="s">
        <v>98</v>
      </c>
      <c r="E430" s="356"/>
      <c r="F430" s="357" t="str">
        <f t="shared" si="1"/>
        <v>כן</v>
      </c>
      <c r="G430" s="358">
        <f>COUNTIF(Recordings!A:A,C430)</f>
        <v>7</v>
      </c>
      <c r="H430" s="358"/>
      <c r="I430" s="358"/>
      <c r="J430" s="358"/>
      <c r="K430" s="2"/>
      <c r="L430" s="2"/>
      <c r="M430" s="2"/>
      <c r="N430" s="2"/>
      <c r="O430" s="2"/>
      <c r="P430" s="2"/>
      <c r="Q430" s="2"/>
      <c r="R430" s="2"/>
      <c r="S430" s="2"/>
      <c r="T430" s="2"/>
      <c r="U430" s="2"/>
      <c r="V430" s="2"/>
      <c r="W430" s="2"/>
      <c r="X430" s="2"/>
      <c r="Y430" s="2"/>
      <c r="Z430" s="2"/>
      <c r="AA430" s="2"/>
      <c r="AB430" s="2"/>
    </row>
    <row r="431">
      <c r="B431" s="354" t="s">
        <v>3354</v>
      </c>
      <c r="C431" s="353" t="s">
        <v>3353</v>
      </c>
      <c r="D431" s="354" t="s">
        <v>3355</v>
      </c>
      <c r="E431" s="356"/>
      <c r="F431" s="357" t="str">
        <f t="shared" si="1"/>
        <v>כן</v>
      </c>
      <c r="G431" s="358">
        <f>COUNTIF(Recordings!A:A,C431)</f>
        <v>1</v>
      </c>
      <c r="H431" s="358"/>
      <c r="I431" s="358"/>
      <c r="J431" s="358"/>
      <c r="K431" s="2"/>
      <c r="L431" s="2"/>
      <c r="M431" s="2"/>
      <c r="N431" s="2"/>
      <c r="O431" s="2"/>
      <c r="P431" s="2"/>
      <c r="Q431" s="2"/>
      <c r="R431" s="2"/>
      <c r="S431" s="2"/>
      <c r="T431" s="2"/>
      <c r="U431" s="2"/>
      <c r="V431" s="2"/>
      <c r="W431" s="2"/>
      <c r="X431" s="2"/>
      <c r="Y431" s="2"/>
      <c r="Z431" s="2"/>
      <c r="AA431" s="2"/>
      <c r="AB431" s="2"/>
    </row>
    <row r="432">
      <c r="B432" s="354" t="s">
        <v>109</v>
      </c>
      <c r="C432" s="353" t="s">
        <v>108</v>
      </c>
      <c r="D432" s="354" t="s">
        <v>110</v>
      </c>
      <c r="E432" s="356"/>
      <c r="F432" s="357" t="str">
        <f t="shared" si="1"/>
        <v>כן</v>
      </c>
      <c r="G432" s="358">
        <f>COUNTIF(Recordings!A:A,C432)</f>
        <v>6</v>
      </c>
      <c r="H432" s="358"/>
      <c r="I432" s="358"/>
      <c r="J432" s="358"/>
      <c r="K432" s="2"/>
      <c r="L432" s="2"/>
      <c r="M432" s="2"/>
      <c r="N432" s="2"/>
      <c r="O432" s="2"/>
      <c r="P432" s="2"/>
      <c r="Q432" s="2"/>
      <c r="R432" s="2"/>
      <c r="S432" s="2"/>
      <c r="T432" s="2"/>
      <c r="U432" s="2"/>
      <c r="V432" s="2"/>
      <c r="W432" s="2"/>
      <c r="X432" s="2"/>
      <c r="Y432" s="2"/>
      <c r="Z432" s="2"/>
      <c r="AA432" s="2"/>
      <c r="AB432" s="2"/>
    </row>
    <row r="433">
      <c r="B433" s="354" t="s">
        <v>136</v>
      </c>
      <c r="C433" s="353" t="s">
        <v>135</v>
      </c>
      <c r="D433" s="354" t="s">
        <v>137</v>
      </c>
      <c r="E433" s="356"/>
      <c r="F433" s="357" t="str">
        <f t="shared" si="1"/>
        <v>כן</v>
      </c>
      <c r="G433" s="358">
        <f>COUNTIF(Recordings!A:A,C433)</f>
        <v>5</v>
      </c>
      <c r="H433" s="358"/>
      <c r="I433" s="358"/>
      <c r="J433" s="358"/>
      <c r="K433" s="2"/>
      <c r="L433" s="2"/>
      <c r="M433" s="2"/>
      <c r="N433" s="2"/>
      <c r="O433" s="2"/>
      <c r="P433" s="2"/>
      <c r="Q433" s="2"/>
      <c r="R433" s="2"/>
      <c r="S433" s="2"/>
      <c r="T433" s="2"/>
      <c r="U433" s="2"/>
      <c r="V433" s="2"/>
      <c r="W433" s="2"/>
      <c r="X433" s="2"/>
      <c r="Y433" s="2"/>
      <c r="Z433" s="2"/>
      <c r="AA433" s="2"/>
      <c r="AB433" s="2"/>
    </row>
    <row r="434">
      <c r="B434" s="354" t="s">
        <v>2942</v>
      </c>
      <c r="C434" s="353" t="s">
        <v>2941</v>
      </c>
      <c r="D434" s="354" t="s">
        <v>2943</v>
      </c>
      <c r="E434" s="356"/>
      <c r="F434" s="357" t="str">
        <f t="shared" si="1"/>
        <v>כן</v>
      </c>
      <c r="G434" s="358">
        <f>COUNTIF(Recordings!A:A,C434)</f>
        <v>19</v>
      </c>
      <c r="H434" s="358"/>
      <c r="I434" s="358"/>
      <c r="J434" s="358"/>
      <c r="K434" s="2"/>
      <c r="L434" s="2"/>
      <c r="M434" s="2"/>
      <c r="N434" s="2"/>
      <c r="O434" s="2"/>
      <c r="P434" s="2"/>
      <c r="Q434" s="2"/>
      <c r="R434" s="2"/>
      <c r="S434" s="2"/>
      <c r="T434" s="2"/>
      <c r="U434" s="2"/>
      <c r="V434" s="2"/>
      <c r="W434" s="2"/>
      <c r="X434" s="2"/>
      <c r="Y434" s="2"/>
      <c r="Z434" s="2"/>
      <c r="AA434" s="2"/>
      <c r="AB434" s="2"/>
    </row>
    <row r="435">
      <c r="B435" s="355"/>
      <c r="C435" s="353" t="s">
        <v>4049</v>
      </c>
      <c r="D435" s="355"/>
      <c r="E435" s="356"/>
      <c r="F435" s="357" t="str">
        <f t="shared" si="1"/>
        <v>בכלל לא</v>
      </c>
      <c r="G435" s="358">
        <f>COUNTIF(Recordings!A:A,C435)</f>
        <v>0</v>
      </c>
      <c r="H435" s="358"/>
      <c r="I435" s="358"/>
      <c r="J435" s="358"/>
      <c r="K435" s="2"/>
      <c r="L435" s="2"/>
      <c r="M435" s="2"/>
      <c r="N435" s="2"/>
      <c r="O435" s="2"/>
      <c r="P435" s="2"/>
      <c r="Q435" s="2"/>
      <c r="R435" s="2"/>
      <c r="S435" s="2"/>
      <c r="T435" s="2"/>
      <c r="U435" s="2"/>
      <c r="V435" s="2"/>
      <c r="W435" s="2"/>
      <c r="X435" s="2"/>
      <c r="Y435" s="2"/>
      <c r="Z435" s="2"/>
      <c r="AA435" s="2"/>
      <c r="AB435" s="2"/>
    </row>
    <row r="436">
      <c r="B436" s="354" t="s">
        <v>2468</v>
      </c>
      <c r="C436" s="353" t="s">
        <v>2467</v>
      </c>
      <c r="D436" s="355"/>
      <c r="E436" s="356"/>
      <c r="F436" s="357" t="str">
        <f t="shared" si="1"/>
        <v>כן</v>
      </c>
      <c r="G436" s="358">
        <f>COUNTIF(Recordings!A:A,C436)</f>
        <v>9</v>
      </c>
      <c r="H436" s="358"/>
      <c r="I436" s="358"/>
      <c r="J436" s="358"/>
      <c r="K436" s="2"/>
      <c r="L436" s="2"/>
      <c r="M436" s="2"/>
      <c r="N436" s="2"/>
      <c r="O436" s="2"/>
      <c r="P436" s="2"/>
      <c r="Q436" s="2"/>
      <c r="R436" s="2"/>
      <c r="S436" s="2"/>
      <c r="T436" s="2"/>
      <c r="U436" s="2"/>
      <c r="V436" s="2"/>
      <c r="W436" s="2"/>
      <c r="X436" s="2"/>
      <c r="Y436" s="2"/>
      <c r="Z436" s="2"/>
      <c r="AA436" s="2"/>
      <c r="AB436" s="2"/>
    </row>
    <row r="437">
      <c r="B437" s="354" t="s">
        <v>154</v>
      </c>
      <c r="C437" s="355" t="s">
        <v>153</v>
      </c>
      <c r="D437" s="355" t="s">
        <v>155</v>
      </c>
      <c r="E437" s="356"/>
      <c r="F437" s="357" t="str">
        <f t="shared" si="1"/>
        <v>כן</v>
      </c>
      <c r="G437" s="358">
        <f>COUNTIF(Recordings!A:A,C437)</f>
        <v>21</v>
      </c>
      <c r="H437" s="358"/>
      <c r="I437" s="358"/>
      <c r="J437" s="358"/>
      <c r="K437" s="2"/>
      <c r="L437" s="2"/>
      <c r="M437" s="2"/>
      <c r="N437" s="2"/>
      <c r="O437" s="2"/>
      <c r="P437" s="2"/>
      <c r="Q437" s="2"/>
      <c r="R437" s="2"/>
      <c r="S437" s="2"/>
      <c r="T437" s="2"/>
      <c r="U437" s="2"/>
      <c r="V437" s="2"/>
      <c r="W437" s="2"/>
      <c r="X437" s="2"/>
      <c r="Y437" s="2"/>
      <c r="Z437" s="2"/>
      <c r="AA437" s="2"/>
      <c r="AB437" s="2"/>
    </row>
    <row r="438">
      <c r="B438" s="355" t="s">
        <v>160</v>
      </c>
      <c r="C438" s="355" t="s">
        <v>159</v>
      </c>
      <c r="D438" s="355" t="s">
        <v>161</v>
      </c>
      <c r="E438" s="356"/>
      <c r="F438" s="357" t="str">
        <f t="shared" si="1"/>
        <v>כן</v>
      </c>
      <c r="G438" s="358">
        <f>COUNTIF(Recordings!A:A,C438)</f>
        <v>9</v>
      </c>
      <c r="H438" s="358"/>
      <c r="I438" s="358"/>
      <c r="J438" s="358"/>
      <c r="K438" s="2"/>
      <c r="L438" s="2"/>
      <c r="M438" s="2"/>
      <c r="N438" s="2"/>
      <c r="O438" s="2"/>
      <c r="P438" s="2"/>
      <c r="Q438" s="2"/>
      <c r="R438" s="2"/>
      <c r="S438" s="2"/>
      <c r="T438" s="2"/>
      <c r="U438" s="2"/>
      <c r="V438" s="2"/>
      <c r="W438" s="2"/>
      <c r="X438" s="2"/>
      <c r="Y438" s="2"/>
      <c r="Z438" s="2"/>
      <c r="AA438" s="2"/>
      <c r="AB438" s="2"/>
    </row>
    <row r="439">
      <c r="B439" s="355" t="s">
        <v>163</v>
      </c>
      <c r="C439" s="355" t="s">
        <v>162</v>
      </c>
      <c r="D439" s="355" t="s">
        <v>164</v>
      </c>
      <c r="E439" s="356"/>
      <c r="F439" s="357" t="str">
        <f t="shared" si="1"/>
        <v>כן</v>
      </c>
      <c r="G439" s="358">
        <f>COUNTIF(Recordings!A:A,C439)</f>
        <v>33</v>
      </c>
      <c r="H439" s="358"/>
      <c r="I439" s="358"/>
      <c r="J439" s="358"/>
      <c r="K439" s="2"/>
      <c r="L439" s="2"/>
      <c r="M439" s="2"/>
      <c r="N439" s="2"/>
      <c r="O439" s="2"/>
      <c r="P439" s="2"/>
      <c r="Q439" s="2"/>
      <c r="R439" s="2"/>
      <c r="S439" s="2"/>
      <c r="T439" s="2"/>
      <c r="U439" s="2"/>
      <c r="V439" s="2"/>
      <c r="W439" s="2"/>
      <c r="X439" s="2"/>
      <c r="Y439" s="2"/>
      <c r="Z439" s="2"/>
      <c r="AA439" s="2"/>
      <c r="AB439" s="2"/>
    </row>
    <row r="440">
      <c r="B440" s="355" t="s">
        <v>166</v>
      </c>
      <c r="C440" s="355" t="s">
        <v>165</v>
      </c>
      <c r="D440" s="355" t="s">
        <v>167</v>
      </c>
      <c r="E440" s="356"/>
      <c r="F440" s="357" t="str">
        <f t="shared" si="1"/>
        <v>כן</v>
      </c>
      <c r="G440" s="358">
        <f>COUNTIF(Recordings!A:A,C440)</f>
        <v>22</v>
      </c>
      <c r="H440" s="358"/>
      <c r="I440" s="358"/>
      <c r="J440" s="358"/>
      <c r="K440" s="2"/>
      <c r="L440" s="2"/>
      <c r="M440" s="2"/>
      <c r="N440" s="2"/>
      <c r="O440" s="2"/>
      <c r="P440" s="2"/>
      <c r="Q440" s="2"/>
      <c r="R440" s="2"/>
      <c r="S440" s="2"/>
      <c r="T440" s="2"/>
      <c r="U440" s="2"/>
      <c r="V440" s="2"/>
      <c r="W440" s="2"/>
      <c r="X440" s="2"/>
      <c r="Y440" s="2"/>
      <c r="Z440" s="2"/>
      <c r="AA440" s="2"/>
      <c r="AB440" s="2"/>
    </row>
    <row r="441">
      <c r="B441" s="355" t="s">
        <v>183</v>
      </c>
      <c r="C441" s="355" t="s">
        <v>182</v>
      </c>
      <c r="D441" s="355" t="s">
        <v>184</v>
      </c>
      <c r="E441" s="356"/>
      <c r="F441" s="357" t="str">
        <f t="shared" si="1"/>
        <v>כן</v>
      </c>
      <c r="G441" s="358">
        <f>COUNTIF(Recordings!A:A,C441)</f>
        <v>8</v>
      </c>
      <c r="H441" s="358"/>
      <c r="I441" s="358"/>
      <c r="J441" s="358"/>
      <c r="K441" s="2"/>
      <c r="L441" s="2"/>
      <c r="M441" s="2"/>
      <c r="N441" s="2"/>
      <c r="O441" s="2"/>
      <c r="P441" s="2"/>
      <c r="Q441" s="2"/>
      <c r="R441" s="2"/>
      <c r="S441" s="2"/>
      <c r="T441" s="2"/>
      <c r="U441" s="2"/>
      <c r="V441" s="2"/>
      <c r="W441" s="2"/>
      <c r="X441" s="2"/>
      <c r="Y441" s="2"/>
      <c r="Z441" s="2"/>
      <c r="AA441" s="2"/>
      <c r="AB441" s="2"/>
    </row>
    <row r="442">
      <c r="B442" s="354" t="s">
        <v>174</v>
      </c>
      <c r="C442" s="353" t="s">
        <v>173</v>
      </c>
      <c r="D442" s="361"/>
      <c r="E442" s="356"/>
      <c r="F442" s="357" t="str">
        <f t="shared" si="1"/>
        <v>כן</v>
      </c>
      <c r="G442" s="358">
        <f>COUNTIF(Recordings!A:A,C442)</f>
        <v>9</v>
      </c>
      <c r="H442" s="358"/>
      <c r="I442" s="358"/>
      <c r="J442" s="358"/>
      <c r="K442" s="2"/>
      <c r="L442" s="2"/>
      <c r="M442" s="2"/>
      <c r="N442" s="2"/>
      <c r="O442" s="2"/>
      <c r="P442" s="2"/>
      <c r="Q442" s="2"/>
      <c r="R442" s="2"/>
      <c r="S442" s="2"/>
      <c r="T442" s="2"/>
      <c r="U442" s="2"/>
      <c r="V442" s="2"/>
      <c r="W442" s="2"/>
      <c r="X442" s="2"/>
      <c r="Y442" s="2"/>
      <c r="Z442" s="2"/>
      <c r="AA442" s="2"/>
      <c r="AB442" s="2"/>
    </row>
    <row r="443">
      <c r="B443" s="354" t="s">
        <v>118</v>
      </c>
      <c r="C443" s="353" t="s">
        <v>117</v>
      </c>
      <c r="D443" s="354" t="s">
        <v>119</v>
      </c>
      <c r="E443" s="356"/>
      <c r="F443" s="357" t="str">
        <f t="shared" si="1"/>
        <v>כן</v>
      </c>
      <c r="G443" s="358">
        <f>COUNTIF(Recordings!A:A,C443)</f>
        <v>12</v>
      </c>
      <c r="H443" s="358"/>
      <c r="I443" s="358"/>
      <c r="J443" s="358"/>
      <c r="K443" s="2"/>
      <c r="L443" s="2"/>
      <c r="M443" s="2"/>
      <c r="N443" s="2"/>
      <c r="O443" s="2"/>
      <c r="P443" s="2"/>
      <c r="Q443" s="2"/>
      <c r="R443" s="2"/>
      <c r="S443" s="2"/>
      <c r="T443" s="2"/>
      <c r="U443" s="2"/>
      <c r="V443" s="2"/>
      <c r="W443" s="2"/>
      <c r="X443" s="2"/>
      <c r="Y443" s="2"/>
      <c r="Z443" s="2"/>
      <c r="AA443" s="2"/>
      <c r="AB443" s="2"/>
    </row>
    <row r="444">
      <c r="B444" s="354" t="s">
        <v>121</v>
      </c>
      <c r="C444" s="353" t="s">
        <v>120</v>
      </c>
      <c r="D444" s="354" t="s">
        <v>122</v>
      </c>
      <c r="E444" s="356"/>
      <c r="F444" s="357" t="str">
        <f t="shared" si="1"/>
        <v>כן</v>
      </c>
      <c r="G444" s="358">
        <f>COUNTIF(Recordings!A:A,C444)</f>
        <v>6</v>
      </c>
      <c r="H444" s="358"/>
      <c r="I444" s="358"/>
      <c r="J444" s="358"/>
      <c r="K444" s="2"/>
      <c r="L444" s="2"/>
      <c r="M444" s="2"/>
      <c r="N444" s="2"/>
      <c r="O444" s="2"/>
      <c r="P444" s="2"/>
      <c r="Q444" s="2"/>
      <c r="R444" s="2"/>
      <c r="S444" s="2"/>
      <c r="T444" s="2"/>
      <c r="U444" s="2"/>
      <c r="V444" s="2"/>
      <c r="W444" s="2"/>
      <c r="X444" s="2"/>
      <c r="Y444" s="2"/>
      <c r="Z444" s="2"/>
      <c r="AA444" s="2"/>
      <c r="AB444" s="2"/>
    </row>
    <row r="445">
      <c r="B445" s="354" t="s">
        <v>198</v>
      </c>
      <c r="C445" s="353" t="s">
        <v>197</v>
      </c>
      <c r="D445" s="354" t="s">
        <v>199</v>
      </c>
      <c r="E445" s="356"/>
      <c r="F445" s="357" t="str">
        <f t="shared" si="1"/>
        <v>כן</v>
      </c>
      <c r="G445" s="358">
        <f>COUNTIF(Recordings!A:A,C445)</f>
        <v>10</v>
      </c>
      <c r="H445" s="358"/>
      <c r="I445" s="358"/>
      <c r="J445" s="358"/>
      <c r="K445" s="2"/>
      <c r="L445" s="2"/>
      <c r="M445" s="2"/>
      <c r="N445" s="2"/>
      <c r="O445" s="2"/>
      <c r="P445" s="2"/>
      <c r="Q445" s="2"/>
      <c r="R445" s="2"/>
      <c r="S445" s="2"/>
      <c r="T445" s="2"/>
      <c r="U445" s="2"/>
      <c r="V445" s="2"/>
      <c r="W445" s="2"/>
      <c r="X445" s="2"/>
      <c r="Y445" s="2"/>
      <c r="Z445" s="2"/>
      <c r="AA445" s="2"/>
      <c r="AB445" s="2"/>
    </row>
    <row r="446">
      <c r="B446" s="355"/>
      <c r="C446" s="353" t="s">
        <v>3806</v>
      </c>
      <c r="D446" s="355"/>
      <c r="E446" s="356"/>
      <c r="F446" s="357" t="str">
        <f t="shared" si="1"/>
        <v>בכלל לא</v>
      </c>
      <c r="G446" s="358">
        <f>COUNTIF(Recordings!A:A,C446)</f>
        <v>0</v>
      </c>
      <c r="H446" s="358"/>
      <c r="I446" s="358"/>
      <c r="J446" s="358"/>
      <c r="K446" s="2"/>
      <c r="L446" s="2"/>
      <c r="M446" s="2"/>
      <c r="N446" s="2"/>
      <c r="O446" s="2"/>
      <c r="P446" s="2"/>
      <c r="Q446" s="2"/>
      <c r="R446" s="2"/>
      <c r="S446" s="2"/>
      <c r="T446" s="2"/>
      <c r="U446" s="2"/>
      <c r="V446" s="2"/>
      <c r="W446" s="2"/>
      <c r="X446" s="2"/>
      <c r="Y446" s="2"/>
      <c r="Z446" s="2"/>
      <c r="AA446" s="2"/>
      <c r="AB446" s="2"/>
    </row>
    <row r="447">
      <c r="B447" s="354" t="s">
        <v>219</v>
      </c>
      <c r="C447" s="353" t="s">
        <v>218</v>
      </c>
      <c r="D447" s="354" t="s">
        <v>220</v>
      </c>
      <c r="E447" s="356"/>
      <c r="F447" s="357" t="str">
        <f t="shared" si="1"/>
        <v>כן</v>
      </c>
      <c r="G447" s="358">
        <f>COUNTIF(Recordings!A:A,C447)</f>
        <v>12</v>
      </c>
      <c r="H447" s="358"/>
      <c r="I447" s="358"/>
      <c r="J447" s="358"/>
      <c r="K447" s="2"/>
      <c r="L447" s="2"/>
      <c r="M447" s="2"/>
      <c r="N447" s="2"/>
      <c r="O447" s="2"/>
      <c r="P447" s="2"/>
      <c r="Q447" s="2"/>
      <c r="R447" s="2"/>
      <c r="S447" s="2"/>
      <c r="T447" s="2"/>
      <c r="U447" s="2"/>
      <c r="V447" s="2"/>
      <c r="W447" s="2"/>
      <c r="X447" s="2"/>
      <c r="Y447" s="2"/>
      <c r="Z447" s="2"/>
      <c r="AA447" s="2"/>
      <c r="AB447" s="2"/>
    </row>
    <row r="448">
      <c r="B448" s="362" t="s">
        <v>231</v>
      </c>
      <c r="C448" s="363" t="s">
        <v>230</v>
      </c>
      <c r="D448" s="364" t="s">
        <v>232</v>
      </c>
      <c r="E448" s="356"/>
      <c r="F448" s="357" t="str">
        <f t="shared" si="1"/>
        <v>כן</v>
      </c>
      <c r="G448" s="358">
        <f>COUNTIF(Recordings!A:A,C448)</f>
        <v>3</v>
      </c>
      <c r="H448" s="358"/>
      <c r="I448" s="358"/>
      <c r="J448" s="358"/>
      <c r="K448" s="2"/>
      <c r="L448" s="2"/>
      <c r="M448" s="2"/>
      <c r="N448" s="2"/>
      <c r="O448" s="2"/>
      <c r="P448" s="2"/>
      <c r="Q448" s="2"/>
      <c r="R448" s="2"/>
      <c r="S448" s="2"/>
      <c r="T448" s="2"/>
      <c r="U448" s="2"/>
      <c r="V448" s="2"/>
      <c r="W448" s="2"/>
      <c r="X448" s="2"/>
      <c r="Y448" s="2"/>
      <c r="Z448" s="2"/>
      <c r="AA448" s="2"/>
      <c r="AB448" s="2"/>
    </row>
    <row r="449">
      <c r="B449" s="355"/>
      <c r="C449" s="353" t="s">
        <v>4050</v>
      </c>
      <c r="D449" s="355"/>
      <c r="E449" s="356"/>
      <c r="F449" s="357" t="str">
        <f t="shared" si="1"/>
        <v>בכלל לא</v>
      </c>
      <c r="G449" s="358">
        <f>COUNTIF(Recordings!A:A,C449)</f>
        <v>0</v>
      </c>
      <c r="H449" s="358"/>
      <c r="I449" s="358"/>
      <c r="J449" s="358"/>
      <c r="K449" s="2"/>
      <c r="L449" s="2"/>
      <c r="M449" s="2"/>
      <c r="N449" s="2"/>
      <c r="O449" s="2"/>
      <c r="P449" s="2"/>
      <c r="Q449" s="2"/>
      <c r="R449" s="2"/>
      <c r="S449" s="2"/>
      <c r="T449" s="2"/>
      <c r="U449" s="2"/>
      <c r="V449" s="2"/>
      <c r="W449" s="2"/>
      <c r="X449" s="2"/>
      <c r="Y449" s="2"/>
      <c r="Z449" s="2"/>
      <c r="AA449" s="2"/>
      <c r="AB449" s="2"/>
    </row>
    <row r="450">
      <c r="B450" s="355"/>
      <c r="C450" s="353" t="s">
        <v>3979</v>
      </c>
      <c r="D450" s="355"/>
      <c r="E450" s="356"/>
      <c r="F450" s="357" t="str">
        <f t="shared" si="1"/>
        <v>בכלל לא</v>
      </c>
      <c r="G450" s="358">
        <f>COUNTIF(Recordings!A:A,C450)</f>
        <v>0</v>
      </c>
      <c r="H450" s="358"/>
      <c r="I450" s="358"/>
      <c r="J450" s="358"/>
      <c r="K450" s="2"/>
      <c r="L450" s="2"/>
      <c r="M450" s="2"/>
      <c r="N450" s="2"/>
      <c r="O450" s="2"/>
      <c r="P450" s="2"/>
      <c r="Q450" s="2"/>
      <c r="R450" s="2"/>
      <c r="S450" s="2"/>
      <c r="T450" s="2"/>
      <c r="U450" s="2"/>
      <c r="V450" s="2"/>
      <c r="W450" s="2"/>
      <c r="X450" s="2"/>
      <c r="Y450" s="2"/>
      <c r="Z450" s="2"/>
      <c r="AA450" s="2"/>
      <c r="AB450" s="2"/>
    </row>
    <row r="451">
      <c r="B451" s="354" t="s">
        <v>2207</v>
      </c>
      <c r="C451" s="353" t="s">
        <v>2206</v>
      </c>
      <c r="D451" s="355"/>
      <c r="E451" s="356"/>
      <c r="F451" s="357" t="str">
        <f t="shared" si="1"/>
        <v>כן</v>
      </c>
      <c r="G451" s="358">
        <f>COUNTIF(Recordings!A:A,C451)</f>
        <v>15</v>
      </c>
      <c r="H451" s="358"/>
      <c r="I451" s="358"/>
      <c r="J451" s="358"/>
      <c r="K451" s="2"/>
      <c r="L451" s="2"/>
      <c r="M451" s="2"/>
      <c r="N451" s="2"/>
      <c r="O451" s="2"/>
      <c r="P451" s="2"/>
      <c r="Q451" s="2"/>
      <c r="R451" s="2"/>
      <c r="S451" s="2"/>
      <c r="T451" s="2"/>
      <c r="U451" s="2"/>
      <c r="V451" s="2"/>
      <c r="W451" s="2"/>
      <c r="X451" s="2"/>
      <c r="Y451" s="2"/>
      <c r="Z451" s="2"/>
      <c r="AA451" s="2"/>
      <c r="AB451" s="2"/>
    </row>
    <row r="452">
      <c r="B452" s="354" t="s">
        <v>292</v>
      </c>
      <c r="C452" s="353" t="s">
        <v>291</v>
      </c>
      <c r="D452" s="354" t="s">
        <v>293</v>
      </c>
      <c r="E452" s="356"/>
      <c r="F452" s="357" t="str">
        <f t="shared" si="1"/>
        <v>כן</v>
      </c>
      <c r="G452" s="358">
        <f>COUNTIF(Recordings!A:A,C452)</f>
        <v>9</v>
      </c>
      <c r="H452" s="358"/>
      <c r="I452" s="358"/>
      <c r="J452" s="358"/>
      <c r="K452" s="2"/>
      <c r="L452" s="2"/>
      <c r="M452" s="2"/>
      <c r="N452" s="2"/>
      <c r="O452" s="2"/>
      <c r="P452" s="2"/>
      <c r="Q452" s="2"/>
      <c r="R452" s="2"/>
      <c r="S452" s="2"/>
      <c r="T452" s="2"/>
      <c r="U452" s="2"/>
      <c r="V452" s="2"/>
      <c r="W452" s="2"/>
      <c r="X452" s="2"/>
      <c r="Y452" s="2"/>
      <c r="Z452" s="2"/>
      <c r="AA452" s="2"/>
      <c r="AB452" s="2"/>
    </row>
    <row r="453">
      <c r="B453" s="355" t="s">
        <v>298</v>
      </c>
      <c r="C453" s="355" t="s">
        <v>297</v>
      </c>
      <c r="D453" s="355" t="s">
        <v>299</v>
      </c>
      <c r="E453" s="356"/>
      <c r="F453" s="357" t="str">
        <f t="shared" si="1"/>
        <v>כן</v>
      </c>
      <c r="G453" s="358">
        <f>COUNTIF(Recordings!A:A,C453)</f>
        <v>7</v>
      </c>
      <c r="H453" s="358"/>
      <c r="I453" s="358"/>
      <c r="J453" s="358"/>
      <c r="K453" s="2"/>
      <c r="L453" s="2"/>
      <c r="M453" s="2"/>
      <c r="N453" s="2"/>
      <c r="O453" s="2"/>
      <c r="P453" s="2"/>
      <c r="Q453" s="2"/>
      <c r="R453" s="2"/>
      <c r="S453" s="2"/>
      <c r="T453" s="2"/>
      <c r="U453" s="2"/>
      <c r="V453" s="2"/>
      <c r="W453" s="2"/>
      <c r="X453" s="2"/>
      <c r="Y453" s="2"/>
      <c r="Z453" s="2"/>
      <c r="AA453" s="2"/>
      <c r="AB453" s="2"/>
    </row>
    <row r="454">
      <c r="B454" s="354" t="s">
        <v>316</v>
      </c>
      <c r="C454" s="353" t="s">
        <v>315</v>
      </c>
      <c r="D454" s="354" t="s">
        <v>317</v>
      </c>
      <c r="E454" s="356"/>
      <c r="F454" s="357" t="str">
        <f t="shared" si="1"/>
        <v>כן</v>
      </c>
      <c r="G454" s="358">
        <f>COUNTIF(Recordings!A:A,C454)</f>
        <v>9</v>
      </c>
      <c r="H454" s="358"/>
      <c r="I454" s="358"/>
      <c r="J454" s="358"/>
      <c r="K454" s="2"/>
      <c r="L454" s="2"/>
      <c r="M454" s="2"/>
      <c r="N454" s="2"/>
      <c r="O454" s="2"/>
      <c r="P454" s="2"/>
      <c r="Q454" s="2"/>
      <c r="R454" s="2"/>
      <c r="S454" s="2"/>
      <c r="T454" s="2"/>
      <c r="U454" s="2"/>
      <c r="V454" s="2"/>
      <c r="W454" s="2"/>
      <c r="X454" s="2"/>
      <c r="Y454" s="2"/>
      <c r="Z454" s="2"/>
      <c r="AA454" s="2"/>
      <c r="AB454" s="2"/>
    </row>
    <row r="455">
      <c r="B455" s="362" t="s">
        <v>319</v>
      </c>
      <c r="C455" s="353" t="s">
        <v>318</v>
      </c>
      <c r="D455" s="364" t="s">
        <v>320</v>
      </c>
      <c r="E455" s="365"/>
      <c r="F455" s="357" t="str">
        <f t="shared" si="1"/>
        <v>כן</v>
      </c>
      <c r="G455" s="358">
        <f>COUNTIF(Recordings!A:A,C455)</f>
        <v>5</v>
      </c>
      <c r="H455" s="358"/>
      <c r="I455" s="358"/>
      <c r="J455" s="358"/>
      <c r="K455" s="2"/>
      <c r="L455" s="2"/>
      <c r="M455" s="2"/>
      <c r="N455" s="2"/>
      <c r="O455" s="2"/>
      <c r="P455" s="2"/>
      <c r="Q455" s="2"/>
      <c r="R455" s="2"/>
      <c r="S455" s="2"/>
      <c r="T455" s="2"/>
      <c r="U455" s="2"/>
      <c r="V455" s="2"/>
      <c r="W455" s="2"/>
      <c r="X455" s="2"/>
      <c r="Y455" s="2"/>
      <c r="Z455" s="2"/>
      <c r="AA455" s="2"/>
      <c r="AB455" s="2"/>
    </row>
    <row r="456">
      <c r="B456" s="362" t="s">
        <v>448</v>
      </c>
      <c r="C456" s="353" t="s">
        <v>447</v>
      </c>
      <c r="D456" s="364" t="s">
        <v>449</v>
      </c>
      <c r="E456" s="365"/>
      <c r="F456" s="357" t="str">
        <f t="shared" si="1"/>
        <v>כן</v>
      </c>
      <c r="G456" s="358">
        <f>COUNTIF(Recordings!A:A,C456)</f>
        <v>19</v>
      </c>
      <c r="H456" s="358"/>
      <c r="I456" s="358"/>
      <c r="J456" s="358"/>
      <c r="K456" s="2"/>
      <c r="L456" s="2"/>
      <c r="M456" s="2"/>
      <c r="N456" s="2"/>
      <c r="O456" s="2"/>
      <c r="P456" s="2"/>
      <c r="Q456" s="2"/>
      <c r="R456" s="2"/>
      <c r="S456" s="2"/>
      <c r="T456" s="2"/>
      <c r="U456" s="2"/>
      <c r="V456" s="2"/>
      <c r="W456" s="2"/>
      <c r="X456" s="2"/>
      <c r="Y456" s="2"/>
      <c r="Z456" s="2"/>
      <c r="AA456" s="2"/>
      <c r="AB456" s="2"/>
    </row>
    <row r="457">
      <c r="B457" s="355" t="s">
        <v>468</v>
      </c>
      <c r="C457" s="355" t="s">
        <v>467</v>
      </c>
      <c r="D457" s="355" t="s">
        <v>469</v>
      </c>
      <c r="E457" s="356"/>
      <c r="F457" s="357" t="str">
        <f t="shared" si="1"/>
        <v>כן</v>
      </c>
      <c r="G457" s="358">
        <f>COUNTIF(Recordings!A:A,C457)</f>
        <v>3</v>
      </c>
      <c r="H457" s="358"/>
      <c r="I457" s="358"/>
      <c r="J457" s="358"/>
      <c r="K457" s="2"/>
      <c r="L457" s="2"/>
      <c r="M457" s="2"/>
      <c r="N457" s="2"/>
      <c r="O457" s="2"/>
      <c r="P457" s="2"/>
      <c r="Q457" s="2"/>
      <c r="R457" s="2"/>
      <c r="S457" s="2"/>
      <c r="T457" s="2"/>
      <c r="U457" s="2"/>
      <c r="V457" s="2"/>
      <c r="W457" s="2"/>
      <c r="X457" s="2"/>
      <c r="Y457" s="2"/>
      <c r="Z457" s="2"/>
      <c r="AA457" s="2"/>
      <c r="AB457" s="2"/>
    </row>
    <row r="458">
      <c r="B458" s="355"/>
      <c r="C458" s="353" t="s">
        <v>4051</v>
      </c>
      <c r="D458" s="355"/>
      <c r="E458" s="356"/>
      <c r="F458" s="357" t="str">
        <f t="shared" si="1"/>
        <v>בכלל לא</v>
      </c>
      <c r="G458" s="358">
        <f>COUNTIF(Recordings!A:A,C458)</f>
        <v>0</v>
      </c>
      <c r="H458" s="358"/>
      <c r="I458" s="358"/>
      <c r="J458" s="358"/>
      <c r="K458" s="2"/>
      <c r="L458" s="2"/>
      <c r="M458" s="2"/>
      <c r="N458" s="2"/>
      <c r="O458" s="2"/>
      <c r="P458" s="2"/>
      <c r="Q458" s="2"/>
      <c r="R458" s="2"/>
      <c r="S458" s="2"/>
      <c r="T458" s="2"/>
      <c r="U458" s="2"/>
      <c r="V458" s="2"/>
      <c r="W458" s="2"/>
      <c r="X458" s="2"/>
      <c r="Y458" s="2"/>
      <c r="Z458" s="2"/>
      <c r="AA458" s="2"/>
      <c r="AB458" s="2"/>
    </row>
    <row r="459">
      <c r="B459" s="354" t="s">
        <v>2725</v>
      </c>
      <c r="C459" s="353" t="s">
        <v>2724</v>
      </c>
      <c r="D459" s="355"/>
      <c r="E459" s="356"/>
      <c r="F459" s="357" t="str">
        <f t="shared" si="1"/>
        <v>כן</v>
      </c>
      <c r="G459" s="358">
        <f>COUNTIF(Recordings!A:A,C459)</f>
        <v>10</v>
      </c>
      <c r="H459" s="358"/>
      <c r="I459" s="358"/>
      <c r="J459" s="358"/>
      <c r="K459" s="2"/>
      <c r="L459" s="2"/>
      <c r="M459" s="2"/>
      <c r="N459" s="2"/>
      <c r="O459" s="2"/>
      <c r="P459" s="2"/>
      <c r="Q459" s="2"/>
      <c r="R459" s="2"/>
      <c r="S459" s="2"/>
      <c r="T459" s="2"/>
      <c r="U459" s="2"/>
      <c r="V459" s="2"/>
      <c r="W459" s="2"/>
      <c r="X459" s="2"/>
      <c r="Y459" s="2"/>
      <c r="Z459" s="2"/>
      <c r="AA459" s="2"/>
      <c r="AB459" s="2"/>
    </row>
    <row r="460">
      <c r="B460" s="354" t="s">
        <v>3238</v>
      </c>
      <c r="C460" s="353" t="s">
        <v>485</v>
      </c>
      <c r="D460" s="354" t="s">
        <v>487</v>
      </c>
      <c r="E460" s="356"/>
      <c r="F460" s="357" t="str">
        <f t="shared" si="1"/>
        <v>כן</v>
      </c>
      <c r="G460" s="358">
        <f>COUNTIF(Recordings!A:A,C460)</f>
        <v>6</v>
      </c>
      <c r="H460" s="358"/>
      <c r="I460" s="358"/>
      <c r="J460" s="358"/>
      <c r="K460" s="2"/>
      <c r="L460" s="2"/>
      <c r="M460" s="2"/>
      <c r="N460" s="2"/>
      <c r="O460" s="2"/>
      <c r="P460" s="2"/>
      <c r="Q460" s="2"/>
      <c r="R460" s="2"/>
      <c r="S460" s="2"/>
      <c r="T460" s="2"/>
      <c r="U460" s="2"/>
      <c r="V460" s="2"/>
      <c r="W460" s="2"/>
      <c r="X460" s="2"/>
      <c r="Y460" s="2"/>
      <c r="Z460" s="2"/>
      <c r="AA460" s="2"/>
      <c r="AB460" s="2"/>
    </row>
    <row r="461">
      <c r="B461" s="355"/>
      <c r="C461" s="353" t="s">
        <v>4052</v>
      </c>
      <c r="D461" s="355"/>
      <c r="E461" s="356"/>
      <c r="F461" s="357" t="str">
        <f t="shared" si="1"/>
        <v>בכלל לא</v>
      </c>
      <c r="G461" s="358">
        <f>COUNTIF(Recordings!A:A,C461)</f>
        <v>0</v>
      </c>
      <c r="H461" s="358"/>
      <c r="I461" s="358"/>
      <c r="J461" s="358"/>
      <c r="K461" s="2"/>
      <c r="L461" s="2"/>
      <c r="M461" s="2"/>
      <c r="N461" s="2"/>
      <c r="O461" s="2"/>
      <c r="P461" s="2"/>
      <c r="Q461" s="2"/>
      <c r="R461" s="2"/>
      <c r="S461" s="2"/>
      <c r="T461" s="2"/>
      <c r="U461" s="2"/>
      <c r="V461" s="2"/>
      <c r="W461" s="2"/>
      <c r="X461" s="2"/>
      <c r="Y461" s="2"/>
      <c r="Z461" s="2"/>
      <c r="AA461" s="2"/>
      <c r="AB461" s="2"/>
    </row>
    <row r="462">
      <c r="B462" s="355"/>
      <c r="C462" s="353" t="s">
        <v>4053</v>
      </c>
      <c r="D462" s="355"/>
      <c r="E462" s="356"/>
      <c r="F462" s="357" t="str">
        <f t="shared" si="1"/>
        <v>בכלל לא</v>
      </c>
      <c r="G462" s="358">
        <f>COUNTIF(Recordings!A:A,C462)</f>
        <v>0</v>
      </c>
      <c r="H462" s="358"/>
      <c r="I462" s="358"/>
      <c r="J462" s="358"/>
      <c r="K462" s="2"/>
      <c r="L462" s="2"/>
      <c r="M462" s="2"/>
      <c r="N462" s="2"/>
      <c r="O462" s="2"/>
      <c r="P462" s="2"/>
      <c r="Q462" s="2"/>
      <c r="R462" s="2"/>
      <c r="S462" s="2"/>
      <c r="T462" s="2"/>
      <c r="U462" s="2"/>
      <c r="V462" s="2"/>
      <c r="W462" s="2"/>
      <c r="X462" s="2"/>
      <c r="Y462" s="2"/>
      <c r="Z462" s="2"/>
      <c r="AA462" s="2"/>
      <c r="AB462" s="2"/>
    </row>
    <row r="463">
      <c r="B463" s="354" t="s">
        <v>516</v>
      </c>
      <c r="C463" s="353" t="s">
        <v>515</v>
      </c>
      <c r="D463" s="354" t="s">
        <v>517</v>
      </c>
      <c r="E463" s="356"/>
      <c r="F463" s="357" t="str">
        <f t="shared" si="1"/>
        <v>כן</v>
      </c>
      <c r="G463" s="358">
        <f>COUNTIF(Recordings!A:A,C463)</f>
        <v>9</v>
      </c>
      <c r="H463" s="358"/>
      <c r="I463" s="358"/>
      <c r="J463" s="358"/>
      <c r="K463" s="2"/>
      <c r="L463" s="2"/>
      <c r="M463" s="2"/>
      <c r="N463" s="2"/>
      <c r="O463" s="2"/>
      <c r="P463" s="2"/>
      <c r="Q463" s="2"/>
      <c r="R463" s="2"/>
      <c r="S463" s="2"/>
      <c r="T463" s="2"/>
      <c r="U463" s="2"/>
      <c r="V463" s="2"/>
      <c r="W463" s="2"/>
      <c r="X463" s="2"/>
      <c r="Y463" s="2"/>
      <c r="Z463" s="2"/>
      <c r="AA463" s="2"/>
      <c r="AB463" s="2"/>
    </row>
    <row r="464">
      <c r="B464" s="355"/>
      <c r="C464" s="353" t="s">
        <v>4054</v>
      </c>
      <c r="D464" s="355"/>
      <c r="E464" s="356"/>
      <c r="F464" s="357" t="str">
        <f t="shared" si="1"/>
        <v>בכלל לא</v>
      </c>
      <c r="G464" s="358">
        <f>COUNTIF(Recordings!A:A,C464)</f>
        <v>0</v>
      </c>
      <c r="H464" s="358"/>
      <c r="I464" s="358"/>
      <c r="J464" s="358"/>
      <c r="K464" s="2"/>
      <c r="L464" s="2"/>
      <c r="M464" s="2"/>
      <c r="N464" s="2"/>
      <c r="O464" s="2"/>
      <c r="P464" s="2"/>
      <c r="Q464" s="2"/>
      <c r="R464" s="2"/>
      <c r="S464" s="2"/>
      <c r="T464" s="2"/>
      <c r="U464" s="2"/>
      <c r="V464" s="2"/>
      <c r="W464" s="2"/>
      <c r="X464" s="2"/>
      <c r="Y464" s="2"/>
      <c r="Z464" s="2"/>
      <c r="AA464" s="2"/>
      <c r="AB464" s="2"/>
    </row>
    <row r="465">
      <c r="B465" s="355"/>
      <c r="C465" s="353" t="s">
        <v>4055</v>
      </c>
      <c r="D465" s="355"/>
      <c r="E465" s="356"/>
      <c r="F465" s="357" t="str">
        <f t="shared" si="1"/>
        <v>בכלל לא</v>
      </c>
      <c r="G465" s="358">
        <f>COUNTIF(Recordings!A:A,C465)</f>
        <v>0</v>
      </c>
      <c r="H465" s="358"/>
      <c r="I465" s="358"/>
      <c r="J465" s="358"/>
      <c r="K465" s="2"/>
      <c r="L465" s="2"/>
      <c r="M465" s="2"/>
      <c r="N465" s="2"/>
      <c r="O465" s="2"/>
      <c r="P465" s="2"/>
      <c r="Q465" s="2"/>
      <c r="R465" s="2"/>
      <c r="S465" s="2"/>
      <c r="T465" s="2"/>
      <c r="U465" s="2"/>
      <c r="V465" s="2"/>
      <c r="W465" s="2"/>
      <c r="X465" s="2"/>
      <c r="Y465" s="2"/>
      <c r="Z465" s="2"/>
      <c r="AA465" s="2"/>
      <c r="AB465" s="2"/>
    </row>
    <row r="466">
      <c r="A466" s="366" t="s">
        <v>2345</v>
      </c>
      <c r="B466" s="367" t="s">
        <v>2346</v>
      </c>
      <c r="C466" s="366" t="s">
        <v>2345</v>
      </c>
      <c r="D466" s="368"/>
      <c r="E466" s="369"/>
      <c r="F466" s="370" t="str">
        <f t="shared" si="1"/>
        <v>כן</v>
      </c>
      <c r="G466" s="371">
        <f>COUNTIF(Recordings!A:A,C466)</f>
        <v>4</v>
      </c>
      <c r="H466" s="371"/>
      <c r="I466" s="371"/>
      <c r="J466" s="371"/>
      <c r="K466" s="2"/>
      <c r="L466" s="2"/>
      <c r="M466" s="2"/>
      <c r="N466" s="2"/>
      <c r="O466" s="2"/>
      <c r="P466" s="2"/>
      <c r="Q466" s="2"/>
      <c r="R466" s="2"/>
      <c r="S466" s="2"/>
      <c r="T466" s="2"/>
      <c r="U466" s="2"/>
      <c r="V466" s="2"/>
      <c r="W466" s="2"/>
      <c r="X466" s="2"/>
      <c r="Y466" s="2"/>
      <c r="Z466" s="2"/>
      <c r="AA466" s="2"/>
      <c r="AB466" s="2"/>
    </row>
    <row r="467">
      <c r="B467" s="367" t="s">
        <v>10</v>
      </c>
      <c r="C467" s="366" t="s">
        <v>9</v>
      </c>
      <c r="D467" s="367" t="s">
        <v>11</v>
      </c>
      <c r="E467" s="369"/>
      <c r="F467" s="370" t="str">
        <f t="shared" si="1"/>
        <v>כן</v>
      </c>
      <c r="G467" s="371">
        <f>COUNTIF(Recordings!A:A,C467)</f>
        <v>4</v>
      </c>
      <c r="H467" s="371"/>
      <c r="I467" s="371"/>
      <c r="J467" s="371"/>
      <c r="K467" s="2"/>
      <c r="L467" s="2"/>
      <c r="M467" s="2"/>
      <c r="N467" s="2"/>
      <c r="O467" s="2"/>
      <c r="P467" s="2"/>
      <c r="Q467" s="2"/>
      <c r="R467" s="2"/>
      <c r="S467" s="2"/>
      <c r="T467" s="2"/>
      <c r="U467" s="2"/>
      <c r="V467" s="2"/>
      <c r="W467" s="2"/>
      <c r="X467" s="2"/>
      <c r="Y467" s="2"/>
      <c r="Z467" s="2"/>
      <c r="AA467" s="2"/>
      <c r="AB467" s="2"/>
    </row>
    <row r="468">
      <c r="B468" s="367" t="s">
        <v>49</v>
      </c>
      <c r="C468" s="366" t="s">
        <v>48</v>
      </c>
      <c r="D468" s="367" t="s">
        <v>50</v>
      </c>
      <c r="E468" s="369"/>
      <c r="F468" s="370" t="str">
        <f t="shared" si="1"/>
        <v>כן</v>
      </c>
      <c r="G468" s="371">
        <f>COUNTIF(Recordings!A:A,C468)</f>
        <v>3</v>
      </c>
      <c r="H468" s="371"/>
      <c r="I468" s="371"/>
      <c r="J468" s="371"/>
      <c r="K468" s="2"/>
      <c r="L468" s="2"/>
      <c r="M468" s="2"/>
      <c r="N468" s="2"/>
      <c r="O468" s="2"/>
      <c r="P468" s="2"/>
      <c r="Q468" s="2"/>
      <c r="R468" s="2"/>
      <c r="S468" s="2"/>
      <c r="T468" s="2"/>
      <c r="U468" s="2"/>
      <c r="V468" s="2"/>
      <c r="W468" s="2"/>
      <c r="X468" s="2"/>
      <c r="Y468" s="2"/>
      <c r="Z468" s="2"/>
      <c r="AA468" s="2"/>
      <c r="AB468" s="2"/>
    </row>
    <row r="469">
      <c r="B469" s="368"/>
      <c r="C469" s="366" t="s">
        <v>4056</v>
      </c>
      <c r="D469" s="368"/>
      <c r="E469" s="369"/>
      <c r="F469" s="370" t="str">
        <f t="shared" si="1"/>
        <v>בכלל לא</v>
      </c>
      <c r="G469" s="371">
        <f>COUNTIF(Recordings!A:A,C469)</f>
        <v>0</v>
      </c>
      <c r="H469" s="371"/>
      <c r="I469" s="371"/>
      <c r="J469" s="371"/>
      <c r="K469" s="2"/>
      <c r="L469" s="2"/>
      <c r="M469" s="2"/>
      <c r="N469" s="2"/>
      <c r="O469" s="2"/>
      <c r="P469" s="2"/>
      <c r="Q469" s="2"/>
      <c r="R469" s="2"/>
      <c r="S469" s="2"/>
      <c r="T469" s="2"/>
      <c r="U469" s="2"/>
      <c r="V469" s="2"/>
      <c r="W469" s="2"/>
      <c r="X469" s="2"/>
      <c r="Y469" s="2"/>
      <c r="Z469" s="2"/>
      <c r="AA469" s="2"/>
      <c r="AB469" s="2"/>
    </row>
    <row r="470">
      <c r="B470" s="367" t="s">
        <v>85</v>
      </c>
      <c r="C470" s="366" t="s">
        <v>84</v>
      </c>
      <c r="D470" s="367" t="s">
        <v>4057</v>
      </c>
      <c r="E470" s="369"/>
      <c r="F470" s="370" t="str">
        <f t="shared" si="1"/>
        <v>כן</v>
      </c>
      <c r="G470" s="371">
        <f>COUNTIF(Recordings!A:A,C470)</f>
        <v>5</v>
      </c>
      <c r="H470" s="371"/>
      <c r="I470" s="371"/>
      <c r="J470" s="371"/>
      <c r="K470" s="2"/>
      <c r="L470" s="2"/>
      <c r="M470" s="2"/>
      <c r="N470" s="2"/>
      <c r="O470" s="2"/>
      <c r="P470" s="2"/>
      <c r="Q470" s="2"/>
      <c r="R470" s="2"/>
      <c r="S470" s="2"/>
      <c r="T470" s="2"/>
      <c r="U470" s="2"/>
      <c r="V470" s="2"/>
      <c r="W470" s="2"/>
      <c r="X470" s="2"/>
      <c r="Y470" s="2"/>
      <c r="Z470" s="2"/>
      <c r="AA470" s="2"/>
      <c r="AB470" s="2"/>
    </row>
    <row r="471">
      <c r="B471" s="368"/>
      <c r="C471" s="366" t="s">
        <v>4058</v>
      </c>
      <c r="D471" s="368"/>
      <c r="E471" s="369"/>
      <c r="F471" s="370" t="str">
        <f t="shared" si="1"/>
        <v>בכלל לא</v>
      </c>
      <c r="G471" s="371">
        <f>COUNTIF(Recordings!A:A,C471)</f>
        <v>0</v>
      </c>
      <c r="H471" s="371"/>
      <c r="I471" s="371"/>
      <c r="J471" s="371"/>
      <c r="K471" s="2"/>
      <c r="L471" s="2"/>
      <c r="M471" s="2"/>
      <c r="N471" s="2"/>
      <c r="O471" s="2"/>
      <c r="P471" s="2"/>
      <c r="Q471" s="2"/>
      <c r="R471" s="2"/>
      <c r="S471" s="2"/>
      <c r="T471" s="2"/>
      <c r="U471" s="2"/>
      <c r="V471" s="2"/>
      <c r="W471" s="2"/>
      <c r="X471" s="2"/>
      <c r="Y471" s="2"/>
      <c r="Z471" s="2"/>
      <c r="AA471" s="2"/>
      <c r="AB471" s="2"/>
    </row>
    <row r="472">
      <c r="B472" s="367" t="s">
        <v>145</v>
      </c>
      <c r="C472" s="366" t="s">
        <v>144</v>
      </c>
      <c r="D472" s="367" t="s">
        <v>146</v>
      </c>
      <c r="E472" s="369"/>
      <c r="F472" s="370" t="str">
        <f t="shared" si="1"/>
        <v>כן</v>
      </c>
      <c r="G472" s="371">
        <f>COUNTIF(Recordings!A:A,C472)</f>
        <v>13</v>
      </c>
      <c r="H472" s="371"/>
      <c r="I472" s="371"/>
      <c r="J472" s="371"/>
      <c r="K472" s="2"/>
      <c r="L472" s="2"/>
      <c r="M472" s="2"/>
      <c r="N472" s="2"/>
      <c r="O472" s="2"/>
      <c r="P472" s="2"/>
      <c r="Q472" s="2"/>
      <c r="R472" s="2"/>
      <c r="S472" s="2"/>
      <c r="T472" s="2"/>
      <c r="U472" s="2"/>
      <c r="V472" s="2"/>
      <c r="W472" s="2"/>
      <c r="X472" s="2"/>
      <c r="Y472" s="2"/>
      <c r="Z472" s="2"/>
      <c r="AA472" s="2"/>
      <c r="AB472" s="2"/>
    </row>
    <row r="473">
      <c r="B473" s="367" t="s">
        <v>157</v>
      </c>
      <c r="C473" s="366" t="s">
        <v>156</v>
      </c>
      <c r="D473" s="367" t="s">
        <v>158</v>
      </c>
      <c r="E473" s="369"/>
      <c r="F473" s="370" t="str">
        <f t="shared" si="1"/>
        <v>כן</v>
      </c>
      <c r="G473" s="371">
        <f>COUNTIF(Recordings!A:A,C473)</f>
        <v>19</v>
      </c>
      <c r="H473" s="371"/>
      <c r="I473" s="371"/>
      <c r="J473" s="371"/>
      <c r="K473" s="2"/>
      <c r="L473" s="2"/>
      <c r="M473" s="2"/>
      <c r="N473" s="2"/>
      <c r="O473" s="2"/>
      <c r="P473" s="2"/>
      <c r="Q473" s="2"/>
      <c r="R473" s="2"/>
      <c r="S473" s="2"/>
      <c r="T473" s="2"/>
      <c r="U473" s="2"/>
      <c r="V473" s="2"/>
      <c r="W473" s="2"/>
      <c r="X473" s="2"/>
      <c r="Y473" s="2"/>
      <c r="Z473" s="2"/>
      <c r="AA473" s="2"/>
      <c r="AB473" s="2"/>
    </row>
    <row r="474">
      <c r="B474" s="367" t="s">
        <v>171</v>
      </c>
      <c r="C474" s="366" t="s">
        <v>3495</v>
      </c>
      <c r="D474" s="367" t="s">
        <v>172</v>
      </c>
      <c r="E474" s="369"/>
      <c r="F474" s="370" t="str">
        <f t="shared" si="1"/>
        <v>כן</v>
      </c>
      <c r="G474" s="371">
        <f>COUNTIF(Recordings!A:A,C474)</f>
        <v>6</v>
      </c>
      <c r="H474" s="371"/>
      <c r="I474" s="371"/>
      <c r="J474" s="371"/>
      <c r="K474" s="2"/>
      <c r="L474" s="2"/>
      <c r="M474" s="2"/>
      <c r="N474" s="2"/>
      <c r="O474" s="2"/>
      <c r="P474" s="2"/>
      <c r="Q474" s="2"/>
      <c r="R474" s="2"/>
      <c r="S474" s="2"/>
      <c r="T474" s="2"/>
      <c r="U474" s="2"/>
      <c r="V474" s="2"/>
      <c r="W474" s="2"/>
      <c r="X474" s="2"/>
      <c r="Y474" s="2"/>
      <c r="Z474" s="2"/>
      <c r="AA474" s="2"/>
      <c r="AB474" s="2"/>
    </row>
    <row r="475">
      <c r="B475" s="372" t="s">
        <v>192</v>
      </c>
      <c r="C475" s="366" t="s">
        <v>191</v>
      </c>
      <c r="D475" s="367" t="s">
        <v>193</v>
      </c>
      <c r="E475" s="369"/>
      <c r="F475" s="370" t="str">
        <f t="shared" si="1"/>
        <v>כן</v>
      </c>
      <c r="G475" s="371">
        <f>COUNTIF(Recordings!A:A,C475)</f>
        <v>2</v>
      </c>
      <c r="H475" s="371"/>
      <c r="I475" s="371"/>
      <c r="J475" s="371"/>
      <c r="K475" s="2"/>
      <c r="L475" s="2"/>
      <c r="M475" s="2"/>
      <c r="N475" s="2"/>
      <c r="O475" s="2"/>
      <c r="P475" s="2"/>
      <c r="Q475" s="2"/>
      <c r="R475" s="2"/>
      <c r="S475" s="2"/>
      <c r="T475" s="2"/>
      <c r="U475" s="2"/>
      <c r="V475" s="2"/>
      <c r="W475" s="2"/>
      <c r="X475" s="2"/>
      <c r="Y475" s="2"/>
      <c r="Z475" s="2"/>
      <c r="AA475" s="2"/>
      <c r="AB475" s="2"/>
    </row>
    <row r="476">
      <c r="B476" s="368"/>
      <c r="C476" s="366" t="s">
        <v>4059</v>
      </c>
      <c r="D476" s="368"/>
      <c r="E476" s="369"/>
      <c r="F476" s="370" t="str">
        <f t="shared" si="1"/>
        <v>בכלל לא</v>
      </c>
      <c r="G476" s="371">
        <f>COUNTIF(Recordings!A:A,C476)</f>
        <v>0</v>
      </c>
      <c r="H476" s="371"/>
      <c r="I476" s="371"/>
      <c r="J476" s="371"/>
      <c r="K476" s="2"/>
      <c r="L476" s="2"/>
      <c r="M476" s="2"/>
      <c r="N476" s="2"/>
      <c r="O476" s="2"/>
      <c r="P476" s="2"/>
      <c r="Q476" s="2"/>
      <c r="R476" s="2"/>
      <c r="S476" s="2"/>
      <c r="T476" s="2"/>
      <c r="U476" s="2"/>
      <c r="V476" s="2"/>
      <c r="W476" s="2"/>
      <c r="X476" s="2"/>
      <c r="Y476" s="2"/>
      <c r="Z476" s="2"/>
      <c r="AA476" s="2"/>
      <c r="AB476" s="2"/>
    </row>
    <row r="477">
      <c r="B477" s="368"/>
      <c r="C477" s="366" t="s">
        <v>4060</v>
      </c>
      <c r="D477" s="368"/>
      <c r="E477" s="369"/>
      <c r="F477" s="370" t="str">
        <f t="shared" si="1"/>
        <v>בכלל לא</v>
      </c>
      <c r="G477" s="371">
        <f>COUNTIF(Recordings!A:A,C477)</f>
        <v>0</v>
      </c>
      <c r="H477" s="371"/>
      <c r="I477" s="371"/>
      <c r="J477" s="371"/>
      <c r="K477" s="2"/>
      <c r="L477" s="2"/>
      <c r="M477" s="2"/>
      <c r="N477" s="2"/>
      <c r="O477" s="2"/>
      <c r="P477" s="2"/>
      <c r="Q477" s="2"/>
      <c r="R477" s="2"/>
      <c r="S477" s="2"/>
      <c r="T477" s="2"/>
      <c r="U477" s="2"/>
      <c r="V477" s="2"/>
      <c r="W477" s="2"/>
      <c r="X477" s="2"/>
      <c r="Y477" s="2"/>
      <c r="Z477" s="2"/>
      <c r="AA477" s="2"/>
      <c r="AB477" s="2"/>
    </row>
    <row r="478">
      <c r="B478" s="367" t="s">
        <v>225</v>
      </c>
      <c r="C478" s="366" t="s">
        <v>224</v>
      </c>
      <c r="D478" s="367" t="s">
        <v>226</v>
      </c>
      <c r="E478" s="369"/>
      <c r="F478" s="370" t="str">
        <f t="shared" si="1"/>
        <v>כן</v>
      </c>
      <c r="G478" s="371">
        <f>COUNTIF(Recordings!A:A,C478)</f>
        <v>3</v>
      </c>
      <c r="H478" s="371"/>
      <c r="I478" s="371"/>
      <c r="J478" s="371"/>
      <c r="K478" s="2"/>
      <c r="L478" s="2"/>
      <c r="M478" s="2"/>
      <c r="N478" s="2"/>
      <c r="O478" s="2"/>
      <c r="P478" s="2"/>
      <c r="Q478" s="2"/>
      <c r="R478" s="2"/>
      <c r="S478" s="2"/>
      <c r="T478" s="2"/>
      <c r="U478" s="2"/>
      <c r="V478" s="2"/>
      <c r="W478" s="2"/>
      <c r="X478" s="2"/>
      <c r="Y478" s="2"/>
      <c r="Z478" s="2"/>
      <c r="AA478" s="2"/>
      <c r="AB478" s="2"/>
    </row>
    <row r="479">
      <c r="B479" s="368"/>
      <c r="C479" s="366" t="s">
        <v>4061</v>
      </c>
      <c r="D479" s="368"/>
      <c r="E479" s="369"/>
      <c r="F479" s="370" t="str">
        <f t="shared" si="1"/>
        <v>בכלל לא</v>
      </c>
      <c r="G479" s="371">
        <f>COUNTIF(Recordings!A:A,C479)</f>
        <v>0</v>
      </c>
      <c r="H479" s="371"/>
      <c r="I479" s="371"/>
      <c r="J479" s="371"/>
      <c r="K479" s="2"/>
      <c r="L479" s="2"/>
      <c r="M479" s="2"/>
      <c r="N479" s="2"/>
      <c r="O479" s="2"/>
      <c r="P479" s="2"/>
      <c r="Q479" s="2"/>
      <c r="R479" s="2"/>
      <c r="S479" s="2"/>
      <c r="T479" s="2"/>
      <c r="U479" s="2"/>
      <c r="V479" s="2"/>
      <c r="W479" s="2"/>
      <c r="X479" s="2"/>
      <c r="Y479" s="2"/>
      <c r="Z479" s="2"/>
      <c r="AA479" s="2"/>
      <c r="AB479" s="2"/>
    </row>
    <row r="480">
      <c r="B480" s="368"/>
      <c r="C480" s="366" t="s">
        <v>4062</v>
      </c>
      <c r="D480" s="368"/>
      <c r="E480" s="369"/>
      <c r="F480" s="370" t="str">
        <f t="shared" si="1"/>
        <v>בכלל לא</v>
      </c>
      <c r="G480" s="371">
        <f>COUNTIF(Recordings!A:A,C480)</f>
        <v>0</v>
      </c>
      <c r="H480" s="371"/>
      <c r="I480" s="371"/>
      <c r="J480" s="371"/>
      <c r="K480" s="2"/>
      <c r="L480" s="2"/>
      <c r="M480" s="2"/>
      <c r="N480" s="2"/>
      <c r="O480" s="2"/>
      <c r="P480" s="2"/>
      <c r="Q480" s="2"/>
      <c r="R480" s="2"/>
      <c r="S480" s="2"/>
      <c r="T480" s="2"/>
      <c r="U480" s="2"/>
      <c r="V480" s="2"/>
      <c r="W480" s="2"/>
      <c r="X480" s="2"/>
      <c r="Y480" s="2"/>
      <c r="Z480" s="2"/>
      <c r="AA480" s="2"/>
      <c r="AB480" s="2"/>
    </row>
    <row r="481">
      <c r="B481" s="368"/>
      <c r="C481" s="366" t="s">
        <v>4063</v>
      </c>
      <c r="D481" s="368"/>
      <c r="E481" s="369"/>
      <c r="F481" s="370" t="str">
        <f t="shared" si="1"/>
        <v>בכלל לא</v>
      </c>
      <c r="G481" s="371">
        <f>COUNTIF(Recordings!A:A,C481)</f>
        <v>0</v>
      </c>
      <c r="H481" s="371"/>
      <c r="I481" s="371"/>
      <c r="J481" s="371"/>
      <c r="K481" s="2"/>
      <c r="L481" s="2"/>
      <c r="M481" s="2"/>
      <c r="N481" s="2"/>
      <c r="O481" s="2"/>
      <c r="P481" s="2"/>
      <c r="Q481" s="2"/>
      <c r="R481" s="2"/>
      <c r="S481" s="2"/>
      <c r="T481" s="2"/>
      <c r="U481" s="2"/>
      <c r="V481" s="2"/>
      <c r="W481" s="2"/>
      <c r="X481" s="2"/>
      <c r="Y481" s="2"/>
      <c r="Z481" s="2"/>
      <c r="AA481" s="2"/>
      <c r="AB481" s="2"/>
    </row>
    <row r="482">
      <c r="B482" s="367" t="s">
        <v>234</v>
      </c>
      <c r="C482" s="366" t="s">
        <v>233</v>
      </c>
      <c r="D482" s="367" t="s">
        <v>235</v>
      </c>
      <c r="E482" s="369"/>
      <c r="F482" s="370" t="str">
        <f t="shared" si="1"/>
        <v>בכלל לא</v>
      </c>
      <c r="G482" s="371">
        <f>COUNTIF(Recordings!A:A,C482)</f>
        <v>0</v>
      </c>
      <c r="H482" s="371"/>
      <c r="I482" s="371"/>
      <c r="J482" s="371"/>
      <c r="K482" s="2"/>
      <c r="L482" s="2"/>
      <c r="M482" s="2"/>
      <c r="N482" s="2"/>
      <c r="O482" s="2"/>
      <c r="P482" s="2"/>
      <c r="Q482" s="2"/>
      <c r="R482" s="2"/>
      <c r="S482" s="2"/>
      <c r="T482" s="2"/>
      <c r="U482" s="2"/>
      <c r="V482" s="2"/>
      <c r="W482" s="2"/>
      <c r="X482" s="2"/>
      <c r="Y482" s="2"/>
      <c r="Z482" s="2"/>
      <c r="AA482" s="2"/>
      <c r="AB482" s="2"/>
    </row>
    <row r="483">
      <c r="B483" s="367" t="s">
        <v>240</v>
      </c>
      <c r="C483" s="366" t="s">
        <v>239</v>
      </c>
      <c r="D483" s="367" t="s">
        <v>4064</v>
      </c>
      <c r="E483" s="369"/>
      <c r="F483" s="370" t="str">
        <f t="shared" si="1"/>
        <v>כן</v>
      </c>
      <c r="G483" s="371">
        <f>COUNTIF(Recordings!A:A,C483)</f>
        <v>5</v>
      </c>
      <c r="H483" s="371"/>
      <c r="I483" s="371"/>
      <c r="J483" s="371"/>
      <c r="K483" s="2"/>
      <c r="L483" s="2"/>
      <c r="M483" s="2"/>
      <c r="N483" s="2"/>
      <c r="O483" s="2"/>
      <c r="P483" s="2"/>
      <c r="Q483" s="2"/>
      <c r="R483" s="2"/>
      <c r="S483" s="2"/>
      <c r="T483" s="2"/>
      <c r="U483" s="2"/>
      <c r="V483" s="2"/>
      <c r="W483" s="2"/>
      <c r="X483" s="2"/>
      <c r="Y483" s="2"/>
      <c r="Z483" s="2"/>
      <c r="AA483" s="2"/>
      <c r="AB483" s="2"/>
    </row>
    <row r="484">
      <c r="B484" s="368"/>
      <c r="C484" s="366" t="s">
        <v>4065</v>
      </c>
      <c r="D484" s="368"/>
      <c r="E484" s="369"/>
      <c r="F484" s="370" t="str">
        <f t="shared" si="1"/>
        <v>בכלל לא</v>
      </c>
      <c r="G484" s="371">
        <f>COUNTIF(Recordings!A:A,C484)</f>
        <v>0</v>
      </c>
      <c r="H484" s="371"/>
      <c r="I484" s="371"/>
      <c r="J484" s="371"/>
      <c r="K484" s="2"/>
      <c r="L484" s="2"/>
      <c r="M484" s="2"/>
      <c r="N484" s="2"/>
      <c r="O484" s="2"/>
      <c r="P484" s="2"/>
      <c r="Q484" s="2"/>
      <c r="R484" s="2"/>
      <c r="S484" s="2"/>
      <c r="T484" s="2"/>
      <c r="U484" s="2"/>
      <c r="V484" s="2"/>
      <c r="W484" s="2"/>
      <c r="X484" s="2"/>
      <c r="Y484" s="2"/>
      <c r="Z484" s="2"/>
      <c r="AA484" s="2"/>
      <c r="AB484" s="2"/>
    </row>
    <row r="485">
      <c r="B485" s="368"/>
      <c r="C485" s="366" t="s">
        <v>3882</v>
      </c>
      <c r="D485" s="368"/>
      <c r="E485" s="369"/>
      <c r="F485" s="370" t="str">
        <f t="shared" si="1"/>
        <v>בכלל לא</v>
      </c>
      <c r="G485" s="371">
        <f>COUNTIF(Recordings!A:A,C485)</f>
        <v>0</v>
      </c>
      <c r="H485" s="371"/>
      <c r="I485" s="371"/>
      <c r="J485" s="371"/>
      <c r="K485" s="2"/>
      <c r="L485" s="2"/>
      <c r="M485" s="2"/>
      <c r="N485" s="2"/>
      <c r="O485" s="2"/>
      <c r="P485" s="2"/>
      <c r="Q485" s="2"/>
      <c r="R485" s="2"/>
      <c r="S485" s="2"/>
      <c r="T485" s="2"/>
      <c r="U485" s="2"/>
      <c r="V485" s="2"/>
      <c r="W485" s="2"/>
      <c r="X485" s="2"/>
      <c r="Y485" s="2"/>
      <c r="Z485" s="2"/>
      <c r="AA485" s="2"/>
      <c r="AB485" s="2"/>
    </row>
    <row r="486">
      <c r="B486" s="368"/>
      <c r="C486" s="366" t="s">
        <v>4066</v>
      </c>
      <c r="D486" s="368"/>
      <c r="E486" s="369"/>
      <c r="F486" s="370" t="str">
        <f t="shared" si="1"/>
        <v>בכלל לא</v>
      </c>
      <c r="G486" s="371">
        <f>COUNTIF(Recordings!A:A,C486)</f>
        <v>0</v>
      </c>
      <c r="H486" s="371"/>
      <c r="I486" s="371"/>
      <c r="J486" s="371"/>
      <c r="K486" s="2"/>
      <c r="L486" s="2"/>
      <c r="M486" s="2"/>
      <c r="N486" s="2"/>
      <c r="O486" s="2"/>
      <c r="P486" s="2"/>
      <c r="Q486" s="2"/>
      <c r="R486" s="2"/>
      <c r="S486" s="2"/>
      <c r="T486" s="2"/>
      <c r="U486" s="2"/>
      <c r="V486" s="2"/>
      <c r="W486" s="2"/>
      <c r="X486" s="2"/>
      <c r="Y486" s="2"/>
      <c r="Z486" s="2"/>
      <c r="AA486" s="2"/>
      <c r="AB486" s="2"/>
    </row>
    <row r="487">
      <c r="B487" s="367" t="s">
        <v>2870</v>
      </c>
      <c r="C487" s="366" t="s">
        <v>2869</v>
      </c>
      <c r="D487" s="368"/>
      <c r="E487" s="369"/>
      <c r="F487" s="370" t="str">
        <f t="shared" si="1"/>
        <v>כן</v>
      </c>
      <c r="G487" s="371">
        <f>COUNTIF(Recordings!A:A,C487)</f>
        <v>4</v>
      </c>
      <c r="H487" s="371"/>
      <c r="I487" s="371"/>
      <c r="J487" s="371"/>
      <c r="K487" s="2"/>
      <c r="L487" s="2"/>
      <c r="M487" s="2"/>
      <c r="N487" s="2"/>
      <c r="O487" s="2"/>
      <c r="P487" s="2"/>
      <c r="Q487" s="2"/>
      <c r="R487" s="2"/>
      <c r="S487" s="2"/>
      <c r="T487" s="2"/>
      <c r="U487" s="2"/>
      <c r="V487" s="2"/>
      <c r="W487" s="2"/>
      <c r="X487" s="2"/>
      <c r="Y487" s="2"/>
      <c r="Z487" s="2"/>
      <c r="AA487" s="2"/>
      <c r="AB487" s="2"/>
    </row>
    <row r="488">
      <c r="B488" s="368"/>
      <c r="C488" s="366" t="s">
        <v>4067</v>
      </c>
      <c r="D488" s="368"/>
      <c r="E488" s="369"/>
      <c r="F488" s="370" t="str">
        <f t="shared" si="1"/>
        <v>בכלל לא</v>
      </c>
      <c r="G488" s="371">
        <f>COUNTIF(Recordings!A:A,C488)</f>
        <v>0</v>
      </c>
      <c r="H488" s="371"/>
      <c r="I488" s="371"/>
      <c r="J488" s="371"/>
      <c r="K488" s="2"/>
      <c r="L488" s="2"/>
      <c r="M488" s="2"/>
      <c r="N488" s="2"/>
      <c r="O488" s="2"/>
      <c r="P488" s="2"/>
      <c r="Q488" s="2"/>
      <c r="R488" s="2"/>
      <c r="S488" s="2"/>
      <c r="T488" s="2"/>
      <c r="U488" s="2"/>
      <c r="V488" s="2"/>
      <c r="W488" s="2"/>
      <c r="X488" s="2"/>
      <c r="Y488" s="2"/>
      <c r="Z488" s="2"/>
      <c r="AA488" s="2"/>
      <c r="AB488" s="2"/>
    </row>
    <row r="489">
      <c r="B489" s="368"/>
      <c r="C489" s="366" t="s">
        <v>4068</v>
      </c>
      <c r="D489" s="368"/>
      <c r="E489" s="369"/>
      <c r="F489" s="370" t="str">
        <f t="shared" si="1"/>
        <v>בכלל לא</v>
      </c>
      <c r="G489" s="371">
        <f>COUNTIF(Recordings!A:A,C489)</f>
        <v>0</v>
      </c>
      <c r="H489" s="371"/>
      <c r="I489" s="371"/>
      <c r="J489" s="371"/>
      <c r="K489" s="2"/>
      <c r="L489" s="2"/>
      <c r="M489" s="2"/>
      <c r="N489" s="2"/>
      <c r="O489" s="2"/>
      <c r="P489" s="2"/>
      <c r="Q489" s="2"/>
      <c r="R489" s="2"/>
      <c r="S489" s="2"/>
      <c r="T489" s="2"/>
      <c r="U489" s="2"/>
      <c r="V489" s="2"/>
      <c r="W489" s="2"/>
      <c r="X489" s="2"/>
      <c r="Y489" s="2"/>
      <c r="Z489" s="2"/>
      <c r="AA489" s="2"/>
      <c r="AB489" s="2"/>
    </row>
    <row r="490">
      <c r="B490" s="368"/>
      <c r="C490" s="366" t="s">
        <v>4069</v>
      </c>
      <c r="D490" s="368"/>
      <c r="E490" s="369"/>
      <c r="F490" s="370" t="str">
        <f t="shared" si="1"/>
        <v>בכלל לא</v>
      </c>
      <c r="G490" s="371">
        <f>COUNTIF(Recordings!A:A,C490)</f>
        <v>0</v>
      </c>
      <c r="H490" s="371"/>
      <c r="I490" s="371"/>
      <c r="J490" s="371"/>
      <c r="K490" s="2"/>
      <c r="L490" s="2"/>
      <c r="M490" s="2"/>
      <c r="N490" s="2"/>
      <c r="O490" s="2"/>
      <c r="P490" s="2"/>
      <c r="Q490" s="2"/>
      <c r="R490" s="2"/>
      <c r="S490" s="2"/>
      <c r="T490" s="2"/>
      <c r="U490" s="2"/>
      <c r="V490" s="2"/>
      <c r="W490" s="2"/>
      <c r="X490" s="2"/>
      <c r="Y490" s="2"/>
      <c r="Z490" s="2"/>
      <c r="AA490" s="2"/>
      <c r="AB490" s="2"/>
    </row>
    <row r="491">
      <c r="B491" s="368"/>
      <c r="C491" s="366" t="s">
        <v>4070</v>
      </c>
      <c r="D491" s="368"/>
      <c r="E491" s="369"/>
      <c r="F491" s="370" t="str">
        <f t="shared" si="1"/>
        <v>בכלל לא</v>
      </c>
      <c r="G491" s="371">
        <f>COUNTIF(Recordings!A:A,C491)</f>
        <v>0</v>
      </c>
      <c r="H491" s="371"/>
      <c r="I491" s="371"/>
      <c r="J491" s="371"/>
      <c r="K491" s="2"/>
      <c r="L491" s="2"/>
      <c r="M491" s="2"/>
      <c r="N491" s="2"/>
      <c r="O491" s="2"/>
      <c r="P491" s="2"/>
      <c r="Q491" s="2"/>
      <c r="R491" s="2"/>
      <c r="S491" s="2"/>
      <c r="T491" s="2"/>
      <c r="U491" s="2"/>
      <c r="V491" s="2"/>
      <c r="W491" s="2"/>
      <c r="X491" s="2"/>
      <c r="Y491" s="2"/>
      <c r="Z491" s="2"/>
      <c r="AA491" s="2"/>
      <c r="AB491" s="2"/>
    </row>
    <row r="492">
      <c r="B492" s="373" t="s">
        <v>555</v>
      </c>
      <c r="C492" s="374" t="s">
        <v>554</v>
      </c>
      <c r="D492" s="375" t="s">
        <v>556</v>
      </c>
      <c r="E492" s="369"/>
      <c r="F492" s="370" t="str">
        <f t="shared" si="1"/>
        <v>כן</v>
      </c>
      <c r="G492" s="371">
        <f>COUNTIF(Recordings!A:A,C492)</f>
        <v>5</v>
      </c>
      <c r="H492" s="371"/>
      <c r="I492" s="371"/>
      <c r="J492" s="371"/>
      <c r="K492" s="2"/>
      <c r="L492" s="2"/>
      <c r="M492" s="2"/>
      <c r="N492" s="2"/>
      <c r="O492" s="2"/>
      <c r="P492" s="2"/>
      <c r="Q492" s="2"/>
      <c r="R492" s="2"/>
      <c r="S492" s="2"/>
      <c r="T492" s="2"/>
      <c r="U492" s="2"/>
      <c r="V492" s="2"/>
      <c r="W492" s="2"/>
      <c r="X492" s="2"/>
      <c r="Y492" s="2"/>
      <c r="Z492" s="2"/>
      <c r="AA492" s="2"/>
      <c r="AB492" s="2"/>
    </row>
    <row r="493">
      <c r="B493" s="368"/>
      <c r="C493" s="366" t="s">
        <v>4071</v>
      </c>
      <c r="D493" s="368"/>
      <c r="E493" s="369"/>
      <c r="F493" s="370" t="str">
        <f t="shared" si="1"/>
        <v>בכלל לא</v>
      </c>
      <c r="G493" s="371">
        <f>COUNTIF(Recordings!A:A,C493)</f>
        <v>0</v>
      </c>
      <c r="H493" s="371"/>
      <c r="I493" s="371"/>
      <c r="J493" s="371"/>
      <c r="K493" s="2"/>
      <c r="L493" s="2"/>
      <c r="M493" s="2"/>
      <c r="N493" s="2"/>
      <c r="O493" s="2"/>
      <c r="P493" s="2"/>
      <c r="Q493" s="2"/>
      <c r="R493" s="2"/>
      <c r="S493" s="2"/>
      <c r="T493" s="2"/>
      <c r="U493" s="2"/>
      <c r="V493" s="2"/>
      <c r="W493" s="2"/>
      <c r="X493" s="2"/>
      <c r="Y493" s="2"/>
      <c r="Z493" s="2"/>
      <c r="AA493" s="2"/>
      <c r="AB493" s="2"/>
    </row>
    <row r="494">
      <c r="B494" s="368"/>
      <c r="C494" s="366" t="s">
        <v>4072</v>
      </c>
      <c r="D494" s="368"/>
      <c r="E494" s="369"/>
      <c r="F494" s="370" t="str">
        <f t="shared" si="1"/>
        <v>בכלל לא</v>
      </c>
      <c r="G494" s="371">
        <f>COUNTIF(Recordings!A:A,C494)</f>
        <v>0</v>
      </c>
      <c r="H494" s="371"/>
      <c r="I494" s="371"/>
      <c r="J494" s="371"/>
      <c r="K494" s="2"/>
      <c r="L494" s="2"/>
      <c r="M494" s="2"/>
      <c r="N494" s="2"/>
      <c r="O494" s="2"/>
      <c r="P494" s="2"/>
      <c r="Q494" s="2"/>
      <c r="R494" s="2"/>
      <c r="S494" s="2"/>
      <c r="T494" s="2"/>
      <c r="U494" s="2"/>
      <c r="V494" s="2"/>
      <c r="W494" s="2"/>
      <c r="X494" s="2"/>
      <c r="Y494" s="2"/>
      <c r="Z494" s="2"/>
      <c r="AA494" s="2"/>
      <c r="AB494" s="2"/>
    </row>
    <row r="495">
      <c r="A495" s="376" t="s">
        <v>479</v>
      </c>
      <c r="B495" s="377"/>
      <c r="C495" s="376" t="s">
        <v>4073</v>
      </c>
      <c r="D495" s="377"/>
      <c r="E495" s="378"/>
      <c r="F495" s="379" t="str">
        <f t="shared" si="1"/>
        <v>בכלל לא</v>
      </c>
      <c r="G495" s="380">
        <f>COUNTIF(Recordings!A:A,C495)</f>
        <v>0</v>
      </c>
      <c r="H495" s="380"/>
      <c r="I495" s="380"/>
      <c r="J495" s="380"/>
      <c r="K495" s="2"/>
      <c r="L495" s="2"/>
      <c r="M495" s="2"/>
      <c r="N495" s="2"/>
      <c r="O495" s="2"/>
      <c r="P495" s="2"/>
      <c r="Q495" s="2"/>
      <c r="R495" s="2"/>
      <c r="S495" s="2"/>
      <c r="T495" s="2"/>
      <c r="U495" s="2"/>
      <c r="V495" s="2"/>
      <c r="W495" s="2"/>
      <c r="X495" s="2"/>
      <c r="Y495" s="2"/>
      <c r="Z495" s="2"/>
      <c r="AA495" s="2"/>
      <c r="AB495" s="2"/>
    </row>
    <row r="496">
      <c r="B496" s="377"/>
      <c r="C496" s="376" t="s">
        <v>4074</v>
      </c>
      <c r="D496" s="377"/>
      <c r="E496" s="378"/>
      <c r="F496" s="379" t="str">
        <f t="shared" si="1"/>
        <v>בכלל לא</v>
      </c>
      <c r="G496" s="380">
        <f>COUNTIF(Recordings!A:A,C496)</f>
        <v>0</v>
      </c>
      <c r="H496" s="380"/>
      <c r="I496" s="380"/>
      <c r="J496" s="380"/>
      <c r="K496" s="2"/>
      <c r="L496" s="2"/>
      <c r="M496" s="2"/>
      <c r="N496" s="2"/>
      <c r="O496" s="2"/>
      <c r="P496" s="2"/>
      <c r="Q496" s="2"/>
      <c r="R496" s="2"/>
      <c r="S496" s="2"/>
      <c r="T496" s="2"/>
      <c r="U496" s="2"/>
      <c r="V496" s="2"/>
      <c r="W496" s="2"/>
      <c r="X496" s="2"/>
      <c r="Y496" s="2"/>
      <c r="Z496" s="2"/>
      <c r="AA496" s="2"/>
      <c r="AB496" s="2"/>
    </row>
    <row r="497">
      <c r="B497" s="377"/>
      <c r="C497" s="376" t="s">
        <v>4075</v>
      </c>
      <c r="D497" s="377"/>
      <c r="E497" s="378"/>
      <c r="F497" s="379" t="str">
        <f t="shared" si="1"/>
        <v>בכלל לא</v>
      </c>
      <c r="G497" s="380">
        <f>COUNTIF(Recordings!A:A,C497)</f>
        <v>0</v>
      </c>
      <c r="H497" s="380"/>
      <c r="I497" s="380"/>
      <c r="J497" s="380"/>
      <c r="K497" s="2"/>
      <c r="L497" s="2"/>
      <c r="M497" s="2"/>
      <c r="N497" s="2"/>
      <c r="O497" s="2"/>
      <c r="P497" s="2"/>
      <c r="Q497" s="2"/>
      <c r="R497" s="2"/>
      <c r="S497" s="2"/>
      <c r="T497" s="2"/>
      <c r="U497" s="2"/>
      <c r="V497" s="2"/>
      <c r="W497" s="2"/>
      <c r="X497" s="2"/>
      <c r="Y497" s="2"/>
      <c r="Z497" s="2"/>
      <c r="AA497" s="2"/>
      <c r="AB497" s="2"/>
    </row>
    <row r="498">
      <c r="B498" s="377"/>
      <c r="C498" s="376" t="s">
        <v>4076</v>
      </c>
      <c r="D498" s="377"/>
      <c r="E498" s="378"/>
      <c r="F498" s="379" t="str">
        <f t="shared" si="1"/>
        <v>בכלל לא</v>
      </c>
      <c r="G498" s="380">
        <f>COUNTIF(Recordings!A:A,C498)</f>
        <v>0</v>
      </c>
      <c r="H498" s="380"/>
      <c r="I498" s="380"/>
      <c r="J498" s="380"/>
      <c r="K498" s="2"/>
      <c r="L498" s="2"/>
      <c r="M498" s="2"/>
      <c r="N498" s="2"/>
      <c r="O498" s="2"/>
      <c r="P498" s="2"/>
      <c r="Q498" s="2"/>
      <c r="R498" s="2"/>
      <c r="S498" s="2"/>
      <c r="T498" s="2"/>
      <c r="U498" s="2"/>
      <c r="V498" s="2"/>
      <c r="W498" s="2"/>
      <c r="X498" s="2"/>
      <c r="Y498" s="2"/>
      <c r="Z498" s="2"/>
      <c r="AA498" s="2"/>
      <c r="AB498" s="2"/>
    </row>
    <row r="499">
      <c r="B499" s="377"/>
      <c r="C499" s="376" t="s">
        <v>4077</v>
      </c>
      <c r="D499" s="377"/>
      <c r="E499" s="378"/>
      <c r="F499" s="379" t="str">
        <f t="shared" si="1"/>
        <v>בכלל לא</v>
      </c>
      <c r="G499" s="380">
        <f>COUNTIF(Recordings!A:A,C499)</f>
        <v>0</v>
      </c>
      <c r="H499" s="380"/>
      <c r="I499" s="380"/>
      <c r="J499" s="380"/>
      <c r="K499" s="2"/>
      <c r="L499" s="2"/>
      <c r="M499" s="2"/>
      <c r="N499" s="2"/>
      <c r="O499" s="2"/>
      <c r="P499" s="2"/>
      <c r="Q499" s="2"/>
      <c r="R499" s="2"/>
      <c r="S499" s="2"/>
      <c r="T499" s="2"/>
      <c r="U499" s="2"/>
      <c r="V499" s="2"/>
      <c r="W499" s="2"/>
      <c r="X499" s="2"/>
      <c r="Y499" s="2"/>
      <c r="Z499" s="2"/>
      <c r="AA499" s="2"/>
      <c r="AB499" s="2"/>
    </row>
    <row r="500">
      <c r="B500" s="377"/>
      <c r="C500" s="376" t="s">
        <v>4078</v>
      </c>
      <c r="D500" s="377"/>
      <c r="E500" s="378"/>
      <c r="F500" s="379" t="str">
        <f t="shared" si="1"/>
        <v>בכלל לא</v>
      </c>
      <c r="G500" s="380">
        <f>COUNTIF(Recordings!A:A,C500)</f>
        <v>0</v>
      </c>
      <c r="H500" s="380"/>
      <c r="I500" s="380"/>
      <c r="J500" s="380"/>
      <c r="K500" s="2"/>
      <c r="L500" s="2"/>
      <c r="M500" s="2"/>
      <c r="N500" s="2"/>
      <c r="O500" s="2"/>
      <c r="P500" s="2"/>
      <c r="Q500" s="2"/>
      <c r="R500" s="2"/>
      <c r="S500" s="2"/>
      <c r="T500" s="2"/>
      <c r="U500" s="2"/>
      <c r="V500" s="2"/>
      <c r="W500" s="2"/>
      <c r="X500" s="2"/>
      <c r="Y500" s="2"/>
      <c r="Z500" s="2"/>
      <c r="AA500" s="2"/>
      <c r="AB500" s="2"/>
    </row>
    <row r="501">
      <c r="B501" s="377"/>
      <c r="C501" s="376" t="s">
        <v>4079</v>
      </c>
      <c r="D501" s="377"/>
      <c r="E501" s="378"/>
      <c r="F501" s="379" t="str">
        <f t="shared" si="1"/>
        <v>בכלל לא</v>
      </c>
      <c r="G501" s="380">
        <f>COUNTIF(Recordings!A:A,C501)</f>
        <v>0</v>
      </c>
      <c r="H501" s="380"/>
      <c r="I501" s="380"/>
      <c r="J501" s="380"/>
      <c r="K501" s="2"/>
      <c r="L501" s="2"/>
      <c r="M501" s="2"/>
      <c r="N501" s="2"/>
      <c r="O501" s="2"/>
      <c r="P501" s="2"/>
      <c r="Q501" s="2"/>
      <c r="R501" s="2"/>
      <c r="S501" s="2"/>
      <c r="T501" s="2"/>
      <c r="U501" s="2"/>
      <c r="V501" s="2"/>
      <c r="W501" s="2"/>
      <c r="X501" s="2"/>
      <c r="Y501" s="2"/>
      <c r="Z501" s="2"/>
      <c r="AA501" s="2"/>
      <c r="AB501" s="2"/>
    </row>
    <row r="502">
      <c r="B502" s="377"/>
      <c r="C502" s="376" t="s">
        <v>4080</v>
      </c>
      <c r="D502" s="377"/>
      <c r="E502" s="378"/>
      <c r="F502" s="379" t="str">
        <f t="shared" si="1"/>
        <v>בכלל לא</v>
      </c>
      <c r="G502" s="380">
        <f>COUNTIF(Recordings!A:A,C502)</f>
        <v>0</v>
      </c>
      <c r="H502" s="380"/>
      <c r="I502" s="380"/>
      <c r="J502" s="380"/>
      <c r="K502" s="2"/>
      <c r="L502" s="2"/>
      <c r="M502" s="2"/>
      <c r="N502" s="2"/>
      <c r="O502" s="2"/>
      <c r="P502" s="2"/>
      <c r="Q502" s="2"/>
      <c r="R502" s="2"/>
      <c r="S502" s="2"/>
      <c r="T502" s="2"/>
      <c r="U502" s="2"/>
      <c r="V502" s="2"/>
      <c r="W502" s="2"/>
      <c r="X502" s="2"/>
      <c r="Y502" s="2"/>
      <c r="Z502" s="2"/>
      <c r="AA502" s="2"/>
      <c r="AB502" s="2"/>
    </row>
    <row r="503">
      <c r="B503" s="377"/>
      <c r="C503" s="376" t="s">
        <v>4081</v>
      </c>
      <c r="D503" s="377"/>
      <c r="E503" s="378"/>
      <c r="F503" s="379" t="str">
        <f t="shared" si="1"/>
        <v>בכלל לא</v>
      </c>
      <c r="G503" s="380">
        <f>COUNTIF(Recordings!A:A,C503)</f>
        <v>0</v>
      </c>
      <c r="H503" s="380"/>
      <c r="I503" s="380"/>
      <c r="J503" s="380"/>
      <c r="K503" s="2"/>
      <c r="L503" s="2"/>
      <c r="M503" s="2"/>
      <c r="N503" s="2"/>
      <c r="O503" s="2"/>
      <c r="P503" s="2"/>
      <c r="Q503" s="2"/>
      <c r="R503" s="2"/>
      <c r="S503" s="2"/>
      <c r="T503" s="2"/>
      <c r="U503" s="2"/>
      <c r="V503" s="2"/>
      <c r="W503" s="2"/>
      <c r="X503" s="2"/>
      <c r="Y503" s="2"/>
      <c r="Z503" s="2"/>
      <c r="AA503" s="2"/>
      <c r="AB503" s="2"/>
    </row>
    <row r="504">
      <c r="B504" s="377"/>
      <c r="C504" s="376" t="s">
        <v>4082</v>
      </c>
      <c r="D504" s="377"/>
      <c r="E504" s="378"/>
      <c r="F504" s="379" t="str">
        <f t="shared" si="1"/>
        <v>בכלל לא</v>
      </c>
      <c r="G504" s="380">
        <f>COUNTIF(Recordings!A:A,C504)</f>
        <v>0</v>
      </c>
      <c r="H504" s="380"/>
      <c r="I504" s="380"/>
      <c r="J504" s="380"/>
      <c r="K504" s="2"/>
      <c r="L504" s="2"/>
      <c r="M504" s="2"/>
      <c r="N504" s="2"/>
      <c r="O504" s="2"/>
      <c r="P504" s="2"/>
      <c r="Q504" s="2"/>
      <c r="R504" s="2"/>
      <c r="S504" s="2"/>
      <c r="T504" s="2"/>
      <c r="U504" s="2"/>
      <c r="V504" s="2"/>
      <c r="W504" s="2"/>
      <c r="X504" s="2"/>
      <c r="Y504" s="2"/>
      <c r="Z504" s="2"/>
      <c r="AA504" s="2"/>
      <c r="AB504" s="2"/>
    </row>
    <row r="505">
      <c r="B505" s="377"/>
      <c r="C505" s="376" t="s">
        <v>4083</v>
      </c>
      <c r="D505" s="377"/>
      <c r="E505" s="378"/>
      <c r="F505" s="379" t="str">
        <f t="shared" si="1"/>
        <v>בכלל לא</v>
      </c>
      <c r="G505" s="380">
        <f>COUNTIF(Recordings!A:A,C505)</f>
        <v>0</v>
      </c>
      <c r="H505" s="380"/>
      <c r="I505" s="380"/>
      <c r="J505" s="380"/>
      <c r="K505" s="2"/>
      <c r="L505" s="2"/>
      <c r="M505" s="2"/>
      <c r="N505" s="2"/>
      <c r="O505" s="2"/>
      <c r="P505" s="2"/>
      <c r="Q505" s="2"/>
      <c r="R505" s="2"/>
      <c r="S505" s="2"/>
      <c r="T505" s="2"/>
      <c r="U505" s="2"/>
      <c r="V505" s="2"/>
      <c r="W505" s="2"/>
      <c r="X505" s="2"/>
      <c r="Y505" s="2"/>
      <c r="Z505" s="2"/>
      <c r="AA505" s="2"/>
      <c r="AB505" s="2"/>
    </row>
    <row r="506">
      <c r="B506" s="377"/>
      <c r="C506" s="376" t="s">
        <v>4084</v>
      </c>
      <c r="D506" s="377"/>
      <c r="E506" s="378"/>
      <c r="F506" s="379" t="str">
        <f t="shared" si="1"/>
        <v>בכלל לא</v>
      </c>
      <c r="G506" s="380">
        <f>COUNTIF(Recordings!A:A,C506)</f>
        <v>0</v>
      </c>
      <c r="H506" s="380"/>
      <c r="I506" s="380"/>
      <c r="J506" s="380"/>
      <c r="K506" s="2"/>
      <c r="L506" s="2"/>
      <c r="M506" s="2"/>
      <c r="N506" s="2"/>
      <c r="O506" s="2"/>
      <c r="P506" s="2"/>
      <c r="Q506" s="2"/>
      <c r="R506" s="2"/>
      <c r="S506" s="2"/>
      <c r="T506" s="2"/>
      <c r="U506" s="2"/>
      <c r="V506" s="2"/>
      <c r="W506" s="2"/>
      <c r="X506" s="2"/>
      <c r="Y506" s="2"/>
      <c r="Z506" s="2"/>
      <c r="AA506" s="2"/>
      <c r="AB506" s="2"/>
    </row>
    <row r="507">
      <c r="B507" s="377"/>
      <c r="C507" s="376" t="s">
        <v>4085</v>
      </c>
      <c r="D507" s="377"/>
      <c r="E507" s="378"/>
      <c r="F507" s="379" t="str">
        <f t="shared" si="1"/>
        <v>בכלל לא</v>
      </c>
      <c r="G507" s="380">
        <f>COUNTIF(Recordings!A:A,C507)</f>
        <v>0</v>
      </c>
      <c r="H507" s="380"/>
      <c r="I507" s="380"/>
      <c r="J507" s="380"/>
      <c r="K507" s="2"/>
      <c r="L507" s="2"/>
      <c r="M507" s="2"/>
      <c r="N507" s="2"/>
      <c r="O507" s="2"/>
      <c r="P507" s="2"/>
      <c r="Q507" s="2"/>
      <c r="R507" s="2"/>
      <c r="S507" s="2"/>
      <c r="T507" s="2"/>
      <c r="U507" s="2"/>
      <c r="V507" s="2"/>
      <c r="W507" s="2"/>
      <c r="X507" s="2"/>
      <c r="Y507" s="2"/>
      <c r="Z507" s="2"/>
      <c r="AA507" s="2"/>
      <c r="AB507" s="2"/>
    </row>
    <row r="508">
      <c r="B508" s="377"/>
      <c r="C508" s="376" t="s">
        <v>4086</v>
      </c>
      <c r="D508" s="377"/>
      <c r="E508" s="378"/>
      <c r="F508" s="379" t="str">
        <f t="shared" si="1"/>
        <v>בכלל לא</v>
      </c>
      <c r="G508" s="380">
        <f>COUNTIF(Recordings!A:A,C508)</f>
        <v>0</v>
      </c>
      <c r="H508" s="380"/>
      <c r="I508" s="380"/>
      <c r="J508" s="380"/>
      <c r="K508" s="2"/>
      <c r="L508" s="2"/>
      <c r="M508" s="2"/>
      <c r="N508" s="2"/>
      <c r="O508" s="2"/>
      <c r="P508" s="2"/>
      <c r="Q508" s="2"/>
      <c r="R508" s="2"/>
      <c r="S508" s="2"/>
      <c r="T508" s="2"/>
      <c r="U508" s="2"/>
      <c r="V508" s="2"/>
      <c r="W508" s="2"/>
      <c r="X508" s="2"/>
      <c r="Y508" s="2"/>
      <c r="Z508" s="2"/>
      <c r="AA508" s="2"/>
      <c r="AB508" s="2"/>
    </row>
    <row r="509">
      <c r="B509" s="377"/>
      <c r="C509" s="376" t="s">
        <v>4087</v>
      </c>
      <c r="D509" s="377"/>
      <c r="E509" s="378"/>
      <c r="F509" s="379" t="str">
        <f t="shared" si="1"/>
        <v>בכלל לא</v>
      </c>
      <c r="G509" s="380">
        <f>COUNTIF(Recordings!A:A,C509)</f>
        <v>0</v>
      </c>
      <c r="H509" s="380"/>
      <c r="I509" s="380"/>
      <c r="J509" s="380"/>
      <c r="K509" s="2"/>
      <c r="L509" s="2"/>
      <c r="M509" s="2"/>
      <c r="N509" s="2"/>
      <c r="O509" s="2"/>
      <c r="P509" s="2"/>
      <c r="Q509" s="2"/>
      <c r="R509" s="2"/>
      <c r="S509" s="2"/>
      <c r="T509" s="2"/>
      <c r="U509" s="2"/>
      <c r="V509" s="2"/>
      <c r="W509" s="2"/>
      <c r="X509" s="2"/>
      <c r="Y509" s="2"/>
      <c r="Z509" s="2"/>
      <c r="AA509" s="2"/>
      <c r="AB509" s="2"/>
    </row>
    <row r="510">
      <c r="B510" s="377"/>
      <c r="C510" s="376" t="s">
        <v>4088</v>
      </c>
      <c r="D510" s="377"/>
      <c r="E510" s="378"/>
      <c r="F510" s="379" t="str">
        <f t="shared" si="1"/>
        <v>בכלל לא</v>
      </c>
      <c r="G510" s="380">
        <f>COUNTIF(Recordings!A:A,C510)</f>
        <v>0</v>
      </c>
      <c r="H510" s="380"/>
      <c r="I510" s="380"/>
      <c r="J510" s="380"/>
      <c r="K510" s="2"/>
      <c r="L510" s="2"/>
      <c r="M510" s="2"/>
      <c r="N510" s="2"/>
      <c r="O510" s="2"/>
      <c r="P510" s="2"/>
      <c r="Q510" s="2"/>
      <c r="R510" s="2"/>
      <c r="S510" s="2"/>
      <c r="T510" s="2"/>
      <c r="U510" s="2"/>
      <c r="V510" s="2"/>
      <c r="W510" s="2"/>
      <c r="X510" s="2"/>
      <c r="Y510" s="2"/>
      <c r="Z510" s="2"/>
      <c r="AA510" s="2"/>
      <c r="AB510" s="2"/>
    </row>
    <row r="511">
      <c r="B511" s="377"/>
      <c r="C511" s="376" t="s">
        <v>4089</v>
      </c>
      <c r="D511" s="377"/>
      <c r="E511" s="378"/>
      <c r="F511" s="379" t="str">
        <f t="shared" si="1"/>
        <v>בכלל לא</v>
      </c>
      <c r="G511" s="380">
        <f>COUNTIF(Recordings!A:A,C511)</f>
        <v>0</v>
      </c>
      <c r="H511" s="380"/>
      <c r="I511" s="380"/>
      <c r="J511" s="380"/>
      <c r="K511" s="2"/>
      <c r="L511" s="2"/>
      <c r="M511" s="2"/>
      <c r="N511" s="2"/>
      <c r="O511" s="2"/>
      <c r="P511" s="2"/>
      <c r="Q511" s="2"/>
      <c r="R511" s="2"/>
      <c r="S511" s="2"/>
      <c r="T511" s="2"/>
      <c r="U511" s="2"/>
      <c r="V511" s="2"/>
      <c r="W511" s="2"/>
      <c r="X511" s="2"/>
      <c r="Y511" s="2"/>
      <c r="Z511" s="2"/>
      <c r="AA511" s="2"/>
      <c r="AB511" s="2"/>
    </row>
    <row r="512">
      <c r="B512" s="377"/>
      <c r="C512" s="376" t="s">
        <v>4090</v>
      </c>
      <c r="D512" s="377"/>
      <c r="E512" s="378"/>
      <c r="F512" s="379" t="str">
        <f t="shared" si="1"/>
        <v>בכלל לא</v>
      </c>
      <c r="G512" s="380">
        <f>COUNTIF(Recordings!A:A,C512)</f>
        <v>0</v>
      </c>
      <c r="H512" s="380"/>
      <c r="I512" s="380"/>
      <c r="J512" s="380"/>
      <c r="K512" s="2"/>
      <c r="L512" s="2"/>
      <c r="M512" s="2"/>
      <c r="N512" s="2"/>
      <c r="O512" s="2"/>
      <c r="P512" s="2"/>
      <c r="Q512" s="2"/>
      <c r="R512" s="2"/>
      <c r="S512" s="2"/>
      <c r="T512" s="2"/>
      <c r="U512" s="2"/>
      <c r="V512" s="2"/>
      <c r="W512" s="2"/>
      <c r="X512" s="2"/>
      <c r="Y512" s="2"/>
      <c r="Z512" s="2"/>
      <c r="AA512" s="2"/>
      <c r="AB512" s="2"/>
    </row>
    <row r="513">
      <c r="B513" s="377"/>
      <c r="C513" s="376" t="s">
        <v>4091</v>
      </c>
      <c r="D513" s="377"/>
      <c r="E513" s="378"/>
      <c r="F513" s="379" t="str">
        <f t="shared" si="1"/>
        <v>בכלל לא</v>
      </c>
      <c r="G513" s="380">
        <f>COUNTIF(Recordings!A:A,C513)</f>
        <v>0</v>
      </c>
      <c r="H513" s="380"/>
      <c r="I513" s="380"/>
      <c r="J513" s="380"/>
      <c r="K513" s="2"/>
      <c r="L513" s="2"/>
      <c r="M513" s="2"/>
      <c r="N513" s="2"/>
      <c r="O513" s="2"/>
      <c r="P513" s="2"/>
      <c r="Q513" s="2"/>
      <c r="R513" s="2"/>
      <c r="S513" s="2"/>
      <c r="T513" s="2"/>
      <c r="U513" s="2"/>
      <c r="V513" s="2"/>
      <c r="W513" s="2"/>
      <c r="X513" s="2"/>
      <c r="Y513" s="2"/>
      <c r="Z513" s="2"/>
      <c r="AA513" s="2"/>
      <c r="AB513" s="2"/>
    </row>
    <row r="514">
      <c r="B514" s="377"/>
      <c r="C514" s="376" t="s">
        <v>4092</v>
      </c>
      <c r="D514" s="377"/>
      <c r="E514" s="378"/>
      <c r="F514" s="379" t="str">
        <f t="shared" si="1"/>
        <v>בכלל לא</v>
      </c>
      <c r="G514" s="380">
        <f>COUNTIF(Recordings!A:A,C514)</f>
        <v>0</v>
      </c>
      <c r="H514" s="380"/>
      <c r="I514" s="380"/>
      <c r="J514" s="380"/>
      <c r="K514" s="2"/>
      <c r="L514" s="2"/>
      <c r="M514" s="2"/>
      <c r="N514" s="2"/>
      <c r="O514" s="2"/>
      <c r="P514" s="2"/>
      <c r="Q514" s="2"/>
      <c r="R514" s="2"/>
      <c r="S514" s="2"/>
      <c r="T514" s="2"/>
      <c r="U514" s="2"/>
      <c r="V514" s="2"/>
      <c r="W514" s="2"/>
      <c r="X514" s="2"/>
      <c r="Y514" s="2"/>
      <c r="Z514" s="2"/>
      <c r="AA514" s="2"/>
      <c r="AB514" s="2"/>
    </row>
    <row r="515">
      <c r="B515" s="377"/>
      <c r="C515" s="376" t="s">
        <v>4093</v>
      </c>
      <c r="D515" s="377"/>
      <c r="E515" s="378"/>
      <c r="F515" s="379" t="str">
        <f t="shared" si="1"/>
        <v>בכלל לא</v>
      </c>
      <c r="G515" s="380">
        <f>COUNTIF(Recordings!A:A,C515)</f>
        <v>0</v>
      </c>
      <c r="H515" s="380"/>
      <c r="I515" s="380"/>
      <c r="J515" s="380"/>
      <c r="K515" s="2"/>
      <c r="L515" s="2"/>
      <c r="M515" s="2"/>
      <c r="N515" s="2"/>
      <c r="O515" s="2"/>
      <c r="P515" s="2"/>
      <c r="Q515" s="2"/>
      <c r="R515" s="2"/>
      <c r="S515" s="2"/>
      <c r="T515" s="2"/>
      <c r="U515" s="2"/>
      <c r="V515" s="2"/>
      <c r="W515" s="2"/>
      <c r="X515" s="2"/>
      <c r="Y515" s="2"/>
      <c r="Z515" s="2"/>
      <c r="AA515" s="2"/>
      <c r="AB515" s="2"/>
    </row>
    <row r="516">
      <c r="B516" s="377"/>
      <c r="C516" s="376" t="s">
        <v>4094</v>
      </c>
      <c r="D516" s="377"/>
      <c r="E516" s="378"/>
      <c r="F516" s="379" t="str">
        <f t="shared" si="1"/>
        <v>בכלל לא</v>
      </c>
      <c r="G516" s="380">
        <f>COUNTIF(Recordings!A:A,C516)</f>
        <v>0</v>
      </c>
      <c r="H516" s="380"/>
      <c r="I516" s="380"/>
      <c r="J516" s="380"/>
      <c r="K516" s="2"/>
      <c r="L516" s="2"/>
      <c r="M516" s="2"/>
      <c r="N516" s="2"/>
      <c r="O516" s="2"/>
      <c r="P516" s="2"/>
      <c r="Q516" s="2"/>
      <c r="R516" s="2"/>
      <c r="S516" s="2"/>
      <c r="T516" s="2"/>
      <c r="U516" s="2"/>
      <c r="V516" s="2"/>
      <c r="W516" s="2"/>
      <c r="X516" s="2"/>
      <c r="Y516" s="2"/>
      <c r="Z516" s="2"/>
      <c r="AA516" s="2"/>
      <c r="AB516" s="2"/>
    </row>
    <row r="517">
      <c r="B517" s="377"/>
      <c r="C517" s="376" t="s">
        <v>4095</v>
      </c>
      <c r="D517" s="377"/>
      <c r="E517" s="378"/>
      <c r="F517" s="379" t="str">
        <f t="shared" si="1"/>
        <v>בכלל לא</v>
      </c>
      <c r="G517" s="380">
        <f>COUNTIF(Recordings!A:A,C517)</f>
        <v>0</v>
      </c>
      <c r="H517" s="380"/>
      <c r="I517" s="380"/>
      <c r="J517" s="380"/>
      <c r="K517" s="2"/>
      <c r="L517" s="2"/>
      <c r="M517" s="2"/>
      <c r="N517" s="2"/>
      <c r="O517" s="2"/>
      <c r="P517" s="2"/>
      <c r="Q517" s="2"/>
      <c r="R517" s="2"/>
      <c r="S517" s="2"/>
      <c r="T517" s="2"/>
      <c r="U517" s="2"/>
      <c r="V517" s="2"/>
      <c r="W517" s="2"/>
      <c r="X517" s="2"/>
      <c r="Y517" s="2"/>
      <c r="Z517" s="2"/>
      <c r="AA517" s="2"/>
      <c r="AB517" s="2"/>
    </row>
    <row r="518">
      <c r="B518" s="377"/>
      <c r="C518" s="376" t="s">
        <v>4096</v>
      </c>
      <c r="D518" s="377"/>
      <c r="E518" s="378"/>
      <c r="F518" s="379" t="str">
        <f t="shared" si="1"/>
        <v>בכלל לא</v>
      </c>
      <c r="G518" s="380">
        <f>COUNTIF(Recordings!A:A,C518)</f>
        <v>0</v>
      </c>
      <c r="H518" s="380"/>
      <c r="I518" s="380"/>
      <c r="J518" s="380"/>
      <c r="K518" s="2"/>
      <c r="L518" s="2"/>
      <c r="M518" s="2"/>
      <c r="N518" s="2"/>
      <c r="O518" s="2"/>
      <c r="P518" s="2"/>
      <c r="Q518" s="2"/>
      <c r="R518" s="2"/>
      <c r="S518" s="2"/>
      <c r="T518" s="2"/>
      <c r="U518" s="2"/>
      <c r="V518" s="2"/>
      <c r="W518" s="2"/>
      <c r="X518" s="2"/>
      <c r="Y518" s="2"/>
      <c r="Z518" s="2"/>
      <c r="AA518" s="2"/>
      <c r="AB518" s="2"/>
    </row>
    <row r="519">
      <c r="B519" s="377"/>
      <c r="C519" s="376" t="s">
        <v>4097</v>
      </c>
      <c r="D519" s="377"/>
      <c r="E519" s="378"/>
      <c r="F519" s="379" t="str">
        <f t="shared" si="1"/>
        <v>בכלל לא</v>
      </c>
      <c r="G519" s="380">
        <f>COUNTIF(Recordings!A:A,C519)</f>
        <v>0</v>
      </c>
      <c r="H519" s="380"/>
      <c r="I519" s="380"/>
      <c r="J519" s="380"/>
      <c r="K519" s="2"/>
      <c r="L519" s="2"/>
      <c r="M519" s="2"/>
      <c r="N519" s="2"/>
      <c r="O519" s="2"/>
      <c r="P519" s="2"/>
      <c r="Q519" s="2"/>
      <c r="R519" s="2"/>
      <c r="S519" s="2"/>
      <c r="T519" s="2"/>
      <c r="U519" s="2"/>
      <c r="V519" s="2"/>
      <c r="W519" s="2"/>
      <c r="X519" s="2"/>
      <c r="Y519" s="2"/>
      <c r="Z519" s="2"/>
      <c r="AA519" s="2"/>
      <c r="AB519" s="2"/>
    </row>
    <row r="520">
      <c r="B520" s="381" t="s">
        <v>481</v>
      </c>
      <c r="C520" s="376" t="s">
        <v>479</v>
      </c>
      <c r="D520" s="377"/>
      <c r="E520" s="378"/>
      <c r="F520" s="379" t="str">
        <f t="shared" si="1"/>
        <v>כן</v>
      </c>
      <c r="G520" s="380">
        <f>COUNTIF(Recordings!A:A,C520)</f>
        <v>13</v>
      </c>
      <c r="H520" s="380"/>
      <c r="I520" s="380"/>
      <c r="J520" s="380"/>
      <c r="K520" s="2"/>
      <c r="L520" s="2"/>
      <c r="M520" s="2"/>
      <c r="N520" s="2"/>
      <c r="O520" s="2"/>
      <c r="P520" s="2"/>
      <c r="Q520" s="2"/>
      <c r="R520" s="2"/>
      <c r="S520" s="2"/>
      <c r="T520" s="2"/>
      <c r="U520" s="2"/>
      <c r="V520" s="2"/>
      <c r="W520" s="2"/>
      <c r="X520" s="2"/>
      <c r="Y520" s="2"/>
      <c r="Z520" s="2"/>
      <c r="AA520" s="2"/>
      <c r="AB520" s="2"/>
    </row>
    <row r="521">
      <c r="A521" s="382" t="s">
        <v>51</v>
      </c>
      <c r="B521" s="383"/>
      <c r="C521" s="382" t="s">
        <v>4098</v>
      </c>
      <c r="D521" s="383"/>
      <c r="E521" s="384"/>
      <c r="F521" s="385" t="str">
        <f t="shared" si="1"/>
        <v>בכלל לא</v>
      </c>
      <c r="G521" s="386">
        <f>COUNTIF(Recordings!A:A,C521)</f>
        <v>0</v>
      </c>
      <c r="H521" s="386"/>
      <c r="I521" s="386"/>
      <c r="J521" s="386"/>
      <c r="K521" s="2"/>
      <c r="L521" s="2"/>
      <c r="M521" s="2"/>
      <c r="N521" s="2"/>
      <c r="O521" s="2"/>
      <c r="P521" s="2"/>
      <c r="Q521" s="2"/>
      <c r="R521" s="2"/>
      <c r="S521" s="2"/>
      <c r="T521" s="2"/>
      <c r="U521" s="2"/>
      <c r="V521" s="2"/>
      <c r="W521" s="2"/>
      <c r="X521" s="2"/>
      <c r="Y521" s="2"/>
      <c r="Z521" s="2"/>
      <c r="AA521" s="2"/>
      <c r="AB521" s="2"/>
    </row>
    <row r="522">
      <c r="B522" s="383"/>
      <c r="C522" s="382" t="s">
        <v>4099</v>
      </c>
      <c r="D522" s="383"/>
      <c r="E522" s="384"/>
      <c r="F522" s="385" t="str">
        <f t="shared" si="1"/>
        <v>בכלל לא</v>
      </c>
      <c r="G522" s="386">
        <f>COUNTIF(Recordings!A:A,C522)</f>
        <v>0</v>
      </c>
      <c r="H522" s="386"/>
      <c r="I522" s="386"/>
      <c r="J522" s="386"/>
      <c r="K522" s="2"/>
      <c r="L522" s="2"/>
      <c r="M522" s="2"/>
      <c r="N522" s="2"/>
      <c r="O522" s="2"/>
      <c r="P522" s="2"/>
      <c r="Q522" s="2"/>
      <c r="R522" s="2"/>
      <c r="S522" s="2"/>
      <c r="T522" s="2"/>
      <c r="U522" s="2"/>
      <c r="V522" s="2"/>
      <c r="W522" s="2"/>
      <c r="X522" s="2"/>
      <c r="Y522" s="2"/>
      <c r="Z522" s="2"/>
      <c r="AA522" s="2"/>
      <c r="AB522" s="2"/>
    </row>
    <row r="523">
      <c r="B523" s="383"/>
      <c r="C523" s="382" t="s">
        <v>4100</v>
      </c>
      <c r="D523" s="383"/>
      <c r="E523" s="384"/>
      <c r="F523" s="385" t="str">
        <f t="shared" si="1"/>
        <v>בכלל לא</v>
      </c>
      <c r="G523" s="386">
        <f>COUNTIF(Recordings!A:A,C523)</f>
        <v>0</v>
      </c>
      <c r="H523" s="386"/>
      <c r="I523" s="386"/>
      <c r="J523" s="386"/>
      <c r="K523" s="2"/>
      <c r="L523" s="2"/>
      <c r="M523" s="2"/>
      <c r="N523" s="2"/>
      <c r="O523" s="2"/>
      <c r="P523" s="2"/>
      <c r="Q523" s="2"/>
      <c r="R523" s="2"/>
      <c r="S523" s="2"/>
      <c r="T523" s="2"/>
      <c r="U523" s="2"/>
      <c r="V523" s="2"/>
      <c r="W523" s="2"/>
      <c r="X523" s="2"/>
      <c r="Y523" s="2"/>
      <c r="Z523" s="2"/>
      <c r="AA523" s="2"/>
      <c r="AB523" s="2"/>
    </row>
    <row r="524">
      <c r="B524" s="387" t="s">
        <v>151</v>
      </c>
      <c r="C524" s="388" t="s">
        <v>150</v>
      </c>
      <c r="D524" s="389" t="s">
        <v>1871</v>
      </c>
      <c r="E524" s="384"/>
      <c r="F524" s="385" t="str">
        <f t="shared" si="1"/>
        <v>כן</v>
      </c>
      <c r="G524" s="386">
        <f>COUNTIF(Recordings!A:A,C524)</f>
        <v>1</v>
      </c>
      <c r="H524" s="386"/>
      <c r="I524" s="386"/>
      <c r="J524" s="386"/>
      <c r="K524" s="2"/>
      <c r="L524" s="2"/>
      <c r="M524" s="2"/>
      <c r="N524" s="2"/>
      <c r="O524" s="2"/>
      <c r="P524" s="2"/>
      <c r="Q524" s="2"/>
      <c r="R524" s="2"/>
      <c r="S524" s="2"/>
      <c r="T524" s="2"/>
      <c r="U524" s="2"/>
      <c r="V524" s="2"/>
      <c r="W524" s="2"/>
      <c r="X524" s="2"/>
      <c r="Y524" s="2"/>
      <c r="Z524" s="2"/>
      <c r="AA524" s="2"/>
      <c r="AB524" s="2"/>
    </row>
    <row r="525">
      <c r="B525" s="383"/>
      <c r="C525" s="382" t="s">
        <v>4101</v>
      </c>
      <c r="D525" s="383"/>
      <c r="E525" s="384"/>
      <c r="F525" s="385" t="str">
        <f t="shared" si="1"/>
        <v>בכלל לא</v>
      </c>
      <c r="G525" s="386">
        <f>COUNTIF(Recordings!A:A,C525)</f>
        <v>0</v>
      </c>
      <c r="H525" s="386"/>
      <c r="I525" s="386"/>
      <c r="J525" s="386"/>
      <c r="K525" s="2"/>
      <c r="L525" s="2"/>
      <c r="M525" s="2"/>
      <c r="N525" s="2"/>
      <c r="O525" s="2"/>
      <c r="P525" s="2"/>
      <c r="Q525" s="2"/>
      <c r="R525" s="2"/>
      <c r="S525" s="2"/>
      <c r="T525" s="2"/>
      <c r="U525" s="2"/>
      <c r="V525" s="2"/>
      <c r="W525" s="2"/>
      <c r="X525" s="2"/>
      <c r="Y525" s="2"/>
      <c r="Z525" s="2"/>
      <c r="AA525" s="2"/>
      <c r="AB525" s="2"/>
    </row>
    <row r="526">
      <c r="B526" s="389" t="s">
        <v>1877</v>
      </c>
      <c r="C526" s="390" t="s">
        <v>1876</v>
      </c>
      <c r="D526" s="387" t="s">
        <v>71</v>
      </c>
      <c r="E526" s="384"/>
      <c r="F526" s="385" t="str">
        <f t="shared" si="1"/>
        <v>כן</v>
      </c>
      <c r="G526" s="386">
        <f>COUNTIF(Recordings!A:A,C526)</f>
        <v>1</v>
      </c>
      <c r="H526" s="386"/>
      <c r="I526" s="386"/>
      <c r="J526" s="386"/>
      <c r="K526" s="2"/>
      <c r="L526" s="2"/>
      <c r="M526" s="2"/>
      <c r="N526" s="2"/>
      <c r="O526" s="2"/>
      <c r="P526" s="2"/>
      <c r="Q526" s="2"/>
      <c r="R526" s="2"/>
      <c r="S526" s="2"/>
      <c r="T526" s="2"/>
      <c r="U526" s="2"/>
      <c r="V526" s="2"/>
      <c r="W526" s="2"/>
      <c r="X526" s="2"/>
      <c r="Y526" s="2"/>
      <c r="Z526" s="2"/>
      <c r="AA526" s="2"/>
      <c r="AB526" s="2"/>
    </row>
    <row r="527">
      <c r="B527" s="383"/>
      <c r="C527" s="382" t="s">
        <v>4102</v>
      </c>
      <c r="D527" s="383"/>
      <c r="E527" s="384"/>
      <c r="F527" s="385" t="str">
        <f t="shared" si="1"/>
        <v>בכלל לא</v>
      </c>
      <c r="G527" s="386">
        <f>COUNTIF(Recordings!A:A,C527)</f>
        <v>0</v>
      </c>
      <c r="H527" s="386"/>
      <c r="I527" s="386"/>
      <c r="J527" s="386"/>
      <c r="K527" s="2"/>
      <c r="L527" s="2"/>
      <c r="M527" s="2"/>
      <c r="N527" s="2"/>
      <c r="O527" s="2"/>
      <c r="P527" s="2"/>
      <c r="Q527" s="2"/>
      <c r="R527" s="2"/>
      <c r="S527" s="2"/>
      <c r="T527" s="2"/>
      <c r="U527" s="2"/>
      <c r="V527" s="2"/>
      <c r="W527" s="2"/>
      <c r="X527" s="2"/>
      <c r="Y527" s="2"/>
      <c r="Z527" s="2"/>
      <c r="AA527" s="2"/>
      <c r="AB527" s="2"/>
    </row>
    <row r="528">
      <c r="B528" s="383"/>
      <c r="C528" s="382" t="s">
        <v>4103</v>
      </c>
      <c r="D528" s="383"/>
      <c r="E528" s="384"/>
      <c r="F528" s="385" t="str">
        <f t="shared" si="1"/>
        <v>בכלל לא</v>
      </c>
      <c r="G528" s="386">
        <f>COUNTIF(Recordings!A:A,C528)</f>
        <v>0</v>
      </c>
      <c r="H528" s="386"/>
      <c r="I528" s="386"/>
      <c r="J528" s="386"/>
      <c r="K528" s="2"/>
      <c r="L528" s="2"/>
      <c r="M528" s="2"/>
      <c r="N528" s="2"/>
      <c r="O528" s="2"/>
      <c r="P528" s="2"/>
      <c r="Q528" s="2"/>
      <c r="R528" s="2"/>
      <c r="S528" s="2"/>
      <c r="T528" s="2"/>
      <c r="U528" s="2"/>
      <c r="V528" s="2"/>
      <c r="W528" s="2"/>
      <c r="X528" s="2"/>
      <c r="Y528" s="2"/>
      <c r="Z528" s="2"/>
      <c r="AA528" s="2"/>
      <c r="AB528" s="2"/>
    </row>
    <row r="529">
      <c r="B529" s="383"/>
      <c r="C529" s="382" t="s">
        <v>4104</v>
      </c>
      <c r="D529" s="383"/>
      <c r="E529" s="384"/>
      <c r="F529" s="385" t="str">
        <f t="shared" si="1"/>
        <v>בכלל לא</v>
      </c>
      <c r="G529" s="386">
        <f>COUNTIF(Recordings!A:A,C529)</f>
        <v>0</v>
      </c>
      <c r="H529" s="386"/>
      <c r="I529" s="386"/>
      <c r="J529" s="386"/>
      <c r="K529" s="2"/>
      <c r="L529" s="2"/>
      <c r="M529" s="2"/>
      <c r="N529" s="2"/>
      <c r="O529" s="2"/>
      <c r="P529" s="2"/>
      <c r="Q529" s="2"/>
      <c r="R529" s="2"/>
      <c r="S529" s="2"/>
      <c r="T529" s="2"/>
      <c r="U529" s="2"/>
      <c r="V529" s="2"/>
      <c r="W529" s="2"/>
      <c r="X529" s="2"/>
      <c r="Y529" s="2"/>
      <c r="Z529" s="2"/>
      <c r="AA529" s="2"/>
      <c r="AB529" s="2"/>
    </row>
    <row r="530">
      <c r="B530" s="383"/>
      <c r="C530" s="382" t="s">
        <v>4105</v>
      </c>
      <c r="D530" s="383"/>
      <c r="E530" s="384"/>
      <c r="F530" s="385" t="str">
        <f t="shared" si="1"/>
        <v>בכלל לא</v>
      </c>
      <c r="G530" s="386">
        <f>COUNTIF(Recordings!A:A,C530)</f>
        <v>0</v>
      </c>
      <c r="H530" s="386"/>
      <c r="I530" s="386"/>
      <c r="J530" s="386"/>
      <c r="K530" s="2"/>
      <c r="L530" s="2"/>
      <c r="M530" s="2"/>
      <c r="N530" s="2"/>
      <c r="O530" s="2"/>
      <c r="P530" s="2"/>
      <c r="Q530" s="2"/>
      <c r="R530" s="2"/>
      <c r="S530" s="2"/>
      <c r="T530" s="2"/>
      <c r="U530" s="2"/>
      <c r="V530" s="2"/>
      <c r="W530" s="2"/>
      <c r="X530" s="2"/>
      <c r="Y530" s="2"/>
      <c r="Z530" s="2"/>
      <c r="AA530" s="2"/>
      <c r="AB530" s="2"/>
    </row>
    <row r="531">
      <c r="B531" s="383" t="s">
        <v>52</v>
      </c>
      <c r="C531" s="383" t="s">
        <v>51</v>
      </c>
      <c r="D531" s="383" t="s">
        <v>53</v>
      </c>
      <c r="E531" s="384"/>
      <c r="F531" s="385" t="str">
        <f t="shared" si="1"/>
        <v>כן</v>
      </c>
      <c r="G531" s="386">
        <f>COUNTIF(Recordings!A:A,C531)</f>
        <v>6</v>
      </c>
      <c r="H531" s="386"/>
      <c r="I531" s="386"/>
      <c r="J531" s="386"/>
      <c r="K531" s="2"/>
      <c r="L531" s="2"/>
      <c r="M531" s="2"/>
      <c r="N531" s="2"/>
      <c r="O531" s="2"/>
      <c r="P531" s="2"/>
      <c r="Q531" s="2"/>
      <c r="R531" s="2"/>
      <c r="S531" s="2"/>
      <c r="T531" s="2"/>
      <c r="U531" s="2"/>
      <c r="V531" s="2"/>
      <c r="W531" s="2"/>
      <c r="X531" s="2"/>
      <c r="Y531" s="2"/>
      <c r="Z531" s="2"/>
      <c r="AA531" s="2"/>
      <c r="AB531" s="2"/>
    </row>
    <row r="532">
      <c r="B532" s="383"/>
      <c r="C532" s="382" t="s">
        <v>4106</v>
      </c>
      <c r="D532" s="383"/>
      <c r="E532" s="384"/>
      <c r="F532" s="385" t="str">
        <f t="shared" si="1"/>
        <v>בכלל לא</v>
      </c>
      <c r="G532" s="386">
        <f>COUNTIF(Recordings!A:A,C532)</f>
        <v>0</v>
      </c>
      <c r="H532" s="386"/>
      <c r="I532" s="386"/>
      <c r="J532" s="386"/>
      <c r="K532" s="2"/>
      <c r="L532" s="2"/>
      <c r="M532" s="2"/>
      <c r="N532" s="2"/>
      <c r="O532" s="2"/>
      <c r="P532" s="2"/>
      <c r="Q532" s="2"/>
      <c r="R532" s="2"/>
      <c r="S532" s="2"/>
      <c r="T532" s="2"/>
      <c r="U532" s="2"/>
      <c r="V532" s="2"/>
      <c r="W532" s="2"/>
      <c r="X532" s="2"/>
      <c r="Y532" s="2"/>
      <c r="Z532" s="2"/>
      <c r="AA532" s="2"/>
      <c r="AB532" s="2"/>
    </row>
    <row r="533">
      <c r="B533" s="383"/>
      <c r="C533" s="382" t="s">
        <v>4107</v>
      </c>
      <c r="D533" s="383"/>
      <c r="E533" s="384"/>
      <c r="F533" s="385" t="str">
        <f t="shared" si="1"/>
        <v>בכלל לא</v>
      </c>
      <c r="G533" s="386">
        <f>COUNTIF(Recordings!A:A,C533)</f>
        <v>0</v>
      </c>
      <c r="H533" s="386"/>
      <c r="I533" s="386"/>
      <c r="J533" s="386"/>
      <c r="K533" s="2"/>
      <c r="L533" s="2"/>
      <c r="M533" s="2"/>
      <c r="N533" s="2"/>
      <c r="O533" s="2"/>
      <c r="P533" s="2"/>
      <c r="Q533" s="2"/>
      <c r="R533" s="2"/>
      <c r="S533" s="2"/>
      <c r="T533" s="2"/>
      <c r="U533" s="2"/>
      <c r="V533" s="2"/>
      <c r="W533" s="2"/>
      <c r="X533" s="2"/>
      <c r="Y533" s="2"/>
      <c r="Z533" s="2"/>
      <c r="AA533" s="2"/>
      <c r="AB533" s="2"/>
    </row>
    <row r="534">
      <c r="B534" s="383"/>
      <c r="C534" s="382" t="s">
        <v>4108</v>
      </c>
      <c r="D534" s="383"/>
      <c r="E534" s="384"/>
      <c r="F534" s="385" t="str">
        <f t="shared" si="1"/>
        <v>בכלל לא</v>
      </c>
      <c r="G534" s="386">
        <f>COUNTIF(Recordings!A:A,C534)</f>
        <v>0</v>
      </c>
      <c r="H534" s="386"/>
      <c r="I534" s="386"/>
      <c r="J534" s="386"/>
      <c r="K534" s="2"/>
      <c r="L534" s="2"/>
      <c r="M534" s="2"/>
      <c r="N534" s="2"/>
      <c r="O534" s="2"/>
      <c r="P534" s="2"/>
      <c r="Q534" s="2"/>
      <c r="R534" s="2"/>
      <c r="S534" s="2"/>
      <c r="T534" s="2"/>
      <c r="U534" s="2"/>
      <c r="V534" s="2"/>
      <c r="W534" s="2"/>
      <c r="X534" s="2"/>
      <c r="Y534" s="2"/>
      <c r="Z534" s="2"/>
      <c r="AA534" s="2"/>
      <c r="AB534" s="2"/>
    </row>
    <row r="535">
      <c r="B535" s="383"/>
      <c r="C535" s="382" t="s">
        <v>4109</v>
      </c>
      <c r="D535" s="383"/>
      <c r="E535" s="384"/>
      <c r="F535" s="385" t="str">
        <f t="shared" si="1"/>
        <v>בכלל לא</v>
      </c>
      <c r="G535" s="386">
        <f>COUNTIF(Recordings!A:A,C535)</f>
        <v>0</v>
      </c>
      <c r="H535" s="386"/>
      <c r="I535" s="386"/>
      <c r="J535" s="386"/>
      <c r="K535" s="2"/>
      <c r="L535" s="2"/>
      <c r="M535" s="2"/>
      <c r="N535" s="2"/>
      <c r="O535" s="2"/>
      <c r="P535" s="2"/>
      <c r="Q535" s="2"/>
      <c r="R535" s="2"/>
      <c r="S535" s="2"/>
      <c r="T535" s="2"/>
      <c r="U535" s="2"/>
      <c r="V535" s="2"/>
      <c r="W535" s="2"/>
      <c r="X535" s="2"/>
      <c r="Y535" s="2"/>
      <c r="Z535" s="2"/>
      <c r="AA535" s="2"/>
      <c r="AB535" s="2"/>
    </row>
    <row r="536">
      <c r="B536" s="383"/>
      <c r="C536" s="382" t="s">
        <v>3602</v>
      </c>
      <c r="D536" s="383"/>
      <c r="E536" s="384"/>
      <c r="F536" s="385" t="str">
        <f t="shared" si="1"/>
        <v>כן</v>
      </c>
      <c r="G536" s="386">
        <f>COUNTIF(Recordings!A:A,C536)</f>
        <v>1</v>
      </c>
      <c r="H536" s="386"/>
      <c r="I536" s="386"/>
      <c r="J536" s="386"/>
      <c r="K536" s="2"/>
      <c r="L536" s="2"/>
      <c r="M536" s="2"/>
      <c r="N536" s="2"/>
      <c r="O536" s="2"/>
      <c r="P536" s="2"/>
      <c r="Q536" s="2"/>
      <c r="R536" s="2"/>
      <c r="S536" s="2"/>
      <c r="T536" s="2"/>
      <c r="U536" s="2"/>
      <c r="V536" s="2"/>
      <c r="W536" s="2"/>
      <c r="X536" s="2"/>
      <c r="Y536" s="2"/>
      <c r="Z536" s="2"/>
      <c r="AA536" s="2"/>
      <c r="AB536" s="2"/>
    </row>
    <row r="537">
      <c r="B537" s="383"/>
      <c r="C537" s="382" t="s">
        <v>4110</v>
      </c>
      <c r="D537" s="383"/>
      <c r="E537" s="384"/>
      <c r="F537" s="385" t="str">
        <f t="shared" si="1"/>
        <v>בכלל לא</v>
      </c>
      <c r="G537" s="386">
        <f>COUNTIF(Recordings!A:A,C537)</f>
        <v>0</v>
      </c>
      <c r="H537" s="386"/>
      <c r="I537" s="386"/>
      <c r="J537" s="386"/>
      <c r="K537" s="2"/>
      <c r="L537" s="2"/>
      <c r="M537" s="2"/>
      <c r="N537" s="2"/>
      <c r="O537" s="2"/>
      <c r="P537" s="2"/>
      <c r="Q537" s="2"/>
      <c r="R537" s="2"/>
      <c r="S537" s="2"/>
      <c r="T537" s="2"/>
      <c r="U537" s="2"/>
      <c r="V537" s="2"/>
      <c r="W537" s="2"/>
      <c r="X537" s="2"/>
      <c r="Y537" s="2"/>
      <c r="Z537" s="2"/>
      <c r="AA537" s="2"/>
      <c r="AB537" s="2"/>
    </row>
    <row r="538">
      <c r="B538" s="383"/>
      <c r="C538" s="382" t="s">
        <v>4111</v>
      </c>
      <c r="D538" s="383"/>
      <c r="E538" s="384"/>
      <c r="F538" s="385" t="str">
        <f t="shared" si="1"/>
        <v>בכלל לא</v>
      </c>
      <c r="G538" s="386">
        <f>COUNTIF(Recordings!A:A,C538)</f>
        <v>0</v>
      </c>
      <c r="H538" s="386"/>
      <c r="I538" s="386"/>
      <c r="J538" s="386"/>
      <c r="K538" s="2"/>
      <c r="L538" s="2"/>
      <c r="M538" s="2"/>
      <c r="N538" s="2"/>
      <c r="O538" s="2"/>
      <c r="P538" s="2"/>
      <c r="Q538" s="2"/>
      <c r="R538" s="2"/>
      <c r="S538" s="2"/>
      <c r="T538" s="2"/>
      <c r="U538" s="2"/>
      <c r="V538" s="2"/>
      <c r="W538" s="2"/>
      <c r="X538" s="2"/>
      <c r="Y538" s="2"/>
      <c r="Z538" s="2"/>
      <c r="AA538" s="2"/>
      <c r="AB538" s="2"/>
    </row>
    <row r="539">
      <c r="B539" s="383"/>
      <c r="C539" s="382" t="s">
        <v>4112</v>
      </c>
      <c r="D539" s="383"/>
      <c r="E539" s="384"/>
      <c r="F539" s="385" t="str">
        <f t="shared" si="1"/>
        <v>בכלל לא</v>
      </c>
      <c r="G539" s="386">
        <f>COUNTIF(Recordings!A:A,C539)</f>
        <v>0</v>
      </c>
      <c r="H539" s="386"/>
      <c r="I539" s="386"/>
      <c r="J539" s="386"/>
      <c r="K539" s="2"/>
      <c r="L539" s="2"/>
      <c r="M539" s="2"/>
      <c r="N539" s="2"/>
      <c r="O539" s="2"/>
      <c r="P539" s="2"/>
      <c r="Q539" s="2"/>
      <c r="R539" s="2"/>
      <c r="S539" s="2"/>
      <c r="T539" s="2"/>
      <c r="U539" s="2"/>
      <c r="V539" s="2"/>
      <c r="W539" s="2"/>
      <c r="X539" s="2"/>
      <c r="Y539" s="2"/>
      <c r="Z539" s="2"/>
      <c r="AA539" s="2"/>
      <c r="AB539" s="2"/>
    </row>
    <row r="540">
      <c r="B540" s="383"/>
      <c r="C540" s="382" t="s">
        <v>4113</v>
      </c>
      <c r="D540" s="383"/>
      <c r="E540" s="384"/>
      <c r="F540" s="385" t="str">
        <f t="shared" si="1"/>
        <v>בכלל לא</v>
      </c>
      <c r="G540" s="386">
        <f>COUNTIF(Recordings!A:A,C540)</f>
        <v>0</v>
      </c>
      <c r="H540" s="386"/>
      <c r="I540" s="386"/>
      <c r="J540" s="386"/>
      <c r="K540" s="2"/>
      <c r="L540" s="2"/>
      <c r="M540" s="2"/>
      <c r="N540" s="2"/>
      <c r="O540" s="2"/>
      <c r="P540" s="2"/>
      <c r="Q540" s="2"/>
      <c r="R540" s="2"/>
      <c r="S540" s="2"/>
      <c r="T540" s="2"/>
      <c r="U540" s="2"/>
      <c r="V540" s="2"/>
      <c r="W540" s="2"/>
      <c r="X540" s="2"/>
      <c r="Y540" s="2"/>
      <c r="Z540" s="2"/>
      <c r="AA540" s="2"/>
      <c r="AB540" s="2"/>
    </row>
    <row r="541">
      <c r="B541" s="391" t="s">
        <v>139</v>
      </c>
      <c r="C541" s="382" t="s">
        <v>2681</v>
      </c>
      <c r="D541" s="391" t="s">
        <v>140</v>
      </c>
      <c r="E541" s="384"/>
      <c r="F541" s="385" t="str">
        <f t="shared" si="1"/>
        <v>כן</v>
      </c>
      <c r="G541" s="386">
        <f>COUNTIF(Recordings!A:A,C541)</f>
        <v>2</v>
      </c>
      <c r="H541" s="386"/>
      <c r="I541" s="386"/>
      <c r="J541" s="386"/>
      <c r="K541" s="2"/>
      <c r="L541" s="2"/>
      <c r="M541" s="2"/>
      <c r="N541" s="2"/>
      <c r="O541" s="2"/>
      <c r="P541" s="2"/>
      <c r="Q541" s="2"/>
      <c r="R541" s="2"/>
      <c r="S541" s="2"/>
      <c r="T541" s="2"/>
      <c r="U541" s="2"/>
      <c r="V541" s="2"/>
      <c r="W541" s="2"/>
      <c r="X541" s="2"/>
      <c r="Y541" s="2"/>
      <c r="Z541" s="2"/>
      <c r="AA541" s="2"/>
      <c r="AB541" s="2"/>
    </row>
    <row r="542">
      <c r="B542" s="391" t="s">
        <v>4114</v>
      </c>
      <c r="C542" s="382" t="s">
        <v>2669</v>
      </c>
      <c r="D542" s="391" t="s">
        <v>143</v>
      </c>
      <c r="E542" s="384"/>
      <c r="F542" s="385" t="str">
        <f t="shared" si="1"/>
        <v>כן</v>
      </c>
      <c r="G542" s="386">
        <f>COUNTIF(Recordings!A:A,C542)</f>
        <v>2</v>
      </c>
      <c r="H542" s="386"/>
      <c r="I542" s="386"/>
      <c r="J542" s="386"/>
      <c r="K542" s="2"/>
      <c r="L542" s="2"/>
      <c r="M542" s="2"/>
      <c r="N542" s="2"/>
      <c r="O542" s="2"/>
      <c r="P542" s="2"/>
      <c r="Q542" s="2"/>
      <c r="R542" s="2"/>
      <c r="S542" s="2"/>
      <c r="T542" s="2"/>
      <c r="U542" s="2"/>
      <c r="V542" s="2"/>
      <c r="W542" s="2"/>
      <c r="X542" s="2"/>
      <c r="Y542" s="2"/>
      <c r="Z542" s="2"/>
      <c r="AA542" s="2"/>
      <c r="AB542" s="2"/>
    </row>
    <row r="543">
      <c r="B543" s="383"/>
      <c r="C543" s="382" t="s">
        <v>4115</v>
      </c>
      <c r="D543" s="383"/>
      <c r="E543" s="384"/>
      <c r="F543" s="385" t="str">
        <f t="shared" si="1"/>
        <v>בכלל לא</v>
      </c>
      <c r="G543" s="386">
        <f>COUNTIF(Recordings!A:A,C543)</f>
        <v>0</v>
      </c>
      <c r="H543" s="386"/>
      <c r="I543" s="386"/>
      <c r="J543" s="386"/>
      <c r="K543" s="2"/>
      <c r="L543" s="2"/>
      <c r="M543" s="2"/>
      <c r="N543" s="2"/>
      <c r="O543" s="2"/>
      <c r="P543" s="2"/>
      <c r="Q543" s="2"/>
      <c r="R543" s="2"/>
      <c r="S543" s="2"/>
      <c r="T543" s="2"/>
      <c r="U543" s="2"/>
      <c r="V543" s="2"/>
      <c r="W543" s="2"/>
      <c r="X543" s="2"/>
      <c r="Y543" s="2"/>
      <c r="Z543" s="2"/>
      <c r="AA543" s="2"/>
      <c r="AB543" s="2"/>
    </row>
    <row r="544">
      <c r="B544" s="383"/>
      <c r="C544" s="382" t="s">
        <v>4116</v>
      </c>
      <c r="D544" s="383"/>
      <c r="E544" s="384"/>
      <c r="F544" s="385" t="str">
        <f t="shared" si="1"/>
        <v>בכלל לא</v>
      </c>
      <c r="G544" s="386">
        <f>COUNTIF(Recordings!A:A,C544)</f>
        <v>0</v>
      </c>
      <c r="H544" s="386"/>
      <c r="I544" s="386"/>
      <c r="J544" s="386"/>
      <c r="K544" s="2"/>
      <c r="L544" s="2"/>
      <c r="M544" s="2"/>
      <c r="N544" s="2"/>
      <c r="O544" s="2"/>
      <c r="P544" s="2"/>
      <c r="Q544" s="2"/>
      <c r="R544" s="2"/>
      <c r="S544" s="2"/>
      <c r="T544" s="2"/>
      <c r="U544" s="2"/>
      <c r="V544" s="2"/>
      <c r="W544" s="2"/>
      <c r="X544" s="2"/>
      <c r="Y544" s="2"/>
      <c r="Z544" s="2"/>
      <c r="AA544" s="2"/>
      <c r="AB544" s="2"/>
    </row>
    <row r="545">
      <c r="B545" s="383"/>
      <c r="C545" s="382" t="s">
        <v>4117</v>
      </c>
      <c r="D545" s="383"/>
      <c r="E545" s="384"/>
      <c r="F545" s="385" t="str">
        <f t="shared" si="1"/>
        <v>בכלל לא</v>
      </c>
      <c r="G545" s="386">
        <f>COUNTIF(Recordings!A:A,C545)</f>
        <v>0</v>
      </c>
      <c r="H545" s="386"/>
      <c r="I545" s="386"/>
      <c r="J545" s="386"/>
      <c r="K545" s="2"/>
      <c r="L545" s="2"/>
      <c r="M545" s="2"/>
      <c r="N545" s="2"/>
      <c r="O545" s="2"/>
      <c r="P545" s="2"/>
      <c r="Q545" s="2"/>
      <c r="R545" s="2"/>
      <c r="S545" s="2"/>
      <c r="T545" s="2"/>
      <c r="U545" s="2"/>
      <c r="V545" s="2"/>
      <c r="W545" s="2"/>
      <c r="X545" s="2"/>
      <c r="Y545" s="2"/>
      <c r="Z545" s="2"/>
      <c r="AA545" s="2"/>
      <c r="AB545" s="2"/>
    </row>
    <row r="546">
      <c r="B546" s="383"/>
      <c r="C546" s="382" t="s">
        <v>4118</v>
      </c>
      <c r="D546" s="383"/>
      <c r="E546" s="384"/>
      <c r="F546" s="385" t="str">
        <f t="shared" si="1"/>
        <v>בכלל לא</v>
      </c>
      <c r="G546" s="386">
        <f>COUNTIF(Recordings!A:A,C546)</f>
        <v>0</v>
      </c>
      <c r="H546" s="386"/>
      <c r="I546" s="386"/>
      <c r="J546" s="386"/>
      <c r="K546" s="2"/>
      <c r="L546" s="2"/>
      <c r="M546" s="2"/>
      <c r="N546" s="2"/>
      <c r="O546" s="2"/>
      <c r="P546" s="2"/>
      <c r="Q546" s="2"/>
      <c r="R546" s="2"/>
      <c r="S546" s="2"/>
      <c r="T546" s="2"/>
      <c r="U546" s="2"/>
      <c r="V546" s="2"/>
      <c r="W546" s="2"/>
      <c r="X546" s="2"/>
      <c r="Y546" s="2"/>
      <c r="Z546" s="2"/>
      <c r="AA546" s="2"/>
      <c r="AB546" s="2"/>
    </row>
    <row r="547">
      <c r="B547" s="383"/>
      <c r="C547" s="382" t="s">
        <v>4119</v>
      </c>
      <c r="D547" s="383"/>
      <c r="E547" s="384"/>
      <c r="F547" s="385" t="str">
        <f t="shared" si="1"/>
        <v>בכלל לא</v>
      </c>
      <c r="G547" s="386">
        <f>COUNTIF(Recordings!A:A,C547)</f>
        <v>0</v>
      </c>
      <c r="H547" s="386"/>
      <c r="I547" s="386"/>
      <c r="J547" s="386"/>
      <c r="K547" s="2"/>
      <c r="L547" s="2"/>
      <c r="M547" s="2"/>
      <c r="N547" s="2"/>
      <c r="O547" s="2"/>
      <c r="P547" s="2"/>
      <c r="Q547" s="2"/>
      <c r="R547" s="2"/>
      <c r="S547" s="2"/>
      <c r="T547" s="2"/>
      <c r="U547" s="2"/>
      <c r="V547" s="2"/>
      <c r="W547" s="2"/>
      <c r="X547" s="2"/>
      <c r="Y547" s="2"/>
      <c r="Z547" s="2"/>
      <c r="AA547" s="2"/>
      <c r="AB547" s="2"/>
    </row>
    <row r="548">
      <c r="B548" s="383"/>
      <c r="C548" s="382" t="s">
        <v>4120</v>
      </c>
      <c r="D548" s="383"/>
      <c r="E548" s="384"/>
      <c r="F548" s="385" t="str">
        <f t="shared" si="1"/>
        <v>בכלל לא</v>
      </c>
      <c r="G548" s="386">
        <f>COUNTIF(Recordings!A:A,C548)</f>
        <v>0</v>
      </c>
      <c r="H548" s="386"/>
      <c r="I548" s="386"/>
      <c r="J548" s="386"/>
      <c r="K548" s="2"/>
      <c r="L548" s="2"/>
      <c r="M548" s="2"/>
      <c r="N548" s="2"/>
      <c r="O548" s="2"/>
      <c r="P548" s="2"/>
      <c r="Q548" s="2"/>
      <c r="R548" s="2"/>
      <c r="S548" s="2"/>
      <c r="T548" s="2"/>
      <c r="U548" s="2"/>
      <c r="V548" s="2"/>
      <c r="W548" s="2"/>
      <c r="X548" s="2"/>
      <c r="Y548" s="2"/>
      <c r="Z548" s="2"/>
      <c r="AA548" s="2"/>
      <c r="AB548" s="2"/>
    </row>
    <row r="549">
      <c r="B549" s="383"/>
      <c r="C549" s="382" t="s">
        <v>4121</v>
      </c>
      <c r="D549" s="383"/>
      <c r="E549" s="384"/>
      <c r="F549" s="385" t="str">
        <f t="shared" si="1"/>
        <v>בכלל לא</v>
      </c>
      <c r="G549" s="386">
        <f>COUNTIF(Recordings!A:A,C549)</f>
        <v>0</v>
      </c>
      <c r="H549" s="386"/>
      <c r="I549" s="386"/>
      <c r="J549" s="386"/>
      <c r="K549" s="2"/>
      <c r="L549" s="2"/>
      <c r="M549" s="2"/>
      <c r="N549" s="2"/>
      <c r="O549" s="2"/>
      <c r="P549" s="2"/>
      <c r="Q549" s="2"/>
      <c r="R549" s="2"/>
      <c r="S549" s="2"/>
      <c r="T549" s="2"/>
      <c r="U549" s="2"/>
      <c r="V549" s="2"/>
      <c r="W549" s="2"/>
      <c r="X549" s="2"/>
      <c r="Y549" s="2"/>
      <c r="Z549" s="2"/>
      <c r="AA549" s="2"/>
      <c r="AB549" s="2"/>
    </row>
    <row r="550">
      <c r="B550" s="383"/>
      <c r="C550" s="382" t="s">
        <v>4122</v>
      </c>
      <c r="D550" s="383"/>
      <c r="E550" s="384"/>
      <c r="F550" s="385" t="str">
        <f t="shared" si="1"/>
        <v>בכלל לא</v>
      </c>
      <c r="G550" s="386">
        <f>COUNTIF(Recordings!A:A,C550)</f>
        <v>0</v>
      </c>
      <c r="H550" s="386"/>
      <c r="I550" s="386"/>
      <c r="J550" s="386"/>
      <c r="K550" s="2"/>
      <c r="L550" s="2"/>
      <c r="M550" s="2"/>
      <c r="N550" s="2"/>
      <c r="O550" s="2"/>
      <c r="P550" s="2"/>
      <c r="Q550" s="2"/>
      <c r="R550" s="2"/>
      <c r="S550" s="2"/>
      <c r="T550" s="2"/>
      <c r="U550" s="2"/>
      <c r="V550" s="2"/>
      <c r="W550" s="2"/>
      <c r="X550" s="2"/>
      <c r="Y550" s="2"/>
      <c r="Z550" s="2"/>
      <c r="AA550" s="2"/>
      <c r="AB550" s="2"/>
    </row>
    <row r="551">
      <c r="B551" s="383"/>
      <c r="C551" s="382" t="s">
        <v>4123</v>
      </c>
      <c r="D551" s="383"/>
      <c r="E551" s="384"/>
      <c r="F551" s="385" t="str">
        <f t="shared" si="1"/>
        <v>בכלל לא</v>
      </c>
      <c r="G551" s="386">
        <f>COUNTIF(Recordings!A:A,C551)</f>
        <v>0</v>
      </c>
      <c r="H551" s="386"/>
      <c r="I551" s="386"/>
      <c r="J551" s="386"/>
      <c r="K551" s="2"/>
      <c r="L551" s="2"/>
      <c r="M551" s="2"/>
      <c r="N551" s="2"/>
      <c r="O551" s="2"/>
      <c r="P551" s="2"/>
      <c r="Q551" s="2"/>
      <c r="R551" s="2"/>
      <c r="S551" s="2"/>
      <c r="T551" s="2"/>
      <c r="U551" s="2"/>
      <c r="V551" s="2"/>
      <c r="W551" s="2"/>
      <c r="X551" s="2"/>
      <c r="Y551" s="2"/>
      <c r="Z551" s="2"/>
      <c r="AA551" s="2"/>
      <c r="AB551" s="2"/>
    </row>
    <row r="552">
      <c r="B552" s="383"/>
      <c r="C552" s="382" t="s">
        <v>4124</v>
      </c>
      <c r="D552" s="383"/>
      <c r="E552" s="384"/>
      <c r="F552" s="385" t="str">
        <f t="shared" si="1"/>
        <v>בכלל לא</v>
      </c>
      <c r="G552" s="386">
        <f>COUNTIF(Recordings!A:A,C552)</f>
        <v>0</v>
      </c>
      <c r="H552" s="386"/>
      <c r="I552" s="386"/>
      <c r="J552" s="386"/>
      <c r="K552" s="2"/>
      <c r="L552" s="2"/>
      <c r="M552" s="2"/>
      <c r="N552" s="2"/>
      <c r="O552" s="2"/>
      <c r="P552" s="2"/>
      <c r="Q552" s="2"/>
      <c r="R552" s="2"/>
      <c r="S552" s="2"/>
      <c r="T552" s="2"/>
      <c r="U552" s="2"/>
      <c r="V552" s="2"/>
      <c r="W552" s="2"/>
      <c r="X552" s="2"/>
      <c r="Y552" s="2"/>
      <c r="Z552" s="2"/>
      <c r="AA552" s="2"/>
      <c r="AB552" s="2"/>
    </row>
    <row r="553">
      <c r="B553" s="383"/>
      <c r="C553" s="382" t="s">
        <v>4125</v>
      </c>
      <c r="D553" s="383"/>
      <c r="E553" s="384"/>
      <c r="F553" s="385" t="str">
        <f t="shared" si="1"/>
        <v>בכלל לא</v>
      </c>
      <c r="G553" s="386">
        <f>COUNTIF(Recordings!A:A,C553)</f>
        <v>0</v>
      </c>
      <c r="H553" s="386"/>
      <c r="I553" s="386"/>
      <c r="J553" s="386"/>
      <c r="K553" s="2"/>
      <c r="L553" s="2"/>
      <c r="M553" s="2"/>
      <c r="N553" s="2"/>
      <c r="O553" s="2"/>
      <c r="P553" s="2"/>
      <c r="Q553" s="2"/>
      <c r="R553" s="2"/>
      <c r="S553" s="2"/>
      <c r="T553" s="2"/>
      <c r="U553" s="2"/>
      <c r="V553" s="2"/>
      <c r="W553" s="2"/>
      <c r="X553" s="2"/>
      <c r="Y553" s="2"/>
      <c r="Z553" s="2"/>
      <c r="AA553" s="2"/>
      <c r="AB553" s="2"/>
    </row>
    <row r="554">
      <c r="B554" s="383"/>
      <c r="C554" s="382" t="s">
        <v>4126</v>
      </c>
      <c r="D554" s="383"/>
      <c r="E554" s="384"/>
      <c r="F554" s="385" t="str">
        <f t="shared" si="1"/>
        <v>בכלל לא</v>
      </c>
      <c r="G554" s="386">
        <f>COUNTIF(Recordings!A:A,C554)</f>
        <v>0</v>
      </c>
      <c r="H554" s="386"/>
      <c r="I554" s="386"/>
      <c r="J554" s="386"/>
      <c r="K554" s="2"/>
      <c r="L554" s="2"/>
      <c r="M554" s="2"/>
      <c r="N554" s="2"/>
      <c r="O554" s="2"/>
      <c r="P554" s="2"/>
      <c r="Q554" s="2"/>
      <c r="R554" s="2"/>
      <c r="S554" s="2"/>
      <c r="T554" s="2"/>
      <c r="U554" s="2"/>
      <c r="V554" s="2"/>
      <c r="W554" s="2"/>
      <c r="X554" s="2"/>
      <c r="Y554" s="2"/>
      <c r="Z554" s="2"/>
      <c r="AA554" s="2"/>
      <c r="AB554" s="2"/>
    </row>
    <row r="555">
      <c r="B555" s="383"/>
      <c r="C555" s="382" t="s">
        <v>4127</v>
      </c>
      <c r="D555" s="383"/>
      <c r="E555" s="384"/>
      <c r="F555" s="385" t="str">
        <f t="shared" si="1"/>
        <v>בכלל לא</v>
      </c>
      <c r="G555" s="386">
        <f>COUNTIF(Recordings!A:A,C555)</f>
        <v>0</v>
      </c>
      <c r="H555" s="386"/>
      <c r="I555" s="386"/>
      <c r="J555" s="386"/>
      <c r="K555" s="2"/>
      <c r="L555" s="2"/>
      <c r="M555" s="2"/>
      <c r="N555" s="2"/>
      <c r="O555" s="2"/>
      <c r="P555" s="2"/>
      <c r="Q555" s="2"/>
      <c r="R555" s="2"/>
      <c r="S555" s="2"/>
      <c r="T555" s="2"/>
      <c r="U555" s="2"/>
      <c r="V555" s="2"/>
      <c r="W555" s="2"/>
      <c r="X555" s="2"/>
      <c r="Y555" s="2"/>
      <c r="Z555" s="2"/>
      <c r="AA555" s="2"/>
      <c r="AB555" s="2"/>
    </row>
    <row r="556">
      <c r="B556" s="383"/>
      <c r="C556" s="382" t="s">
        <v>4128</v>
      </c>
      <c r="D556" s="383"/>
      <c r="E556" s="384"/>
      <c r="F556" s="385" t="str">
        <f t="shared" si="1"/>
        <v>בכלל לא</v>
      </c>
      <c r="G556" s="386">
        <f>COUNTIF(Recordings!A:A,C556)</f>
        <v>0</v>
      </c>
      <c r="H556" s="386"/>
      <c r="I556" s="386"/>
      <c r="J556" s="386"/>
      <c r="K556" s="2"/>
      <c r="L556" s="2"/>
      <c r="M556" s="2"/>
      <c r="N556" s="2"/>
      <c r="O556" s="2"/>
      <c r="P556" s="2"/>
      <c r="Q556" s="2"/>
      <c r="R556" s="2"/>
      <c r="S556" s="2"/>
      <c r="T556" s="2"/>
      <c r="U556" s="2"/>
      <c r="V556" s="2"/>
      <c r="W556" s="2"/>
      <c r="X556" s="2"/>
      <c r="Y556" s="2"/>
      <c r="Z556" s="2"/>
      <c r="AA556" s="2"/>
      <c r="AB556" s="2"/>
    </row>
    <row r="557">
      <c r="B557" s="383"/>
      <c r="C557" s="382" t="s">
        <v>4129</v>
      </c>
      <c r="D557" s="383"/>
      <c r="E557" s="384"/>
      <c r="F557" s="385" t="str">
        <f t="shared" si="1"/>
        <v>בכלל לא</v>
      </c>
      <c r="G557" s="386">
        <f>COUNTIF(Recordings!A:A,C557)</f>
        <v>0</v>
      </c>
      <c r="H557" s="386"/>
      <c r="I557" s="386"/>
      <c r="J557" s="386"/>
      <c r="K557" s="2"/>
      <c r="L557" s="2"/>
      <c r="M557" s="2"/>
      <c r="N557" s="2"/>
      <c r="O557" s="2"/>
      <c r="P557" s="2"/>
      <c r="Q557" s="2"/>
      <c r="R557" s="2"/>
      <c r="S557" s="2"/>
      <c r="T557" s="2"/>
      <c r="U557" s="2"/>
      <c r="V557" s="2"/>
      <c r="W557" s="2"/>
      <c r="X557" s="2"/>
      <c r="Y557" s="2"/>
      <c r="Z557" s="2"/>
      <c r="AA557" s="2"/>
      <c r="AB557" s="2"/>
    </row>
    <row r="558">
      <c r="B558" s="383"/>
      <c r="C558" s="382" t="s">
        <v>4130</v>
      </c>
      <c r="D558" s="383"/>
      <c r="E558" s="384"/>
      <c r="F558" s="385" t="str">
        <f t="shared" si="1"/>
        <v>בכלל לא</v>
      </c>
      <c r="G558" s="386">
        <f>COUNTIF(Recordings!A:A,C558)</f>
        <v>0</v>
      </c>
      <c r="H558" s="386"/>
      <c r="I558" s="386"/>
      <c r="J558" s="386"/>
      <c r="K558" s="2"/>
      <c r="L558" s="2"/>
      <c r="M558" s="2"/>
      <c r="N558" s="2"/>
      <c r="O558" s="2"/>
      <c r="P558" s="2"/>
      <c r="Q558" s="2"/>
      <c r="R558" s="2"/>
      <c r="S558" s="2"/>
      <c r="T558" s="2"/>
      <c r="U558" s="2"/>
      <c r="V558" s="2"/>
      <c r="W558" s="2"/>
      <c r="X558" s="2"/>
      <c r="Y558" s="2"/>
      <c r="Z558" s="2"/>
      <c r="AA558" s="2"/>
      <c r="AB558" s="2"/>
    </row>
    <row r="559">
      <c r="B559" s="383"/>
      <c r="C559" s="382" t="s">
        <v>4131</v>
      </c>
      <c r="D559" s="383"/>
      <c r="E559" s="384"/>
      <c r="F559" s="385" t="str">
        <f t="shared" si="1"/>
        <v>בכלל לא</v>
      </c>
      <c r="G559" s="386">
        <f>COUNTIF(Recordings!A:A,C559)</f>
        <v>0</v>
      </c>
      <c r="H559" s="386"/>
      <c r="I559" s="386"/>
      <c r="J559" s="386"/>
      <c r="K559" s="2"/>
      <c r="L559" s="2"/>
      <c r="M559" s="2"/>
      <c r="N559" s="2"/>
      <c r="O559" s="2"/>
      <c r="P559" s="2"/>
      <c r="Q559" s="2"/>
      <c r="R559" s="2"/>
      <c r="S559" s="2"/>
      <c r="T559" s="2"/>
      <c r="U559" s="2"/>
      <c r="V559" s="2"/>
      <c r="W559" s="2"/>
      <c r="X559" s="2"/>
      <c r="Y559" s="2"/>
      <c r="Z559" s="2"/>
      <c r="AA559" s="2"/>
      <c r="AB559" s="2"/>
    </row>
    <row r="560">
      <c r="B560" s="383"/>
      <c r="C560" s="382" t="s">
        <v>4132</v>
      </c>
      <c r="D560" s="383"/>
      <c r="E560" s="384"/>
      <c r="F560" s="385" t="str">
        <f t="shared" si="1"/>
        <v>בכלל לא</v>
      </c>
      <c r="G560" s="386">
        <f>COUNTIF(Recordings!A:A,C560)</f>
        <v>0</v>
      </c>
      <c r="H560" s="386"/>
      <c r="I560" s="386"/>
      <c r="J560" s="386"/>
      <c r="K560" s="2"/>
      <c r="L560" s="2"/>
      <c r="M560" s="2"/>
      <c r="N560" s="2"/>
      <c r="O560" s="2"/>
      <c r="P560" s="2"/>
      <c r="Q560" s="2"/>
      <c r="R560" s="2"/>
      <c r="S560" s="2"/>
      <c r="T560" s="2"/>
      <c r="U560" s="2"/>
      <c r="V560" s="2"/>
      <c r="W560" s="2"/>
      <c r="X560" s="2"/>
      <c r="Y560" s="2"/>
      <c r="Z560" s="2"/>
      <c r="AA560" s="2"/>
      <c r="AB560" s="2"/>
    </row>
    <row r="561">
      <c r="B561" s="383"/>
      <c r="C561" s="382" t="s">
        <v>4133</v>
      </c>
      <c r="D561" s="383"/>
      <c r="E561" s="384"/>
      <c r="F561" s="385" t="str">
        <f t="shared" si="1"/>
        <v>בכלל לא</v>
      </c>
      <c r="G561" s="386">
        <f>COUNTIF(Recordings!A:A,C561)</f>
        <v>0</v>
      </c>
      <c r="H561" s="386"/>
      <c r="I561" s="386"/>
      <c r="J561" s="386"/>
      <c r="K561" s="2"/>
      <c r="L561" s="2"/>
      <c r="M561" s="2"/>
      <c r="N561" s="2"/>
      <c r="O561" s="2"/>
      <c r="P561" s="2"/>
      <c r="Q561" s="2"/>
      <c r="R561" s="2"/>
      <c r="S561" s="2"/>
      <c r="T561" s="2"/>
      <c r="U561" s="2"/>
      <c r="V561" s="2"/>
      <c r="W561" s="2"/>
      <c r="X561" s="2"/>
      <c r="Y561" s="2"/>
      <c r="Z561" s="2"/>
      <c r="AA561" s="2"/>
      <c r="AB561" s="2"/>
    </row>
    <row r="562">
      <c r="B562" s="383"/>
      <c r="C562" s="382" t="s">
        <v>4134</v>
      </c>
      <c r="D562" s="383"/>
      <c r="E562" s="384"/>
      <c r="F562" s="385" t="str">
        <f t="shared" si="1"/>
        <v>בכלל לא</v>
      </c>
      <c r="G562" s="386">
        <f>COUNTIF(Recordings!A:A,C562)</f>
        <v>0</v>
      </c>
      <c r="H562" s="386"/>
      <c r="I562" s="386"/>
      <c r="J562" s="386"/>
      <c r="K562" s="2"/>
      <c r="L562" s="2"/>
      <c r="M562" s="2"/>
      <c r="N562" s="2"/>
      <c r="O562" s="2"/>
      <c r="P562" s="2"/>
      <c r="Q562" s="2"/>
      <c r="R562" s="2"/>
      <c r="S562" s="2"/>
      <c r="T562" s="2"/>
      <c r="U562" s="2"/>
      <c r="V562" s="2"/>
      <c r="W562" s="2"/>
      <c r="X562" s="2"/>
      <c r="Y562" s="2"/>
      <c r="Z562" s="2"/>
      <c r="AA562" s="2"/>
      <c r="AB562" s="2"/>
    </row>
    <row r="563">
      <c r="B563" s="383"/>
      <c r="C563" s="382" t="s">
        <v>4135</v>
      </c>
      <c r="D563" s="383"/>
      <c r="E563" s="384"/>
      <c r="F563" s="385" t="str">
        <f t="shared" si="1"/>
        <v>בכלל לא</v>
      </c>
      <c r="G563" s="386">
        <f>COUNTIF(Recordings!A:A,C563)</f>
        <v>0</v>
      </c>
      <c r="H563" s="386"/>
      <c r="I563" s="386"/>
      <c r="J563" s="386"/>
      <c r="K563" s="2"/>
      <c r="L563" s="2"/>
      <c r="M563" s="2"/>
      <c r="N563" s="2"/>
      <c r="O563" s="2"/>
      <c r="P563" s="2"/>
      <c r="Q563" s="2"/>
      <c r="R563" s="2"/>
      <c r="S563" s="2"/>
      <c r="T563" s="2"/>
      <c r="U563" s="2"/>
      <c r="V563" s="2"/>
      <c r="W563" s="2"/>
      <c r="X563" s="2"/>
      <c r="Y563" s="2"/>
      <c r="Z563" s="2"/>
      <c r="AA563" s="2"/>
      <c r="AB563" s="2"/>
    </row>
    <row r="564">
      <c r="B564" s="383"/>
      <c r="C564" s="382" t="s">
        <v>4136</v>
      </c>
      <c r="D564" s="383"/>
      <c r="E564" s="384"/>
      <c r="F564" s="385" t="str">
        <f t="shared" si="1"/>
        <v>בכלל לא</v>
      </c>
      <c r="G564" s="386">
        <f>COUNTIF(Recordings!A:A,C564)</f>
        <v>0</v>
      </c>
      <c r="H564" s="386"/>
      <c r="I564" s="386"/>
      <c r="J564" s="386"/>
      <c r="K564" s="2"/>
      <c r="L564" s="2"/>
      <c r="M564" s="2"/>
      <c r="N564" s="2"/>
      <c r="O564" s="2"/>
      <c r="P564" s="2"/>
      <c r="Q564" s="2"/>
      <c r="R564" s="2"/>
      <c r="S564" s="2"/>
      <c r="T564" s="2"/>
      <c r="U564" s="2"/>
      <c r="V564" s="2"/>
      <c r="W564" s="2"/>
      <c r="X564" s="2"/>
      <c r="Y564" s="2"/>
      <c r="Z564" s="2"/>
      <c r="AA564" s="2"/>
      <c r="AB564" s="2"/>
    </row>
    <row r="565">
      <c r="B565" s="383"/>
      <c r="C565" s="382" t="s">
        <v>3979</v>
      </c>
      <c r="D565" s="383"/>
      <c r="E565" s="384"/>
      <c r="F565" s="385" t="str">
        <f t="shared" si="1"/>
        <v>בכלל לא</v>
      </c>
      <c r="G565" s="386">
        <f>COUNTIF(Recordings!A:A,C565)</f>
        <v>0</v>
      </c>
      <c r="H565" s="386"/>
      <c r="I565" s="386"/>
      <c r="J565" s="386"/>
      <c r="K565" s="2"/>
      <c r="L565" s="2"/>
      <c r="M565" s="2"/>
      <c r="N565" s="2"/>
      <c r="O565" s="2"/>
      <c r="P565" s="2"/>
      <c r="Q565" s="2"/>
      <c r="R565" s="2"/>
      <c r="S565" s="2"/>
      <c r="T565" s="2"/>
      <c r="U565" s="2"/>
      <c r="V565" s="2"/>
      <c r="W565" s="2"/>
      <c r="X565" s="2"/>
      <c r="Y565" s="2"/>
      <c r="Z565" s="2"/>
      <c r="AA565" s="2"/>
      <c r="AB565" s="2"/>
    </row>
    <row r="566">
      <c r="B566" s="383"/>
      <c r="C566" s="382" t="s">
        <v>4137</v>
      </c>
      <c r="D566" s="383"/>
      <c r="E566" s="384"/>
      <c r="F566" s="385" t="str">
        <f t="shared" si="1"/>
        <v>בכלל לא</v>
      </c>
      <c r="G566" s="386">
        <f>COUNTIF(Recordings!A:A,C566)</f>
        <v>0</v>
      </c>
      <c r="H566" s="386"/>
      <c r="I566" s="386"/>
      <c r="J566" s="386"/>
      <c r="K566" s="2"/>
      <c r="L566" s="2"/>
      <c r="M566" s="2"/>
      <c r="N566" s="2"/>
      <c r="O566" s="2"/>
      <c r="P566" s="2"/>
      <c r="Q566" s="2"/>
      <c r="R566" s="2"/>
      <c r="S566" s="2"/>
      <c r="T566" s="2"/>
      <c r="U566" s="2"/>
      <c r="V566" s="2"/>
      <c r="W566" s="2"/>
      <c r="X566" s="2"/>
      <c r="Y566" s="2"/>
      <c r="Z566" s="2"/>
      <c r="AA566" s="2"/>
      <c r="AB566" s="2"/>
    </row>
    <row r="567">
      <c r="B567" s="383"/>
      <c r="C567" s="382" t="s">
        <v>4138</v>
      </c>
      <c r="D567" s="383"/>
      <c r="E567" s="384"/>
      <c r="F567" s="385" t="str">
        <f t="shared" si="1"/>
        <v>בכלל לא</v>
      </c>
      <c r="G567" s="386">
        <f>COUNTIF(Recordings!A:A,C567)</f>
        <v>0</v>
      </c>
      <c r="H567" s="386"/>
      <c r="I567" s="386"/>
      <c r="J567" s="386"/>
      <c r="K567" s="2"/>
      <c r="L567" s="2"/>
      <c r="M567" s="2"/>
      <c r="N567" s="2"/>
      <c r="O567" s="2"/>
      <c r="P567" s="2"/>
      <c r="Q567" s="2"/>
      <c r="R567" s="2"/>
      <c r="S567" s="2"/>
      <c r="T567" s="2"/>
      <c r="U567" s="2"/>
      <c r="V567" s="2"/>
      <c r="W567" s="2"/>
      <c r="X567" s="2"/>
      <c r="Y567" s="2"/>
      <c r="Z567" s="2"/>
      <c r="AA567" s="2"/>
      <c r="AB567" s="2"/>
    </row>
    <row r="568">
      <c r="B568" s="383"/>
      <c r="C568" s="382" t="s">
        <v>4139</v>
      </c>
      <c r="D568" s="383"/>
      <c r="E568" s="384"/>
      <c r="F568" s="385" t="str">
        <f t="shared" si="1"/>
        <v>בכלל לא</v>
      </c>
      <c r="G568" s="386">
        <f>COUNTIF(Recordings!A:A,C568)</f>
        <v>0</v>
      </c>
      <c r="H568" s="386"/>
      <c r="I568" s="386"/>
      <c r="J568" s="386"/>
      <c r="K568" s="2"/>
      <c r="L568" s="2"/>
      <c r="M568" s="2"/>
      <c r="N568" s="2"/>
      <c r="O568" s="2"/>
      <c r="P568" s="2"/>
      <c r="Q568" s="2"/>
      <c r="R568" s="2"/>
      <c r="S568" s="2"/>
      <c r="T568" s="2"/>
      <c r="U568" s="2"/>
      <c r="V568" s="2"/>
      <c r="W568" s="2"/>
      <c r="X568" s="2"/>
      <c r="Y568" s="2"/>
      <c r="Z568" s="2"/>
      <c r="AA568" s="2"/>
      <c r="AB568" s="2"/>
    </row>
    <row r="569">
      <c r="B569" s="383"/>
      <c r="C569" s="382" t="s">
        <v>4140</v>
      </c>
      <c r="D569" s="383"/>
      <c r="E569" s="384"/>
      <c r="F569" s="385" t="str">
        <f t="shared" si="1"/>
        <v>בכלל לא</v>
      </c>
      <c r="G569" s="386">
        <f>COUNTIF(Recordings!A:A,C569)</f>
        <v>0</v>
      </c>
      <c r="H569" s="386"/>
      <c r="I569" s="386"/>
      <c r="J569" s="386"/>
      <c r="K569" s="2"/>
      <c r="L569" s="2"/>
      <c r="M569" s="2"/>
      <c r="N569" s="2"/>
      <c r="O569" s="2"/>
      <c r="P569" s="2"/>
      <c r="Q569" s="2"/>
      <c r="R569" s="2"/>
      <c r="S569" s="2"/>
      <c r="T569" s="2"/>
      <c r="U569" s="2"/>
      <c r="V569" s="2"/>
      <c r="W569" s="2"/>
      <c r="X569" s="2"/>
      <c r="Y569" s="2"/>
      <c r="Z569" s="2"/>
      <c r="AA569" s="2"/>
      <c r="AB569" s="2"/>
    </row>
    <row r="570">
      <c r="B570" s="383"/>
      <c r="C570" s="382" t="s">
        <v>4141</v>
      </c>
      <c r="D570" s="383"/>
      <c r="E570" s="384"/>
      <c r="F570" s="385" t="str">
        <f t="shared" si="1"/>
        <v>בכלל לא</v>
      </c>
      <c r="G570" s="386">
        <f>COUNTIF(Recordings!A:A,C570)</f>
        <v>0</v>
      </c>
      <c r="H570" s="386"/>
      <c r="I570" s="386"/>
      <c r="J570" s="386"/>
      <c r="K570" s="2"/>
      <c r="L570" s="2"/>
      <c r="M570" s="2"/>
      <c r="N570" s="2"/>
      <c r="O570" s="2"/>
      <c r="P570" s="2"/>
      <c r="Q570" s="2"/>
      <c r="R570" s="2"/>
      <c r="S570" s="2"/>
      <c r="T570" s="2"/>
      <c r="U570" s="2"/>
      <c r="V570" s="2"/>
      <c r="W570" s="2"/>
      <c r="X570" s="2"/>
      <c r="Y570" s="2"/>
      <c r="Z570" s="2"/>
      <c r="AA570" s="2"/>
      <c r="AB570" s="2"/>
    </row>
    <row r="571">
      <c r="B571" s="383"/>
      <c r="C571" s="382" t="s">
        <v>4142</v>
      </c>
      <c r="D571" s="383"/>
      <c r="E571" s="384"/>
      <c r="F571" s="385" t="str">
        <f t="shared" si="1"/>
        <v>בכלל לא</v>
      </c>
      <c r="G571" s="386">
        <f>COUNTIF(Recordings!A:A,C571)</f>
        <v>0</v>
      </c>
      <c r="H571" s="386"/>
      <c r="I571" s="386"/>
      <c r="J571" s="386"/>
      <c r="K571" s="2"/>
      <c r="L571" s="2"/>
      <c r="M571" s="2"/>
      <c r="N571" s="2"/>
      <c r="O571" s="2"/>
      <c r="P571" s="2"/>
      <c r="Q571" s="2"/>
      <c r="R571" s="2"/>
      <c r="S571" s="2"/>
      <c r="T571" s="2"/>
      <c r="U571" s="2"/>
      <c r="V571" s="2"/>
      <c r="W571" s="2"/>
      <c r="X571" s="2"/>
      <c r="Y571" s="2"/>
      <c r="Z571" s="2"/>
      <c r="AA571" s="2"/>
      <c r="AB571" s="2"/>
    </row>
    <row r="572">
      <c r="B572" s="383"/>
      <c r="C572" s="382" t="s">
        <v>4143</v>
      </c>
      <c r="D572" s="383"/>
      <c r="E572" s="384"/>
      <c r="F572" s="385" t="str">
        <f t="shared" si="1"/>
        <v>בכלל לא</v>
      </c>
      <c r="G572" s="386">
        <f>COUNTIF(Recordings!A:A,C572)</f>
        <v>0</v>
      </c>
      <c r="H572" s="386"/>
      <c r="I572" s="386"/>
      <c r="J572" s="386"/>
      <c r="K572" s="2"/>
      <c r="L572" s="2"/>
      <c r="M572" s="2"/>
      <c r="N572" s="2"/>
      <c r="O572" s="2"/>
      <c r="P572" s="2"/>
      <c r="Q572" s="2"/>
      <c r="R572" s="2"/>
      <c r="S572" s="2"/>
      <c r="T572" s="2"/>
      <c r="U572" s="2"/>
      <c r="V572" s="2"/>
      <c r="W572" s="2"/>
      <c r="X572" s="2"/>
      <c r="Y572" s="2"/>
      <c r="Z572" s="2"/>
      <c r="AA572" s="2"/>
      <c r="AB572" s="2"/>
    </row>
    <row r="573">
      <c r="B573" s="383"/>
      <c r="C573" s="382" t="s">
        <v>4144</v>
      </c>
      <c r="D573" s="383"/>
      <c r="E573" s="384"/>
      <c r="F573" s="385" t="str">
        <f t="shared" si="1"/>
        <v>בכלל לא</v>
      </c>
      <c r="G573" s="386">
        <f>COUNTIF(Recordings!A:A,C573)</f>
        <v>0</v>
      </c>
      <c r="H573" s="386"/>
      <c r="I573" s="386"/>
      <c r="J573" s="386"/>
      <c r="K573" s="2"/>
      <c r="L573" s="2"/>
      <c r="M573" s="2"/>
      <c r="N573" s="2"/>
      <c r="O573" s="2"/>
      <c r="P573" s="2"/>
      <c r="Q573" s="2"/>
      <c r="R573" s="2"/>
      <c r="S573" s="2"/>
      <c r="T573" s="2"/>
      <c r="U573" s="2"/>
      <c r="V573" s="2"/>
      <c r="W573" s="2"/>
      <c r="X573" s="2"/>
      <c r="Y573" s="2"/>
      <c r="Z573" s="2"/>
      <c r="AA573" s="2"/>
      <c r="AB573" s="2"/>
    </row>
    <row r="574">
      <c r="B574" s="383"/>
      <c r="C574" s="382" t="s">
        <v>4145</v>
      </c>
      <c r="D574" s="383"/>
      <c r="E574" s="384"/>
      <c r="F574" s="385" t="str">
        <f t="shared" si="1"/>
        <v>בכלל לא</v>
      </c>
      <c r="G574" s="386">
        <f>COUNTIF(Recordings!A:A,C574)</f>
        <v>0</v>
      </c>
      <c r="H574" s="386"/>
      <c r="I574" s="386"/>
      <c r="J574" s="386"/>
      <c r="K574" s="2"/>
      <c r="L574" s="2"/>
      <c r="M574" s="2"/>
      <c r="N574" s="2"/>
      <c r="O574" s="2"/>
      <c r="P574" s="2"/>
      <c r="Q574" s="2"/>
      <c r="R574" s="2"/>
      <c r="S574" s="2"/>
      <c r="T574" s="2"/>
      <c r="U574" s="2"/>
      <c r="V574" s="2"/>
      <c r="W574" s="2"/>
      <c r="X574" s="2"/>
      <c r="Y574" s="2"/>
      <c r="Z574" s="2"/>
      <c r="AA574" s="2"/>
      <c r="AB574" s="2"/>
    </row>
    <row r="575">
      <c r="B575" s="383"/>
      <c r="C575" s="382" t="s">
        <v>4146</v>
      </c>
      <c r="D575" s="383"/>
      <c r="E575" s="384"/>
      <c r="F575" s="385" t="str">
        <f t="shared" si="1"/>
        <v>בכלל לא</v>
      </c>
      <c r="G575" s="386">
        <f>COUNTIF(Recordings!A:A,C575)</f>
        <v>0</v>
      </c>
      <c r="H575" s="386"/>
      <c r="I575" s="386"/>
      <c r="J575" s="386"/>
      <c r="K575" s="2"/>
      <c r="L575" s="2"/>
      <c r="M575" s="2"/>
      <c r="N575" s="2"/>
      <c r="O575" s="2"/>
      <c r="P575" s="2"/>
      <c r="Q575" s="2"/>
      <c r="R575" s="2"/>
      <c r="S575" s="2"/>
      <c r="T575" s="2"/>
      <c r="U575" s="2"/>
      <c r="V575" s="2"/>
      <c r="W575" s="2"/>
      <c r="X575" s="2"/>
      <c r="Y575" s="2"/>
      <c r="Z575" s="2"/>
      <c r="AA575" s="2"/>
      <c r="AB575" s="2"/>
    </row>
    <row r="576">
      <c r="B576" s="383"/>
      <c r="C576" s="382" t="s">
        <v>4147</v>
      </c>
      <c r="D576" s="383"/>
      <c r="E576" s="384"/>
      <c r="F576" s="385" t="str">
        <f t="shared" si="1"/>
        <v>בכלל לא</v>
      </c>
      <c r="G576" s="386">
        <f>COUNTIF(Recordings!A:A,C576)</f>
        <v>0</v>
      </c>
      <c r="H576" s="386"/>
      <c r="I576" s="386"/>
      <c r="J576" s="386"/>
      <c r="K576" s="2"/>
      <c r="L576" s="2"/>
      <c r="M576" s="2"/>
      <c r="N576" s="2"/>
      <c r="O576" s="2"/>
      <c r="P576" s="2"/>
      <c r="Q576" s="2"/>
      <c r="R576" s="2"/>
      <c r="S576" s="2"/>
      <c r="T576" s="2"/>
      <c r="U576" s="2"/>
      <c r="V576" s="2"/>
      <c r="W576" s="2"/>
      <c r="X576" s="2"/>
      <c r="Y576" s="2"/>
      <c r="Z576" s="2"/>
      <c r="AA576" s="2"/>
      <c r="AB576" s="2"/>
    </row>
    <row r="577">
      <c r="B577" s="383"/>
      <c r="C577" s="382" t="s">
        <v>4148</v>
      </c>
      <c r="D577" s="383"/>
      <c r="E577" s="384"/>
      <c r="F577" s="385" t="str">
        <f t="shared" si="1"/>
        <v>בכלל לא</v>
      </c>
      <c r="G577" s="386">
        <f>COUNTIF(Recordings!A:A,C577)</f>
        <v>0</v>
      </c>
      <c r="H577" s="386"/>
      <c r="I577" s="386"/>
      <c r="J577" s="386"/>
      <c r="K577" s="2"/>
      <c r="L577" s="2"/>
      <c r="M577" s="2"/>
      <c r="N577" s="2"/>
      <c r="O577" s="2"/>
      <c r="P577" s="2"/>
      <c r="Q577" s="2"/>
      <c r="R577" s="2"/>
      <c r="S577" s="2"/>
      <c r="T577" s="2"/>
      <c r="U577" s="2"/>
      <c r="V577" s="2"/>
      <c r="W577" s="2"/>
      <c r="X577" s="2"/>
      <c r="Y577" s="2"/>
      <c r="Z577" s="2"/>
      <c r="AA577" s="2"/>
      <c r="AB577" s="2"/>
    </row>
    <row r="578">
      <c r="B578" s="383"/>
      <c r="C578" s="382" t="s">
        <v>4149</v>
      </c>
      <c r="D578" s="383"/>
      <c r="E578" s="384"/>
      <c r="F578" s="385" t="str">
        <f t="shared" si="1"/>
        <v>בכלל לא</v>
      </c>
      <c r="G578" s="386">
        <f>COUNTIF(Recordings!A:A,C578)</f>
        <v>0</v>
      </c>
      <c r="H578" s="386"/>
      <c r="I578" s="386"/>
      <c r="J578" s="386"/>
      <c r="K578" s="2"/>
      <c r="L578" s="2"/>
      <c r="M578" s="2"/>
      <c r="N578" s="2"/>
      <c r="O578" s="2"/>
      <c r="P578" s="2"/>
      <c r="Q578" s="2"/>
      <c r="R578" s="2"/>
      <c r="S578" s="2"/>
      <c r="T578" s="2"/>
      <c r="U578" s="2"/>
      <c r="V578" s="2"/>
      <c r="W578" s="2"/>
      <c r="X578" s="2"/>
      <c r="Y578" s="2"/>
      <c r="Z578" s="2"/>
      <c r="AA578" s="2"/>
      <c r="AB578" s="2"/>
    </row>
    <row r="579">
      <c r="B579" s="383"/>
      <c r="C579" s="382" t="s">
        <v>4150</v>
      </c>
      <c r="D579" s="383"/>
      <c r="E579" s="384"/>
      <c r="F579" s="385" t="str">
        <f t="shared" si="1"/>
        <v>בכלל לא</v>
      </c>
      <c r="G579" s="386">
        <f>COUNTIF(Recordings!A:A,C579)</f>
        <v>0</v>
      </c>
      <c r="H579" s="386"/>
      <c r="I579" s="386"/>
      <c r="J579" s="386"/>
      <c r="K579" s="2"/>
      <c r="L579" s="2"/>
      <c r="M579" s="2"/>
      <c r="N579" s="2"/>
      <c r="O579" s="2"/>
      <c r="P579" s="2"/>
      <c r="Q579" s="2"/>
      <c r="R579" s="2"/>
      <c r="S579" s="2"/>
      <c r="T579" s="2"/>
      <c r="U579" s="2"/>
      <c r="V579" s="2"/>
      <c r="W579" s="2"/>
      <c r="X579" s="2"/>
      <c r="Y579" s="2"/>
      <c r="Z579" s="2"/>
      <c r="AA579" s="2"/>
      <c r="AB579" s="2"/>
    </row>
    <row r="580">
      <c r="B580" s="383"/>
      <c r="C580" s="382" t="s">
        <v>4151</v>
      </c>
      <c r="D580" s="383"/>
      <c r="E580" s="384"/>
      <c r="F580" s="385" t="str">
        <f t="shared" si="1"/>
        <v>בכלל לא</v>
      </c>
      <c r="G580" s="386">
        <f>COUNTIF(Recordings!A:A,C580)</f>
        <v>0</v>
      </c>
      <c r="H580" s="386"/>
      <c r="I580" s="386"/>
      <c r="J580" s="386"/>
      <c r="K580" s="2"/>
      <c r="L580" s="2"/>
      <c r="M580" s="2"/>
      <c r="N580" s="2"/>
      <c r="O580" s="2"/>
      <c r="P580" s="2"/>
      <c r="Q580" s="2"/>
      <c r="R580" s="2"/>
      <c r="S580" s="2"/>
      <c r="T580" s="2"/>
      <c r="U580" s="2"/>
      <c r="V580" s="2"/>
      <c r="W580" s="2"/>
      <c r="X580" s="2"/>
      <c r="Y580" s="2"/>
      <c r="Z580" s="2"/>
      <c r="AA580" s="2"/>
      <c r="AB580" s="2"/>
    </row>
    <row r="581">
      <c r="B581" s="383"/>
      <c r="C581" s="382" t="s">
        <v>4152</v>
      </c>
      <c r="D581" s="383"/>
      <c r="E581" s="384"/>
      <c r="F581" s="385" t="str">
        <f t="shared" si="1"/>
        <v>בכלל לא</v>
      </c>
      <c r="G581" s="386">
        <f>COUNTIF(Recordings!A:A,C581)</f>
        <v>0</v>
      </c>
      <c r="H581" s="386"/>
      <c r="I581" s="386"/>
      <c r="J581" s="386"/>
      <c r="K581" s="2"/>
      <c r="L581" s="2"/>
      <c r="M581" s="2"/>
      <c r="N581" s="2"/>
      <c r="O581" s="2"/>
      <c r="P581" s="2"/>
      <c r="Q581" s="2"/>
      <c r="R581" s="2"/>
      <c r="S581" s="2"/>
      <c r="T581" s="2"/>
      <c r="U581" s="2"/>
      <c r="V581" s="2"/>
      <c r="W581" s="2"/>
      <c r="X581" s="2"/>
      <c r="Y581" s="2"/>
      <c r="Z581" s="2"/>
      <c r="AA581" s="2"/>
      <c r="AB581" s="2"/>
    </row>
    <row r="582">
      <c r="B582" s="391" t="s">
        <v>567</v>
      </c>
      <c r="C582" s="382" t="s">
        <v>566</v>
      </c>
      <c r="D582" s="391" t="s">
        <v>568</v>
      </c>
      <c r="E582" s="384"/>
      <c r="F582" s="385" t="str">
        <f t="shared" si="1"/>
        <v>כן</v>
      </c>
      <c r="G582" s="386">
        <f>COUNTIF(Recordings!A:A,C582)</f>
        <v>2</v>
      </c>
      <c r="H582" s="386"/>
      <c r="I582" s="386"/>
      <c r="J582" s="386"/>
      <c r="K582" s="2"/>
      <c r="L582" s="2"/>
      <c r="M582" s="2"/>
      <c r="N582" s="2"/>
      <c r="O582" s="2"/>
      <c r="P582" s="2"/>
      <c r="Q582" s="2"/>
      <c r="R582" s="2"/>
      <c r="S582" s="2"/>
      <c r="T582" s="2"/>
      <c r="U582" s="2"/>
      <c r="V582" s="2"/>
      <c r="W582" s="2"/>
      <c r="X582" s="2"/>
      <c r="Y582" s="2"/>
      <c r="Z582" s="2"/>
      <c r="AA582" s="2"/>
      <c r="AB582" s="2"/>
    </row>
    <row r="583">
      <c r="B583" s="391" t="s">
        <v>289</v>
      </c>
      <c r="C583" s="382" t="s">
        <v>288</v>
      </c>
      <c r="D583" s="391" t="s">
        <v>290</v>
      </c>
      <c r="E583" s="384"/>
      <c r="F583" s="385" t="str">
        <f t="shared" si="1"/>
        <v>כן</v>
      </c>
      <c r="G583" s="386">
        <f>COUNTIF(Recordings!A:A,C583)</f>
        <v>1</v>
      </c>
      <c r="H583" s="386"/>
      <c r="I583" s="386"/>
      <c r="J583" s="386"/>
      <c r="K583" s="2"/>
      <c r="L583" s="2"/>
      <c r="M583" s="2"/>
      <c r="N583" s="2"/>
      <c r="O583" s="2"/>
      <c r="P583" s="2"/>
      <c r="Q583" s="2"/>
      <c r="R583" s="2"/>
      <c r="S583" s="2"/>
      <c r="T583" s="2"/>
      <c r="U583" s="2"/>
      <c r="V583" s="2"/>
      <c r="W583" s="2"/>
      <c r="X583" s="2"/>
      <c r="Y583" s="2"/>
      <c r="Z583" s="2"/>
      <c r="AA583" s="2"/>
      <c r="AB583" s="2"/>
    </row>
    <row r="584">
      <c r="A584" s="392" t="s">
        <v>4153</v>
      </c>
      <c r="B584" s="393"/>
      <c r="C584" s="392" t="s">
        <v>4154</v>
      </c>
      <c r="D584" s="393"/>
      <c r="E584" s="394"/>
      <c r="F584" s="395" t="str">
        <f t="shared" si="1"/>
        <v>בכלל לא</v>
      </c>
      <c r="G584" s="396">
        <f>COUNTIF(Recordings!A:A,C584)</f>
        <v>0</v>
      </c>
      <c r="H584" s="396"/>
      <c r="I584" s="396"/>
      <c r="J584" s="396"/>
      <c r="K584" s="2"/>
      <c r="L584" s="2"/>
      <c r="M584" s="2"/>
      <c r="N584" s="2"/>
      <c r="O584" s="2"/>
      <c r="P584" s="2"/>
      <c r="Q584" s="2"/>
      <c r="R584" s="2"/>
      <c r="S584" s="2"/>
      <c r="T584" s="2"/>
      <c r="U584" s="2"/>
      <c r="V584" s="2"/>
      <c r="W584" s="2"/>
      <c r="X584" s="2"/>
      <c r="Y584" s="2"/>
      <c r="Z584" s="2"/>
      <c r="AA584" s="2"/>
      <c r="AB584" s="2"/>
    </row>
    <row r="585">
      <c r="B585" s="393"/>
      <c r="C585" s="392" t="s">
        <v>4155</v>
      </c>
      <c r="D585" s="393"/>
      <c r="E585" s="394"/>
      <c r="F585" s="395" t="str">
        <f t="shared" si="1"/>
        <v>בכלל לא</v>
      </c>
      <c r="G585" s="396">
        <f>COUNTIF(Recordings!A:A,C585)</f>
        <v>0</v>
      </c>
      <c r="H585" s="396"/>
      <c r="I585" s="396"/>
      <c r="J585" s="396"/>
      <c r="K585" s="2"/>
      <c r="L585" s="2"/>
      <c r="M585" s="2"/>
      <c r="N585" s="2"/>
      <c r="O585" s="2"/>
      <c r="P585" s="2"/>
      <c r="Q585" s="2"/>
      <c r="R585" s="2"/>
      <c r="S585" s="2"/>
      <c r="T585" s="2"/>
      <c r="U585" s="2"/>
      <c r="V585" s="2"/>
      <c r="W585" s="2"/>
      <c r="X585" s="2"/>
      <c r="Y585" s="2"/>
      <c r="Z585" s="2"/>
      <c r="AA585" s="2"/>
      <c r="AB585" s="2"/>
    </row>
    <row r="586">
      <c r="B586" s="393"/>
      <c r="C586" s="392" t="s">
        <v>4156</v>
      </c>
      <c r="D586" s="393"/>
      <c r="E586" s="394"/>
      <c r="F586" s="395" t="str">
        <f t="shared" si="1"/>
        <v>בכלל לא</v>
      </c>
      <c r="G586" s="396">
        <f>COUNTIF(Recordings!A:A,C586)</f>
        <v>0</v>
      </c>
      <c r="H586" s="396"/>
      <c r="I586" s="396"/>
      <c r="J586" s="396"/>
      <c r="K586" s="2"/>
      <c r="L586" s="2"/>
      <c r="M586" s="2"/>
      <c r="N586" s="2"/>
      <c r="O586" s="2"/>
      <c r="P586" s="2"/>
      <c r="Q586" s="2"/>
      <c r="R586" s="2"/>
      <c r="S586" s="2"/>
      <c r="T586" s="2"/>
      <c r="U586" s="2"/>
      <c r="V586" s="2"/>
      <c r="W586" s="2"/>
      <c r="X586" s="2"/>
      <c r="Y586" s="2"/>
      <c r="Z586" s="2"/>
      <c r="AA586" s="2"/>
      <c r="AB586" s="2"/>
    </row>
    <row r="587">
      <c r="B587" s="393"/>
      <c r="C587" s="392" t="s">
        <v>4157</v>
      </c>
      <c r="D587" s="393"/>
      <c r="E587" s="394"/>
      <c r="F587" s="395" t="str">
        <f t="shared" si="1"/>
        <v>בכלל לא</v>
      </c>
      <c r="G587" s="396">
        <f>COUNTIF(Recordings!A:A,C587)</f>
        <v>0</v>
      </c>
      <c r="H587" s="396"/>
      <c r="I587" s="396"/>
      <c r="J587" s="396"/>
      <c r="K587" s="2"/>
      <c r="L587" s="2"/>
      <c r="M587" s="2"/>
      <c r="N587" s="2"/>
      <c r="O587" s="2"/>
      <c r="P587" s="2"/>
      <c r="Q587" s="2"/>
      <c r="R587" s="2"/>
      <c r="S587" s="2"/>
      <c r="T587" s="2"/>
      <c r="U587" s="2"/>
      <c r="V587" s="2"/>
      <c r="W587" s="2"/>
      <c r="X587" s="2"/>
      <c r="Y587" s="2"/>
      <c r="Z587" s="2"/>
      <c r="AA587" s="2"/>
      <c r="AB587" s="2"/>
    </row>
    <row r="588">
      <c r="B588" s="393"/>
      <c r="C588" s="392" t="s">
        <v>4158</v>
      </c>
      <c r="D588" s="393"/>
      <c r="E588" s="394"/>
      <c r="F588" s="395" t="str">
        <f t="shared" si="1"/>
        <v>בכלל לא</v>
      </c>
      <c r="G588" s="396">
        <f>COUNTIF(Recordings!A:A,C588)</f>
        <v>0</v>
      </c>
      <c r="H588" s="396"/>
      <c r="I588" s="396"/>
      <c r="J588" s="396"/>
      <c r="K588" s="2"/>
      <c r="L588" s="2"/>
      <c r="M588" s="2"/>
      <c r="N588" s="2"/>
      <c r="O588" s="2"/>
      <c r="P588" s="2"/>
      <c r="Q588" s="2"/>
      <c r="R588" s="2"/>
      <c r="S588" s="2"/>
      <c r="T588" s="2"/>
      <c r="U588" s="2"/>
      <c r="V588" s="2"/>
      <c r="W588" s="2"/>
      <c r="X588" s="2"/>
      <c r="Y588" s="2"/>
      <c r="Z588" s="2"/>
      <c r="AA588" s="2"/>
      <c r="AB588" s="2"/>
    </row>
    <row r="589">
      <c r="B589" s="393"/>
      <c r="C589" s="392" t="s">
        <v>4159</v>
      </c>
      <c r="D589" s="393"/>
      <c r="E589" s="394"/>
      <c r="F589" s="395" t="str">
        <f t="shared" si="1"/>
        <v>בכלל לא</v>
      </c>
      <c r="G589" s="396">
        <f>COUNTIF(Recordings!A:A,C589)</f>
        <v>0</v>
      </c>
      <c r="H589" s="396"/>
      <c r="I589" s="396"/>
      <c r="J589" s="396"/>
      <c r="K589" s="2"/>
      <c r="L589" s="2"/>
      <c r="M589" s="2"/>
      <c r="N589" s="2"/>
      <c r="O589" s="2"/>
      <c r="P589" s="2"/>
      <c r="Q589" s="2"/>
      <c r="R589" s="2"/>
      <c r="S589" s="2"/>
      <c r="T589" s="2"/>
      <c r="U589" s="2"/>
      <c r="V589" s="2"/>
      <c r="W589" s="2"/>
      <c r="X589" s="2"/>
      <c r="Y589" s="2"/>
      <c r="Z589" s="2"/>
      <c r="AA589" s="2"/>
      <c r="AB589" s="2"/>
    </row>
    <row r="590">
      <c r="B590" s="393"/>
      <c r="C590" s="392" t="s">
        <v>4160</v>
      </c>
      <c r="D590" s="393"/>
      <c r="E590" s="394"/>
      <c r="F590" s="395" t="str">
        <f t="shared" si="1"/>
        <v>בכלל לא</v>
      </c>
      <c r="G590" s="396">
        <f>COUNTIF(Recordings!A:A,C590)</f>
        <v>0</v>
      </c>
      <c r="H590" s="396"/>
      <c r="I590" s="396"/>
      <c r="J590" s="396"/>
      <c r="K590" s="2"/>
      <c r="L590" s="2"/>
      <c r="M590" s="2"/>
      <c r="N590" s="2"/>
      <c r="O590" s="2"/>
      <c r="P590" s="2"/>
      <c r="Q590" s="2"/>
      <c r="R590" s="2"/>
      <c r="S590" s="2"/>
      <c r="T590" s="2"/>
      <c r="U590" s="2"/>
      <c r="V590" s="2"/>
      <c r="W590" s="2"/>
      <c r="X590" s="2"/>
      <c r="Y590" s="2"/>
      <c r="Z590" s="2"/>
      <c r="AA590" s="2"/>
      <c r="AB590" s="2"/>
    </row>
    <row r="591">
      <c r="B591" s="393"/>
      <c r="C591" s="392" t="s">
        <v>4161</v>
      </c>
      <c r="D591" s="393"/>
      <c r="E591" s="394"/>
      <c r="F591" s="395" t="str">
        <f t="shared" si="1"/>
        <v>בכלל לא</v>
      </c>
      <c r="G591" s="396">
        <f>COUNTIF(Recordings!A:A,C591)</f>
        <v>0</v>
      </c>
      <c r="H591" s="396"/>
      <c r="I591" s="396"/>
      <c r="J591" s="396"/>
      <c r="K591" s="2"/>
      <c r="L591" s="2"/>
      <c r="M591" s="2"/>
      <c r="N591" s="2"/>
      <c r="O591" s="2"/>
      <c r="P591" s="2"/>
      <c r="Q591" s="2"/>
      <c r="R591" s="2"/>
      <c r="S591" s="2"/>
      <c r="T591" s="2"/>
      <c r="U591" s="2"/>
      <c r="V591" s="2"/>
      <c r="W591" s="2"/>
      <c r="X591" s="2"/>
      <c r="Y591" s="2"/>
      <c r="Z591" s="2"/>
      <c r="AA591" s="2"/>
      <c r="AB591" s="2"/>
    </row>
    <row r="592">
      <c r="B592" s="397" t="s">
        <v>2858</v>
      </c>
      <c r="C592" s="392" t="s">
        <v>2857</v>
      </c>
      <c r="D592" s="393"/>
      <c r="E592" s="394"/>
      <c r="F592" s="395" t="str">
        <f t="shared" si="1"/>
        <v>כן</v>
      </c>
      <c r="G592" s="396">
        <f>COUNTIF(Recordings!A:A,C592)</f>
        <v>2</v>
      </c>
      <c r="H592" s="396"/>
      <c r="I592" s="396"/>
      <c r="J592" s="396"/>
      <c r="K592" s="2"/>
      <c r="L592" s="2"/>
      <c r="M592" s="2"/>
      <c r="N592" s="2"/>
      <c r="O592" s="2"/>
      <c r="P592" s="2"/>
      <c r="Q592" s="2"/>
      <c r="R592" s="2"/>
      <c r="S592" s="2"/>
      <c r="T592" s="2"/>
      <c r="U592" s="2"/>
      <c r="V592" s="2"/>
      <c r="W592" s="2"/>
      <c r="X592" s="2"/>
      <c r="Y592" s="2"/>
      <c r="Z592" s="2"/>
      <c r="AA592" s="2"/>
      <c r="AB592" s="2"/>
    </row>
    <row r="593">
      <c r="B593" s="393"/>
      <c r="C593" s="392" t="s">
        <v>4162</v>
      </c>
      <c r="D593" s="393"/>
      <c r="E593" s="394"/>
      <c r="F593" s="395" t="str">
        <f t="shared" si="1"/>
        <v>בכלל לא</v>
      </c>
      <c r="G593" s="396">
        <f>COUNTIF(Recordings!A:A,C593)</f>
        <v>0</v>
      </c>
      <c r="H593" s="396"/>
      <c r="I593" s="396"/>
      <c r="J593" s="396"/>
      <c r="K593" s="2"/>
      <c r="L593" s="2"/>
      <c r="M593" s="2"/>
      <c r="N593" s="2"/>
      <c r="O593" s="2"/>
      <c r="P593" s="2"/>
      <c r="Q593" s="2"/>
      <c r="R593" s="2"/>
      <c r="S593" s="2"/>
      <c r="T593" s="2"/>
      <c r="U593" s="2"/>
      <c r="V593" s="2"/>
      <c r="W593" s="2"/>
      <c r="X593" s="2"/>
      <c r="Y593" s="2"/>
      <c r="Z593" s="2"/>
      <c r="AA593" s="2"/>
      <c r="AB593" s="2"/>
    </row>
    <row r="594">
      <c r="B594" s="393"/>
      <c r="C594" s="392" t="s">
        <v>4163</v>
      </c>
      <c r="D594" s="393"/>
      <c r="E594" s="394"/>
      <c r="F594" s="395" t="str">
        <f t="shared" si="1"/>
        <v>בכלל לא</v>
      </c>
      <c r="G594" s="396">
        <f>COUNTIF(Recordings!A:A,C594)</f>
        <v>0</v>
      </c>
      <c r="H594" s="396"/>
      <c r="I594" s="396"/>
      <c r="J594" s="396"/>
      <c r="K594" s="2"/>
      <c r="L594" s="2"/>
      <c r="M594" s="2"/>
      <c r="N594" s="2"/>
      <c r="O594" s="2"/>
      <c r="P594" s="2"/>
      <c r="Q594" s="2"/>
      <c r="R594" s="2"/>
      <c r="S594" s="2"/>
      <c r="T594" s="2"/>
      <c r="U594" s="2"/>
      <c r="V594" s="2"/>
      <c r="W594" s="2"/>
      <c r="X594" s="2"/>
      <c r="Y594" s="2"/>
      <c r="Z594" s="2"/>
      <c r="AA594" s="2"/>
      <c r="AB594" s="2"/>
    </row>
    <row r="595">
      <c r="B595" s="393"/>
      <c r="C595" s="392" t="s">
        <v>4164</v>
      </c>
      <c r="D595" s="393"/>
      <c r="E595" s="394"/>
      <c r="F595" s="395" t="str">
        <f t="shared" si="1"/>
        <v>בכלל לא</v>
      </c>
      <c r="G595" s="396">
        <f>COUNTIF(Recordings!A:A,C595)</f>
        <v>0</v>
      </c>
      <c r="H595" s="396"/>
      <c r="I595" s="396"/>
      <c r="J595" s="396"/>
      <c r="K595" s="2"/>
      <c r="L595" s="2"/>
      <c r="M595" s="2"/>
      <c r="N595" s="2"/>
      <c r="O595" s="2"/>
      <c r="P595" s="2"/>
      <c r="Q595" s="2"/>
      <c r="R595" s="2"/>
      <c r="S595" s="2"/>
      <c r="T595" s="2"/>
      <c r="U595" s="2"/>
      <c r="V595" s="2"/>
      <c r="W595" s="2"/>
      <c r="X595" s="2"/>
      <c r="Y595" s="2"/>
      <c r="Z595" s="2"/>
      <c r="AA595" s="2"/>
      <c r="AB595" s="2"/>
    </row>
    <row r="596">
      <c r="B596" s="393"/>
      <c r="C596" s="392" t="s">
        <v>4165</v>
      </c>
      <c r="D596" s="393"/>
      <c r="E596" s="394"/>
      <c r="F596" s="395" t="str">
        <f t="shared" si="1"/>
        <v>בכלל לא</v>
      </c>
      <c r="G596" s="396">
        <f>COUNTIF(Recordings!A:A,C596)</f>
        <v>0</v>
      </c>
      <c r="H596" s="396"/>
      <c r="I596" s="396"/>
      <c r="J596" s="396"/>
      <c r="K596" s="2"/>
      <c r="L596" s="2"/>
      <c r="M596" s="2"/>
      <c r="N596" s="2"/>
      <c r="O596" s="2"/>
      <c r="P596" s="2"/>
      <c r="Q596" s="2"/>
      <c r="R596" s="2"/>
      <c r="S596" s="2"/>
      <c r="T596" s="2"/>
      <c r="U596" s="2"/>
      <c r="V596" s="2"/>
      <c r="W596" s="2"/>
      <c r="X596" s="2"/>
      <c r="Y596" s="2"/>
      <c r="Z596" s="2"/>
      <c r="AA596" s="2"/>
      <c r="AB596" s="2"/>
    </row>
    <row r="597">
      <c r="B597" s="397" t="s">
        <v>2839</v>
      </c>
      <c r="C597" s="392" t="s">
        <v>2838</v>
      </c>
      <c r="D597" s="393"/>
      <c r="E597" s="394"/>
      <c r="F597" s="395" t="str">
        <f t="shared" si="1"/>
        <v>כן</v>
      </c>
      <c r="G597" s="396">
        <f>COUNTIF(Recordings!A:A,C597)</f>
        <v>5</v>
      </c>
      <c r="H597" s="396"/>
      <c r="I597" s="396"/>
      <c r="J597" s="396"/>
      <c r="K597" s="2"/>
      <c r="L597" s="2"/>
      <c r="M597" s="2"/>
      <c r="N597" s="2"/>
      <c r="O597" s="2"/>
      <c r="P597" s="2"/>
      <c r="Q597" s="2"/>
      <c r="R597" s="2"/>
      <c r="S597" s="2"/>
      <c r="T597" s="2"/>
      <c r="U597" s="2"/>
      <c r="V597" s="2"/>
      <c r="W597" s="2"/>
      <c r="X597" s="2"/>
      <c r="Y597" s="2"/>
      <c r="Z597" s="2"/>
      <c r="AA597" s="2"/>
      <c r="AB597" s="2"/>
    </row>
    <row r="598">
      <c r="B598" s="393"/>
      <c r="C598" s="392" t="s">
        <v>4166</v>
      </c>
      <c r="D598" s="393"/>
      <c r="E598" s="394"/>
      <c r="F598" s="395" t="str">
        <f t="shared" si="1"/>
        <v>בכלל לא</v>
      </c>
      <c r="G598" s="396">
        <f>COUNTIF(Recordings!A:A,C598)</f>
        <v>0</v>
      </c>
      <c r="H598" s="396"/>
      <c r="I598" s="396"/>
      <c r="J598" s="396"/>
      <c r="K598" s="2"/>
      <c r="L598" s="2"/>
      <c r="M598" s="2"/>
      <c r="N598" s="2"/>
      <c r="O598" s="2"/>
      <c r="P598" s="2"/>
      <c r="Q598" s="2"/>
      <c r="R598" s="2"/>
      <c r="S598" s="2"/>
      <c r="T598" s="2"/>
      <c r="U598" s="2"/>
      <c r="V598" s="2"/>
      <c r="W598" s="2"/>
      <c r="X598" s="2"/>
      <c r="Y598" s="2"/>
      <c r="Z598" s="2"/>
      <c r="AA598" s="2"/>
      <c r="AB598" s="2"/>
    </row>
    <row r="599">
      <c r="B599" s="393"/>
      <c r="C599" s="392" t="s">
        <v>4167</v>
      </c>
      <c r="D599" s="393"/>
      <c r="E599" s="394"/>
      <c r="F599" s="395" t="str">
        <f t="shared" si="1"/>
        <v>בכלל לא</v>
      </c>
      <c r="G599" s="396">
        <f>COUNTIF(Recordings!A:A,C599)</f>
        <v>0</v>
      </c>
      <c r="H599" s="396"/>
      <c r="I599" s="396"/>
      <c r="J599" s="396"/>
      <c r="K599" s="2"/>
      <c r="L599" s="2"/>
      <c r="M599" s="2"/>
      <c r="N599" s="2"/>
      <c r="O599" s="2"/>
      <c r="P599" s="2"/>
      <c r="Q599" s="2"/>
      <c r="R599" s="2"/>
      <c r="S599" s="2"/>
      <c r="T599" s="2"/>
      <c r="U599" s="2"/>
      <c r="V599" s="2"/>
      <c r="W599" s="2"/>
      <c r="X599" s="2"/>
      <c r="Y599" s="2"/>
      <c r="Z599" s="2"/>
      <c r="AA599" s="2"/>
      <c r="AB599" s="2"/>
    </row>
    <row r="600">
      <c r="B600" s="397" t="s">
        <v>2705</v>
      </c>
      <c r="C600" s="392" t="s">
        <v>2704</v>
      </c>
      <c r="D600" s="393"/>
      <c r="E600" s="394"/>
      <c r="F600" s="395" t="str">
        <f t="shared" si="1"/>
        <v>כן</v>
      </c>
      <c r="G600" s="396">
        <f>COUNTIF(Recordings!A:A,C600)</f>
        <v>5</v>
      </c>
      <c r="H600" s="396"/>
      <c r="I600" s="396"/>
      <c r="J600" s="396"/>
      <c r="K600" s="2"/>
      <c r="L600" s="2"/>
      <c r="M600" s="2"/>
      <c r="N600" s="2"/>
      <c r="O600" s="2"/>
      <c r="P600" s="2"/>
      <c r="Q600" s="2"/>
      <c r="R600" s="2"/>
      <c r="S600" s="2"/>
      <c r="T600" s="2"/>
      <c r="U600" s="2"/>
      <c r="V600" s="2"/>
      <c r="W600" s="2"/>
      <c r="X600" s="2"/>
      <c r="Y600" s="2"/>
      <c r="Z600" s="2"/>
      <c r="AA600" s="2"/>
      <c r="AB600" s="2"/>
    </row>
    <row r="601">
      <c r="A601" s="2"/>
      <c r="B601" s="2"/>
      <c r="C601" s="2"/>
      <c r="D601" s="2"/>
      <c r="E601" s="398"/>
      <c r="F601" s="2"/>
      <c r="G601" s="398"/>
      <c r="H601" s="398"/>
      <c r="I601" s="398"/>
      <c r="J601" s="398"/>
      <c r="K601" s="2"/>
      <c r="L601" s="2"/>
      <c r="M601" s="2"/>
      <c r="N601" s="2"/>
      <c r="O601" s="2"/>
      <c r="P601" s="2"/>
      <c r="Q601" s="2"/>
      <c r="R601" s="2"/>
      <c r="S601" s="2"/>
      <c r="T601" s="2"/>
      <c r="U601" s="2"/>
      <c r="V601" s="2"/>
      <c r="W601" s="2"/>
      <c r="X601" s="2"/>
      <c r="Y601" s="2"/>
      <c r="Z601" s="2"/>
      <c r="AA601" s="2"/>
      <c r="AB601" s="2"/>
    </row>
    <row r="602">
      <c r="A602" s="2"/>
      <c r="B602" s="2"/>
      <c r="C602" s="2"/>
      <c r="D602" s="2"/>
      <c r="E602" s="398"/>
      <c r="F602" s="2"/>
      <c r="G602" s="398"/>
      <c r="H602" s="398"/>
      <c r="I602" s="398"/>
      <c r="J602" s="398"/>
      <c r="K602" s="2"/>
      <c r="L602" s="2"/>
      <c r="M602" s="2"/>
      <c r="N602" s="2"/>
      <c r="O602" s="2"/>
      <c r="P602" s="2"/>
      <c r="Q602" s="2"/>
      <c r="R602" s="2"/>
      <c r="S602" s="2"/>
      <c r="T602" s="2"/>
      <c r="U602" s="2"/>
      <c r="V602" s="2"/>
      <c r="W602" s="2"/>
      <c r="X602" s="2"/>
      <c r="Y602" s="2"/>
      <c r="Z602" s="2"/>
      <c r="AA602" s="2"/>
      <c r="AB602" s="2"/>
    </row>
    <row r="603">
      <c r="A603" s="2"/>
      <c r="B603" s="2"/>
      <c r="C603" s="2"/>
      <c r="D603" s="2"/>
      <c r="E603" s="398"/>
      <c r="F603" s="2"/>
      <c r="G603" s="398"/>
      <c r="H603" s="398"/>
      <c r="I603" s="398"/>
      <c r="J603" s="398"/>
      <c r="K603" s="2"/>
      <c r="L603" s="2"/>
      <c r="M603" s="2"/>
      <c r="N603" s="2"/>
      <c r="O603" s="2"/>
      <c r="P603" s="2"/>
      <c r="Q603" s="2"/>
      <c r="R603" s="2"/>
      <c r="S603" s="2"/>
      <c r="T603" s="2"/>
      <c r="U603" s="2"/>
      <c r="V603" s="2"/>
      <c r="W603" s="2"/>
      <c r="X603" s="2"/>
      <c r="Y603" s="2"/>
      <c r="Z603" s="2"/>
      <c r="AA603" s="2"/>
      <c r="AB603" s="2"/>
    </row>
    <row r="604">
      <c r="A604" s="2"/>
      <c r="B604" s="2"/>
      <c r="C604" s="2"/>
      <c r="D604" s="2"/>
      <c r="E604" s="398"/>
      <c r="F604" s="2"/>
      <c r="G604" s="398"/>
      <c r="H604" s="398"/>
      <c r="I604" s="398"/>
      <c r="J604" s="398"/>
      <c r="K604" s="2"/>
      <c r="L604" s="2"/>
      <c r="M604" s="2"/>
      <c r="N604" s="2"/>
      <c r="O604" s="2"/>
      <c r="P604" s="2"/>
      <c r="Q604" s="2"/>
      <c r="R604" s="2"/>
      <c r="S604" s="2"/>
      <c r="T604" s="2"/>
      <c r="U604" s="2"/>
      <c r="V604" s="2"/>
      <c r="W604" s="2"/>
      <c r="X604" s="2"/>
      <c r="Y604" s="2"/>
      <c r="Z604" s="2"/>
      <c r="AA604" s="2"/>
      <c r="AB604" s="2"/>
    </row>
    <row r="605">
      <c r="A605" s="2"/>
      <c r="B605" s="2"/>
      <c r="C605" s="2"/>
      <c r="D605" s="2"/>
      <c r="E605" s="398"/>
      <c r="F605" s="2"/>
      <c r="G605" s="398"/>
      <c r="H605" s="398"/>
      <c r="I605" s="398"/>
      <c r="J605" s="398"/>
      <c r="K605" s="2"/>
      <c r="L605" s="2"/>
      <c r="M605" s="2"/>
      <c r="N605" s="2"/>
      <c r="O605" s="2"/>
      <c r="P605" s="2"/>
      <c r="Q605" s="2"/>
      <c r="R605" s="2"/>
      <c r="S605" s="2"/>
      <c r="T605" s="2"/>
      <c r="U605" s="2"/>
      <c r="V605" s="2"/>
      <c r="W605" s="2"/>
      <c r="X605" s="2"/>
      <c r="Y605" s="2"/>
      <c r="Z605" s="2"/>
      <c r="AA605" s="2"/>
      <c r="AB605" s="2"/>
    </row>
    <row r="606">
      <c r="A606" s="2"/>
      <c r="B606" s="2"/>
      <c r="C606" s="2"/>
      <c r="D606" s="2"/>
      <c r="E606" s="398"/>
      <c r="F606" s="2"/>
      <c r="G606" s="398"/>
      <c r="H606" s="398"/>
      <c r="I606" s="398"/>
      <c r="J606" s="398"/>
      <c r="K606" s="2"/>
      <c r="L606" s="2"/>
      <c r="M606" s="2"/>
      <c r="N606" s="2"/>
      <c r="O606" s="2"/>
      <c r="P606" s="2"/>
      <c r="Q606" s="2"/>
      <c r="R606" s="2"/>
      <c r="S606" s="2"/>
      <c r="T606" s="2"/>
      <c r="U606" s="2"/>
      <c r="V606" s="2"/>
      <c r="W606" s="2"/>
      <c r="X606" s="2"/>
      <c r="Y606" s="2"/>
      <c r="Z606" s="2"/>
      <c r="AA606" s="2"/>
      <c r="AB606" s="2"/>
    </row>
    <row r="607">
      <c r="A607" s="2"/>
      <c r="B607" s="2"/>
      <c r="C607" s="2"/>
      <c r="D607" s="2"/>
      <c r="E607" s="398"/>
      <c r="F607" s="2"/>
      <c r="G607" s="398"/>
      <c r="H607" s="398"/>
      <c r="I607" s="398"/>
      <c r="J607" s="398"/>
      <c r="K607" s="2"/>
      <c r="L607" s="2"/>
      <c r="M607" s="2"/>
      <c r="N607" s="2"/>
      <c r="O607" s="2"/>
      <c r="P607" s="2"/>
      <c r="Q607" s="2"/>
      <c r="R607" s="2"/>
      <c r="S607" s="2"/>
      <c r="T607" s="2"/>
      <c r="U607" s="2"/>
      <c r="V607" s="2"/>
      <c r="W607" s="2"/>
      <c r="X607" s="2"/>
      <c r="Y607" s="2"/>
      <c r="Z607" s="2"/>
      <c r="AA607" s="2"/>
      <c r="AB607" s="2"/>
    </row>
    <row r="608">
      <c r="A608" s="2"/>
      <c r="B608" s="2"/>
      <c r="C608" s="2"/>
      <c r="D608" s="2"/>
      <c r="E608" s="398"/>
      <c r="F608" s="2"/>
      <c r="G608" s="398"/>
      <c r="H608" s="398"/>
      <c r="I608" s="398"/>
      <c r="J608" s="398"/>
      <c r="K608" s="2"/>
      <c r="L608" s="2"/>
      <c r="M608" s="2"/>
      <c r="N608" s="2"/>
      <c r="O608" s="2"/>
      <c r="P608" s="2"/>
      <c r="Q608" s="2"/>
      <c r="R608" s="2"/>
      <c r="S608" s="2"/>
      <c r="T608" s="2"/>
      <c r="U608" s="2"/>
      <c r="V608" s="2"/>
      <c r="W608" s="2"/>
      <c r="X608" s="2"/>
      <c r="Y608" s="2"/>
      <c r="Z608" s="2"/>
      <c r="AA608" s="2"/>
      <c r="AB608" s="2"/>
    </row>
    <row r="609">
      <c r="A609" s="2"/>
      <c r="B609" s="2"/>
      <c r="C609" s="2"/>
      <c r="D609" s="2"/>
      <c r="E609" s="398"/>
      <c r="F609" s="2"/>
      <c r="G609" s="398"/>
      <c r="H609" s="398"/>
      <c r="I609" s="398"/>
      <c r="J609" s="398"/>
      <c r="K609" s="2"/>
      <c r="L609" s="2"/>
      <c r="M609" s="2"/>
      <c r="N609" s="2"/>
      <c r="O609" s="2"/>
      <c r="P609" s="2"/>
      <c r="Q609" s="2"/>
      <c r="R609" s="2"/>
      <c r="S609" s="2"/>
      <c r="T609" s="2"/>
      <c r="U609" s="2"/>
      <c r="V609" s="2"/>
      <c r="W609" s="2"/>
      <c r="X609" s="2"/>
      <c r="Y609" s="2"/>
      <c r="Z609" s="2"/>
      <c r="AA609" s="2"/>
      <c r="AB609" s="2"/>
    </row>
    <row r="610">
      <c r="A610" s="2"/>
      <c r="B610" s="2"/>
      <c r="C610" s="2"/>
      <c r="D610" s="2"/>
      <c r="E610" s="398"/>
      <c r="F610" s="2"/>
      <c r="G610" s="398"/>
      <c r="H610" s="398"/>
      <c r="I610" s="398"/>
      <c r="J610" s="398"/>
      <c r="K610" s="2"/>
      <c r="L610" s="2"/>
      <c r="M610" s="2"/>
      <c r="N610" s="2"/>
      <c r="O610" s="2"/>
      <c r="P610" s="2"/>
      <c r="Q610" s="2"/>
      <c r="R610" s="2"/>
      <c r="S610" s="2"/>
      <c r="T610" s="2"/>
      <c r="U610" s="2"/>
      <c r="V610" s="2"/>
      <c r="W610" s="2"/>
      <c r="X610" s="2"/>
      <c r="Y610" s="2"/>
      <c r="Z610" s="2"/>
      <c r="AA610" s="2"/>
      <c r="AB610" s="2"/>
    </row>
    <row r="611">
      <c r="A611" s="2"/>
      <c r="B611" s="2"/>
      <c r="C611" s="2"/>
      <c r="D611" s="2"/>
      <c r="E611" s="398"/>
      <c r="F611" s="2"/>
      <c r="G611" s="398"/>
      <c r="H611" s="398"/>
      <c r="I611" s="398"/>
      <c r="J611" s="398"/>
      <c r="K611" s="2"/>
      <c r="L611" s="2"/>
      <c r="M611" s="2"/>
      <c r="N611" s="2"/>
      <c r="O611" s="2"/>
      <c r="P611" s="2"/>
      <c r="Q611" s="2"/>
      <c r="R611" s="2"/>
      <c r="S611" s="2"/>
      <c r="T611" s="2"/>
      <c r="U611" s="2"/>
      <c r="V611" s="2"/>
      <c r="W611" s="2"/>
      <c r="X611" s="2"/>
      <c r="Y611" s="2"/>
      <c r="Z611" s="2"/>
      <c r="AA611" s="2"/>
      <c r="AB611" s="2"/>
    </row>
    <row r="612">
      <c r="A612" s="2"/>
      <c r="B612" s="2"/>
      <c r="C612" s="2"/>
      <c r="D612" s="2"/>
      <c r="E612" s="398"/>
      <c r="F612" s="2"/>
      <c r="G612" s="398"/>
      <c r="H612" s="398"/>
      <c r="I612" s="398"/>
      <c r="J612" s="398"/>
      <c r="K612" s="2"/>
      <c r="L612" s="2"/>
      <c r="M612" s="2"/>
      <c r="N612" s="2"/>
      <c r="O612" s="2"/>
      <c r="P612" s="2"/>
      <c r="Q612" s="2"/>
      <c r="R612" s="2"/>
      <c r="S612" s="2"/>
      <c r="T612" s="2"/>
      <c r="U612" s="2"/>
      <c r="V612" s="2"/>
      <c r="W612" s="2"/>
      <c r="X612" s="2"/>
      <c r="Y612" s="2"/>
      <c r="Z612" s="2"/>
      <c r="AA612" s="2"/>
      <c r="AB612" s="2"/>
    </row>
    <row r="613">
      <c r="A613" s="2"/>
      <c r="B613" s="2"/>
      <c r="C613" s="2"/>
      <c r="D613" s="2"/>
      <c r="E613" s="398"/>
      <c r="F613" s="2"/>
      <c r="G613" s="398"/>
      <c r="H613" s="398"/>
      <c r="I613" s="398"/>
      <c r="J613" s="398"/>
      <c r="K613" s="2"/>
      <c r="L613" s="2"/>
      <c r="M613" s="2"/>
      <c r="N613" s="2"/>
      <c r="O613" s="2"/>
      <c r="P613" s="2"/>
      <c r="Q613" s="2"/>
      <c r="R613" s="2"/>
      <c r="S613" s="2"/>
      <c r="T613" s="2"/>
      <c r="U613" s="2"/>
      <c r="V613" s="2"/>
      <c r="W613" s="2"/>
      <c r="X613" s="2"/>
      <c r="Y613" s="2"/>
      <c r="Z613" s="2"/>
      <c r="AA613" s="2"/>
      <c r="AB613" s="2"/>
    </row>
    <row r="614">
      <c r="A614" s="2"/>
      <c r="B614" s="2"/>
      <c r="C614" s="2"/>
      <c r="D614" s="2"/>
      <c r="E614" s="398"/>
      <c r="F614" s="2"/>
      <c r="G614" s="398"/>
      <c r="H614" s="398"/>
      <c r="I614" s="398"/>
      <c r="J614" s="398"/>
      <c r="K614" s="2"/>
      <c r="L614" s="2"/>
      <c r="M614" s="2"/>
      <c r="N614" s="2"/>
      <c r="O614" s="2"/>
      <c r="P614" s="2"/>
      <c r="Q614" s="2"/>
      <c r="R614" s="2"/>
      <c r="S614" s="2"/>
      <c r="T614" s="2"/>
      <c r="U614" s="2"/>
      <c r="V614" s="2"/>
      <c r="W614" s="2"/>
      <c r="X614" s="2"/>
      <c r="Y614" s="2"/>
      <c r="Z614" s="2"/>
      <c r="AA614" s="2"/>
      <c r="AB614" s="2"/>
    </row>
    <row r="615">
      <c r="A615" s="2"/>
      <c r="B615" s="2"/>
      <c r="C615" s="2"/>
      <c r="D615" s="2"/>
      <c r="E615" s="398"/>
      <c r="F615" s="2"/>
      <c r="G615" s="398"/>
      <c r="H615" s="398"/>
      <c r="I615" s="398"/>
      <c r="J615" s="398"/>
      <c r="K615" s="2"/>
      <c r="L615" s="2"/>
      <c r="M615" s="2"/>
      <c r="N615" s="2"/>
      <c r="O615" s="2"/>
      <c r="P615" s="2"/>
      <c r="Q615" s="2"/>
      <c r="R615" s="2"/>
      <c r="S615" s="2"/>
      <c r="T615" s="2"/>
      <c r="U615" s="2"/>
      <c r="V615" s="2"/>
      <c r="W615" s="2"/>
      <c r="X615" s="2"/>
      <c r="Y615" s="2"/>
      <c r="Z615" s="2"/>
      <c r="AA615" s="2"/>
      <c r="AB615" s="2"/>
    </row>
    <row r="616">
      <c r="A616" s="2"/>
      <c r="B616" s="2"/>
      <c r="C616" s="2"/>
      <c r="D616" s="2"/>
      <c r="E616" s="398"/>
      <c r="F616" s="2"/>
      <c r="G616" s="398"/>
      <c r="H616" s="398"/>
      <c r="I616" s="398"/>
      <c r="J616" s="398"/>
      <c r="K616" s="2"/>
      <c r="L616" s="2"/>
      <c r="M616" s="2"/>
      <c r="N616" s="2"/>
      <c r="O616" s="2"/>
      <c r="P616" s="2"/>
      <c r="Q616" s="2"/>
      <c r="R616" s="2"/>
      <c r="S616" s="2"/>
      <c r="T616" s="2"/>
      <c r="U616" s="2"/>
      <c r="V616" s="2"/>
      <c r="W616" s="2"/>
      <c r="X616" s="2"/>
      <c r="Y616" s="2"/>
      <c r="Z616" s="2"/>
      <c r="AA616" s="2"/>
      <c r="AB616" s="2"/>
    </row>
    <row r="617">
      <c r="A617" s="2"/>
      <c r="B617" s="2"/>
      <c r="C617" s="2"/>
      <c r="D617" s="2"/>
      <c r="E617" s="398"/>
      <c r="F617" s="2"/>
      <c r="G617" s="398"/>
      <c r="H617" s="398"/>
      <c r="I617" s="398"/>
      <c r="J617" s="398"/>
      <c r="K617" s="2"/>
      <c r="L617" s="2"/>
      <c r="M617" s="2"/>
      <c r="N617" s="2"/>
      <c r="O617" s="2"/>
      <c r="P617" s="2"/>
      <c r="Q617" s="2"/>
      <c r="R617" s="2"/>
      <c r="S617" s="2"/>
      <c r="T617" s="2"/>
      <c r="U617" s="2"/>
      <c r="V617" s="2"/>
      <c r="W617" s="2"/>
      <c r="X617" s="2"/>
      <c r="Y617" s="2"/>
      <c r="Z617" s="2"/>
      <c r="AA617" s="2"/>
      <c r="AB617" s="2"/>
    </row>
    <row r="618">
      <c r="A618" s="2"/>
      <c r="B618" s="2"/>
      <c r="C618" s="2"/>
      <c r="D618" s="2"/>
      <c r="E618" s="398"/>
      <c r="F618" s="2"/>
      <c r="G618" s="398"/>
      <c r="H618" s="398"/>
      <c r="I618" s="398"/>
      <c r="J618" s="398"/>
      <c r="K618" s="2"/>
      <c r="L618" s="2"/>
      <c r="M618" s="2"/>
      <c r="N618" s="2"/>
      <c r="O618" s="2"/>
      <c r="P618" s="2"/>
      <c r="Q618" s="2"/>
      <c r="R618" s="2"/>
      <c r="S618" s="2"/>
      <c r="T618" s="2"/>
      <c r="U618" s="2"/>
      <c r="V618" s="2"/>
      <c r="W618" s="2"/>
      <c r="X618" s="2"/>
      <c r="Y618" s="2"/>
      <c r="Z618" s="2"/>
      <c r="AA618" s="2"/>
      <c r="AB618" s="2"/>
    </row>
    <row r="619">
      <c r="A619" s="2"/>
      <c r="B619" s="2"/>
      <c r="C619" s="2"/>
      <c r="D619" s="2"/>
      <c r="E619" s="398"/>
      <c r="F619" s="2"/>
      <c r="G619" s="398"/>
      <c r="H619" s="398"/>
      <c r="I619" s="398"/>
      <c r="J619" s="398"/>
      <c r="K619" s="2"/>
      <c r="L619" s="2"/>
      <c r="M619" s="2"/>
      <c r="N619" s="2"/>
      <c r="O619" s="2"/>
      <c r="P619" s="2"/>
      <c r="Q619" s="2"/>
      <c r="R619" s="2"/>
      <c r="S619" s="2"/>
      <c r="T619" s="2"/>
      <c r="U619" s="2"/>
      <c r="V619" s="2"/>
      <c r="W619" s="2"/>
      <c r="X619" s="2"/>
      <c r="Y619" s="2"/>
      <c r="Z619" s="2"/>
      <c r="AA619" s="2"/>
      <c r="AB619" s="2"/>
    </row>
    <row r="620">
      <c r="A620" s="2"/>
      <c r="B620" s="2"/>
      <c r="C620" s="2"/>
      <c r="D620" s="2"/>
      <c r="E620" s="398"/>
      <c r="F620" s="2"/>
      <c r="G620" s="398"/>
      <c r="H620" s="398"/>
      <c r="I620" s="398"/>
      <c r="J620" s="398"/>
      <c r="K620" s="2"/>
      <c r="L620" s="2"/>
      <c r="M620" s="2"/>
      <c r="N620" s="2"/>
      <c r="O620" s="2"/>
      <c r="P620" s="2"/>
      <c r="Q620" s="2"/>
      <c r="R620" s="2"/>
      <c r="S620" s="2"/>
      <c r="T620" s="2"/>
      <c r="U620" s="2"/>
      <c r="V620" s="2"/>
      <c r="W620" s="2"/>
      <c r="X620" s="2"/>
      <c r="Y620" s="2"/>
      <c r="Z620" s="2"/>
      <c r="AA620" s="2"/>
      <c r="AB620" s="2"/>
    </row>
    <row r="621">
      <c r="A621" s="2"/>
      <c r="B621" s="2"/>
      <c r="C621" s="2"/>
      <c r="D621" s="2"/>
      <c r="E621" s="398"/>
      <c r="F621" s="2"/>
      <c r="G621" s="398"/>
      <c r="H621" s="398"/>
      <c r="I621" s="398"/>
      <c r="J621" s="398"/>
      <c r="K621" s="2"/>
      <c r="L621" s="2"/>
      <c r="M621" s="2"/>
      <c r="N621" s="2"/>
      <c r="O621" s="2"/>
      <c r="P621" s="2"/>
      <c r="Q621" s="2"/>
      <c r="R621" s="2"/>
      <c r="S621" s="2"/>
      <c r="T621" s="2"/>
      <c r="U621" s="2"/>
      <c r="V621" s="2"/>
      <c r="W621" s="2"/>
      <c r="X621" s="2"/>
      <c r="Y621" s="2"/>
      <c r="Z621" s="2"/>
      <c r="AA621" s="2"/>
      <c r="AB621" s="2"/>
    </row>
    <row r="622">
      <c r="A622" s="2"/>
      <c r="B622" s="2"/>
      <c r="C622" s="2"/>
      <c r="D622" s="2"/>
      <c r="E622" s="398"/>
      <c r="F622" s="2"/>
      <c r="G622" s="398"/>
      <c r="H622" s="398"/>
      <c r="I622" s="398"/>
      <c r="J622" s="398"/>
      <c r="K622" s="2"/>
      <c r="L622" s="2"/>
      <c r="M622" s="2"/>
      <c r="N622" s="2"/>
      <c r="O622" s="2"/>
      <c r="P622" s="2"/>
      <c r="Q622" s="2"/>
      <c r="R622" s="2"/>
      <c r="S622" s="2"/>
      <c r="T622" s="2"/>
      <c r="U622" s="2"/>
      <c r="V622" s="2"/>
      <c r="W622" s="2"/>
      <c r="X622" s="2"/>
      <c r="Y622" s="2"/>
      <c r="Z622" s="2"/>
      <c r="AA622" s="2"/>
      <c r="AB622" s="2"/>
    </row>
    <row r="623">
      <c r="A623" s="2"/>
      <c r="B623" s="2"/>
      <c r="C623" s="2"/>
      <c r="D623" s="2"/>
      <c r="E623" s="398"/>
      <c r="F623" s="2"/>
      <c r="G623" s="398"/>
      <c r="H623" s="398"/>
      <c r="I623" s="398"/>
      <c r="J623" s="398"/>
      <c r="K623" s="2"/>
      <c r="L623" s="2"/>
      <c r="M623" s="2"/>
      <c r="N623" s="2"/>
      <c r="O623" s="2"/>
      <c r="P623" s="2"/>
      <c r="Q623" s="2"/>
      <c r="R623" s="2"/>
      <c r="S623" s="2"/>
      <c r="T623" s="2"/>
      <c r="U623" s="2"/>
      <c r="V623" s="2"/>
      <c r="W623" s="2"/>
      <c r="X623" s="2"/>
      <c r="Y623" s="2"/>
      <c r="Z623" s="2"/>
      <c r="AA623" s="2"/>
      <c r="AB623" s="2"/>
    </row>
    <row r="624">
      <c r="A624" s="2"/>
      <c r="B624" s="2"/>
      <c r="C624" s="2"/>
      <c r="D624" s="2"/>
      <c r="E624" s="398"/>
      <c r="F624" s="2"/>
      <c r="G624" s="398"/>
      <c r="H624" s="398"/>
      <c r="I624" s="398"/>
      <c r="J624" s="398"/>
      <c r="K624" s="2"/>
      <c r="L624" s="2"/>
      <c r="M624" s="2"/>
      <c r="N624" s="2"/>
      <c r="O624" s="2"/>
      <c r="P624" s="2"/>
      <c r="Q624" s="2"/>
      <c r="R624" s="2"/>
      <c r="S624" s="2"/>
      <c r="T624" s="2"/>
      <c r="U624" s="2"/>
      <c r="V624" s="2"/>
      <c r="W624" s="2"/>
      <c r="X624" s="2"/>
      <c r="Y624" s="2"/>
      <c r="Z624" s="2"/>
      <c r="AA624" s="2"/>
      <c r="AB624" s="2"/>
    </row>
    <row r="625">
      <c r="A625" s="2"/>
      <c r="B625" s="2"/>
      <c r="C625" s="2"/>
      <c r="D625" s="2"/>
      <c r="E625" s="398"/>
      <c r="F625" s="2"/>
      <c r="G625" s="398"/>
      <c r="H625" s="398"/>
      <c r="I625" s="398"/>
      <c r="J625" s="398"/>
      <c r="K625" s="2"/>
      <c r="L625" s="2"/>
      <c r="M625" s="2"/>
      <c r="N625" s="2"/>
      <c r="O625" s="2"/>
      <c r="P625" s="2"/>
      <c r="Q625" s="2"/>
      <c r="R625" s="2"/>
      <c r="S625" s="2"/>
      <c r="T625" s="2"/>
      <c r="U625" s="2"/>
      <c r="V625" s="2"/>
      <c r="W625" s="2"/>
      <c r="X625" s="2"/>
      <c r="Y625" s="2"/>
      <c r="Z625" s="2"/>
      <c r="AA625" s="2"/>
      <c r="AB625" s="2"/>
    </row>
    <row r="626">
      <c r="A626" s="2"/>
      <c r="B626" s="2"/>
      <c r="C626" s="2"/>
      <c r="D626" s="2"/>
      <c r="E626" s="398"/>
      <c r="F626" s="2"/>
      <c r="G626" s="398"/>
      <c r="H626" s="398"/>
      <c r="I626" s="398"/>
      <c r="J626" s="398"/>
      <c r="K626" s="2"/>
      <c r="L626" s="2"/>
      <c r="M626" s="2"/>
      <c r="N626" s="2"/>
      <c r="O626" s="2"/>
      <c r="P626" s="2"/>
      <c r="Q626" s="2"/>
      <c r="R626" s="2"/>
      <c r="S626" s="2"/>
      <c r="T626" s="2"/>
      <c r="U626" s="2"/>
      <c r="V626" s="2"/>
      <c r="W626" s="2"/>
      <c r="X626" s="2"/>
      <c r="Y626" s="2"/>
      <c r="Z626" s="2"/>
      <c r="AA626" s="2"/>
      <c r="AB626" s="2"/>
    </row>
    <row r="627">
      <c r="A627" s="2"/>
      <c r="B627" s="2"/>
      <c r="C627" s="2"/>
      <c r="D627" s="2"/>
      <c r="E627" s="398"/>
      <c r="F627" s="2"/>
      <c r="G627" s="398"/>
      <c r="H627" s="398"/>
      <c r="I627" s="398"/>
      <c r="J627" s="398"/>
      <c r="K627" s="2"/>
      <c r="L627" s="2"/>
      <c r="M627" s="2"/>
      <c r="N627" s="2"/>
      <c r="O627" s="2"/>
      <c r="P627" s="2"/>
      <c r="Q627" s="2"/>
      <c r="R627" s="2"/>
      <c r="S627" s="2"/>
      <c r="T627" s="2"/>
      <c r="U627" s="2"/>
      <c r="V627" s="2"/>
      <c r="W627" s="2"/>
      <c r="X627" s="2"/>
      <c r="Y627" s="2"/>
      <c r="Z627" s="2"/>
      <c r="AA627" s="2"/>
      <c r="AB627" s="2"/>
    </row>
    <row r="628">
      <c r="A628" s="2"/>
      <c r="B628" s="2"/>
      <c r="C628" s="2"/>
      <c r="D628" s="2"/>
      <c r="E628" s="398"/>
      <c r="F628" s="2"/>
      <c r="G628" s="398"/>
      <c r="H628" s="398"/>
      <c r="I628" s="398"/>
      <c r="J628" s="398"/>
      <c r="K628" s="2"/>
      <c r="L628" s="2"/>
      <c r="M628" s="2"/>
      <c r="N628" s="2"/>
      <c r="O628" s="2"/>
      <c r="P628" s="2"/>
      <c r="Q628" s="2"/>
      <c r="R628" s="2"/>
      <c r="S628" s="2"/>
      <c r="T628" s="2"/>
      <c r="U628" s="2"/>
      <c r="V628" s="2"/>
      <c r="W628" s="2"/>
      <c r="X628" s="2"/>
      <c r="Y628" s="2"/>
      <c r="Z628" s="2"/>
      <c r="AA628" s="2"/>
      <c r="AB628" s="2"/>
    </row>
    <row r="629">
      <c r="A629" s="2"/>
      <c r="B629" s="2"/>
      <c r="C629" s="2"/>
      <c r="D629" s="2"/>
      <c r="E629" s="398"/>
      <c r="F629" s="2"/>
      <c r="G629" s="398"/>
      <c r="H629" s="398"/>
      <c r="I629" s="398"/>
      <c r="J629" s="398"/>
      <c r="K629" s="2"/>
      <c r="L629" s="2"/>
      <c r="M629" s="2"/>
      <c r="N629" s="2"/>
      <c r="O629" s="2"/>
      <c r="P629" s="2"/>
      <c r="Q629" s="2"/>
      <c r="R629" s="2"/>
      <c r="S629" s="2"/>
      <c r="T629" s="2"/>
      <c r="U629" s="2"/>
      <c r="V629" s="2"/>
      <c r="W629" s="2"/>
      <c r="X629" s="2"/>
      <c r="Y629" s="2"/>
      <c r="Z629" s="2"/>
      <c r="AA629" s="2"/>
      <c r="AB629" s="2"/>
    </row>
    <row r="630">
      <c r="A630" s="2"/>
      <c r="B630" s="2"/>
      <c r="C630" s="2"/>
      <c r="D630" s="2"/>
      <c r="E630" s="398"/>
      <c r="F630" s="2"/>
      <c r="G630" s="398"/>
      <c r="H630" s="398"/>
      <c r="I630" s="398"/>
      <c r="J630" s="398"/>
      <c r="K630" s="2"/>
      <c r="L630" s="2"/>
      <c r="M630" s="2"/>
      <c r="N630" s="2"/>
      <c r="O630" s="2"/>
      <c r="P630" s="2"/>
      <c r="Q630" s="2"/>
      <c r="R630" s="2"/>
      <c r="S630" s="2"/>
      <c r="T630" s="2"/>
      <c r="U630" s="2"/>
      <c r="V630" s="2"/>
      <c r="W630" s="2"/>
      <c r="X630" s="2"/>
      <c r="Y630" s="2"/>
      <c r="Z630" s="2"/>
      <c r="AA630" s="2"/>
      <c r="AB630" s="2"/>
    </row>
    <row r="631">
      <c r="A631" s="2"/>
      <c r="B631" s="2"/>
      <c r="C631" s="2"/>
      <c r="D631" s="2"/>
      <c r="E631" s="398"/>
      <c r="F631" s="2"/>
      <c r="G631" s="398"/>
      <c r="H631" s="398"/>
      <c r="I631" s="398"/>
      <c r="J631" s="398"/>
      <c r="K631" s="2"/>
      <c r="L631" s="2"/>
      <c r="M631" s="2"/>
      <c r="N631" s="2"/>
      <c r="O631" s="2"/>
      <c r="P631" s="2"/>
      <c r="Q631" s="2"/>
      <c r="R631" s="2"/>
      <c r="S631" s="2"/>
      <c r="T631" s="2"/>
      <c r="U631" s="2"/>
      <c r="V631" s="2"/>
      <c r="W631" s="2"/>
      <c r="X631" s="2"/>
      <c r="Y631" s="2"/>
      <c r="Z631" s="2"/>
      <c r="AA631" s="2"/>
      <c r="AB631" s="2"/>
    </row>
    <row r="632">
      <c r="A632" s="2"/>
      <c r="B632" s="2"/>
      <c r="C632" s="2"/>
      <c r="D632" s="2"/>
      <c r="E632" s="398"/>
      <c r="F632" s="2"/>
      <c r="G632" s="398"/>
      <c r="H632" s="398"/>
      <c r="I632" s="398"/>
      <c r="J632" s="398"/>
      <c r="K632" s="2"/>
      <c r="L632" s="2"/>
      <c r="M632" s="2"/>
      <c r="N632" s="2"/>
      <c r="O632" s="2"/>
      <c r="P632" s="2"/>
      <c r="Q632" s="2"/>
      <c r="R632" s="2"/>
      <c r="S632" s="2"/>
      <c r="T632" s="2"/>
      <c r="U632" s="2"/>
      <c r="V632" s="2"/>
      <c r="W632" s="2"/>
      <c r="X632" s="2"/>
      <c r="Y632" s="2"/>
      <c r="Z632" s="2"/>
      <c r="AA632" s="2"/>
      <c r="AB632" s="2"/>
    </row>
    <row r="633">
      <c r="A633" s="2"/>
      <c r="B633" s="2"/>
      <c r="C633" s="2"/>
      <c r="D633" s="2"/>
      <c r="E633" s="398"/>
      <c r="F633" s="2"/>
      <c r="G633" s="398"/>
      <c r="H633" s="398"/>
      <c r="I633" s="398"/>
      <c r="J633" s="398"/>
      <c r="K633" s="2"/>
      <c r="L633" s="2"/>
      <c r="M633" s="2"/>
      <c r="N633" s="2"/>
      <c r="O633" s="2"/>
      <c r="P633" s="2"/>
      <c r="Q633" s="2"/>
      <c r="R633" s="2"/>
      <c r="S633" s="2"/>
      <c r="T633" s="2"/>
      <c r="U633" s="2"/>
      <c r="V633" s="2"/>
      <c r="W633" s="2"/>
      <c r="X633" s="2"/>
      <c r="Y633" s="2"/>
      <c r="Z633" s="2"/>
      <c r="AA633" s="2"/>
      <c r="AB633" s="2"/>
    </row>
    <row r="634">
      <c r="A634" s="2"/>
      <c r="B634" s="2"/>
      <c r="C634" s="2"/>
      <c r="D634" s="2"/>
      <c r="E634" s="398"/>
      <c r="F634" s="2"/>
      <c r="G634" s="398"/>
      <c r="H634" s="398"/>
      <c r="I634" s="398"/>
      <c r="J634" s="398"/>
      <c r="K634" s="2"/>
      <c r="L634" s="2"/>
      <c r="M634" s="2"/>
      <c r="N634" s="2"/>
      <c r="O634" s="2"/>
      <c r="P634" s="2"/>
      <c r="Q634" s="2"/>
      <c r="R634" s="2"/>
      <c r="S634" s="2"/>
      <c r="T634" s="2"/>
      <c r="U634" s="2"/>
      <c r="V634" s="2"/>
      <c r="W634" s="2"/>
      <c r="X634" s="2"/>
      <c r="Y634" s="2"/>
      <c r="Z634" s="2"/>
      <c r="AA634" s="2"/>
      <c r="AB634" s="2"/>
    </row>
    <row r="635">
      <c r="A635" s="2"/>
      <c r="B635" s="2"/>
      <c r="C635" s="2"/>
      <c r="D635" s="2"/>
      <c r="E635" s="398"/>
      <c r="F635" s="2"/>
      <c r="G635" s="398"/>
      <c r="H635" s="398"/>
      <c r="I635" s="398"/>
      <c r="J635" s="398"/>
      <c r="K635" s="2"/>
      <c r="L635" s="2"/>
      <c r="M635" s="2"/>
      <c r="N635" s="2"/>
      <c r="O635" s="2"/>
      <c r="P635" s="2"/>
      <c r="Q635" s="2"/>
      <c r="R635" s="2"/>
      <c r="S635" s="2"/>
      <c r="T635" s="2"/>
      <c r="U635" s="2"/>
      <c r="V635" s="2"/>
      <c r="W635" s="2"/>
      <c r="X635" s="2"/>
      <c r="Y635" s="2"/>
      <c r="Z635" s="2"/>
      <c r="AA635" s="2"/>
      <c r="AB635" s="2"/>
    </row>
    <row r="636">
      <c r="A636" s="2"/>
      <c r="B636" s="2"/>
      <c r="C636" s="2"/>
      <c r="D636" s="2"/>
      <c r="E636" s="398"/>
      <c r="F636" s="2"/>
      <c r="G636" s="398"/>
      <c r="H636" s="398"/>
      <c r="I636" s="398"/>
      <c r="J636" s="398"/>
      <c r="K636" s="2"/>
      <c r="L636" s="2"/>
      <c r="M636" s="2"/>
      <c r="N636" s="2"/>
      <c r="O636" s="2"/>
      <c r="P636" s="2"/>
      <c r="Q636" s="2"/>
      <c r="R636" s="2"/>
      <c r="S636" s="2"/>
      <c r="T636" s="2"/>
      <c r="U636" s="2"/>
      <c r="V636" s="2"/>
      <c r="W636" s="2"/>
      <c r="X636" s="2"/>
      <c r="Y636" s="2"/>
      <c r="Z636" s="2"/>
      <c r="AA636" s="2"/>
      <c r="AB636" s="2"/>
    </row>
    <row r="637">
      <c r="A637" s="2"/>
      <c r="B637" s="2"/>
      <c r="C637" s="2"/>
      <c r="D637" s="2"/>
      <c r="E637" s="398"/>
      <c r="F637" s="2"/>
      <c r="G637" s="398"/>
      <c r="H637" s="398"/>
      <c r="I637" s="398"/>
      <c r="J637" s="398"/>
      <c r="K637" s="2"/>
      <c r="L637" s="2"/>
      <c r="M637" s="2"/>
      <c r="N637" s="2"/>
      <c r="O637" s="2"/>
      <c r="P637" s="2"/>
      <c r="Q637" s="2"/>
      <c r="R637" s="2"/>
      <c r="S637" s="2"/>
      <c r="T637" s="2"/>
      <c r="U637" s="2"/>
      <c r="V637" s="2"/>
      <c r="W637" s="2"/>
      <c r="X637" s="2"/>
      <c r="Y637" s="2"/>
      <c r="Z637" s="2"/>
      <c r="AA637" s="2"/>
      <c r="AB637" s="2"/>
    </row>
    <row r="638">
      <c r="A638" s="2"/>
      <c r="B638" s="2"/>
      <c r="C638" s="2"/>
      <c r="D638" s="2"/>
      <c r="E638" s="398"/>
      <c r="F638" s="2"/>
      <c r="G638" s="398"/>
      <c r="H638" s="398"/>
      <c r="I638" s="398"/>
      <c r="J638" s="398"/>
      <c r="K638" s="2"/>
      <c r="L638" s="2"/>
      <c r="M638" s="2"/>
      <c r="N638" s="2"/>
      <c r="O638" s="2"/>
      <c r="P638" s="2"/>
      <c r="Q638" s="2"/>
      <c r="R638" s="2"/>
      <c r="S638" s="2"/>
      <c r="T638" s="2"/>
      <c r="U638" s="2"/>
      <c r="V638" s="2"/>
      <c r="W638" s="2"/>
      <c r="X638" s="2"/>
      <c r="Y638" s="2"/>
      <c r="Z638" s="2"/>
      <c r="AA638" s="2"/>
      <c r="AB638" s="2"/>
    </row>
    <row r="639">
      <c r="A639" s="2"/>
      <c r="B639" s="2"/>
      <c r="C639" s="2"/>
      <c r="D639" s="2"/>
      <c r="E639" s="398"/>
      <c r="F639" s="2"/>
      <c r="G639" s="398"/>
      <c r="H639" s="398"/>
      <c r="I639" s="398"/>
      <c r="J639" s="398"/>
      <c r="K639" s="2"/>
      <c r="L639" s="2"/>
      <c r="M639" s="2"/>
      <c r="N639" s="2"/>
      <c r="O639" s="2"/>
      <c r="P639" s="2"/>
      <c r="Q639" s="2"/>
      <c r="R639" s="2"/>
      <c r="S639" s="2"/>
      <c r="T639" s="2"/>
      <c r="U639" s="2"/>
      <c r="V639" s="2"/>
      <c r="W639" s="2"/>
      <c r="X639" s="2"/>
      <c r="Y639" s="2"/>
      <c r="Z639" s="2"/>
      <c r="AA639" s="2"/>
      <c r="AB639" s="2"/>
    </row>
    <row r="640">
      <c r="A640" s="2"/>
      <c r="B640" s="2"/>
      <c r="C640" s="2"/>
      <c r="D640" s="2"/>
      <c r="E640" s="398"/>
      <c r="F640" s="2"/>
      <c r="G640" s="398"/>
      <c r="H640" s="398"/>
      <c r="I640" s="398"/>
      <c r="J640" s="398"/>
      <c r="K640" s="2"/>
      <c r="L640" s="2"/>
      <c r="M640" s="2"/>
      <c r="N640" s="2"/>
      <c r="O640" s="2"/>
      <c r="P640" s="2"/>
      <c r="Q640" s="2"/>
      <c r="R640" s="2"/>
      <c r="S640" s="2"/>
      <c r="T640" s="2"/>
      <c r="U640" s="2"/>
      <c r="V640" s="2"/>
      <c r="W640" s="2"/>
      <c r="X640" s="2"/>
      <c r="Y640" s="2"/>
      <c r="Z640" s="2"/>
      <c r="AA640" s="2"/>
      <c r="AB640" s="2"/>
    </row>
    <row r="641">
      <c r="A641" s="2"/>
      <c r="B641" s="2"/>
      <c r="C641" s="2"/>
      <c r="D641" s="2"/>
      <c r="E641" s="398"/>
      <c r="F641" s="2"/>
      <c r="G641" s="398"/>
      <c r="H641" s="398"/>
      <c r="I641" s="398"/>
      <c r="J641" s="398"/>
      <c r="K641" s="2"/>
      <c r="L641" s="2"/>
      <c r="M641" s="2"/>
      <c r="N641" s="2"/>
      <c r="O641" s="2"/>
      <c r="P641" s="2"/>
      <c r="Q641" s="2"/>
      <c r="R641" s="2"/>
      <c r="S641" s="2"/>
      <c r="T641" s="2"/>
      <c r="U641" s="2"/>
      <c r="V641" s="2"/>
      <c r="W641" s="2"/>
      <c r="X641" s="2"/>
      <c r="Y641" s="2"/>
      <c r="Z641" s="2"/>
      <c r="AA641" s="2"/>
      <c r="AB641" s="2"/>
    </row>
    <row r="642">
      <c r="A642" s="2"/>
      <c r="B642" s="2"/>
      <c r="C642" s="2"/>
      <c r="D642" s="2"/>
      <c r="E642" s="398"/>
      <c r="F642" s="2"/>
      <c r="G642" s="398"/>
      <c r="H642" s="398"/>
      <c r="I642" s="398"/>
      <c r="J642" s="398"/>
      <c r="K642" s="2"/>
      <c r="L642" s="2"/>
      <c r="M642" s="2"/>
      <c r="N642" s="2"/>
      <c r="O642" s="2"/>
      <c r="P642" s="2"/>
      <c r="Q642" s="2"/>
      <c r="R642" s="2"/>
      <c r="S642" s="2"/>
      <c r="T642" s="2"/>
      <c r="U642" s="2"/>
      <c r="V642" s="2"/>
      <c r="W642" s="2"/>
      <c r="X642" s="2"/>
      <c r="Y642" s="2"/>
      <c r="Z642" s="2"/>
      <c r="AA642" s="2"/>
      <c r="AB642" s="2"/>
    </row>
    <row r="643">
      <c r="A643" s="2"/>
      <c r="B643" s="2"/>
      <c r="C643" s="2"/>
      <c r="D643" s="2"/>
      <c r="E643" s="398"/>
      <c r="F643" s="2"/>
      <c r="G643" s="398"/>
      <c r="H643" s="398"/>
      <c r="I643" s="398"/>
      <c r="J643" s="398"/>
      <c r="K643" s="2"/>
      <c r="L643" s="2"/>
      <c r="M643" s="2"/>
      <c r="N643" s="2"/>
      <c r="O643" s="2"/>
      <c r="P643" s="2"/>
      <c r="Q643" s="2"/>
      <c r="R643" s="2"/>
      <c r="S643" s="2"/>
      <c r="T643" s="2"/>
      <c r="U643" s="2"/>
      <c r="V643" s="2"/>
      <c r="W643" s="2"/>
      <c r="X643" s="2"/>
      <c r="Y643" s="2"/>
      <c r="Z643" s="2"/>
      <c r="AA643" s="2"/>
      <c r="AB643" s="2"/>
    </row>
    <row r="644">
      <c r="A644" s="2"/>
      <c r="B644" s="2"/>
      <c r="C644" s="2"/>
      <c r="D644" s="2"/>
      <c r="E644" s="398"/>
      <c r="F644" s="2"/>
      <c r="G644" s="398"/>
      <c r="H644" s="398"/>
      <c r="I644" s="398"/>
      <c r="J644" s="398"/>
      <c r="K644" s="2"/>
      <c r="L644" s="2"/>
      <c r="M644" s="2"/>
      <c r="N644" s="2"/>
      <c r="O644" s="2"/>
      <c r="P644" s="2"/>
      <c r="Q644" s="2"/>
      <c r="R644" s="2"/>
      <c r="S644" s="2"/>
      <c r="T644" s="2"/>
      <c r="U644" s="2"/>
      <c r="V644" s="2"/>
      <c r="W644" s="2"/>
      <c r="X644" s="2"/>
      <c r="Y644" s="2"/>
      <c r="Z644" s="2"/>
      <c r="AA644" s="2"/>
      <c r="AB644" s="2"/>
    </row>
    <row r="645">
      <c r="A645" s="2"/>
      <c r="B645" s="2"/>
      <c r="C645" s="2"/>
      <c r="D645" s="2"/>
      <c r="E645" s="398"/>
      <c r="F645" s="2"/>
      <c r="G645" s="398"/>
      <c r="H645" s="398"/>
      <c r="I645" s="398"/>
      <c r="J645" s="398"/>
      <c r="K645" s="2"/>
      <c r="L645" s="2"/>
      <c r="M645" s="2"/>
      <c r="N645" s="2"/>
      <c r="O645" s="2"/>
      <c r="P645" s="2"/>
      <c r="Q645" s="2"/>
      <c r="R645" s="2"/>
      <c r="S645" s="2"/>
      <c r="T645" s="2"/>
      <c r="U645" s="2"/>
      <c r="V645" s="2"/>
      <c r="W645" s="2"/>
      <c r="X645" s="2"/>
      <c r="Y645" s="2"/>
      <c r="Z645" s="2"/>
      <c r="AA645" s="2"/>
      <c r="AB645" s="2"/>
    </row>
    <row r="646">
      <c r="A646" s="2"/>
      <c r="B646" s="2"/>
      <c r="C646" s="2"/>
      <c r="D646" s="2"/>
      <c r="E646" s="398"/>
      <c r="F646" s="2"/>
      <c r="G646" s="398"/>
      <c r="H646" s="398"/>
      <c r="I646" s="398"/>
      <c r="J646" s="398"/>
      <c r="K646" s="2"/>
      <c r="L646" s="2"/>
      <c r="M646" s="2"/>
      <c r="N646" s="2"/>
      <c r="O646" s="2"/>
      <c r="P646" s="2"/>
      <c r="Q646" s="2"/>
      <c r="R646" s="2"/>
      <c r="S646" s="2"/>
      <c r="T646" s="2"/>
      <c r="U646" s="2"/>
      <c r="V646" s="2"/>
      <c r="W646" s="2"/>
      <c r="X646" s="2"/>
      <c r="Y646" s="2"/>
      <c r="Z646" s="2"/>
      <c r="AA646" s="2"/>
      <c r="AB646" s="2"/>
    </row>
    <row r="647">
      <c r="A647" s="2"/>
      <c r="B647" s="2"/>
      <c r="C647" s="2"/>
      <c r="D647" s="2"/>
      <c r="E647" s="398"/>
      <c r="F647" s="2"/>
      <c r="G647" s="398"/>
      <c r="H647" s="398"/>
      <c r="I647" s="398"/>
      <c r="J647" s="398"/>
      <c r="K647" s="2"/>
      <c r="L647" s="2"/>
      <c r="M647" s="2"/>
      <c r="N647" s="2"/>
      <c r="O647" s="2"/>
      <c r="P647" s="2"/>
      <c r="Q647" s="2"/>
      <c r="R647" s="2"/>
      <c r="S647" s="2"/>
      <c r="T647" s="2"/>
      <c r="U647" s="2"/>
      <c r="V647" s="2"/>
      <c r="W647" s="2"/>
      <c r="X647" s="2"/>
      <c r="Y647" s="2"/>
      <c r="Z647" s="2"/>
      <c r="AA647" s="2"/>
      <c r="AB647" s="2"/>
    </row>
    <row r="648">
      <c r="A648" s="2"/>
      <c r="B648" s="2"/>
      <c r="C648" s="2"/>
      <c r="D648" s="2"/>
      <c r="E648" s="398"/>
      <c r="F648" s="2"/>
      <c r="G648" s="398"/>
      <c r="H648" s="398"/>
      <c r="I648" s="398"/>
      <c r="J648" s="398"/>
      <c r="K648" s="2"/>
      <c r="L648" s="2"/>
      <c r="M648" s="2"/>
      <c r="N648" s="2"/>
      <c r="O648" s="2"/>
      <c r="P648" s="2"/>
      <c r="Q648" s="2"/>
      <c r="R648" s="2"/>
      <c r="S648" s="2"/>
      <c r="T648" s="2"/>
      <c r="U648" s="2"/>
      <c r="V648" s="2"/>
      <c r="W648" s="2"/>
      <c r="X648" s="2"/>
      <c r="Y648" s="2"/>
      <c r="Z648" s="2"/>
      <c r="AA648" s="2"/>
      <c r="AB648" s="2"/>
    </row>
    <row r="649">
      <c r="A649" s="2"/>
      <c r="B649" s="2"/>
      <c r="C649" s="2"/>
      <c r="D649" s="2"/>
      <c r="E649" s="398"/>
      <c r="F649" s="2"/>
      <c r="G649" s="398"/>
      <c r="H649" s="398"/>
      <c r="I649" s="398"/>
      <c r="J649" s="398"/>
      <c r="K649" s="2"/>
      <c r="L649" s="2"/>
      <c r="M649" s="2"/>
      <c r="N649" s="2"/>
      <c r="O649" s="2"/>
      <c r="P649" s="2"/>
      <c r="Q649" s="2"/>
      <c r="R649" s="2"/>
      <c r="S649" s="2"/>
      <c r="T649" s="2"/>
      <c r="U649" s="2"/>
      <c r="V649" s="2"/>
      <c r="W649" s="2"/>
      <c r="X649" s="2"/>
      <c r="Y649" s="2"/>
      <c r="Z649" s="2"/>
      <c r="AA649" s="2"/>
      <c r="AB649" s="2"/>
    </row>
    <row r="650">
      <c r="A650" s="2"/>
      <c r="B650" s="2"/>
      <c r="C650" s="2"/>
      <c r="D650" s="2"/>
      <c r="E650" s="398"/>
      <c r="F650" s="2"/>
      <c r="G650" s="398"/>
      <c r="H650" s="398"/>
      <c r="I650" s="398"/>
      <c r="J650" s="398"/>
      <c r="K650" s="2"/>
      <c r="L650" s="2"/>
      <c r="M650" s="2"/>
      <c r="N650" s="2"/>
      <c r="O650" s="2"/>
      <c r="P650" s="2"/>
      <c r="Q650" s="2"/>
      <c r="R650" s="2"/>
      <c r="S650" s="2"/>
      <c r="T650" s="2"/>
      <c r="U650" s="2"/>
      <c r="V650" s="2"/>
      <c r="W650" s="2"/>
      <c r="X650" s="2"/>
      <c r="Y650" s="2"/>
      <c r="Z650" s="2"/>
      <c r="AA650" s="2"/>
      <c r="AB650" s="2"/>
    </row>
    <row r="651">
      <c r="A651" s="2"/>
      <c r="B651" s="2"/>
      <c r="C651" s="2"/>
      <c r="D651" s="2"/>
      <c r="E651" s="398"/>
      <c r="F651" s="2"/>
      <c r="G651" s="398"/>
      <c r="H651" s="398"/>
      <c r="I651" s="398"/>
      <c r="J651" s="398"/>
      <c r="K651" s="2"/>
      <c r="L651" s="2"/>
      <c r="M651" s="2"/>
      <c r="N651" s="2"/>
      <c r="O651" s="2"/>
      <c r="P651" s="2"/>
      <c r="Q651" s="2"/>
      <c r="R651" s="2"/>
      <c r="S651" s="2"/>
      <c r="T651" s="2"/>
      <c r="U651" s="2"/>
      <c r="V651" s="2"/>
      <c r="W651" s="2"/>
      <c r="X651" s="2"/>
      <c r="Y651" s="2"/>
      <c r="Z651" s="2"/>
      <c r="AA651" s="2"/>
      <c r="AB651" s="2"/>
    </row>
    <row r="652">
      <c r="A652" s="2"/>
      <c r="B652" s="2"/>
      <c r="C652" s="2"/>
      <c r="D652" s="2"/>
      <c r="E652" s="398"/>
      <c r="F652" s="2"/>
      <c r="G652" s="398"/>
      <c r="H652" s="398"/>
      <c r="I652" s="398"/>
      <c r="J652" s="398"/>
      <c r="K652" s="2"/>
      <c r="L652" s="2"/>
      <c r="M652" s="2"/>
      <c r="N652" s="2"/>
      <c r="O652" s="2"/>
      <c r="P652" s="2"/>
      <c r="Q652" s="2"/>
      <c r="R652" s="2"/>
      <c r="S652" s="2"/>
      <c r="T652" s="2"/>
      <c r="U652" s="2"/>
      <c r="V652" s="2"/>
      <c r="W652" s="2"/>
      <c r="X652" s="2"/>
      <c r="Y652" s="2"/>
      <c r="Z652" s="2"/>
      <c r="AA652" s="2"/>
      <c r="AB652" s="2"/>
    </row>
    <row r="653">
      <c r="A653" s="2"/>
      <c r="B653" s="2"/>
      <c r="C653" s="2"/>
      <c r="D653" s="2"/>
      <c r="E653" s="398"/>
      <c r="F653" s="2"/>
      <c r="G653" s="398"/>
      <c r="H653" s="398"/>
      <c r="I653" s="398"/>
      <c r="J653" s="398"/>
      <c r="K653" s="2"/>
      <c r="L653" s="2"/>
      <c r="M653" s="2"/>
      <c r="N653" s="2"/>
      <c r="O653" s="2"/>
      <c r="P653" s="2"/>
      <c r="Q653" s="2"/>
      <c r="R653" s="2"/>
      <c r="S653" s="2"/>
      <c r="T653" s="2"/>
      <c r="U653" s="2"/>
      <c r="V653" s="2"/>
      <c r="W653" s="2"/>
      <c r="X653" s="2"/>
      <c r="Y653" s="2"/>
      <c r="Z653" s="2"/>
      <c r="AA653" s="2"/>
      <c r="AB653" s="2"/>
    </row>
    <row r="654">
      <c r="A654" s="2"/>
      <c r="B654" s="2"/>
      <c r="C654" s="2"/>
      <c r="D654" s="2"/>
      <c r="E654" s="398"/>
      <c r="F654" s="2"/>
      <c r="G654" s="398"/>
      <c r="H654" s="398"/>
      <c r="I654" s="398"/>
      <c r="J654" s="398"/>
      <c r="K654" s="2"/>
      <c r="L654" s="2"/>
      <c r="M654" s="2"/>
      <c r="N654" s="2"/>
      <c r="O654" s="2"/>
      <c r="P654" s="2"/>
      <c r="Q654" s="2"/>
      <c r="R654" s="2"/>
      <c r="S654" s="2"/>
      <c r="T654" s="2"/>
      <c r="U654" s="2"/>
      <c r="V654" s="2"/>
      <c r="W654" s="2"/>
      <c r="X654" s="2"/>
      <c r="Y654" s="2"/>
      <c r="Z654" s="2"/>
      <c r="AA654" s="2"/>
      <c r="AB654" s="2"/>
    </row>
    <row r="655">
      <c r="A655" s="2"/>
      <c r="B655" s="2"/>
      <c r="C655" s="2"/>
      <c r="D655" s="2"/>
      <c r="E655" s="398"/>
      <c r="F655" s="2"/>
      <c r="G655" s="398"/>
      <c r="H655" s="398"/>
      <c r="I655" s="398"/>
      <c r="J655" s="398"/>
      <c r="K655" s="2"/>
      <c r="L655" s="2"/>
      <c r="M655" s="2"/>
      <c r="N655" s="2"/>
      <c r="O655" s="2"/>
      <c r="P655" s="2"/>
      <c r="Q655" s="2"/>
      <c r="R655" s="2"/>
      <c r="S655" s="2"/>
      <c r="T655" s="2"/>
      <c r="U655" s="2"/>
      <c r="V655" s="2"/>
      <c r="W655" s="2"/>
      <c r="X655" s="2"/>
      <c r="Y655" s="2"/>
      <c r="Z655" s="2"/>
      <c r="AA655" s="2"/>
      <c r="AB655" s="2"/>
    </row>
    <row r="656">
      <c r="A656" s="2"/>
      <c r="B656" s="2"/>
      <c r="C656" s="2"/>
      <c r="D656" s="2"/>
      <c r="E656" s="398"/>
      <c r="F656" s="2"/>
      <c r="G656" s="398"/>
      <c r="H656" s="398"/>
      <c r="I656" s="398"/>
      <c r="J656" s="398"/>
      <c r="K656" s="2"/>
      <c r="L656" s="2"/>
      <c r="M656" s="2"/>
      <c r="N656" s="2"/>
      <c r="O656" s="2"/>
      <c r="P656" s="2"/>
      <c r="Q656" s="2"/>
      <c r="R656" s="2"/>
      <c r="S656" s="2"/>
      <c r="T656" s="2"/>
      <c r="U656" s="2"/>
      <c r="V656" s="2"/>
      <c r="W656" s="2"/>
      <c r="X656" s="2"/>
      <c r="Y656" s="2"/>
      <c r="Z656" s="2"/>
      <c r="AA656" s="2"/>
      <c r="AB656" s="2"/>
    </row>
    <row r="657">
      <c r="A657" s="2"/>
      <c r="B657" s="2"/>
      <c r="C657" s="2"/>
      <c r="D657" s="2"/>
      <c r="E657" s="398"/>
      <c r="F657" s="2"/>
      <c r="G657" s="398"/>
      <c r="H657" s="398"/>
      <c r="I657" s="398"/>
      <c r="J657" s="398"/>
      <c r="K657" s="2"/>
      <c r="L657" s="2"/>
      <c r="M657" s="2"/>
      <c r="N657" s="2"/>
      <c r="O657" s="2"/>
      <c r="P657" s="2"/>
      <c r="Q657" s="2"/>
      <c r="R657" s="2"/>
      <c r="S657" s="2"/>
      <c r="T657" s="2"/>
      <c r="U657" s="2"/>
      <c r="V657" s="2"/>
      <c r="W657" s="2"/>
      <c r="X657" s="2"/>
      <c r="Y657" s="2"/>
      <c r="Z657" s="2"/>
      <c r="AA657" s="2"/>
      <c r="AB657" s="2"/>
    </row>
    <row r="658">
      <c r="A658" s="2"/>
      <c r="B658" s="2"/>
      <c r="C658" s="2"/>
      <c r="D658" s="2"/>
      <c r="E658" s="398"/>
      <c r="F658" s="2"/>
      <c r="G658" s="398"/>
      <c r="H658" s="398"/>
      <c r="I658" s="398"/>
      <c r="J658" s="398"/>
      <c r="K658" s="2"/>
      <c r="L658" s="2"/>
      <c r="M658" s="2"/>
      <c r="N658" s="2"/>
      <c r="O658" s="2"/>
      <c r="P658" s="2"/>
      <c r="Q658" s="2"/>
      <c r="R658" s="2"/>
      <c r="S658" s="2"/>
      <c r="T658" s="2"/>
      <c r="U658" s="2"/>
      <c r="V658" s="2"/>
      <c r="W658" s="2"/>
      <c r="X658" s="2"/>
      <c r="Y658" s="2"/>
      <c r="Z658" s="2"/>
      <c r="AA658" s="2"/>
      <c r="AB658" s="2"/>
    </row>
    <row r="659">
      <c r="A659" s="2"/>
      <c r="B659" s="2"/>
      <c r="C659" s="2"/>
      <c r="D659" s="2"/>
      <c r="E659" s="398"/>
      <c r="F659" s="2"/>
      <c r="G659" s="398"/>
      <c r="H659" s="398"/>
      <c r="I659" s="398"/>
      <c r="J659" s="398"/>
      <c r="K659" s="2"/>
      <c r="L659" s="2"/>
      <c r="M659" s="2"/>
      <c r="N659" s="2"/>
      <c r="O659" s="2"/>
      <c r="P659" s="2"/>
      <c r="Q659" s="2"/>
      <c r="R659" s="2"/>
      <c r="S659" s="2"/>
      <c r="T659" s="2"/>
      <c r="U659" s="2"/>
      <c r="V659" s="2"/>
      <c r="W659" s="2"/>
      <c r="X659" s="2"/>
      <c r="Y659" s="2"/>
      <c r="Z659" s="2"/>
      <c r="AA659" s="2"/>
      <c r="AB659" s="2"/>
    </row>
    <row r="660">
      <c r="A660" s="2"/>
      <c r="B660" s="2"/>
      <c r="C660" s="2"/>
      <c r="D660" s="2"/>
      <c r="E660" s="398"/>
      <c r="F660" s="2"/>
      <c r="G660" s="398"/>
      <c r="H660" s="398"/>
      <c r="I660" s="398"/>
      <c r="J660" s="398"/>
      <c r="K660" s="2"/>
      <c r="L660" s="2"/>
      <c r="M660" s="2"/>
      <c r="N660" s="2"/>
      <c r="O660" s="2"/>
      <c r="P660" s="2"/>
      <c r="Q660" s="2"/>
      <c r="R660" s="2"/>
      <c r="S660" s="2"/>
      <c r="T660" s="2"/>
      <c r="U660" s="2"/>
      <c r="V660" s="2"/>
      <c r="W660" s="2"/>
      <c r="X660" s="2"/>
      <c r="Y660" s="2"/>
      <c r="Z660" s="2"/>
      <c r="AA660" s="2"/>
      <c r="AB660" s="2"/>
    </row>
    <row r="661">
      <c r="A661" s="2"/>
      <c r="B661" s="2"/>
      <c r="C661" s="2"/>
      <c r="D661" s="2"/>
      <c r="E661" s="398"/>
      <c r="F661" s="2"/>
      <c r="G661" s="398"/>
      <c r="H661" s="398"/>
      <c r="I661" s="398"/>
      <c r="J661" s="398"/>
      <c r="K661" s="2"/>
      <c r="L661" s="2"/>
      <c r="M661" s="2"/>
      <c r="N661" s="2"/>
      <c r="O661" s="2"/>
      <c r="P661" s="2"/>
      <c r="Q661" s="2"/>
      <c r="R661" s="2"/>
      <c r="S661" s="2"/>
      <c r="T661" s="2"/>
      <c r="U661" s="2"/>
      <c r="V661" s="2"/>
      <c r="W661" s="2"/>
      <c r="X661" s="2"/>
      <c r="Y661" s="2"/>
      <c r="Z661" s="2"/>
      <c r="AA661" s="2"/>
      <c r="AB661" s="2"/>
    </row>
    <row r="662">
      <c r="A662" s="2"/>
      <c r="B662" s="2"/>
      <c r="C662" s="2"/>
      <c r="D662" s="2"/>
      <c r="E662" s="398"/>
      <c r="F662" s="2"/>
      <c r="G662" s="398"/>
      <c r="H662" s="398"/>
      <c r="I662" s="398"/>
      <c r="J662" s="398"/>
      <c r="K662" s="2"/>
      <c r="L662" s="2"/>
      <c r="M662" s="2"/>
      <c r="N662" s="2"/>
      <c r="O662" s="2"/>
      <c r="P662" s="2"/>
      <c r="Q662" s="2"/>
      <c r="R662" s="2"/>
      <c r="S662" s="2"/>
      <c r="T662" s="2"/>
      <c r="U662" s="2"/>
      <c r="V662" s="2"/>
      <c r="W662" s="2"/>
      <c r="X662" s="2"/>
      <c r="Y662" s="2"/>
      <c r="Z662" s="2"/>
      <c r="AA662" s="2"/>
      <c r="AB662" s="2"/>
    </row>
    <row r="663">
      <c r="A663" s="2"/>
      <c r="B663" s="2"/>
      <c r="C663" s="2"/>
      <c r="D663" s="2"/>
      <c r="E663" s="398"/>
      <c r="F663" s="2"/>
      <c r="G663" s="398"/>
      <c r="H663" s="398"/>
      <c r="I663" s="398"/>
      <c r="J663" s="398"/>
      <c r="K663" s="2"/>
      <c r="L663" s="2"/>
      <c r="M663" s="2"/>
      <c r="N663" s="2"/>
      <c r="O663" s="2"/>
      <c r="P663" s="2"/>
      <c r="Q663" s="2"/>
      <c r="R663" s="2"/>
      <c r="S663" s="2"/>
      <c r="T663" s="2"/>
      <c r="U663" s="2"/>
      <c r="V663" s="2"/>
      <c r="W663" s="2"/>
      <c r="X663" s="2"/>
      <c r="Y663" s="2"/>
      <c r="Z663" s="2"/>
      <c r="AA663" s="2"/>
      <c r="AB663" s="2"/>
    </row>
    <row r="664">
      <c r="A664" s="2"/>
      <c r="B664" s="2"/>
      <c r="C664" s="2"/>
      <c r="D664" s="2"/>
      <c r="E664" s="398"/>
      <c r="F664" s="2"/>
      <c r="G664" s="398"/>
      <c r="H664" s="398"/>
      <c r="I664" s="398"/>
      <c r="J664" s="398"/>
      <c r="K664" s="2"/>
      <c r="L664" s="2"/>
      <c r="M664" s="2"/>
      <c r="N664" s="2"/>
      <c r="O664" s="2"/>
      <c r="P664" s="2"/>
      <c r="Q664" s="2"/>
      <c r="R664" s="2"/>
      <c r="S664" s="2"/>
      <c r="T664" s="2"/>
      <c r="U664" s="2"/>
      <c r="V664" s="2"/>
      <c r="W664" s="2"/>
      <c r="X664" s="2"/>
      <c r="Y664" s="2"/>
      <c r="Z664" s="2"/>
      <c r="AA664" s="2"/>
      <c r="AB664" s="2"/>
    </row>
    <row r="665">
      <c r="A665" s="2"/>
      <c r="B665" s="2"/>
      <c r="C665" s="2"/>
      <c r="D665" s="2"/>
      <c r="E665" s="398"/>
      <c r="F665" s="2"/>
      <c r="G665" s="398"/>
      <c r="H665" s="398"/>
      <c r="I665" s="398"/>
      <c r="J665" s="398"/>
      <c r="K665" s="2"/>
      <c r="L665" s="2"/>
      <c r="M665" s="2"/>
      <c r="N665" s="2"/>
      <c r="O665" s="2"/>
      <c r="P665" s="2"/>
      <c r="Q665" s="2"/>
      <c r="R665" s="2"/>
      <c r="S665" s="2"/>
      <c r="T665" s="2"/>
      <c r="U665" s="2"/>
      <c r="V665" s="2"/>
      <c r="W665" s="2"/>
      <c r="X665" s="2"/>
      <c r="Y665" s="2"/>
      <c r="Z665" s="2"/>
      <c r="AA665" s="2"/>
      <c r="AB665" s="2"/>
    </row>
    <row r="666">
      <c r="A666" s="2"/>
      <c r="B666" s="2"/>
      <c r="C666" s="2"/>
      <c r="D666" s="2"/>
      <c r="E666" s="398"/>
      <c r="F666" s="2"/>
      <c r="G666" s="398"/>
      <c r="H666" s="398"/>
      <c r="I666" s="398"/>
      <c r="J666" s="398"/>
      <c r="K666" s="2"/>
      <c r="L666" s="2"/>
      <c r="M666" s="2"/>
      <c r="N666" s="2"/>
      <c r="O666" s="2"/>
      <c r="P666" s="2"/>
      <c r="Q666" s="2"/>
      <c r="R666" s="2"/>
      <c r="S666" s="2"/>
      <c r="T666" s="2"/>
      <c r="U666" s="2"/>
      <c r="V666" s="2"/>
      <c r="W666" s="2"/>
      <c r="X666" s="2"/>
      <c r="Y666" s="2"/>
      <c r="Z666" s="2"/>
      <c r="AA666" s="2"/>
      <c r="AB666" s="2"/>
    </row>
    <row r="667">
      <c r="A667" s="2"/>
      <c r="B667" s="2"/>
      <c r="C667" s="2"/>
      <c r="D667" s="2"/>
      <c r="E667" s="398"/>
      <c r="F667" s="2"/>
      <c r="G667" s="398"/>
      <c r="H667" s="398"/>
      <c r="I667" s="398"/>
      <c r="J667" s="398"/>
      <c r="K667" s="2"/>
      <c r="L667" s="2"/>
      <c r="M667" s="2"/>
      <c r="N667" s="2"/>
      <c r="O667" s="2"/>
      <c r="P667" s="2"/>
      <c r="Q667" s="2"/>
      <c r="R667" s="2"/>
      <c r="S667" s="2"/>
      <c r="T667" s="2"/>
      <c r="U667" s="2"/>
      <c r="V667" s="2"/>
      <c r="W667" s="2"/>
      <c r="X667" s="2"/>
      <c r="Y667" s="2"/>
      <c r="Z667" s="2"/>
      <c r="AA667" s="2"/>
      <c r="AB667" s="2"/>
    </row>
    <row r="668">
      <c r="A668" s="2"/>
      <c r="B668" s="2"/>
      <c r="C668" s="2"/>
      <c r="D668" s="2"/>
      <c r="E668" s="398"/>
      <c r="F668" s="2"/>
      <c r="G668" s="398"/>
      <c r="H668" s="398"/>
      <c r="I668" s="398"/>
      <c r="J668" s="398"/>
      <c r="K668" s="2"/>
      <c r="L668" s="2"/>
      <c r="M668" s="2"/>
      <c r="N668" s="2"/>
      <c r="O668" s="2"/>
      <c r="P668" s="2"/>
      <c r="Q668" s="2"/>
      <c r="R668" s="2"/>
      <c r="S668" s="2"/>
      <c r="T668" s="2"/>
      <c r="U668" s="2"/>
      <c r="V668" s="2"/>
      <c r="W668" s="2"/>
      <c r="X668" s="2"/>
      <c r="Y668" s="2"/>
      <c r="Z668" s="2"/>
      <c r="AA668" s="2"/>
      <c r="AB668" s="2"/>
    </row>
    <row r="669">
      <c r="A669" s="2"/>
      <c r="B669" s="2"/>
      <c r="C669" s="2"/>
      <c r="D669" s="2"/>
      <c r="E669" s="398"/>
      <c r="F669" s="2"/>
      <c r="G669" s="398"/>
      <c r="H669" s="398"/>
      <c r="I669" s="398"/>
      <c r="J669" s="398"/>
      <c r="K669" s="2"/>
      <c r="L669" s="2"/>
      <c r="M669" s="2"/>
      <c r="N669" s="2"/>
      <c r="O669" s="2"/>
      <c r="P669" s="2"/>
      <c r="Q669" s="2"/>
      <c r="R669" s="2"/>
      <c r="S669" s="2"/>
      <c r="T669" s="2"/>
      <c r="U669" s="2"/>
      <c r="V669" s="2"/>
      <c r="W669" s="2"/>
      <c r="X669" s="2"/>
      <c r="Y669" s="2"/>
      <c r="Z669" s="2"/>
      <c r="AA669" s="2"/>
      <c r="AB669" s="2"/>
    </row>
    <row r="670">
      <c r="A670" s="2"/>
      <c r="B670" s="2"/>
      <c r="C670" s="2"/>
      <c r="D670" s="2"/>
      <c r="E670" s="398"/>
      <c r="F670" s="2"/>
      <c r="G670" s="398"/>
      <c r="H670" s="398"/>
      <c r="I670" s="398"/>
      <c r="J670" s="398"/>
      <c r="K670" s="2"/>
      <c r="L670" s="2"/>
      <c r="M670" s="2"/>
      <c r="N670" s="2"/>
      <c r="O670" s="2"/>
      <c r="P670" s="2"/>
      <c r="Q670" s="2"/>
      <c r="R670" s="2"/>
      <c r="S670" s="2"/>
      <c r="T670" s="2"/>
      <c r="U670" s="2"/>
      <c r="V670" s="2"/>
      <c r="W670" s="2"/>
      <c r="X670" s="2"/>
      <c r="Y670" s="2"/>
      <c r="Z670" s="2"/>
      <c r="AA670" s="2"/>
      <c r="AB670" s="2"/>
    </row>
    <row r="671">
      <c r="A671" s="2"/>
      <c r="B671" s="2"/>
      <c r="C671" s="2"/>
      <c r="D671" s="2"/>
      <c r="E671" s="398"/>
      <c r="F671" s="2"/>
      <c r="G671" s="398"/>
      <c r="H671" s="398"/>
      <c r="I671" s="398"/>
      <c r="J671" s="398"/>
      <c r="K671" s="2"/>
      <c r="L671" s="2"/>
      <c r="M671" s="2"/>
      <c r="N671" s="2"/>
      <c r="O671" s="2"/>
      <c r="P671" s="2"/>
      <c r="Q671" s="2"/>
      <c r="R671" s="2"/>
      <c r="S671" s="2"/>
      <c r="T671" s="2"/>
      <c r="U671" s="2"/>
      <c r="V671" s="2"/>
      <c r="W671" s="2"/>
      <c r="X671" s="2"/>
      <c r="Y671" s="2"/>
      <c r="Z671" s="2"/>
      <c r="AA671" s="2"/>
      <c r="AB671" s="2"/>
    </row>
    <row r="672">
      <c r="A672" s="2"/>
      <c r="B672" s="2"/>
      <c r="C672" s="2"/>
      <c r="D672" s="2"/>
      <c r="E672" s="398"/>
      <c r="F672" s="2"/>
      <c r="G672" s="398"/>
      <c r="H672" s="398"/>
      <c r="I672" s="398"/>
      <c r="J672" s="398"/>
      <c r="K672" s="2"/>
      <c r="L672" s="2"/>
      <c r="M672" s="2"/>
      <c r="N672" s="2"/>
      <c r="O672" s="2"/>
      <c r="P672" s="2"/>
      <c r="Q672" s="2"/>
      <c r="R672" s="2"/>
      <c r="S672" s="2"/>
      <c r="T672" s="2"/>
      <c r="U672" s="2"/>
      <c r="V672" s="2"/>
      <c r="W672" s="2"/>
      <c r="X672" s="2"/>
      <c r="Y672" s="2"/>
      <c r="Z672" s="2"/>
      <c r="AA672" s="2"/>
      <c r="AB672" s="2"/>
    </row>
    <row r="673">
      <c r="A673" s="2"/>
      <c r="B673" s="2"/>
      <c r="C673" s="2"/>
      <c r="D673" s="2"/>
      <c r="E673" s="398"/>
      <c r="F673" s="2"/>
      <c r="G673" s="398"/>
      <c r="H673" s="398"/>
      <c r="I673" s="398"/>
      <c r="J673" s="398"/>
      <c r="K673" s="2"/>
      <c r="L673" s="2"/>
      <c r="M673" s="2"/>
      <c r="N673" s="2"/>
      <c r="O673" s="2"/>
      <c r="P673" s="2"/>
      <c r="Q673" s="2"/>
      <c r="R673" s="2"/>
      <c r="S673" s="2"/>
      <c r="T673" s="2"/>
      <c r="U673" s="2"/>
      <c r="V673" s="2"/>
      <c r="W673" s="2"/>
      <c r="X673" s="2"/>
      <c r="Y673" s="2"/>
      <c r="Z673" s="2"/>
      <c r="AA673" s="2"/>
      <c r="AB673" s="2"/>
    </row>
    <row r="674">
      <c r="A674" s="2"/>
      <c r="B674" s="2"/>
      <c r="C674" s="2"/>
      <c r="D674" s="2"/>
      <c r="E674" s="398"/>
      <c r="F674" s="2"/>
      <c r="G674" s="398"/>
      <c r="H674" s="398"/>
      <c r="I674" s="398"/>
      <c r="J674" s="398"/>
      <c r="K674" s="2"/>
      <c r="L674" s="2"/>
      <c r="M674" s="2"/>
      <c r="N674" s="2"/>
      <c r="O674" s="2"/>
      <c r="P674" s="2"/>
      <c r="Q674" s="2"/>
      <c r="R674" s="2"/>
      <c r="S674" s="2"/>
      <c r="T674" s="2"/>
      <c r="U674" s="2"/>
      <c r="V674" s="2"/>
      <c r="W674" s="2"/>
      <c r="X674" s="2"/>
      <c r="Y674" s="2"/>
      <c r="Z674" s="2"/>
      <c r="AA674" s="2"/>
      <c r="AB674" s="2"/>
    </row>
    <row r="675">
      <c r="A675" s="2"/>
      <c r="B675" s="2"/>
      <c r="C675" s="2"/>
      <c r="D675" s="2"/>
      <c r="E675" s="398"/>
      <c r="F675" s="2"/>
      <c r="G675" s="398"/>
      <c r="H675" s="398"/>
      <c r="I675" s="398"/>
      <c r="J675" s="398"/>
      <c r="K675" s="2"/>
      <c r="L675" s="2"/>
      <c r="M675" s="2"/>
      <c r="N675" s="2"/>
      <c r="O675" s="2"/>
      <c r="P675" s="2"/>
      <c r="Q675" s="2"/>
      <c r="R675" s="2"/>
      <c r="S675" s="2"/>
      <c r="T675" s="2"/>
      <c r="U675" s="2"/>
      <c r="V675" s="2"/>
      <c r="W675" s="2"/>
      <c r="X675" s="2"/>
      <c r="Y675" s="2"/>
      <c r="Z675" s="2"/>
      <c r="AA675" s="2"/>
      <c r="AB675" s="2"/>
    </row>
    <row r="676">
      <c r="A676" s="2"/>
      <c r="B676" s="2"/>
      <c r="C676" s="2"/>
      <c r="D676" s="2"/>
      <c r="E676" s="398"/>
      <c r="F676" s="2"/>
      <c r="G676" s="398"/>
      <c r="H676" s="398"/>
      <c r="I676" s="398"/>
      <c r="J676" s="398"/>
      <c r="K676" s="2"/>
      <c r="L676" s="2"/>
      <c r="M676" s="2"/>
      <c r="N676" s="2"/>
      <c r="O676" s="2"/>
      <c r="P676" s="2"/>
      <c r="Q676" s="2"/>
      <c r="R676" s="2"/>
      <c r="S676" s="2"/>
      <c r="T676" s="2"/>
      <c r="U676" s="2"/>
      <c r="V676" s="2"/>
      <c r="W676" s="2"/>
      <c r="X676" s="2"/>
      <c r="Y676" s="2"/>
      <c r="Z676" s="2"/>
      <c r="AA676" s="2"/>
      <c r="AB676" s="2"/>
    </row>
    <row r="677">
      <c r="A677" s="2"/>
      <c r="B677" s="2"/>
      <c r="C677" s="2"/>
      <c r="D677" s="2"/>
      <c r="E677" s="398"/>
      <c r="F677" s="2"/>
      <c r="G677" s="398"/>
      <c r="H677" s="398"/>
      <c r="I677" s="398"/>
      <c r="J677" s="398"/>
      <c r="K677" s="2"/>
      <c r="L677" s="2"/>
      <c r="M677" s="2"/>
      <c r="N677" s="2"/>
      <c r="O677" s="2"/>
      <c r="P677" s="2"/>
      <c r="Q677" s="2"/>
      <c r="R677" s="2"/>
      <c r="S677" s="2"/>
      <c r="T677" s="2"/>
      <c r="U677" s="2"/>
      <c r="V677" s="2"/>
      <c r="W677" s="2"/>
      <c r="X677" s="2"/>
      <c r="Y677" s="2"/>
      <c r="Z677" s="2"/>
      <c r="AA677" s="2"/>
      <c r="AB677" s="2"/>
    </row>
    <row r="678">
      <c r="A678" s="2"/>
      <c r="B678" s="2"/>
      <c r="C678" s="2"/>
      <c r="D678" s="2"/>
      <c r="E678" s="398"/>
      <c r="F678" s="2"/>
      <c r="G678" s="398"/>
      <c r="H678" s="398"/>
      <c r="I678" s="398"/>
      <c r="J678" s="398"/>
      <c r="K678" s="2"/>
      <c r="L678" s="2"/>
      <c r="M678" s="2"/>
      <c r="N678" s="2"/>
      <c r="O678" s="2"/>
      <c r="P678" s="2"/>
      <c r="Q678" s="2"/>
      <c r="R678" s="2"/>
      <c r="S678" s="2"/>
      <c r="T678" s="2"/>
      <c r="U678" s="2"/>
      <c r="V678" s="2"/>
      <c r="W678" s="2"/>
      <c r="X678" s="2"/>
      <c r="Y678" s="2"/>
      <c r="Z678" s="2"/>
      <c r="AA678" s="2"/>
      <c r="AB678" s="2"/>
    </row>
    <row r="679">
      <c r="A679" s="2"/>
      <c r="B679" s="2"/>
      <c r="C679" s="2"/>
      <c r="D679" s="2"/>
      <c r="E679" s="398"/>
      <c r="F679" s="2"/>
      <c r="G679" s="398"/>
      <c r="H679" s="398"/>
      <c r="I679" s="398"/>
      <c r="J679" s="398"/>
      <c r="K679" s="2"/>
      <c r="L679" s="2"/>
      <c r="M679" s="2"/>
      <c r="N679" s="2"/>
      <c r="O679" s="2"/>
      <c r="P679" s="2"/>
      <c r="Q679" s="2"/>
      <c r="R679" s="2"/>
      <c r="S679" s="2"/>
      <c r="T679" s="2"/>
      <c r="U679" s="2"/>
      <c r="V679" s="2"/>
      <c r="W679" s="2"/>
      <c r="X679" s="2"/>
      <c r="Y679" s="2"/>
      <c r="Z679" s="2"/>
      <c r="AA679" s="2"/>
      <c r="AB679" s="2"/>
    </row>
    <row r="680">
      <c r="A680" s="2"/>
      <c r="B680" s="2"/>
      <c r="C680" s="2"/>
      <c r="D680" s="2"/>
      <c r="E680" s="398"/>
      <c r="F680" s="2"/>
      <c r="G680" s="398"/>
      <c r="H680" s="398"/>
      <c r="I680" s="398"/>
      <c r="J680" s="398"/>
      <c r="K680" s="2"/>
      <c r="L680" s="2"/>
      <c r="M680" s="2"/>
      <c r="N680" s="2"/>
      <c r="O680" s="2"/>
      <c r="P680" s="2"/>
      <c r="Q680" s="2"/>
      <c r="R680" s="2"/>
      <c r="S680" s="2"/>
      <c r="T680" s="2"/>
      <c r="U680" s="2"/>
      <c r="V680" s="2"/>
      <c r="W680" s="2"/>
      <c r="X680" s="2"/>
      <c r="Y680" s="2"/>
      <c r="Z680" s="2"/>
      <c r="AA680" s="2"/>
      <c r="AB680" s="2"/>
    </row>
    <row r="681">
      <c r="A681" s="2"/>
      <c r="B681" s="2"/>
      <c r="C681" s="2"/>
      <c r="D681" s="2"/>
      <c r="E681" s="398"/>
      <c r="F681" s="2"/>
      <c r="G681" s="398"/>
      <c r="H681" s="398"/>
      <c r="I681" s="398"/>
      <c r="J681" s="398"/>
      <c r="K681" s="2"/>
      <c r="L681" s="2"/>
      <c r="M681" s="2"/>
      <c r="N681" s="2"/>
      <c r="O681" s="2"/>
      <c r="P681" s="2"/>
      <c r="Q681" s="2"/>
      <c r="R681" s="2"/>
      <c r="S681" s="2"/>
      <c r="T681" s="2"/>
      <c r="U681" s="2"/>
      <c r="V681" s="2"/>
      <c r="W681" s="2"/>
      <c r="X681" s="2"/>
      <c r="Y681" s="2"/>
      <c r="Z681" s="2"/>
      <c r="AA681" s="2"/>
      <c r="AB681" s="2"/>
    </row>
    <row r="682">
      <c r="A682" s="2"/>
      <c r="B682" s="2"/>
      <c r="C682" s="2"/>
      <c r="D682" s="2"/>
      <c r="E682" s="398"/>
      <c r="F682" s="2"/>
      <c r="G682" s="398"/>
      <c r="H682" s="398"/>
      <c r="I682" s="398"/>
      <c r="J682" s="398"/>
      <c r="K682" s="2"/>
      <c r="L682" s="2"/>
      <c r="M682" s="2"/>
      <c r="N682" s="2"/>
      <c r="O682" s="2"/>
      <c r="P682" s="2"/>
      <c r="Q682" s="2"/>
      <c r="R682" s="2"/>
      <c r="S682" s="2"/>
      <c r="T682" s="2"/>
      <c r="U682" s="2"/>
      <c r="V682" s="2"/>
      <c r="W682" s="2"/>
      <c r="X682" s="2"/>
      <c r="Y682" s="2"/>
      <c r="Z682" s="2"/>
      <c r="AA682" s="2"/>
      <c r="AB682" s="2"/>
    </row>
    <row r="683">
      <c r="A683" s="2"/>
      <c r="B683" s="2"/>
      <c r="C683" s="2"/>
      <c r="D683" s="2"/>
      <c r="E683" s="398"/>
      <c r="F683" s="2"/>
      <c r="G683" s="398"/>
      <c r="H683" s="398"/>
      <c r="I683" s="398"/>
      <c r="J683" s="398"/>
      <c r="K683" s="2"/>
      <c r="L683" s="2"/>
      <c r="M683" s="2"/>
      <c r="N683" s="2"/>
      <c r="O683" s="2"/>
      <c r="P683" s="2"/>
      <c r="Q683" s="2"/>
      <c r="R683" s="2"/>
      <c r="S683" s="2"/>
      <c r="T683" s="2"/>
      <c r="U683" s="2"/>
      <c r="V683" s="2"/>
      <c r="W683" s="2"/>
      <c r="X683" s="2"/>
      <c r="Y683" s="2"/>
      <c r="Z683" s="2"/>
      <c r="AA683" s="2"/>
      <c r="AB683" s="2"/>
    </row>
    <row r="684">
      <c r="A684" s="2"/>
      <c r="B684" s="2"/>
      <c r="C684" s="2"/>
      <c r="D684" s="2"/>
      <c r="E684" s="398"/>
      <c r="F684" s="2"/>
      <c r="G684" s="398"/>
      <c r="H684" s="398"/>
      <c r="I684" s="398"/>
      <c r="J684" s="398"/>
      <c r="K684" s="2"/>
      <c r="L684" s="2"/>
      <c r="M684" s="2"/>
      <c r="N684" s="2"/>
      <c r="O684" s="2"/>
      <c r="P684" s="2"/>
      <c r="Q684" s="2"/>
      <c r="R684" s="2"/>
      <c r="S684" s="2"/>
      <c r="T684" s="2"/>
      <c r="U684" s="2"/>
      <c r="V684" s="2"/>
      <c r="W684" s="2"/>
      <c r="X684" s="2"/>
      <c r="Y684" s="2"/>
      <c r="Z684" s="2"/>
      <c r="AA684" s="2"/>
      <c r="AB684" s="2"/>
    </row>
    <row r="685">
      <c r="A685" s="2"/>
      <c r="B685" s="2"/>
      <c r="C685" s="2"/>
      <c r="D685" s="2"/>
      <c r="E685" s="398"/>
      <c r="F685" s="2"/>
      <c r="G685" s="398"/>
      <c r="H685" s="398"/>
      <c r="I685" s="398"/>
      <c r="J685" s="398"/>
      <c r="K685" s="2"/>
      <c r="L685" s="2"/>
      <c r="M685" s="2"/>
      <c r="N685" s="2"/>
      <c r="O685" s="2"/>
      <c r="P685" s="2"/>
      <c r="Q685" s="2"/>
      <c r="R685" s="2"/>
      <c r="S685" s="2"/>
      <c r="T685" s="2"/>
      <c r="U685" s="2"/>
      <c r="V685" s="2"/>
      <c r="W685" s="2"/>
      <c r="X685" s="2"/>
      <c r="Y685" s="2"/>
      <c r="Z685" s="2"/>
      <c r="AA685" s="2"/>
      <c r="AB685" s="2"/>
    </row>
    <row r="686">
      <c r="A686" s="2"/>
      <c r="B686" s="2"/>
      <c r="C686" s="2"/>
      <c r="D686" s="2"/>
      <c r="E686" s="398"/>
      <c r="F686" s="2"/>
      <c r="G686" s="398"/>
      <c r="H686" s="398"/>
      <c r="I686" s="398"/>
      <c r="J686" s="398"/>
      <c r="K686" s="2"/>
      <c r="L686" s="2"/>
      <c r="M686" s="2"/>
      <c r="N686" s="2"/>
      <c r="O686" s="2"/>
      <c r="P686" s="2"/>
      <c r="Q686" s="2"/>
      <c r="R686" s="2"/>
      <c r="S686" s="2"/>
      <c r="T686" s="2"/>
      <c r="U686" s="2"/>
      <c r="V686" s="2"/>
      <c r="W686" s="2"/>
      <c r="X686" s="2"/>
      <c r="Y686" s="2"/>
      <c r="Z686" s="2"/>
      <c r="AA686" s="2"/>
      <c r="AB686" s="2"/>
    </row>
    <row r="687">
      <c r="A687" s="2"/>
      <c r="B687" s="2"/>
      <c r="C687" s="2"/>
      <c r="D687" s="2"/>
      <c r="E687" s="398"/>
      <c r="F687" s="2"/>
      <c r="G687" s="398"/>
      <c r="H687" s="398"/>
      <c r="I687" s="398"/>
      <c r="J687" s="398"/>
      <c r="K687" s="2"/>
      <c r="L687" s="2"/>
      <c r="M687" s="2"/>
      <c r="N687" s="2"/>
      <c r="O687" s="2"/>
      <c r="P687" s="2"/>
      <c r="Q687" s="2"/>
      <c r="R687" s="2"/>
      <c r="S687" s="2"/>
      <c r="T687" s="2"/>
      <c r="U687" s="2"/>
      <c r="V687" s="2"/>
      <c r="W687" s="2"/>
      <c r="X687" s="2"/>
      <c r="Y687" s="2"/>
      <c r="Z687" s="2"/>
      <c r="AA687" s="2"/>
      <c r="AB687" s="2"/>
    </row>
    <row r="688">
      <c r="A688" s="2"/>
      <c r="B688" s="2"/>
      <c r="C688" s="2"/>
      <c r="D688" s="2"/>
      <c r="E688" s="398"/>
      <c r="F688" s="2"/>
      <c r="G688" s="398"/>
      <c r="H688" s="398"/>
      <c r="I688" s="398"/>
      <c r="J688" s="398"/>
      <c r="K688" s="2"/>
      <c r="L688" s="2"/>
      <c r="M688" s="2"/>
      <c r="N688" s="2"/>
      <c r="O688" s="2"/>
      <c r="P688" s="2"/>
      <c r="Q688" s="2"/>
      <c r="R688" s="2"/>
      <c r="S688" s="2"/>
      <c r="T688" s="2"/>
      <c r="U688" s="2"/>
      <c r="V688" s="2"/>
      <c r="W688" s="2"/>
      <c r="X688" s="2"/>
      <c r="Y688" s="2"/>
      <c r="Z688" s="2"/>
      <c r="AA688" s="2"/>
      <c r="AB688" s="2"/>
    </row>
    <row r="689">
      <c r="A689" s="2"/>
      <c r="B689" s="2"/>
      <c r="C689" s="2"/>
      <c r="D689" s="2"/>
      <c r="E689" s="398"/>
      <c r="F689" s="2"/>
      <c r="G689" s="398"/>
      <c r="H689" s="398"/>
      <c r="I689" s="398"/>
      <c r="J689" s="398"/>
      <c r="K689" s="2"/>
      <c r="L689" s="2"/>
      <c r="M689" s="2"/>
      <c r="N689" s="2"/>
      <c r="O689" s="2"/>
      <c r="P689" s="2"/>
      <c r="Q689" s="2"/>
      <c r="R689" s="2"/>
      <c r="S689" s="2"/>
      <c r="T689" s="2"/>
      <c r="U689" s="2"/>
      <c r="V689" s="2"/>
      <c r="W689" s="2"/>
      <c r="X689" s="2"/>
      <c r="Y689" s="2"/>
      <c r="Z689" s="2"/>
      <c r="AA689" s="2"/>
      <c r="AB689" s="2"/>
    </row>
    <row r="690">
      <c r="A690" s="2"/>
      <c r="B690" s="2"/>
      <c r="C690" s="2"/>
      <c r="D690" s="2"/>
      <c r="E690" s="398"/>
      <c r="F690" s="2"/>
      <c r="G690" s="398"/>
      <c r="H690" s="398"/>
      <c r="I690" s="398"/>
      <c r="J690" s="398"/>
      <c r="K690" s="2"/>
      <c r="L690" s="2"/>
      <c r="M690" s="2"/>
      <c r="N690" s="2"/>
      <c r="O690" s="2"/>
      <c r="P690" s="2"/>
      <c r="Q690" s="2"/>
      <c r="R690" s="2"/>
      <c r="S690" s="2"/>
      <c r="T690" s="2"/>
      <c r="U690" s="2"/>
      <c r="V690" s="2"/>
      <c r="W690" s="2"/>
      <c r="X690" s="2"/>
      <c r="Y690" s="2"/>
      <c r="Z690" s="2"/>
      <c r="AA690" s="2"/>
      <c r="AB690" s="2"/>
    </row>
    <row r="691">
      <c r="A691" s="2"/>
      <c r="B691" s="2"/>
      <c r="C691" s="2"/>
      <c r="D691" s="2"/>
      <c r="E691" s="398"/>
      <c r="F691" s="2"/>
      <c r="G691" s="398"/>
      <c r="H691" s="398"/>
      <c r="I691" s="398"/>
      <c r="J691" s="398"/>
      <c r="K691" s="2"/>
      <c r="L691" s="2"/>
      <c r="M691" s="2"/>
      <c r="N691" s="2"/>
      <c r="O691" s="2"/>
      <c r="P691" s="2"/>
      <c r="Q691" s="2"/>
      <c r="R691" s="2"/>
      <c r="S691" s="2"/>
      <c r="T691" s="2"/>
      <c r="U691" s="2"/>
      <c r="V691" s="2"/>
      <c r="W691" s="2"/>
      <c r="X691" s="2"/>
      <c r="Y691" s="2"/>
      <c r="Z691" s="2"/>
      <c r="AA691" s="2"/>
      <c r="AB691" s="2"/>
    </row>
    <row r="692">
      <c r="A692" s="2"/>
      <c r="B692" s="2"/>
      <c r="C692" s="2"/>
      <c r="D692" s="2"/>
      <c r="E692" s="398"/>
      <c r="F692" s="2"/>
      <c r="G692" s="398"/>
      <c r="H692" s="398"/>
      <c r="I692" s="398"/>
      <c r="J692" s="398"/>
      <c r="K692" s="2"/>
      <c r="L692" s="2"/>
      <c r="M692" s="2"/>
      <c r="N692" s="2"/>
      <c r="O692" s="2"/>
      <c r="P692" s="2"/>
      <c r="Q692" s="2"/>
      <c r="R692" s="2"/>
      <c r="S692" s="2"/>
      <c r="T692" s="2"/>
      <c r="U692" s="2"/>
      <c r="V692" s="2"/>
      <c r="W692" s="2"/>
      <c r="X692" s="2"/>
      <c r="Y692" s="2"/>
      <c r="Z692" s="2"/>
      <c r="AA692" s="2"/>
      <c r="AB692" s="2"/>
    </row>
    <row r="693">
      <c r="A693" s="2"/>
      <c r="B693" s="2"/>
      <c r="C693" s="2"/>
      <c r="D693" s="2"/>
      <c r="E693" s="398"/>
      <c r="F693" s="2"/>
      <c r="G693" s="398"/>
      <c r="H693" s="398"/>
      <c r="I693" s="398"/>
      <c r="J693" s="398"/>
      <c r="K693" s="2"/>
      <c r="L693" s="2"/>
      <c r="M693" s="2"/>
      <c r="N693" s="2"/>
      <c r="O693" s="2"/>
      <c r="P693" s="2"/>
      <c r="Q693" s="2"/>
      <c r="R693" s="2"/>
      <c r="S693" s="2"/>
      <c r="T693" s="2"/>
      <c r="U693" s="2"/>
      <c r="V693" s="2"/>
      <c r="W693" s="2"/>
      <c r="X693" s="2"/>
      <c r="Y693" s="2"/>
      <c r="Z693" s="2"/>
      <c r="AA693" s="2"/>
      <c r="AB693" s="2"/>
    </row>
    <row r="694">
      <c r="A694" s="2"/>
      <c r="B694" s="2"/>
      <c r="C694" s="2"/>
      <c r="D694" s="2"/>
      <c r="E694" s="398"/>
      <c r="F694" s="2"/>
      <c r="G694" s="398"/>
      <c r="H694" s="398"/>
      <c r="I694" s="398"/>
      <c r="J694" s="398"/>
      <c r="K694" s="2"/>
      <c r="L694" s="2"/>
      <c r="M694" s="2"/>
      <c r="N694" s="2"/>
      <c r="O694" s="2"/>
      <c r="P694" s="2"/>
      <c r="Q694" s="2"/>
      <c r="R694" s="2"/>
      <c r="S694" s="2"/>
      <c r="T694" s="2"/>
      <c r="U694" s="2"/>
      <c r="V694" s="2"/>
      <c r="W694" s="2"/>
      <c r="X694" s="2"/>
      <c r="Y694" s="2"/>
      <c r="Z694" s="2"/>
      <c r="AA694" s="2"/>
      <c r="AB694" s="2"/>
    </row>
    <row r="695">
      <c r="A695" s="2"/>
      <c r="B695" s="2"/>
      <c r="C695" s="2"/>
      <c r="D695" s="2"/>
      <c r="E695" s="398"/>
      <c r="F695" s="2"/>
      <c r="G695" s="398"/>
      <c r="H695" s="398"/>
      <c r="I695" s="398"/>
      <c r="J695" s="398"/>
      <c r="K695" s="2"/>
      <c r="L695" s="2"/>
      <c r="M695" s="2"/>
      <c r="N695" s="2"/>
      <c r="O695" s="2"/>
      <c r="P695" s="2"/>
      <c r="Q695" s="2"/>
      <c r="R695" s="2"/>
      <c r="S695" s="2"/>
      <c r="T695" s="2"/>
      <c r="U695" s="2"/>
      <c r="V695" s="2"/>
      <c r="W695" s="2"/>
      <c r="X695" s="2"/>
      <c r="Y695" s="2"/>
      <c r="Z695" s="2"/>
      <c r="AA695" s="2"/>
      <c r="AB695" s="2"/>
    </row>
    <row r="696">
      <c r="A696" s="2"/>
      <c r="B696" s="2"/>
      <c r="C696" s="2"/>
      <c r="D696" s="2"/>
      <c r="E696" s="398"/>
      <c r="F696" s="2"/>
      <c r="G696" s="398"/>
      <c r="H696" s="398"/>
      <c r="I696" s="398"/>
      <c r="J696" s="398"/>
      <c r="K696" s="2"/>
      <c r="L696" s="2"/>
      <c r="M696" s="2"/>
      <c r="N696" s="2"/>
      <c r="O696" s="2"/>
      <c r="P696" s="2"/>
      <c r="Q696" s="2"/>
      <c r="R696" s="2"/>
      <c r="S696" s="2"/>
      <c r="T696" s="2"/>
      <c r="U696" s="2"/>
      <c r="V696" s="2"/>
      <c r="W696" s="2"/>
      <c r="X696" s="2"/>
      <c r="Y696" s="2"/>
      <c r="Z696" s="2"/>
      <c r="AA696" s="2"/>
      <c r="AB696" s="2"/>
    </row>
    <row r="697">
      <c r="A697" s="2"/>
      <c r="B697" s="2"/>
      <c r="C697" s="2"/>
      <c r="D697" s="2"/>
      <c r="E697" s="398"/>
      <c r="F697" s="2"/>
      <c r="G697" s="398"/>
      <c r="H697" s="398"/>
      <c r="I697" s="398"/>
      <c r="J697" s="398"/>
      <c r="K697" s="2"/>
      <c r="L697" s="2"/>
      <c r="M697" s="2"/>
      <c r="N697" s="2"/>
      <c r="O697" s="2"/>
      <c r="P697" s="2"/>
      <c r="Q697" s="2"/>
      <c r="R697" s="2"/>
      <c r="S697" s="2"/>
      <c r="T697" s="2"/>
      <c r="U697" s="2"/>
      <c r="V697" s="2"/>
      <c r="W697" s="2"/>
      <c r="X697" s="2"/>
      <c r="Y697" s="2"/>
      <c r="Z697" s="2"/>
      <c r="AA697" s="2"/>
      <c r="AB697" s="2"/>
    </row>
    <row r="698">
      <c r="A698" s="2"/>
      <c r="B698" s="2"/>
      <c r="C698" s="2"/>
      <c r="D698" s="2"/>
      <c r="E698" s="398"/>
      <c r="F698" s="2"/>
      <c r="G698" s="398"/>
      <c r="H698" s="398"/>
      <c r="I698" s="398"/>
      <c r="J698" s="398"/>
      <c r="K698" s="2"/>
      <c r="L698" s="2"/>
      <c r="M698" s="2"/>
      <c r="N698" s="2"/>
      <c r="O698" s="2"/>
      <c r="P698" s="2"/>
      <c r="Q698" s="2"/>
      <c r="R698" s="2"/>
      <c r="S698" s="2"/>
      <c r="T698" s="2"/>
      <c r="U698" s="2"/>
      <c r="V698" s="2"/>
      <c r="W698" s="2"/>
      <c r="X698" s="2"/>
      <c r="Y698" s="2"/>
      <c r="Z698" s="2"/>
      <c r="AA698" s="2"/>
      <c r="AB698" s="2"/>
    </row>
    <row r="699">
      <c r="A699" s="2"/>
      <c r="B699" s="2"/>
      <c r="C699" s="2"/>
      <c r="D699" s="2"/>
      <c r="E699" s="398"/>
      <c r="F699" s="2"/>
      <c r="G699" s="398"/>
      <c r="H699" s="398"/>
      <c r="I699" s="398"/>
      <c r="J699" s="398"/>
      <c r="K699" s="2"/>
      <c r="L699" s="2"/>
      <c r="M699" s="2"/>
      <c r="N699" s="2"/>
      <c r="O699" s="2"/>
      <c r="P699" s="2"/>
      <c r="Q699" s="2"/>
      <c r="R699" s="2"/>
      <c r="S699" s="2"/>
      <c r="T699" s="2"/>
      <c r="U699" s="2"/>
      <c r="V699" s="2"/>
      <c r="W699" s="2"/>
      <c r="X699" s="2"/>
      <c r="Y699" s="2"/>
      <c r="Z699" s="2"/>
      <c r="AA699" s="2"/>
      <c r="AB699" s="2"/>
    </row>
    <row r="700">
      <c r="A700" s="2"/>
      <c r="B700" s="2"/>
      <c r="C700" s="2"/>
      <c r="D700" s="2"/>
      <c r="E700" s="398"/>
      <c r="F700" s="2"/>
      <c r="G700" s="398"/>
      <c r="H700" s="398"/>
      <c r="I700" s="398"/>
      <c r="J700" s="398"/>
      <c r="K700" s="2"/>
      <c r="L700" s="2"/>
      <c r="M700" s="2"/>
      <c r="N700" s="2"/>
      <c r="O700" s="2"/>
      <c r="P700" s="2"/>
      <c r="Q700" s="2"/>
      <c r="R700" s="2"/>
      <c r="S700" s="2"/>
      <c r="T700" s="2"/>
      <c r="U700" s="2"/>
      <c r="V700" s="2"/>
      <c r="W700" s="2"/>
      <c r="X700" s="2"/>
      <c r="Y700" s="2"/>
      <c r="Z700" s="2"/>
      <c r="AA700" s="2"/>
      <c r="AB700" s="2"/>
    </row>
    <row r="701">
      <c r="A701" s="2"/>
      <c r="B701" s="2"/>
      <c r="C701" s="2"/>
      <c r="D701" s="2"/>
      <c r="E701" s="398"/>
      <c r="F701" s="2"/>
      <c r="G701" s="398"/>
      <c r="H701" s="398"/>
      <c r="I701" s="398"/>
      <c r="J701" s="398"/>
      <c r="K701" s="2"/>
      <c r="L701" s="2"/>
      <c r="M701" s="2"/>
      <c r="N701" s="2"/>
      <c r="O701" s="2"/>
      <c r="P701" s="2"/>
      <c r="Q701" s="2"/>
      <c r="R701" s="2"/>
      <c r="S701" s="2"/>
      <c r="T701" s="2"/>
      <c r="U701" s="2"/>
      <c r="V701" s="2"/>
      <c r="W701" s="2"/>
      <c r="X701" s="2"/>
      <c r="Y701" s="2"/>
      <c r="Z701" s="2"/>
      <c r="AA701" s="2"/>
      <c r="AB701" s="2"/>
    </row>
    <row r="702">
      <c r="A702" s="2"/>
      <c r="B702" s="2"/>
      <c r="C702" s="2"/>
      <c r="D702" s="2"/>
      <c r="E702" s="398"/>
      <c r="F702" s="2"/>
      <c r="G702" s="398"/>
      <c r="H702" s="398"/>
      <c r="I702" s="398"/>
      <c r="J702" s="398"/>
      <c r="K702" s="2"/>
      <c r="L702" s="2"/>
      <c r="M702" s="2"/>
      <c r="N702" s="2"/>
      <c r="O702" s="2"/>
      <c r="P702" s="2"/>
      <c r="Q702" s="2"/>
      <c r="R702" s="2"/>
      <c r="S702" s="2"/>
      <c r="T702" s="2"/>
      <c r="U702" s="2"/>
      <c r="V702" s="2"/>
      <c r="W702" s="2"/>
      <c r="X702" s="2"/>
      <c r="Y702" s="2"/>
      <c r="Z702" s="2"/>
      <c r="AA702" s="2"/>
      <c r="AB702" s="2"/>
    </row>
    <row r="703">
      <c r="A703" s="2"/>
      <c r="B703" s="2"/>
      <c r="C703" s="2"/>
      <c r="D703" s="2"/>
      <c r="E703" s="398"/>
      <c r="F703" s="2"/>
      <c r="G703" s="398"/>
      <c r="H703" s="398"/>
      <c r="I703" s="398"/>
      <c r="J703" s="398"/>
      <c r="K703" s="2"/>
      <c r="L703" s="2"/>
      <c r="M703" s="2"/>
      <c r="N703" s="2"/>
      <c r="O703" s="2"/>
      <c r="P703" s="2"/>
      <c r="Q703" s="2"/>
      <c r="R703" s="2"/>
      <c r="S703" s="2"/>
      <c r="T703" s="2"/>
      <c r="U703" s="2"/>
      <c r="V703" s="2"/>
      <c r="W703" s="2"/>
      <c r="X703" s="2"/>
      <c r="Y703" s="2"/>
      <c r="Z703" s="2"/>
      <c r="AA703" s="2"/>
      <c r="AB703" s="2"/>
    </row>
    <row r="704">
      <c r="A704" s="2"/>
      <c r="B704" s="2"/>
      <c r="C704" s="2"/>
      <c r="D704" s="2"/>
      <c r="E704" s="398"/>
      <c r="F704" s="2"/>
      <c r="G704" s="398"/>
      <c r="H704" s="398"/>
      <c r="I704" s="398"/>
      <c r="J704" s="398"/>
      <c r="K704" s="2"/>
      <c r="L704" s="2"/>
      <c r="M704" s="2"/>
      <c r="N704" s="2"/>
      <c r="O704" s="2"/>
      <c r="P704" s="2"/>
      <c r="Q704" s="2"/>
      <c r="R704" s="2"/>
      <c r="S704" s="2"/>
      <c r="T704" s="2"/>
      <c r="U704" s="2"/>
      <c r="V704" s="2"/>
      <c r="W704" s="2"/>
      <c r="X704" s="2"/>
      <c r="Y704" s="2"/>
      <c r="Z704" s="2"/>
      <c r="AA704" s="2"/>
      <c r="AB704" s="2"/>
    </row>
    <row r="705">
      <c r="A705" s="2"/>
      <c r="B705" s="2"/>
      <c r="C705" s="2"/>
      <c r="D705" s="2"/>
      <c r="E705" s="398"/>
      <c r="F705" s="2"/>
      <c r="G705" s="398"/>
      <c r="H705" s="398"/>
      <c r="I705" s="398"/>
      <c r="J705" s="398"/>
      <c r="K705" s="2"/>
      <c r="L705" s="2"/>
      <c r="M705" s="2"/>
      <c r="N705" s="2"/>
      <c r="O705" s="2"/>
      <c r="P705" s="2"/>
      <c r="Q705" s="2"/>
      <c r="R705" s="2"/>
      <c r="S705" s="2"/>
      <c r="T705" s="2"/>
      <c r="U705" s="2"/>
      <c r="V705" s="2"/>
      <c r="W705" s="2"/>
      <c r="X705" s="2"/>
      <c r="Y705" s="2"/>
      <c r="Z705" s="2"/>
      <c r="AA705" s="2"/>
      <c r="AB705" s="2"/>
    </row>
    <row r="706">
      <c r="A706" s="2"/>
      <c r="B706" s="2"/>
      <c r="C706" s="2"/>
      <c r="D706" s="2"/>
      <c r="E706" s="398"/>
      <c r="F706" s="2"/>
      <c r="G706" s="398"/>
      <c r="H706" s="398"/>
      <c r="I706" s="398"/>
      <c r="J706" s="398"/>
      <c r="K706" s="2"/>
      <c r="L706" s="2"/>
      <c r="M706" s="2"/>
      <c r="N706" s="2"/>
      <c r="O706" s="2"/>
      <c r="P706" s="2"/>
      <c r="Q706" s="2"/>
      <c r="R706" s="2"/>
      <c r="S706" s="2"/>
      <c r="T706" s="2"/>
      <c r="U706" s="2"/>
      <c r="V706" s="2"/>
      <c r="W706" s="2"/>
      <c r="X706" s="2"/>
      <c r="Y706" s="2"/>
      <c r="Z706" s="2"/>
      <c r="AA706" s="2"/>
      <c r="AB706" s="2"/>
    </row>
    <row r="707">
      <c r="A707" s="2"/>
      <c r="B707" s="2"/>
      <c r="C707" s="2"/>
      <c r="D707" s="2"/>
      <c r="E707" s="398"/>
      <c r="F707" s="2"/>
      <c r="G707" s="398"/>
      <c r="H707" s="398"/>
      <c r="I707" s="398"/>
      <c r="J707" s="398"/>
      <c r="K707" s="2"/>
      <c r="L707" s="2"/>
      <c r="M707" s="2"/>
      <c r="N707" s="2"/>
      <c r="O707" s="2"/>
      <c r="P707" s="2"/>
      <c r="Q707" s="2"/>
      <c r="R707" s="2"/>
      <c r="S707" s="2"/>
      <c r="T707" s="2"/>
      <c r="U707" s="2"/>
      <c r="V707" s="2"/>
      <c r="W707" s="2"/>
      <c r="X707" s="2"/>
      <c r="Y707" s="2"/>
      <c r="Z707" s="2"/>
      <c r="AA707" s="2"/>
      <c r="AB707" s="2"/>
    </row>
    <row r="708">
      <c r="A708" s="2"/>
      <c r="B708" s="2"/>
      <c r="C708" s="2"/>
      <c r="D708" s="2"/>
      <c r="E708" s="398"/>
      <c r="F708" s="2"/>
      <c r="G708" s="398"/>
      <c r="H708" s="398"/>
      <c r="I708" s="398"/>
      <c r="J708" s="398"/>
      <c r="K708" s="2"/>
      <c r="L708" s="2"/>
      <c r="M708" s="2"/>
      <c r="N708" s="2"/>
      <c r="O708" s="2"/>
      <c r="P708" s="2"/>
      <c r="Q708" s="2"/>
      <c r="R708" s="2"/>
      <c r="S708" s="2"/>
      <c r="T708" s="2"/>
      <c r="U708" s="2"/>
      <c r="V708" s="2"/>
      <c r="W708" s="2"/>
      <c r="X708" s="2"/>
      <c r="Y708" s="2"/>
      <c r="Z708" s="2"/>
      <c r="AA708" s="2"/>
      <c r="AB708" s="2"/>
    </row>
    <row r="709">
      <c r="A709" s="2"/>
      <c r="B709" s="2"/>
      <c r="C709" s="2"/>
      <c r="D709" s="2"/>
      <c r="E709" s="398"/>
      <c r="F709" s="2"/>
      <c r="G709" s="398"/>
      <c r="H709" s="398"/>
      <c r="I709" s="398"/>
      <c r="J709" s="398"/>
      <c r="K709" s="2"/>
      <c r="L709" s="2"/>
      <c r="M709" s="2"/>
      <c r="N709" s="2"/>
      <c r="O709" s="2"/>
      <c r="P709" s="2"/>
      <c r="Q709" s="2"/>
      <c r="R709" s="2"/>
      <c r="S709" s="2"/>
      <c r="T709" s="2"/>
      <c r="U709" s="2"/>
      <c r="V709" s="2"/>
      <c r="W709" s="2"/>
      <c r="X709" s="2"/>
      <c r="Y709" s="2"/>
      <c r="Z709" s="2"/>
      <c r="AA709" s="2"/>
      <c r="AB709" s="2"/>
    </row>
    <row r="710">
      <c r="A710" s="2"/>
      <c r="B710" s="2"/>
      <c r="C710" s="2"/>
      <c r="D710" s="2"/>
      <c r="E710" s="398"/>
      <c r="F710" s="2"/>
      <c r="G710" s="398"/>
      <c r="H710" s="398"/>
      <c r="I710" s="398"/>
      <c r="J710" s="398"/>
      <c r="K710" s="2"/>
      <c r="L710" s="2"/>
      <c r="M710" s="2"/>
      <c r="N710" s="2"/>
      <c r="O710" s="2"/>
      <c r="P710" s="2"/>
      <c r="Q710" s="2"/>
      <c r="R710" s="2"/>
      <c r="S710" s="2"/>
      <c r="T710" s="2"/>
      <c r="U710" s="2"/>
      <c r="V710" s="2"/>
      <c r="W710" s="2"/>
      <c r="X710" s="2"/>
      <c r="Y710" s="2"/>
      <c r="Z710" s="2"/>
      <c r="AA710" s="2"/>
      <c r="AB710" s="2"/>
    </row>
    <row r="711">
      <c r="A711" s="2"/>
      <c r="B711" s="2"/>
      <c r="C711" s="2"/>
      <c r="D711" s="2"/>
      <c r="E711" s="398"/>
      <c r="F711" s="2"/>
      <c r="G711" s="398"/>
      <c r="H711" s="398"/>
      <c r="I711" s="398"/>
      <c r="J711" s="398"/>
      <c r="K711" s="2"/>
      <c r="L711" s="2"/>
      <c r="M711" s="2"/>
      <c r="N711" s="2"/>
      <c r="O711" s="2"/>
      <c r="P711" s="2"/>
      <c r="Q711" s="2"/>
      <c r="R711" s="2"/>
      <c r="S711" s="2"/>
      <c r="T711" s="2"/>
      <c r="U711" s="2"/>
      <c r="V711" s="2"/>
      <c r="W711" s="2"/>
      <c r="X711" s="2"/>
      <c r="Y711" s="2"/>
      <c r="Z711" s="2"/>
      <c r="AA711" s="2"/>
      <c r="AB711" s="2"/>
    </row>
    <row r="712">
      <c r="A712" s="2"/>
      <c r="B712" s="2"/>
      <c r="C712" s="2"/>
      <c r="D712" s="2"/>
      <c r="E712" s="398"/>
      <c r="F712" s="2"/>
      <c r="G712" s="398"/>
      <c r="H712" s="398"/>
      <c r="I712" s="398"/>
      <c r="J712" s="398"/>
      <c r="K712" s="2"/>
      <c r="L712" s="2"/>
      <c r="M712" s="2"/>
      <c r="N712" s="2"/>
      <c r="O712" s="2"/>
      <c r="P712" s="2"/>
      <c r="Q712" s="2"/>
      <c r="R712" s="2"/>
      <c r="S712" s="2"/>
      <c r="T712" s="2"/>
      <c r="U712" s="2"/>
      <c r="V712" s="2"/>
      <c r="W712" s="2"/>
      <c r="X712" s="2"/>
      <c r="Y712" s="2"/>
      <c r="Z712" s="2"/>
      <c r="AA712" s="2"/>
      <c r="AB712" s="2"/>
    </row>
    <row r="713">
      <c r="A713" s="2"/>
      <c r="B713" s="2"/>
      <c r="C713" s="2"/>
      <c r="D713" s="2"/>
      <c r="E713" s="398"/>
      <c r="F713" s="2"/>
      <c r="G713" s="398"/>
      <c r="H713" s="398"/>
      <c r="I713" s="398"/>
      <c r="J713" s="398"/>
      <c r="K713" s="2"/>
      <c r="L713" s="2"/>
      <c r="M713" s="2"/>
      <c r="N713" s="2"/>
      <c r="O713" s="2"/>
      <c r="P713" s="2"/>
      <c r="Q713" s="2"/>
      <c r="R713" s="2"/>
      <c r="S713" s="2"/>
      <c r="T713" s="2"/>
      <c r="U713" s="2"/>
      <c r="V713" s="2"/>
      <c r="W713" s="2"/>
      <c r="X713" s="2"/>
      <c r="Y713" s="2"/>
      <c r="Z713" s="2"/>
      <c r="AA713" s="2"/>
      <c r="AB713" s="2"/>
    </row>
    <row r="714">
      <c r="A714" s="2"/>
      <c r="B714" s="2"/>
      <c r="C714" s="2"/>
      <c r="D714" s="2"/>
      <c r="E714" s="398"/>
      <c r="F714" s="2"/>
      <c r="G714" s="398"/>
      <c r="H714" s="398"/>
      <c r="I714" s="398"/>
      <c r="J714" s="398"/>
      <c r="K714" s="2"/>
      <c r="L714" s="2"/>
      <c r="M714" s="2"/>
      <c r="N714" s="2"/>
      <c r="O714" s="2"/>
      <c r="P714" s="2"/>
      <c r="Q714" s="2"/>
      <c r="R714" s="2"/>
      <c r="S714" s="2"/>
      <c r="T714" s="2"/>
      <c r="U714" s="2"/>
      <c r="V714" s="2"/>
      <c r="W714" s="2"/>
      <c r="X714" s="2"/>
      <c r="Y714" s="2"/>
      <c r="Z714" s="2"/>
      <c r="AA714" s="2"/>
      <c r="AB714" s="2"/>
    </row>
    <row r="715">
      <c r="A715" s="2"/>
      <c r="B715" s="2"/>
      <c r="C715" s="2"/>
      <c r="D715" s="2"/>
      <c r="E715" s="398"/>
      <c r="F715" s="2"/>
      <c r="G715" s="398"/>
      <c r="H715" s="398"/>
      <c r="I715" s="398"/>
      <c r="J715" s="398"/>
      <c r="K715" s="2"/>
      <c r="L715" s="2"/>
      <c r="M715" s="2"/>
      <c r="N715" s="2"/>
      <c r="O715" s="2"/>
      <c r="P715" s="2"/>
      <c r="Q715" s="2"/>
      <c r="R715" s="2"/>
      <c r="S715" s="2"/>
      <c r="T715" s="2"/>
      <c r="U715" s="2"/>
      <c r="V715" s="2"/>
      <c r="W715" s="2"/>
      <c r="X715" s="2"/>
      <c r="Y715" s="2"/>
      <c r="Z715" s="2"/>
      <c r="AA715" s="2"/>
      <c r="AB715" s="2"/>
    </row>
    <row r="716">
      <c r="A716" s="2"/>
      <c r="B716" s="2"/>
      <c r="C716" s="2"/>
      <c r="D716" s="2"/>
      <c r="E716" s="398"/>
      <c r="F716" s="2"/>
      <c r="G716" s="398"/>
      <c r="H716" s="398"/>
      <c r="I716" s="398"/>
      <c r="J716" s="398"/>
      <c r="K716" s="2"/>
      <c r="L716" s="2"/>
      <c r="M716" s="2"/>
      <c r="N716" s="2"/>
      <c r="O716" s="2"/>
      <c r="P716" s="2"/>
      <c r="Q716" s="2"/>
      <c r="R716" s="2"/>
      <c r="S716" s="2"/>
      <c r="T716" s="2"/>
      <c r="U716" s="2"/>
      <c r="V716" s="2"/>
      <c r="W716" s="2"/>
      <c r="X716" s="2"/>
      <c r="Y716" s="2"/>
      <c r="Z716" s="2"/>
      <c r="AA716" s="2"/>
      <c r="AB716" s="2"/>
    </row>
    <row r="717">
      <c r="A717" s="2"/>
      <c r="B717" s="2"/>
      <c r="C717" s="2"/>
      <c r="D717" s="2"/>
      <c r="E717" s="398"/>
      <c r="F717" s="2"/>
      <c r="G717" s="398"/>
      <c r="H717" s="398"/>
      <c r="I717" s="398"/>
      <c r="J717" s="398"/>
      <c r="K717" s="2"/>
      <c r="L717" s="2"/>
      <c r="M717" s="2"/>
      <c r="N717" s="2"/>
      <c r="O717" s="2"/>
      <c r="P717" s="2"/>
      <c r="Q717" s="2"/>
      <c r="R717" s="2"/>
      <c r="S717" s="2"/>
      <c r="T717" s="2"/>
      <c r="U717" s="2"/>
      <c r="V717" s="2"/>
      <c r="W717" s="2"/>
      <c r="X717" s="2"/>
      <c r="Y717" s="2"/>
      <c r="Z717" s="2"/>
      <c r="AA717" s="2"/>
      <c r="AB717" s="2"/>
    </row>
    <row r="718">
      <c r="A718" s="2"/>
      <c r="B718" s="2"/>
      <c r="C718" s="2"/>
      <c r="D718" s="2"/>
      <c r="E718" s="398"/>
      <c r="F718" s="2"/>
      <c r="G718" s="398"/>
      <c r="H718" s="398"/>
      <c r="I718" s="398"/>
      <c r="J718" s="398"/>
      <c r="K718" s="2"/>
      <c r="L718" s="2"/>
      <c r="M718" s="2"/>
      <c r="N718" s="2"/>
      <c r="O718" s="2"/>
      <c r="P718" s="2"/>
      <c r="Q718" s="2"/>
      <c r="R718" s="2"/>
      <c r="S718" s="2"/>
      <c r="T718" s="2"/>
      <c r="U718" s="2"/>
      <c r="V718" s="2"/>
      <c r="W718" s="2"/>
      <c r="X718" s="2"/>
      <c r="Y718" s="2"/>
      <c r="Z718" s="2"/>
      <c r="AA718" s="2"/>
      <c r="AB718" s="2"/>
    </row>
    <row r="719">
      <c r="A719" s="2"/>
      <c r="B719" s="2"/>
      <c r="C719" s="2"/>
      <c r="D719" s="2"/>
      <c r="E719" s="398"/>
      <c r="F719" s="2"/>
      <c r="G719" s="398"/>
      <c r="H719" s="398"/>
      <c r="I719" s="398"/>
      <c r="J719" s="398"/>
      <c r="K719" s="2"/>
      <c r="L719" s="2"/>
      <c r="M719" s="2"/>
      <c r="N719" s="2"/>
      <c r="O719" s="2"/>
      <c r="P719" s="2"/>
      <c r="Q719" s="2"/>
      <c r="R719" s="2"/>
      <c r="S719" s="2"/>
      <c r="T719" s="2"/>
      <c r="U719" s="2"/>
      <c r="V719" s="2"/>
      <c r="W719" s="2"/>
      <c r="X719" s="2"/>
      <c r="Y719" s="2"/>
      <c r="Z719" s="2"/>
      <c r="AA719" s="2"/>
      <c r="AB719" s="2"/>
    </row>
    <row r="720">
      <c r="A720" s="2"/>
      <c r="B720" s="2"/>
      <c r="C720" s="2"/>
      <c r="D720" s="2"/>
      <c r="E720" s="398"/>
      <c r="F720" s="2"/>
      <c r="G720" s="398"/>
      <c r="H720" s="398"/>
      <c r="I720" s="398"/>
      <c r="J720" s="398"/>
      <c r="K720" s="2"/>
      <c r="L720" s="2"/>
      <c r="M720" s="2"/>
      <c r="N720" s="2"/>
      <c r="O720" s="2"/>
      <c r="P720" s="2"/>
      <c r="Q720" s="2"/>
      <c r="R720" s="2"/>
      <c r="S720" s="2"/>
      <c r="T720" s="2"/>
      <c r="U720" s="2"/>
      <c r="V720" s="2"/>
      <c r="W720" s="2"/>
      <c r="X720" s="2"/>
      <c r="Y720" s="2"/>
      <c r="Z720" s="2"/>
      <c r="AA720" s="2"/>
      <c r="AB720" s="2"/>
    </row>
    <row r="721">
      <c r="A721" s="2"/>
      <c r="B721" s="2"/>
      <c r="C721" s="2"/>
      <c r="D721" s="2"/>
      <c r="E721" s="398"/>
      <c r="F721" s="2"/>
      <c r="G721" s="398"/>
      <c r="H721" s="398"/>
      <c r="I721" s="398"/>
      <c r="J721" s="398"/>
      <c r="K721" s="2"/>
      <c r="L721" s="2"/>
      <c r="M721" s="2"/>
      <c r="N721" s="2"/>
      <c r="O721" s="2"/>
      <c r="P721" s="2"/>
      <c r="Q721" s="2"/>
      <c r="R721" s="2"/>
      <c r="S721" s="2"/>
      <c r="T721" s="2"/>
      <c r="U721" s="2"/>
      <c r="V721" s="2"/>
      <c r="W721" s="2"/>
      <c r="X721" s="2"/>
      <c r="Y721" s="2"/>
      <c r="Z721" s="2"/>
      <c r="AA721" s="2"/>
      <c r="AB721" s="2"/>
    </row>
    <row r="722">
      <c r="A722" s="2"/>
      <c r="B722" s="2"/>
      <c r="C722" s="2"/>
      <c r="D722" s="2"/>
      <c r="E722" s="398"/>
      <c r="F722" s="2"/>
      <c r="G722" s="398"/>
      <c r="H722" s="398"/>
      <c r="I722" s="398"/>
      <c r="J722" s="398"/>
      <c r="K722" s="2"/>
      <c r="L722" s="2"/>
      <c r="M722" s="2"/>
      <c r="N722" s="2"/>
      <c r="O722" s="2"/>
      <c r="P722" s="2"/>
      <c r="Q722" s="2"/>
      <c r="R722" s="2"/>
      <c r="S722" s="2"/>
      <c r="T722" s="2"/>
      <c r="U722" s="2"/>
      <c r="V722" s="2"/>
      <c r="W722" s="2"/>
      <c r="X722" s="2"/>
      <c r="Y722" s="2"/>
      <c r="Z722" s="2"/>
      <c r="AA722" s="2"/>
      <c r="AB722" s="2"/>
    </row>
    <row r="723">
      <c r="A723" s="2"/>
      <c r="B723" s="2"/>
      <c r="C723" s="2"/>
      <c r="D723" s="2"/>
      <c r="E723" s="398"/>
      <c r="F723" s="2"/>
      <c r="G723" s="398"/>
      <c r="H723" s="398"/>
      <c r="I723" s="398"/>
      <c r="J723" s="398"/>
      <c r="K723" s="2"/>
      <c r="L723" s="2"/>
      <c r="M723" s="2"/>
      <c r="N723" s="2"/>
      <c r="O723" s="2"/>
      <c r="P723" s="2"/>
      <c r="Q723" s="2"/>
      <c r="R723" s="2"/>
      <c r="S723" s="2"/>
      <c r="T723" s="2"/>
      <c r="U723" s="2"/>
      <c r="V723" s="2"/>
      <c r="W723" s="2"/>
      <c r="X723" s="2"/>
      <c r="Y723" s="2"/>
      <c r="Z723" s="2"/>
      <c r="AA723" s="2"/>
      <c r="AB723" s="2"/>
    </row>
    <row r="724">
      <c r="A724" s="2"/>
      <c r="B724" s="2"/>
      <c r="C724" s="2"/>
      <c r="D724" s="2"/>
      <c r="E724" s="398"/>
      <c r="F724" s="2"/>
      <c r="G724" s="398"/>
      <c r="H724" s="398"/>
      <c r="I724" s="398"/>
      <c r="J724" s="398"/>
      <c r="K724" s="2"/>
      <c r="L724" s="2"/>
      <c r="M724" s="2"/>
      <c r="N724" s="2"/>
      <c r="O724" s="2"/>
      <c r="P724" s="2"/>
      <c r="Q724" s="2"/>
      <c r="R724" s="2"/>
      <c r="S724" s="2"/>
      <c r="T724" s="2"/>
      <c r="U724" s="2"/>
      <c r="V724" s="2"/>
      <c r="W724" s="2"/>
      <c r="X724" s="2"/>
      <c r="Y724" s="2"/>
      <c r="Z724" s="2"/>
      <c r="AA724" s="2"/>
      <c r="AB724" s="2"/>
    </row>
    <row r="725">
      <c r="A725" s="2"/>
      <c r="B725" s="2"/>
      <c r="C725" s="2"/>
      <c r="D725" s="2"/>
      <c r="E725" s="398"/>
      <c r="F725" s="2"/>
      <c r="G725" s="398"/>
      <c r="H725" s="398"/>
      <c r="I725" s="398"/>
      <c r="J725" s="398"/>
      <c r="K725" s="2"/>
      <c r="L725" s="2"/>
      <c r="M725" s="2"/>
      <c r="N725" s="2"/>
      <c r="O725" s="2"/>
      <c r="P725" s="2"/>
      <c r="Q725" s="2"/>
      <c r="R725" s="2"/>
      <c r="S725" s="2"/>
      <c r="T725" s="2"/>
      <c r="U725" s="2"/>
      <c r="V725" s="2"/>
      <c r="W725" s="2"/>
      <c r="X725" s="2"/>
      <c r="Y725" s="2"/>
      <c r="Z725" s="2"/>
      <c r="AA725" s="2"/>
      <c r="AB725" s="2"/>
    </row>
    <row r="726">
      <c r="A726" s="2"/>
      <c r="B726" s="2"/>
      <c r="C726" s="2"/>
      <c r="D726" s="2"/>
      <c r="E726" s="398"/>
      <c r="F726" s="2"/>
      <c r="G726" s="398"/>
      <c r="H726" s="398"/>
      <c r="I726" s="398"/>
      <c r="J726" s="398"/>
      <c r="K726" s="2"/>
      <c r="L726" s="2"/>
      <c r="M726" s="2"/>
      <c r="N726" s="2"/>
      <c r="O726" s="2"/>
      <c r="P726" s="2"/>
      <c r="Q726" s="2"/>
      <c r="R726" s="2"/>
      <c r="S726" s="2"/>
      <c r="T726" s="2"/>
      <c r="U726" s="2"/>
      <c r="V726" s="2"/>
      <c r="W726" s="2"/>
      <c r="X726" s="2"/>
      <c r="Y726" s="2"/>
      <c r="Z726" s="2"/>
      <c r="AA726" s="2"/>
      <c r="AB726" s="2"/>
    </row>
    <row r="727">
      <c r="A727" s="2"/>
      <c r="B727" s="2"/>
      <c r="C727" s="2"/>
      <c r="D727" s="2"/>
      <c r="E727" s="398"/>
      <c r="F727" s="2"/>
      <c r="G727" s="398"/>
      <c r="H727" s="398"/>
      <c r="I727" s="398"/>
      <c r="J727" s="398"/>
      <c r="K727" s="2"/>
      <c r="L727" s="2"/>
      <c r="M727" s="2"/>
      <c r="N727" s="2"/>
      <c r="O727" s="2"/>
      <c r="P727" s="2"/>
      <c r="Q727" s="2"/>
      <c r="R727" s="2"/>
      <c r="S727" s="2"/>
      <c r="T727" s="2"/>
      <c r="U727" s="2"/>
      <c r="V727" s="2"/>
      <c r="W727" s="2"/>
      <c r="X727" s="2"/>
      <c r="Y727" s="2"/>
      <c r="Z727" s="2"/>
      <c r="AA727" s="2"/>
      <c r="AB727" s="2"/>
    </row>
    <row r="728">
      <c r="A728" s="2"/>
      <c r="B728" s="2"/>
      <c r="C728" s="2"/>
      <c r="D728" s="2"/>
      <c r="E728" s="398"/>
      <c r="F728" s="2"/>
      <c r="G728" s="398"/>
      <c r="H728" s="398"/>
      <c r="I728" s="398"/>
      <c r="J728" s="398"/>
      <c r="K728" s="2"/>
      <c r="L728" s="2"/>
      <c r="M728" s="2"/>
      <c r="N728" s="2"/>
      <c r="O728" s="2"/>
      <c r="P728" s="2"/>
      <c r="Q728" s="2"/>
      <c r="R728" s="2"/>
      <c r="S728" s="2"/>
      <c r="T728" s="2"/>
      <c r="U728" s="2"/>
      <c r="V728" s="2"/>
      <c r="W728" s="2"/>
      <c r="X728" s="2"/>
      <c r="Y728" s="2"/>
      <c r="Z728" s="2"/>
      <c r="AA728" s="2"/>
      <c r="AB728" s="2"/>
    </row>
    <row r="729">
      <c r="A729" s="2"/>
      <c r="B729" s="2"/>
      <c r="C729" s="2"/>
      <c r="D729" s="2"/>
      <c r="E729" s="398"/>
      <c r="F729" s="2"/>
      <c r="G729" s="398"/>
      <c r="H729" s="398"/>
      <c r="I729" s="398"/>
      <c r="J729" s="398"/>
      <c r="K729" s="2"/>
      <c r="L729" s="2"/>
      <c r="M729" s="2"/>
      <c r="N729" s="2"/>
      <c r="O729" s="2"/>
      <c r="P729" s="2"/>
      <c r="Q729" s="2"/>
      <c r="R729" s="2"/>
      <c r="S729" s="2"/>
      <c r="T729" s="2"/>
      <c r="U729" s="2"/>
      <c r="V729" s="2"/>
      <c r="W729" s="2"/>
      <c r="X729" s="2"/>
      <c r="Y729" s="2"/>
      <c r="Z729" s="2"/>
      <c r="AA729" s="2"/>
      <c r="AB729" s="2"/>
    </row>
    <row r="730">
      <c r="A730" s="2"/>
      <c r="B730" s="2"/>
      <c r="C730" s="2"/>
      <c r="D730" s="2"/>
      <c r="E730" s="398"/>
      <c r="F730" s="2"/>
      <c r="G730" s="398"/>
      <c r="H730" s="398"/>
      <c r="I730" s="398"/>
      <c r="J730" s="398"/>
      <c r="K730" s="2"/>
      <c r="L730" s="2"/>
      <c r="M730" s="2"/>
      <c r="N730" s="2"/>
      <c r="O730" s="2"/>
      <c r="P730" s="2"/>
      <c r="Q730" s="2"/>
      <c r="R730" s="2"/>
      <c r="S730" s="2"/>
      <c r="T730" s="2"/>
      <c r="U730" s="2"/>
      <c r="V730" s="2"/>
      <c r="W730" s="2"/>
      <c r="X730" s="2"/>
      <c r="Y730" s="2"/>
      <c r="Z730" s="2"/>
      <c r="AA730" s="2"/>
      <c r="AB730" s="2"/>
    </row>
    <row r="731">
      <c r="A731" s="2"/>
      <c r="B731" s="2"/>
      <c r="C731" s="2"/>
      <c r="D731" s="2"/>
      <c r="E731" s="398"/>
      <c r="F731" s="2"/>
      <c r="G731" s="398"/>
      <c r="H731" s="398"/>
      <c r="I731" s="398"/>
      <c r="J731" s="398"/>
      <c r="K731" s="2"/>
      <c r="L731" s="2"/>
      <c r="M731" s="2"/>
      <c r="N731" s="2"/>
      <c r="O731" s="2"/>
      <c r="P731" s="2"/>
      <c r="Q731" s="2"/>
      <c r="R731" s="2"/>
      <c r="S731" s="2"/>
      <c r="T731" s="2"/>
      <c r="U731" s="2"/>
      <c r="V731" s="2"/>
      <c r="W731" s="2"/>
      <c r="X731" s="2"/>
      <c r="Y731" s="2"/>
      <c r="Z731" s="2"/>
      <c r="AA731" s="2"/>
      <c r="AB731" s="2"/>
    </row>
    <row r="732">
      <c r="A732" s="2"/>
      <c r="B732" s="2"/>
      <c r="C732" s="2"/>
      <c r="D732" s="2"/>
      <c r="E732" s="398"/>
      <c r="F732" s="2"/>
      <c r="G732" s="398"/>
      <c r="H732" s="398"/>
      <c r="I732" s="398"/>
      <c r="J732" s="398"/>
      <c r="K732" s="2"/>
      <c r="L732" s="2"/>
      <c r="M732" s="2"/>
      <c r="N732" s="2"/>
      <c r="O732" s="2"/>
      <c r="P732" s="2"/>
      <c r="Q732" s="2"/>
      <c r="R732" s="2"/>
      <c r="S732" s="2"/>
      <c r="T732" s="2"/>
      <c r="U732" s="2"/>
      <c r="V732" s="2"/>
      <c r="W732" s="2"/>
      <c r="X732" s="2"/>
      <c r="Y732" s="2"/>
      <c r="Z732" s="2"/>
      <c r="AA732" s="2"/>
      <c r="AB732" s="2"/>
    </row>
    <row r="733">
      <c r="A733" s="2"/>
      <c r="B733" s="2"/>
      <c r="C733" s="2"/>
      <c r="D733" s="2"/>
      <c r="E733" s="398"/>
      <c r="F733" s="2"/>
      <c r="G733" s="398"/>
      <c r="H733" s="398"/>
      <c r="I733" s="398"/>
      <c r="J733" s="398"/>
      <c r="K733" s="2"/>
      <c r="L733" s="2"/>
      <c r="M733" s="2"/>
      <c r="N733" s="2"/>
      <c r="O733" s="2"/>
      <c r="P733" s="2"/>
      <c r="Q733" s="2"/>
      <c r="R733" s="2"/>
      <c r="S733" s="2"/>
      <c r="T733" s="2"/>
      <c r="U733" s="2"/>
      <c r="V733" s="2"/>
      <c r="W733" s="2"/>
      <c r="X733" s="2"/>
      <c r="Y733" s="2"/>
      <c r="Z733" s="2"/>
      <c r="AA733" s="2"/>
      <c r="AB733" s="2"/>
    </row>
    <row r="734">
      <c r="A734" s="2"/>
      <c r="B734" s="2"/>
      <c r="C734" s="2"/>
      <c r="D734" s="2"/>
      <c r="E734" s="398"/>
      <c r="F734" s="2"/>
      <c r="G734" s="398"/>
      <c r="H734" s="398"/>
      <c r="I734" s="398"/>
      <c r="J734" s="398"/>
      <c r="K734" s="2"/>
      <c r="L734" s="2"/>
      <c r="M734" s="2"/>
      <c r="N734" s="2"/>
      <c r="O734" s="2"/>
      <c r="P734" s="2"/>
      <c r="Q734" s="2"/>
      <c r="R734" s="2"/>
      <c r="S734" s="2"/>
      <c r="T734" s="2"/>
      <c r="U734" s="2"/>
      <c r="V734" s="2"/>
      <c r="W734" s="2"/>
      <c r="X734" s="2"/>
      <c r="Y734" s="2"/>
      <c r="Z734" s="2"/>
      <c r="AA734" s="2"/>
      <c r="AB734" s="2"/>
    </row>
    <row r="735">
      <c r="A735" s="2"/>
      <c r="B735" s="2"/>
      <c r="C735" s="2"/>
      <c r="D735" s="2"/>
      <c r="E735" s="398"/>
      <c r="F735" s="2"/>
      <c r="G735" s="398"/>
      <c r="H735" s="398"/>
      <c r="I735" s="398"/>
      <c r="J735" s="398"/>
      <c r="K735" s="2"/>
      <c r="L735" s="2"/>
      <c r="M735" s="2"/>
      <c r="N735" s="2"/>
      <c r="O735" s="2"/>
      <c r="P735" s="2"/>
      <c r="Q735" s="2"/>
      <c r="R735" s="2"/>
      <c r="S735" s="2"/>
      <c r="T735" s="2"/>
      <c r="U735" s="2"/>
      <c r="V735" s="2"/>
      <c r="W735" s="2"/>
      <c r="X735" s="2"/>
      <c r="Y735" s="2"/>
      <c r="Z735" s="2"/>
      <c r="AA735" s="2"/>
      <c r="AB735" s="2"/>
    </row>
    <row r="736">
      <c r="A736" s="2"/>
      <c r="B736" s="2"/>
      <c r="C736" s="2"/>
      <c r="D736" s="2"/>
      <c r="E736" s="398"/>
      <c r="F736" s="2"/>
      <c r="G736" s="398"/>
      <c r="H736" s="398"/>
      <c r="I736" s="398"/>
      <c r="J736" s="398"/>
      <c r="K736" s="2"/>
      <c r="L736" s="2"/>
      <c r="M736" s="2"/>
      <c r="N736" s="2"/>
      <c r="O736" s="2"/>
      <c r="P736" s="2"/>
      <c r="Q736" s="2"/>
      <c r="R736" s="2"/>
      <c r="S736" s="2"/>
      <c r="T736" s="2"/>
      <c r="U736" s="2"/>
      <c r="V736" s="2"/>
      <c r="W736" s="2"/>
      <c r="X736" s="2"/>
      <c r="Y736" s="2"/>
      <c r="Z736" s="2"/>
      <c r="AA736" s="2"/>
      <c r="AB736" s="2"/>
    </row>
    <row r="737">
      <c r="A737" s="2"/>
      <c r="B737" s="2"/>
      <c r="C737" s="2"/>
      <c r="D737" s="2"/>
      <c r="E737" s="398"/>
      <c r="F737" s="2"/>
      <c r="G737" s="398"/>
      <c r="H737" s="398"/>
      <c r="I737" s="398"/>
      <c r="J737" s="398"/>
      <c r="K737" s="2"/>
      <c r="L737" s="2"/>
      <c r="M737" s="2"/>
      <c r="N737" s="2"/>
      <c r="O737" s="2"/>
      <c r="P737" s="2"/>
      <c r="Q737" s="2"/>
      <c r="R737" s="2"/>
      <c r="S737" s="2"/>
      <c r="T737" s="2"/>
      <c r="U737" s="2"/>
      <c r="V737" s="2"/>
      <c r="W737" s="2"/>
      <c r="X737" s="2"/>
      <c r="Y737" s="2"/>
      <c r="Z737" s="2"/>
      <c r="AA737" s="2"/>
      <c r="AB737" s="2"/>
    </row>
    <row r="738">
      <c r="A738" s="2"/>
      <c r="B738" s="2"/>
      <c r="C738" s="2"/>
      <c r="D738" s="2"/>
      <c r="E738" s="398"/>
      <c r="F738" s="2"/>
      <c r="G738" s="398"/>
      <c r="H738" s="398"/>
      <c r="I738" s="398"/>
      <c r="J738" s="398"/>
      <c r="K738" s="2"/>
      <c r="L738" s="2"/>
      <c r="M738" s="2"/>
      <c r="N738" s="2"/>
      <c r="O738" s="2"/>
      <c r="P738" s="2"/>
      <c r="Q738" s="2"/>
      <c r="R738" s="2"/>
      <c r="S738" s="2"/>
      <c r="T738" s="2"/>
      <c r="U738" s="2"/>
      <c r="V738" s="2"/>
      <c r="W738" s="2"/>
      <c r="X738" s="2"/>
      <c r="Y738" s="2"/>
      <c r="Z738" s="2"/>
      <c r="AA738" s="2"/>
      <c r="AB738" s="2"/>
    </row>
    <row r="739">
      <c r="A739" s="2"/>
      <c r="B739" s="2"/>
      <c r="C739" s="2"/>
      <c r="D739" s="2"/>
      <c r="E739" s="398"/>
      <c r="F739" s="2"/>
      <c r="G739" s="398"/>
      <c r="H739" s="398"/>
      <c r="I739" s="398"/>
      <c r="J739" s="398"/>
      <c r="K739" s="2"/>
      <c r="L739" s="2"/>
      <c r="M739" s="2"/>
      <c r="N739" s="2"/>
      <c r="O739" s="2"/>
      <c r="P739" s="2"/>
      <c r="Q739" s="2"/>
      <c r="R739" s="2"/>
      <c r="S739" s="2"/>
      <c r="T739" s="2"/>
      <c r="U739" s="2"/>
      <c r="V739" s="2"/>
      <c r="W739" s="2"/>
      <c r="X739" s="2"/>
      <c r="Y739" s="2"/>
      <c r="Z739" s="2"/>
      <c r="AA739" s="2"/>
      <c r="AB739" s="2"/>
    </row>
    <row r="740">
      <c r="A740" s="2"/>
      <c r="B740" s="2"/>
      <c r="C740" s="2"/>
      <c r="D740" s="2"/>
      <c r="E740" s="398"/>
      <c r="F740" s="2"/>
      <c r="G740" s="398"/>
      <c r="H740" s="398"/>
      <c r="I740" s="398"/>
      <c r="J740" s="398"/>
      <c r="K740" s="2"/>
      <c r="L740" s="2"/>
      <c r="M740" s="2"/>
      <c r="N740" s="2"/>
      <c r="O740" s="2"/>
      <c r="P740" s="2"/>
      <c r="Q740" s="2"/>
      <c r="R740" s="2"/>
      <c r="S740" s="2"/>
      <c r="T740" s="2"/>
      <c r="U740" s="2"/>
      <c r="V740" s="2"/>
      <c r="W740" s="2"/>
      <c r="X740" s="2"/>
      <c r="Y740" s="2"/>
      <c r="Z740" s="2"/>
      <c r="AA740" s="2"/>
      <c r="AB740" s="2"/>
    </row>
    <row r="741">
      <c r="A741" s="2"/>
      <c r="B741" s="2"/>
      <c r="C741" s="2"/>
      <c r="D741" s="2"/>
      <c r="E741" s="398"/>
      <c r="F741" s="2"/>
      <c r="G741" s="398"/>
      <c r="H741" s="398"/>
      <c r="I741" s="398"/>
      <c r="J741" s="398"/>
      <c r="K741" s="2"/>
      <c r="L741" s="2"/>
      <c r="M741" s="2"/>
      <c r="N741" s="2"/>
      <c r="O741" s="2"/>
      <c r="P741" s="2"/>
      <c r="Q741" s="2"/>
      <c r="R741" s="2"/>
      <c r="S741" s="2"/>
      <c r="T741" s="2"/>
      <c r="U741" s="2"/>
      <c r="V741" s="2"/>
      <c r="W741" s="2"/>
      <c r="X741" s="2"/>
      <c r="Y741" s="2"/>
      <c r="Z741" s="2"/>
      <c r="AA741" s="2"/>
      <c r="AB741" s="2"/>
    </row>
    <row r="742">
      <c r="A742" s="2"/>
      <c r="B742" s="2"/>
      <c r="C742" s="2"/>
      <c r="D742" s="2"/>
      <c r="E742" s="398"/>
      <c r="F742" s="2"/>
      <c r="G742" s="398"/>
      <c r="H742" s="398"/>
      <c r="I742" s="398"/>
      <c r="J742" s="398"/>
      <c r="K742" s="2"/>
      <c r="L742" s="2"/>
      <c r="M742" s="2"/>
      <c r="N742" s="2"/>
      <c r="O742" s="2"/>
      <c r="P742" s="2"/>
      <c r="Q742" s="2"/>
      <c r="R742" s="2"/>
      <c r="S742" s="2"/>
      <c r="T742" s="2"/>
      <c r="U742" s="2"/>
      <c r="V742" s="2"/>
      <c r="W742" s="2"/>
      <c r="X742" s="2"/>
      <c r="Y742" s="2"/>
      <c r="Z742" s="2"/>
      <c r="AA742" s="2"/>
      <c r="AB742" s="2"/>
    </row>
    <row r="743">
      <c r="A743" s="2"/>
      <c r="B743" s="2"/>
      <c r="C743" s="2"/>
      <c r="D743" s="2"/>
      <c r="E743" s="398"/>
      <c r="F743" s="2"/>
      <c r="G743" s="398"/>
      <c r="H743" s="398"/>
      <c r="I743" s="398"/>
      <c r="J743" s="398"/>
      <c r="K743" s="2"/>
      <c r="L743" s="2"/>
      <c r="M743" s="2"/>
      <c r="N743" s="2"/>
      <c r="O743" s="2"/>
      <c r="P743" s="2"/>
      <c r="Q743" s="2"/>
      <c r="R743" s="2"/>
      <c r="S743" s="2"/>
      <c r="T743" s="2"/>
      <c r="U743" s="2"/>
      <c r="V743" s="2"/>
      <c r="W743" s="2"/>
      <c r="X743" s="2"/>
      <c r="Y743" s="2"/>
      <c r="Z743" s="2"/>
      <c r="AA743" s="2"/>
      <c r="AB743" s="2"/>
    </row>
    <row r="744">
      <c r="A744" s="2"/>
      <c r="B744" s="2"/>
      <c r="C744" s="2"/>
      <c r="D744" s="2"/>
      <c r="E744" s="398"/>
      <c r="F744" s="2"/>
      <c r="G744" s="398"/>
      <c r="H744" s="398"/>
      <c r="I744" s="398"/>
      <c r="J744" s="398"/>
      <c r="K744" s="2"/>
      <c r="L744" s="2"/>
      <c r="M744" s="2"/>
      <c r="N744" s="2"/>
      <c r="O744" s="2"/>
      <c r="P744" s="2"/>
      <c r="Q744" s="2"/>
      <c r="R744" s="2"/>
      <c r="S744" s="2"/>
      <c r="T744" s="2"/>
      <c r="U744" s="2"/>
      <c r="V744" s="2"/>
      <c r="W744" s="2"/>
      <c r="X744" s="2"/>
      <c r="Y744" s="2"/>
      <c r="Z744" s="2"/>
      <c r="AA744" s="2"/>
      <c r="AB744" s="2"/>
    </row>
    <row r="745">
      <c r="A745" s="2"/>
      <c r="B745" s="2"/>
      <c r="C745" s="2"/>
      <c r="D745" s="2"/>
      <c r="E745" s="398"/>
      <c r="F745" s="2"/>
      <c r="G745" s="398"/>
      <c r="H745" s="398"/>
      <c r="I745" s="398"/>
      <c r="J745" s="398"/>
      <c r="K745" s="2"/>
      <c r="L745" s="2"/>
      <c r="M745" s="2"/>
      <c r="N745" s="2"/>
      <c r="O745" s="2"/>
      <c r="P745" s="2"/>
      <c r="Q745" s="2"/>
      <c r="R745" s="2"/>
      <c r="S745" s="2"/>
      <c r="T745" s="2"/>
      <c r="U745" s="2"/>
      <c r="V745" s="2"/>
      <c r="W745" s="2"/>
      <c r="X745" s="2"/>
      <c r="Y745" s="2"/>
      <c r="Z745" s="2"/>
      <c r="AA745" s="2"/>
      <c r="AB745" s="2"/>
    </row>
    <row r="746">
      <c r="A746" s="2"/>
      <c r="B746" s="2"/>
      <c r="C746" s="2"/>
      <c r="D746" s="2"/>
      <c r="E746" s="398"/>
      <c r="F746" s="2"/>
      <c r="G746" s="398"/>
      <c r="H746" s="398"/>
      <c r="I746" s="398"/>
      <c r="J746" s="398"/>
      <c r="K746" s="2"/>
      <c r="L746" s="2"/>
      <c r="M746" s="2"/>
      <c r="N746" s="2"/>
      <c r="O746" s="2"/>
      <c r="P746" s="2"/>
      <c r="Q746" s="2"/>
      <c r="R746" s="2"/>
      <c r="S746" s="2"/>
      <c r="T746" s="2"/>
      <c r="U746" s="2"/>
      <c r="V746" s="2"/>
      <c r="W746" s="2"/>
      <c r="X746" s="2"/>
      <c r="Y746" s="2"/>
      <c r="Z746" s="2"/>
      <c r="AA746" s="2"/>
      <c r="AB746" s="2"/>
    </row>
    <row r="747">
      <c r="A747" s="2"/>
      <c r="B747" s="2"/>
      <c r="C747" s="2"/>
      <c r="D747" s="2"/>
      <c r="E747" s="398"/>
      <c r="F747" s="2"/>
      <c r="G747" s="398"/>
      <c r="H747" s="398"/>
      <c r="I747" s="398"/>
      <c r="J747" s="398"/>
      <c r="K747" s="2"/>
      <c r="L747" s="2"/>
      <c r="M747" s="2"/>
      <c r="N747" s="2"/>
      <c r="O747" s="2"/>
      <c r="P747" s="2"/>
      <c r="Q747" s="2"/>
      <c r="R747" s="2"/>
      <c r="S747" s="2"/>
      <c r="T747" s="2"/>
      <c r="U747" s="2"/>
      <c r="V747" s="2"/>
      <c r="W747" s="2"/>
      <c r="X747" s="2"/>
      <c r="Y747" s="2"/>
      <c r="Z747" s="2"/>
      <c r="AA747" s="2"/>
      <c r="AB747" s="2"/>
    </row>
    <row r="748">
      <c r="A748" s="2"/>
      <c r="B748" s="2"/>
      <c r="C748" s="2"/>
      <c r="D748" s="2"/>
      <c r="E748" s="398"/>
      <c r="F748" s="2"/>
      <c r="G748" s="398"/>
      <c r="H748" s="398"/>
      <c r="I748" s="398"/>
      <c r="J748" s="398"/>
      <c r="K748" s="2"/>
      <c r="L748" s="2"/>
      <c r="M748" s="2"/>
      <c r="N748" s="2"/>
      <c r="O748" s="2"/>
      <c r="P748" s="2"/>
      <c r="Q748" s="2"/>
      <c r="R748" s="2"/>
      <c r="S748" s="2"/>
      <c r="T748" s="2"/>
      <c r="U748" s="2"/>
      <c r="V748" s="2"/>
      <c r="W748" s="2"/>
      <c r="X748" s="2"/>
      <c r="Y748" s="2"/>
      <c r="Z748" s="2"/>
      <c r="AA748" s="2"/>
      <c r="AB748" s="2"/>
    </row>
    <row r="749">
      <c r="A749" s="2"/>
      <c r="B749" s="2"/>
      <c r="C749" s="2"/>
      <c r="D749" s="2"/>
      <c r="E749" s="398"/>
      <c r="F749" s="2"/>
      <c r="G749" s="398"/>
      <c r="H749" s="398"/>
      <c r="I749" s="398"/>
      <c r="J749" s="398"/>
      <c r="K749" s="2"/>
      <c r="L749" s="2"/>
      <c r="M749" s="2"/>
      <c r="N749" s="2"/>
      <c r="O749" s="2"/>
      <c r="P749" s="2"/>
      <c r="Q749" s="2"/>
      <c r="R749" s="2"/>
      <c r="S749" s="2"/>
      <c r="T749" s="2"/>
      <c r="U749" s="2"/>
      <c r="V749" s="2"/>
      <c r="W749" s="2"/>
      <c r="X749" s="2"/>
      <c r="Y749" s="2"/>
      <c r="Z749" s="2"/>
      <c r="AA749" s="2"/>
      <c r="AB749" s="2"/>
    </row>
    <row r="750">
      <c r="A750" s="2"/>
      <c r="B750" s="2"/>
      <c r="C750" s="2"/>
      <c r="D750" s="2"/>
      <c r="E750" s="398"/>
      <c r="F750" s="2"/>
      <c r="G750" s="398"/>
      <c r="H750" s="398"/>
      <c r="I750" s="398"/>
      <c r="J750" s="398"/>
      <c r="K750" s="2"/>
      <c r="L750" s="2"/>
      <c r="M750" s="2"/>
      <c r="N750" s="2"/>
      <c r="O750" s="2"/>
      <c r="P750" s="2"/>
      <c r="Q750" s="2"/>
      <c r="R750" s="2"/>
      <c r="S750" s="2"/>
      <c r="T750" s="2"/>
      <c r="U750" s="2"/>
      <c r="V750" s="2"/>
      <c r="W750" s="2"/>
      <c r="X750" s="2"/>
      <c r="Y750" s="2"/>
      <c r="Z750" s="2"/>
      <c r="AA750" s="2"/>
      <c r="AB750" s="2"/>
    </row>
    <row r="751">
      <c r="A751" s="2"/>
      <c r="B751" s="2"/>
      <c r="C751" s="2"/>
      <c r="D751" s="2"/>
      <c r="E751" s="398"/>
      <c r="F751" s="2"/>
      <c r="G751" s="398"/>
      <c r="H751" s="398"/>
      <c r="I751" s="398"/>
      <c r="J751" s="398"/>
      <c r="K751" s="2"/>
      <c r="L751" s="2"/>
      <c r="M751" s="2"/>
      <c r="N751" s="2"/>
      <c r="O751" s="2"/>
      <c r="P751" s="2"/>
      <c r="Q751" s="2"/>
      <c r="R751" s="2"/>
      <c r="S751" s="2"/>
      <c r="T751" s="2"/>
      <c r="U751" s="2"/>
      <c r="V751" s="2"/>
      <c r="W751" s="2"/>
      <c r="X751" s="2"/>
      <c r="Y751" s="2"/>
      <c r="Z751" s="2"/>
      <c r="AA751" s="2"/>
      <c r="AB751" s="2"/>
    </row>
    <row r="752">
      <c r="A752" s="2"/>
      <c r="B752" s="2"/>
      <c r="C752" s="2"/>
      <c r="D752" s="2"/>
      <c r="E752" s="398"/>
      <c r="F752" s="2"/>
      <c r="G752" s="398"/>
      <c r="H752" s="398"/>
      <c r="I752" s="398"/>
      <c r="J752" s="398"/>
      <c r="K752" s="2"/>
      <c r="L752" s="2"/>
      <c r="M752" s="2"/>
      <c r="N752" s="2"/>
      <c r="O752" s="2"/>
      <c r="P752" s="2"/>
      <c r="Q752" s="2"/>
      <c r="R752" s="2"/>
      <c r="S752" s="2"/>
      <c r="T752" s="2"/>
      <c r="U752" s="2"/>
      <c r="V752" s="2"/>
      <c r="W752" s="2"/>
      <c r="X752" s="2"/>
      <c r="Y752" s="2"/>
      <c r="Z752" s="2"/>
      <c r="AA752" s="2"/>
      <c r="AB752" s="2"/>
    </row>
    <row r="753">
      <c r="A753" s="2"/>
      <c r="B753" s="2"/>
      <c r="C753" s="2"/>
      <c r="D753" s="2"/>
      <c r="E753" s="398"/>
      <c r="F753" s="2"/>
      <c r="G753" s="398"/>
      <c r="H753" s="398"/>
      <c r="I753" s="398"/>
      <c r="J753" s="398"/>
      <c r="K753" s="2"/>
      <c r="L753" s="2"/>
      <c r="M753" s="2"/>
      <c r="N753" s="2"/>
      <c r="O753" s="2"/>
      <c r="P753" s="2"/>
      <c r="Q753" s="2"/>
      <c r="R753" s="2"/>
      <c r="S753" s="2"/>
      <c r="T753" s="2"/>
      <c r="U753" s="2"/>
      <c r="V753" s="2"/>
      <c r="W753" s="2"/>
      <c r="X753" s="2"/>
      <c r="Y753" s="2"/>
      <c r="Z753" s="2"/>
      <c r="AA753" s="2"/>
      <c r="AB753" s="2"/>
    </row>
    <row r="754">
      <c r="A754" s="2"/>
      <c r="B754" s="2"/>
      <c r="C754" s="2"/>
      <c r="D754" s="2"/>
      <c r="E754" s="398"/>
      <c r="F754" s="2"/>
      <c r="G754" s="398"/>
      <c r="H754" s="398"/>
      <c r="I754" s="398"/>
      <c r="J754" s="398"/>
      <c r="K754" s="2"/>
      <c r="L754" s="2"/>
      <c r="M754" s="2"/>
      <c r="N754" s="2"/>
      <c r="O754" s="2"/>
      <c r="P754" s="2"/>
      <c r="Q754" s="2"/>
      <c r="R754" s="2"/>
      <c r="S754" s="2"/>
      <c r="T754" s="2"/>
      <c r="U754" s="2"/>
      <c r="V754" s="2"/>
      <c r="W754" s="2"/>
      <c r="X754" s="2"/>
      <c r="Y754" s="2"/>
      <c r="Z754" s="2"/>
      <c r="AA754" s="2"/>
      <c r="AB754" s="2"/>
    </row>
    <row r="755">
      <c r="A755" s="2"/>
      <c r="B755" s="2"/>
      <c r="C755" s="2"/>
      <c r="D755" s="2"/>
      <c r="E755" s="398"/>
      <c r="F755" s="2"/>
      <c r="G755" s="398"/>
      <c r="H755" s="398"/>
      <c r="I755" s="398"/>
      <c r="J755" s="398"/>
      <c r="K755" s="2"/>
      <c r="L755" s="2"/>
      <c r="M755" s="2"/>
      <c r="N755" s="2"/>
      <c r="O755" s="2"/>
      <c r="P755" s="2"/>
      <c r="Q755" s="2"/>
      <c r="R755" s="2"/>
      <c r="S755" s="2"/>
      <c r="T755" s="2"/>
      <c r="U755" s="2"/>
      <c r="V755" s="2"/>
      <c r="W755" s="2"/>
      <c r="X755" s="2"/>
      <c r="Y755" s="2"/>
      <c r="Z755" s="2"/>
      <c r="AA755" s="2"/>
      <c r="AB755" s="2"/>
    </row>
    <row r="756">
      <c r="A756" s="2"/>
      <c r="B756" s="2"/>
      <c r="C756" s="2"/>
      <c r="D756" s="2"/>
      <c r="E756" s="398"/>
      <c r="F756" s="2"/>
      <c r="G756" s="398"/>
      <c r="H756" s="398"/>
      <c r="I756" s="398"/>
      <c r="J756" s="398"/>
      <c r="K756" s="2"/>
      <c r="L756" s="2"/>
      <c r="M756" s="2"/>
      <c r="N756" s="2"/>
      <c r="O756" s="2"/>
      <c r="P756" s="2"/>
      <c r="Q756" s="2"/>
      <c r="R756" s="2"/>
      <c r="S756" s="2"/>
      <c r="T756" s="2"/>
      <c r="U756" s="2"/>
      <c r="V756" s="2"/>
      <c r="W756" s="2"/>
      <c r="X756" s="2"/>
      <c r="Y756" s="2"/>
      <c r="Z756" s="2"/>
      <c r="AA756" s="2"/>
      <c r="AB756" s="2"/>
    </row>
    <row r="757">
      <c r="A757" s="2"/>
      <c r="B757" s="2"/>
      <c r="C757" s="2"/>
      <c r="D757" s="2"/>
      <c r="E757" s="398"/>
      <c r="F757" s="2"/>
      <c r="G757" s="398"/>
      <c r="H757" s="398"/>
      <c r="I757" s="398"/>
      <c r="J757" s="398"/>
      <c r="K757" s="2"/>
      <c r="L757" s="2"/>
      <c r="M757" s="2"/>
      <c r="N757" s="2"/>
      <c r="O757" s="2"/>
      <c r="P757" s="2"/>
      <c r="Q757" s="2"/>
      <c r="R757" s="2"/>
      <c r="S757" s="2"/>
      <c r="T757" s="2"/>
      <c r="U757" s="2"/>
      <c r="V757" s="2"/>
      <c r="W757" s="2"/>
      <c r="X757" s="2"/>
      <c r="Y757" s="2"/>
      <c r="Z757" s="2"/>
      <c r="AA757" s="2"/>
      <c r="AB757" s="2"/>
    </row>
    <row r="758">
      <c r="A758" s="2"/>
      <c r="B758" s="2"/>
      <c r="C758" s="2"/>
      <c r="D758" s="2"/>
      <c r="E758" s="398"/>
      <c r="F758" s="2"/>
      <c r="G758" s="398"/>
      <c r="H758" s="398"/>
      <c r="I758" s="398"/>
      <c r="J758" s="398"/>
      <c r="K758" s="2"/>
      <c r="L758" s="2"/>
      <c r="M758" s="2"/>
      <c r="N758" s="2"/>
      <c r="O758" s="2"/>
      <c r="P758" s="2"/>
      <c r="Q758" s="2"/>
      <c r="R758" s="2"/>
      <c r="S758" s="2"/>
      <c r="T758" s="2"/>
      <c r="U758" s="2"/>
      <c r="V758" s="2"/>
      <c r="W758" s="2"/>
      <c r="X758" s="2"/>
      <c r="Y758" s="2"/>
      <c r="Z758" s="2"/>
      <c r="AA758" s="2"/>
      <c r="AB758" s="2"/>
    </row>
    <row r="759">
      <c r="A759" s="2"/>
      <c r="B759" s="2"/>
      <c r="C759" s="2"/>
      <c r="D759" s="2"/>
      <c r="E759" s="398"/>
      <c r="F759" s="2"/>
      <c r="G759" s="398"/>
      <c r="H759" s="398"/>
      <c r="I759" s="398"/>
      <c r="J759" s="398"/>
      <c r="K759" s="2"/>
      <c r="L759" s="2"/>
      <c r="M759" s="2"/>
      <c r="N759" s="2"/>
      <c r="O759" s="2"/>
      <c r="P759" s="2"/>
      <c r="Q759" s="2"/>
      <c r="R759" s="2"/>
      <c r="S759" s="2"/>
      <c r="T759" s="2"/>
      <c r="U759" s="2"/>
      <c r="V759" s="2"/>
      <c r="W759" s="2"/>
      <c r="X759" s="2"/>
      <c r="Y759" s="2"/>
      <c r="Z759" s="2"/>
      <c r="AA759" s="2"/>
      <c r="AB759" s="2"/>
    </row>
    <row r="760">
      <c r="A760" s="2"/>
      <c r="B760" s="2"/>
      <c r="C760" s="2"/>
      <c r="D760" s="2"/>
      <c r="E760" s="398"/>
      <c r="F760" s="2"/>
      <c r="G760" s="398"/>
      <c r="H760" s="398"/>
      <c r="I760" s="398"/>
      <c r="J760" s="398"/>
      <c r="K760" s="2"/>
      <c r="L760" s="2"/>
      <c r="M760" s="2"/>
      <c r="N760" s="2"/>
      <c r="O760" s="2"/>
      <c r="P760" s="2"/>
      <c r="Q760" s="2"/>
      <c r="R760" s="2"/>
      <c r="S760" s="2"/>
      <c r="T760" s="2"/>
      <c r="U760" s="2"/>
      <c r="V760" s="2"/>
      <c r="W760" s="2"/>
      <c r="X760" s="2"/>
      <c r="Y760" s="2"/>
      <c r="Z760" s="2"/>
      <c r="AA760" s="2"/>
      <c r="AB760" s="2"/>
    </row>
    <row r="761">
      <c r="A761" s="2"/>
      <c r="B761" s="2"/>
      <c r="C761" s="2"/>
      <c r="D761" s="2"/>
      <c r="E761" s="398"/>
      <c r="F761" s="2"/>
      <c r="G761" s="398"/>
      <c r="H761" s="398"/>
      <c r="I761" s="398"/>
      <c r="J761" s="398"/>
      <c r="K761" s="2"/>
      <c r="L761" s="2"/>
      <c r="M761" s="2"/>
      <c r="N761" s="2"/>
      <c r="O761" s="2"/>
      <c r="P761" s="2"/>
      <c r="Q761" s="2"/>
      <c r="R761" s="2"/>
      <c r="S761" s="2"/>
      <c r="T761" s="2"/>
      <c r="U761" s="2"/>
      <c r="V761" s="2"/>
      <c r="W761" s="2"/>
      <c r="X761" s="2"/>
      <c r="Y761" s="2"/>
      <c r="Z761" s="2"/>
      <c r="AA761" s="2"/>
      <c r="AB761" s="2"/>
    </row>
    <row r="762">
      <c r="A762" s="2"/>
      <c r="B762" s="2"/>
      <c r="C762" s="2"/>
      <c r="D762" s="2"/>
      <c r="E762" s="398"/>
      <c r="F762" s="2"/>
      <c r="G762" s="398"/>
      <c r="H762" s="398"/>
      <c r="I762" s="398"/>
      <c r="J762" s="398"/>
      <c r="K762" s="2"/>
      <c r="L762" s="2"/>
      <c r="M762" s="2"/>
      <c r="N762" s="2"/>
      <c r="O762" s="2"/>
      <c r="P762" s="2"/>
      <c r="Q762" s="2"/>
      <c r="R762" s="2"/>
      <c r="S762" s="2"/>
      <c r="T762" s="2"/>
      <c r="U762" s="2"/>
      <c r="V762" s="2"/>
      <c r="W762" s="2"/>
      <c r="X762" s="2"/>
      <c r="Y762" s="2"/>
      <c r="Z762" s="2"/>
      <c r="AA762" s="2"/>
      <c r="AB762" s="2"/>
    </row>
    <row r="763">
      <c r="A763" s="2"/>
      <c r="B763" s="2"/>
      <c r="C763" s="2"/>
      <c r="D763" s="2"/>
      <c r="E763" s="398"/>
      <c r="F763" s="2"/>
      <c r="G763" s="398"/>
      <c r="H763" s="398"/>
      <c r="I763" s="398"/>
      <c r="J763" s="398"/>
      <c r="K763" s="2"/>
      <c r="L763" s="2"/>
      <c r="M763" s="2"/>
      <c r="N763" s="2"/>
      <c r="O763" s="2"/>
      <c r="P763" s="2"/>
      <c r="Q763" s="2"/>
      <c r="R763" s="2"/>
      <c r="S763" s="2"/>
      <c r="T763" s="2"/>
      <c r="U763" s="2"/>
      <c r="V763" s="2"/>
      <c r="W763" s="2"/>
      <c r="X763" s="2"/>
      <c r="Y763" s="2"/>
      <c r="Z763" s="2"/>
      <c r="AA763" s="2"/>
      <c r="AB763" s="2"/>
    </row>
    <row r="764">
      <c r="A764" s="2"/>
      <c r="B764" s="2"/>
      <c r="C764" s="2"/>
      <c r="D764" s="2"/>
      <c r="E764" s="398"/>
      <c r="F764" s="2"/>
      <c r="G764" s="398"/>
      <c r="H764" s="398"/>
      <c r="I764" s="398"/>
      <c r="J764" s="398"/>
      <c r="K764" s="2"/>
      <c r="L764" s="2"/>
      <c r="M764" s="2"/>
      <c r="N764" s="2"/>
      <c r="O764" s="2"/>
      <c r="P764" s="2"/>
      <c r="Q764" s="2"/>
      <c r="R764" s="2"/>
      <c r="S764" s="2"/>
      <c r="T764" s="2"/>
      <c r="U764" s="2"/>
      <c r="V764" s="2"/>
      <c r="W764" s="2"/>
      <c r="X764" s="2"/>
      <c r="Y764" s="2"/>
      <c r="Z764" s="2"/>
      <c r="AA764" s="2"/>
      <c r="AB764" s="2"/>
    </row>
    <row r="765">
      <c r="A765" s="2"/>
      <c r="B765" s="2"/>
      <c r="C765" s="2"/>
      <c r="D765" s="2"/>
      <c r="E765" s="398"/>
      <c r="F765" s="2"/>
      <c r="G765" s="398"/>
      <c r="H765" s="398"/>
      <c r="I765" s="398"/>
      <c r="J765" s="398"/>
      <c r="K765" s="2"/>
      <c r="L765" s="2"/>
      <c r="M765" s="2"/>
      <c r="N765" s="2"/>
      <c r="O765" s="2"/>
      <c r="P765" s="2"/>
      <c r="Q765" s="2"/>
      <c r="R765" s="2"/>
      <c r="S765" s="2"/>
      <c r="T765" s="2"/>
      <c r="U765" s="2"/>
      <c r="V765" s="2"/>
      <c r="W765" s="2"/>
      <c r="X765" s="2"/>
      <c r="Y765" s="2"/>
      <c r="Z765" s="2"/>
      <c r="AA765" s="2"/>
      <c r="AB765" s="2"/>
    </row>
    <row r="766">
      <c r="A766" s="2"/>
      <c r="B766" s="2"/>
      <c r="C766" s="2"/>
      <c r="D766" s="2"/>
      <c r="E766" s="398"/>
      <c r="F766" s="2"/>
      <c r="G766" s="398"/>
      <c r="H766" s="398"/>
      <c r="I766" s="398"/>
      <c r="J766" s="398"/>
      <c r="K766" s="2"/>
      <c r="L766" s="2"/>
      <c r="M766" s="2"/>
      <c r="N766" s="2"/>
      <c r="O766" s="2"/>
      <c r="P766" s="2"/>
      <c r="Q766" s="2"/>
      <c r="R766" s="2"/>
      <c r="S766" s="2"/>
      <c r="T766" s="2"/>
      <c r="U766" s="2"/>
      <c r="V766" s="2"/>
      <c r="W766" s="2"/>
      <c r="X766" s="2"/>
      <c r="Y766" s="2"/>
      <c r="Z766" s="2"/>
      <c r="AA766" s="2"/>
      <c r="AB766" s="2"/>
    </row>
    <row r="767">
      <c r="A767" s="2"/>
      <c r="B767" s="2"/>
      <c r="C767" s="2"/>
      <c r="D767" s="2"/>
      <c r="E767" s="398"/>
      <c r="F767" s="2"/>
      <c r="G767" s="398"/>
      <c r="H767" s="398"/>
      <c r="I767" s="398"/>
      <c r="J767" s="398"/>
      <c r="K767" s="2"/>
      <c r="L767" s="2"/>
      <c r="M767" s="2"/>
      <c r="N767" s="2"/>
      <c r="O767" s="2"/>
      <c r="P767" s="2"/>
      <c r="Q767" s="2"/>
      <c r="R767" s="2"/>
      <c r="S767" s="2"/>
      <c r="T767" s="2"/>
      <c r="U767" s="2"/>
      <c r="V767" s="2"/>
      <c r="W767" s="2"/>
      <c r="X767" s="2"/>
      <c r="Y767" s="2"/>
      <c r="Z767" s="2"/>
      <c r="AA767" s="2"/>
      <c r="AB767" s="2"/>
    </row>
    <row r="768">
      <c r="A768" s="2"/>
      <c r="B768" s="2"/>
      <c r="C768" s="2"/>
      <c r="D768" s="2"/>
      <c r="E768" s="398"/>
      <c r="F768" s="2"/>
      <c r="G768" s="398"/>
      <c r="H768" s="398"/>
      <c r="I768" s="398"/>
      <c r="J768" s="398"/>
      <c r="K768" s="2"/>
      <c r="L768" s="2"/>
      <c r="M768" s="2"/>
      <c r="N768" s="2"/>
      <c r="O768" s="2"/>
      <c r="P768" s="2"/>
      <c r="Q768" s="2"/>
      <c r="R768" s="2"/>
      <c r="S768" s="2"/>
      <c r="T768" s="2"/>
      <c r="U768" s="2"/>
      <c r="V768" s="2"/>
      <c r="W768" s="2"/>
      <c r="X768" s="2"/>
      <c r="Y768" s="2"/>
      <c r="Z768" s="2"/>
      <c r="AA768" s="2"/>
      <c r="AB768" s="2"/>
    </row>
    <row r="769">
      <c r="A769" s="2"/>
      <c r="B769" s="2"/>
      <c r="C769" s="2"/>
      <c r="D769" s="2"/>
      <c r="E769" s="398"/>
      <c r="F769" s="2"/>
      <c r="G769" s="398"/>
      <c r="H769" s="398"/>
      <c r="I769" s="398"/>
      <c r="J769" s="398"/>
      <c r="K769" s="2"/>
      <c r="L769" s="2"/>
      <c r="M769" s="2"/>
      <c r="N769" s="2"/>
      <c r="O769" s="2"/>
      <c r="P769" s="2"/>
      <c r="Q769" s="2"/>
      <c r="R769" s="2"/>
      <c r="S769" s="2"/>
      <c r="T769" s="2"/>
      <c r="U769" s="2"/>
      <c r="V769" s="2"/>
      <c r="W769" s="2"/>
      <c r="X769" s="2"/>
      <c r="Y769" s="2"/>
      <c r="Z769" s="2"/>
      <c r="AA769" s="2"/>
      <c r="AB769" s="2"/>
    </row>
    <row r="770">
      <c r="A770" s="2"/>
      <c r="B770" s="2"/>
      <c r="C770" s="2"/>
      <c r="D770" s="2"/>
      <c r="E770" s="398"/>
      <c r="F770" s="2"/>
      <c r="G770" s="398"/>
      <c r="H770" s="398"/>
      <c r="I770" s="398"/>
      <c r="J770" s="398"/>
      <c r="K770" s="2"/>
      <c r="L770" s="2"/>
      <c r="M770" s="2"/>
      <c r="N770" s="2"/>
      <c r="O770" s="2"/>
      <c r="P770" s="2"/>
      <c r="Q770" s="2"/>
      <c r="R770" s="2"/>
      <c r="S770" s="2"/>
      <c r="T770" s="2"/>
      <c r="U770" s="2"/>
      <c r="V770" s="2"/>
      <c r="W770" s="2"/>
      <c r="X770" s="2"/>
      <c r="Y770" s="2"/>
      <c r="Z770" s="2"/>
      <c r="AA770" s="2"/>
      <c r="AB770" s="2"/>
    </row>
    <row r="771">
      <c r="A771" s="2"/>
      <c r="B771" s="2"/>
      <c r="C771" s="2"/>
      <c r="D771" s="2"/>
      <c r="E771" s="398"/>
      <c r="F771" s="2"/>
      <c r="G771" s="398"/>
      <c r="H771" s="398"/>
      <c r="I771" s="398"/>
      <c r="J771" s="398"/>
      <c r="K771" s="2"/>
      <c r="L771" s="2"/>
      <c r="M771" s="2"/>
      <c r="N771" s="2"/>
      <c r="O771" s="2"/>
      <c r="P771" s="2"/>
      <c r="Q771" s="2"/>
      <c r="R771" s="2"/>
      <c r="S771" s="2"/>
      <c r="T771" s="2"/>
      <c r="U771" s="2"/>
      <c r="V771" s="2"/>
      <c r="W771" s="2"/>
      <c r="X771" s="2"/>
      <c r="Y771" s="2"/>
      <c r="Z771" s="2"/>
      <c r="AA771" s="2"/>
      <c r="AB771" s="2"/>
    </row>
    <row r="772">
      <c r="A772" s="2"/>
      <c r="B772" s="2"/>
      <c r="C772" s="2"/>
      <c r="D772" s="2"/>
      <c r="E772" s="398"/>
      <c r="F772" s="2"/>
      <c r="G772" s="398"/>
      <c r="H772" s="398"/>
      <c r="I772" s="398"/>
      <c r="J772" s="398"/>
      <c r="K772" s="2"/>
      <c r="L772" s="2"/>
      <c r="M772" s="2"/>
      <c r="N772" s="2"/>
      <c r="O772" s="2"/>
      <c r="P772" s="2"/>
      <c r="Q772" s="2"/>
      <c r="R772" s="2"/>
      <c r="S772" s="2"/>
      <c r="T772" s="2"/>
      <c r="U772" s="2"/>
      <c r="V772" s="2"/>
      <c r="W772" s="2"/>
      <c r="X772" s="2"/>
      <c r="Y772" s="2"/>
      <c r="Z772" s="2"/>
      <c r="AA772" s="2"/>
      <c r="AB772" s="2"/>
    </row>
    <row r="773">
      <c r="A773" s="2"/>
      <c r="B773" s="2"/>
      <c r="C773" s="2"/>
      <c r="D773" s="2"/>
      <c r="E773" s="398"/>
      <c r="F773" s="2"/>
      <c r="G773" s="398"/>
      <c r="H773" s="398"/>
      <c r="I773" s="398"/>
      <c r="J773" s="398"/>
      <c r="K773" s="2"/>
      <c r="L773" s="2"/>
      <c r="M773" s="2"/>
      <c r="N773" s="2"/>
      <c r="O773" s="2"/>
      <c r="P773" s="2"/>
      <c r="Q773" s="2"/>
      <c r="R773" s="2"/>
      <c r="S773" s="2"/>
      <c r="T773" s="2"/>
      <c r="U773" s="2"/>
      <c r="V773" s="2"/>
      <c r="W773" s="2"/>
      <c r="X773" s="2"/>
      <c r="Y773" s="2"/>
      <c r="Z773" s="2"/>
      <c r="AA773" s="2"/>
      <c r="AB773" s="2"/>
    </row>
    <row r="774">
      <c r="A774" s="2"/>
      <c r="B774" s="2"/>
      <c r="C774" s="2"/>
      <c r="D774" s="2"/>
      <c r="E774" s="398"/>
      <c r="F774" s="2"/>
      <c r="G774" s="398"/>
      <c r="H774" s="398"/>
      <c r="I774" s="398"/>
      <c r="J774" s="398"/>
      <c r="K774" s="2"/>
      <c r="L774" s="2"/>
      <c r="M774" s="2"/>
      <c r="N774" s="2"/>
      <c r="O774" s="2"/>
      <c r="P774" s="2"/>
      <c r="Q774" s="2"/>
      <c r="R774" s="2"/>
      <c r="S774" s="2"/>
      <c r="T774" s="2"/>
      <c r="U774" s="2"/>
      <c r="V774" s="2"/>
      <c r="W774" s="2"/>
      <c r="X774" s="2"/>
      <c r="Y774" s="2"/>
      <c r="Z774" s="2"/>
      <c r="AA774" s="2"/>
      <c r="AB774" s="2"/>
    </row>
    <row r="775">
      <c r="A775" s="2"/>
      <c r="B775" s="2"/>
      <c r="C775" s="2"/>
      <c r="D775" s="2"/>
      <c r="E775" s="398"/>
      <c r="F775" s="2"/>
      <c r="G775" s="398"/>
      <c r="H775" s="398"/>
      <c r="I775" s="398"/>
      <c r="J775" s="398"/>
      <c r="K775" s="2"/>
      <c r="L775" s="2"/>
      <c r="M775" s="2"/>
      <c r="N775" s="2"/>
      <c r="O775" s="2"/>
      <c r="P775" s="2"/>
      <c r="Q775" s="2"/>
      <c r="R775" s="2"/>
      <c r="S775" s="2"/>
      <c r="T775" s="2"/>
      <c r="U775" s="2"/>
      <c r="V775" s="2"/>
      <c r="W775" s="2"/>
      <c r="X775" s="2"/>
      <c r="Y775" s="2"/>
      <c r="Z775" s="2"/>
      <c r="AA775" s="2"/>
      <c r="AB775" s="2"/>
    </row>
    <row r="776">
      <c r="A776" s="2"/>
      <c r="B776" s="2"/>
      <c r="C776" s="2"/>
      <c r="D776" s="2"/>
      <c r="E776" s="398"/>
      <c r="F776" s="2"/>
      <c r="G776" s="398"/>
      <c r="H776" s="398"/>
      <c r="I776" s="398"/>
      <c r="J776" s="398"/>
      <c r="K776" s="2"/>
      <c r="L776" s="2"/>
      <c r="M776" s="2"/>
      <c r="N776" s="2"/>
      <c r="O776" s="2"/>
      <c r="P776" s="2"/>
      <c r="Q776" s="2"/>
      <c r="R776" s="2"/>
      <c r="S776" s="2"/>
      <c r="T776" s="2"/>
      <c r="U776" s="2"/>
      <c r="V776" s="2"/>
      <c r="W776" s="2"/>
      <c r="X776" s="2"/>
      <c r="Y776" s="2"/>
      <c r="Z776" s="2"/>
      <c r="AA776" s="2"/>
      <c r="AB776" s="2"/>
    </row>
    <row r="777">
      <c r="A777" s="2"/>
      <c r="B777" s="2"/>
      <c r="C777" s="2"/>
      <c r="D777" s="2"/>
      <c r="E777" s="398"/>
      <c r="F777" s="2"/>
      <c r="G777" s="398"/>
      <c r="H777" s="398"/>
      <c r="I777" s="398"/>
      <c r="J777" s="398"/>
      <c r="K777" s="2"/>
      <c r="L777" s="2"/>
      <c r="M777" s="2"/>
      <c r="N777" s="2"/>
      <c r="O777" s="2"/>
      <c r="P777" s="2"/>
      <c r="Q777" s="2"/>
      <c r="R777" s="2"/>
      <c r="S777" s="2"/>
      <c r="T777" s="2"/>
      <c r="U777" s="2"/>
      <c r="V777" s="2"/>
      <c r="W777" s="2"/>
      <c r="X777" s="2"/>
      <c r="Y777" s="2"/>
      <c r="Z777" s="2"/>
      <c r="AA777" s="2"/>
      <c r="AB777" s="2"/>
    </row>
    <row r="778">
      <c r="A778" s="2"/>
      <c r="B778" s="2"/>
      <c r="C778" s="2"/>
      <c r="D778" s="2"/>
      <c r="E778" s="398"/>
      <c r="F778" s="2"/>
      <c r="G778" s="398"/>
      <c r="H778" s="398"/>
      <c r="I778" s="398"/>
      <c r="J778" s="398"/>
      <c r="K778" s="2"/>
      <c r="L778" s="2"/>
      <c r="M778" s="2"/>
      <c r="N778" s="2"/>
      <c r="O778" s="2"/>
      <c r="P778" s="2"/>
      <c r="Q778" s="2"/>
      <c r="R778" s="2"/>
      <c r="S778" s="2"/>
      <c r="T778" s="2"/>
      <c r="U778" s="2"/>
      <c r="V778" s="2"/>
      <c r="W778" s="2"/>
      <c r="X778" s="2"/>
      <c r="Y778" s="2"/>
      <c r="Z778" s="2"/>
      <c r="AA778" s="2"/>
      <c r="AB778" s="2"/>
    </row>
    <row r="779">
      <c r="A779" s="2"/>
      <c r="B779" s="2"/>
      <c r="C779" s="2"/>
      <c r="D779" s="2"/>
      <c r="E779" s="398"/>
      <c r="F779" s="2"/>
      <c r="G779" s="398"/>
      <c r="H779" s="398"/>
      <c r="I779" s="398"/>
      <c r="J779" s="398"/>
      <c r="K779" s="2"/>
      <c r="L779" s="2"/>
      <c r="M779" s="2"/>
      <c r="N779" s="2"/>
      <c r="O779" s="2"/>
      <c r="P779" s="2"/>
      <c r="Q779" s="2"/>
      <c r="R779" s="2"/>
      <c r="S779" s="2"/>
      <c r="T779" s="2"/>
      <c r="U779" s="2"/>
      <c r="V779" s="2"/>
      <c r="W779" s="2"/>
      <c r="X779" s="2"/>
      <c r="Y779" s="2"/>
      <c r="Z779" s="2"/>
      <c r="AA779" s="2"/>
      <c r="AB779" s="2"/>
    </row>
    <row r="780">
      <c r="A780" s="2"/>
      <c r="B780" s="2"/>
      <c r="C780" s="2"/>
      <c r="D780" s="2"/>
      <c r="E780" s="398"/>
      <c r="F780" s="2"/>
      <c r="G780" s="398"/>
      <c r="H780" s="398"/>
      <c r="I780" s="398"/>
      <c r="J780" s="398"/>
      <c r="K780" s="2"/>
      <c r="L780" s="2"/>
      <c r="M780" s="2"/>
      <c r="N780" s="2"/>
      <c r="O780" s="2"/>
      <c r="P780" s="2"/>
      <c r="Q780" s="2"/>
      <c r="R780" s="2"/>
      <c r="S780" s="2"/>
      <c r="T780" s="2"/>
      <c r="U780" s="2"/>
      <c r="V780" s="2"/>
      <c r="W780" s="2"/>
      <c r="X780" s="2"/>
      <c r="Y780" s="2"/>
      <c r="Z780" s="2"/>
      <c r="AA780" s="2"/>
      <c r="AB780" s="2"/>
    </row>
    <row r="781">
      <c r="A781" s="2"/>
      <c r="B781" s="2"/>
      <c r="C781" s="2"/>
      <c r="D781" s="2"/>
      <c r="E781" s="398"/>
      <c r="F781" s="2"/>
      <c r="G781" s="398"/>
      <c r="H781" s="398"/>
      <c r="I781" s="398"/>
      <c r="J781" s="398"/>
      <c r="K781" s="2"/>
      <c r="L781" s="2"/>
      <c r="M781" s="2"/>
      <c r="N781" s="2"/>
      <c r="O781" s="2"/>
      <c r="P781" s="2"/>
      <c r="Q781" s="2"/>
      <c r="R781" s="2"/>
      <c r="S781" s="2"/>
      <c r="T781" s="2"/>
      <c r="U781" s="2"/>
      <c r="V781" s="2"/>
      <c r="W781" s="2"/>
      <c r="X781" s="2"/>
      <c r="Y781" s="2"/>
      <c r="Z781" s="2"/>
      <c r="AA781" s="2"/>
      <c r="AB781" s="2"/>
    </row>
    <row r="782">
      <c r="A782" s="2"/>
      <c r="B782" s="2"/>
      <c r="C782" s="2"/>
      <c r="D782" s="2"/>
      <c r="E782" s="398"/>
      <c r="F782" s="2"/>
      <c r="G782" s="398"/>
      <c r="H782" s="398"/>
      <c r="I782" s="398"/>
      <c r="J782" s="398"/>
      <c r="K782" s="2"/>
      <c r="L782" s="2"/>
      <c r="M782" s="2"/>
      <c r="N782" s="2"/>
      <c r="O782" s="2"/>
      <c r="P782" s="2"/>
      <c r="Q782" s="2"/>
      <c r="R782" s="2"/>
      <c r="S782" s="2"/>
      <c r="T782" s="2"/>
      <c r="U782" s="2"/>
      <c r="V782" s="2"/>
      <c r="W782" s="2"/>
      <c r="X782" s="2"/>
      <c r="Y782" s="2"/>
      <c r="Z782" s="2"/>
      <c r="AA782" s="2"/>
      <c r="AB782" s="2"/>
    </row>
    <row r="783">
      <c r="A783" s="2"/>
      <c r="B783" s="2"/>
      <c r="C783" s="2"/>
      <c r="D783" s="2"/>
      <c r="E783" s="398"/>
      <c r="F783" s="2"/>
      <c r="G783" s="398"/>
      <c r="H783" s="398"/>
      <c r="I783" s="398"/>
      <c r="J783" s="398"/>
      <c r="K783" s="2"/>
      <c r="L783" s="2"/>
      <c r="M783" s="2"/>
      <c r="N783" s="2"/>
      <c r="O783" s="2"/>
      <c r="P783" s="2"/>
      <c r="Q783" s="2"/>
      <c r="R783" s="2"/>
      <c r="S783" s="2"/>
      <c r="T783" s="2"/>
      <c r="U783" s="2"/>
      <c r="V783" s="2"/>
      <c r="W783" s="2"/>
      <c r="X783" s="2"/>
      <c r="Y783" s="2"/>
      <c r="Z783" s="2"/>
      <c r="AA783" s="2"/>
      <c r="AB783" s="2"/>
    </row>
    <row r="784">
      <c r="A784" s="2"/>
      <c r="B784" s="2"/>
      <c r="C784" s="2"/>
      <c r="D784" s="2"/>
      <c r="E784" s="398"/>
      <c r="F784" s="2"/>
      <c r="G784" s="398"/>
      <c r="H784" s="398"/>
      <c r="I784" s="398"/>
      <c r="J784" s="398"/>
      <c r="K784" s="2"/>
      <c r="L784" s="2"/>
      <c r="M784" s="2"/>
      <c r="N784" s="2"/>
      <c r="O784" s="2"/>
      <c r="P784" s="2"/>
      <c r="Q784" s="2"/>
      <c r="R784" s="2"/>
      <c r="S784" s="2"/>
      <c r="T784" s="2"/>
      <c r="U784" s="2"/>
      <c r="V784" s="2"/>
      <c r="W784" s="2"/>
      <c r="X784" s="2"/>
      <c r="Y784" s="2"/>
      <c r="Z784" s="2"/>
      <c r="AA784" s="2"/>
      <c r="AB784" s="2"/>
    </row>
    <row r="785">
      <c r="A785" s="2"/>
      <c r="B785" s="2"/>
      <c r="C785" s="2"/>
      <c r="D785" s="2"/>
      <c r="E785" s="398"/>
      <c r="F785" s="2"/>
      <c r="G785" s="398"/>
      <c r="H785" s="398"/>
      <c r="I785" s="398"/>
      <c r="J785" s="398"/>
      <c r="K785" s="2"/>
      <c r="L785" s="2"/>
      <c r="M785" s="2"/>
      <c r="N785" s="2"/>
      <c r="O785" s="2"/>
      <c r="P785" s="2"/>
      <c r="Q785" s="2"/>
      <c r="R785" s="2"/>
      <c r="S785" s="2"/>
      <c r="T785" s="2"/>
      <c r="U785" s="2"/>
      <c r="V785" s="2"/>
      <c r="W785" s="2"/>
      <c r="X785" s="2"/>
      <c r="Y785" s="2"/>
      <c r="Z785" s="2"/>
      <c r="AA785" s="2"/>
      <c r="AB785" s="2"/>
    </row>
    <row r="786">
      <c r="A786" s="2"/>
      <c r="B786" s="2"/>
      <c r="C786" s="2"/>
      <c r="D786" s="2"/>
      <c r="E786" s="398"/>
      <c r="F786" s="2"/>
      <c r="G786" s="398"/>
      <c r="H786" s="398"/>
      <c r="I786" s="398"/>
      <c r="J786" s="398"/>
      <c r="K786" s="2"/>
      <c r="L786" s="2"/>
      <c r="M786" s="2"/>
      <c r="N786" s="2"/>
      <c r="O786" s="2"/>
      <c r="P786" s="2"/>
      <c r="Q786" s="2"/>
      <c r="R786" s="2"/>
      <c r="S786" s="2"/>
      <c r="T786" s="2"/>
      <c r="U786" s="2"/>
      <c r="V786" s="2"/>
      <c r="W786" s="2"/>
      <c r="X786" s="2"/>
      <c r="Y786" s="2"/>
      <c r="Z786" s="2"/>
      <c r="AA786" s="2"/>
      <c r="AB786" s="2"/>
    </row>
    <row r="787">
      <c r="A787" s="2"/>
      <c r="B787" s="2"/>
      <c r="C787" s="2"/>
      <c r="D787" s="2"/>
      <c r="E787" s="398"/>
      <c r="F787" s="2"/>
      <c r="G787" s="398"/>
      <c r="H787" s="398"/>
      <c r="I787" s="398"/>
      <c r="J787" s="398"/>
      <c r="K787" s="2"/>
      <c r="L787" s="2"/>
      <c r="M787" s="2"/>
      <c r="N787" s="2"/>
      <c r="O787" s="2"/>
      <c r="P787" s="2"/>
      <c r="Q787" s="2"/>
      <c r="R787" s="2"/>
      <c r="S787" s="2"/>
      <c r="T787" s="2"/>
      <c r="U787" s="2"/>
      <c r="V787" s="2"/>
      <c r="W787" s="2"/>
      <c r="X787" s="2"/>
      <c r="Y787" s="2"/>
      <c r="Z787" s="2"/>
      <c r="AA787" s="2"/>
      <c r="AB787" s="2"/>
    </row>
    <row r="788">
      <c r="A788" s="2"/>
      <c r="B788" s="2"/>
      <c r="C788" s="2"/>
      <c r="D788" s="2"/>
      <c r="E788" s="398"/>
      <c r="F788" s="2"/>
      <c r="G788" s="398"/>
      <c r="H788" s="398"/>
      <c r="I788" s="398"/>
      <c r="J788" s="398"/>
      <c r="K788" s="2"/>
      <c r="L788" s="2"/>
      <c r="M788" s="2"/>
      <c r="N788" s="2"/>
      <c r="O788" s="2"/>
      <c r="P788" s="2"/>
      <c r="Q788" s="2"/>
      <c r="R788" s="2"/>
      <c r="S788" s="2"/>
      <c r="T788" s="2"/>
      <c r="U788" s="2"/>
      <c r="V788" s="2"/>
      <c r="W788" s="2"/>
      <c r="X788" s="2"/>
      <c r="Y788" s="2"/>
      <c r="Z788" s="2"/>
      <c r="AA788" s="2"/>
      <c r="AB788" s="2"/>
    </row>
    <row r="789">
      <c r="A789" s="2"/>
      <c r="B789" s="2"/>
      <c r="C789" s="2"/>
      <c r="D789" s="2"/>
      <c r="E789" s="398"/>
      <c r="F789" s="2"/>
      <c r="G789" s="398"/>
      <c r="H789" s="398"/>
      <c r="I789" s="398"/>
      <c r="J789" s="398"/>
      <c r="K789" s="2"/>
      <c r="L789" s="2"/>
      <c r="M789" s="2"/>
      <c r="N789" s="2"/>
      <c r="O789" s="2"/>
      <c r="P789" s="2"/>
      <c r="Q789" s="2"/>
      <c r="R789" s="2"/>
      <c r="S789" s="2"/>
      <c r="T789" s="2"/>
      <c r="U789" s="2"/>
      <c r="V789" s="2"/>
      <c r="W789" s="2"/>
      <c r="X789" s="2"/>
      <c r="Y789" s="2"/>
      <c r="Z789" s="2"/>
      <c r="AA789" s="2"/>
      <c r="AB789" s="2"/>
    </row>
    <row r="790">
      <c r="A790" s="2"/>
      <c r="B790" s="2"/>
      <c r="C790" s="2"/>
      <c r="D790" s="2"/>
      <c r="E790" s="398"/>
      <c r="F790" s="2"/>
      <c r="G790" s="398"/>
      <c r="H790" s="398"/>
      <c r="I790" s="398"/>
      <c r="J790" s="398"/>
      <c r="K790" s="2"/>
      <c r="L790" s="2"/>
      <c r="M790" s="2"/>
      <c r="N790" s="2"/>
      <c r="O790" s="2"/>
      <c r="P790" s="2"/>
      <c r="Q790" s="2"/>
      <c r="R790" s="2"/>
      <c r="S790" s="2"/>
      <c r="T790" s="2"/>
      <c r="U790" s="2"/>
      <c r="V790" s="2"/>
      <c r="W790" s="2"/>
      <c r="X790" s="2"/>
      <c r="Y790" s="2"/>
      <c r="Z790" s="2"/>
      <c r="AA790" s="2"/>
      <c r="AB790" s="2"/>
    </row>
    <row r="791">
      <c r="A791" s="2"/>
      <c r="B791" s="2"/>
      <c r="C791" s="2"/>
      <c r="D791" s="2"/>
      <c r="E791" s="398"/>
      <c r="F791" s="2"/>
      <c r="G791" s="398"/>
      <c r="H791" s="398"/>
      <c r="I791" s="398"/>
      <c r="J791" s="398"/>
      <c r="K791" s="2"/>
      <c r="L791" s="2"/>
      <c r="M791" s="2"/>
      <c r="N791" s="2"/>
      <c r="O791" s="2"/>
      <c r="P791" s="2"/>
      <c r="Q791" s="2"/>
      <c r="R791" s="2"/>
      <c r="S791" s="2"/>
      <c r="T791" s="2"/>
      <c r="U791" s="2"/>
      <c r="V791" s="2"/>
      <c r="W791" s="2"/>
      <c r="X791" s="2"/>
      <c r="Y791" s="2"/>
      <c r="Z791" s="2"/>
      <c r="AA791" s="2"/>
      <c r="AB791" s="2"/>
    </row>
    <row r="792">
      <c r="A792" s="2"/>
      <c r="B792" s="2"/>
      <c r="C792" s="2"/>
      <c r="D792" s="2"/>
      <c r="E792" s="398"/>
      <c r="F792" s="2"/>
      <c r="G792" s="398"/>
      <c r="H792" s="398"/>
      <c r="I792" s="398"/>
      <c r="J792" s="398"/>
      <c r="K792" s="2"/>
      <c r="L792" s="2"/>
      <c r="M792" s="2"/>
      <c r="N792" s="2"/>
      <c r="O792" s="2"/>
      <c r="P792" s="2"/>
      <c r="Q792" s="2"/>
      <c r="R792" s="2"/>
      <c r="S792" s="2"/>
      <c r="T792" s="2"/>
      <c r="U792" s="2"/>
      <c r="V792" s="2"/>
      <c r="W792" s="2"/>
      <c r="X792" s="2"/>
      <c r="Y792" s="2"/>
      <c r="Z792" s="2"/>
      <c r="AA792" s="2"/>
      <c r="AB792" s="2"/>
    </row>
    <row r="793">
      <c r="A793" s="2"/>
      <c r="B793" s="2"/>
      <c r="C793" s="2"/>
      <c r="D793" s="2"/>
      <c r="E793" s="398"/>
      <c r="F793" s="2"/>
      <c r="G793" s="398"/>
      <c r="H793" s="398"/>
      <c r="I793" s="398"/>
      <c r="J793" s="398"/>
      <c r="K793" s="2"/>
      <c r="L793" s="2"/>
      <c r="M793" s="2"/>
      <c r="N793" s="2"/>
      <c r="O793" s="2"/>
      <c r="P793" s="2"/>
      <c r="Q793" s="2"/>
      <c r="R793" s="2"/>
      <c r="S793" s="2"/>
      <c r="T793" s="2"/>
      <c r="U793" s="2"/>
      <c r="V793" s="2"/>
      <c r="W793" s="2"/>
      <c r="X793" s="2"/>
      <c r="Y793" s="2"/>
      <c r="Z793" s="2"/>
      <c r="AA793" s="2"/>
      <c r="AB793" s="2"/>
    </row>
    <row r="794">
      <c r="A794" s="2"/>
      <c r="B794" s="2"/>
      <c r="C794" s="2"/>
      <c r="D794" s="2"/>
      <c r="E794" s="398"/>
      <c r="F794" s="2"/>
      <c r="G794" s="398"/>
      <c r="H794" s="398"/>
      <c r="I794" s="398"/>
      <c r="J794" s="398"/>
      <c r="K794" s="2"/>
      <c r="L794" s="2"/>
      <c r="M794" s="2"/>
      <c r="N794" s="2"/>
      <c r="O794" s="2"/>
      <c r="P794" s="2"/>
      <c r="Q794" s="2"/>
      <c r="R794" s="2"/>
      <c r="S794" s="2"/>
      <c r="T794" s="2"/>
      <c r="U794" s="2"/>
      <c r="V794" s="2"/>
      <c r="W794" s="2"/>
      <c r="X794" s="2"/>
      <c r="Y794" s="2"/>
      <c r="Z794" s="2"/>
      <c r="AA794" s="2"/>
      <c r="AB794" s="2"/>
    </row>
    <row r="795">
      <c r="A795" s="2"/>
      <c r="B795" s="2"/>
      <c r="C795" s="2"/>
      <c r="D795" s="2"/>
      <c r="E795" s="398"/>
      <c r="F795" s="2"/>
      <c r="G795" s="398"/>
      <c r="H795" s="398"/>
      <c r="I795" s="398"/>
      <c r="J795" s="398"/>
      <c r="K795" s="2"/>
      <c r="L795" s="2"/>
      <c r="M795" s="2"/>
      <c r="N795" s="2"/>
      <c r="O795" s="2"/>
      <c r="P795" s="2"/>
      <c r="Q795" s="2"/>
      <c r="R795" s="2"/>
      <c r="S795" s="2"/>
      <c r="T795" s="2"/>
      <c r="U795" s="2"/>
      <c r="V795" s="2"/>
      <c r="W795" s="2"/>
      <c r="X795" s="2"/>
      <c r="Y795" s="2"/>
      <c r="Z795" s="2"/>
      <c r="AA795" s="2"/>
      <c r="AB795" s="2"/>
    </row>
    <row r="796">
      <c r="A796" s="2"/>
      <c r="B796" s="2"/>
      <c r="C796" s="2"/>
      <c r="D796" s="2"/>
      <c r="E796" s="398"/>
      <c r="F796" s="2"/>
      <c r="G796" s="398"/>
      <c r="H796" s="398"/>
      <c r="I796" s="398"/>
      <c r="J796" s="398"/>
      <c r="K796" s="2"/>
      <c r="L796" s="2"/>
      <c r="M796" s="2"/>
      <c r="N796" s="2"/>
      <c r="O796" s="2"/>
      <c r="P796" s="2"/>
      <c r="Q796" s="2"/>
      <c r="R796" s="2"/>
      <c r="S796" s="2"/>
      <c r="T796" s="2"/>
      <c r="U796" s="2"/>
      <c r="V796" s="2"/>
      <c r="W796" s="2"/>
      <c r="X796" s="2"/>
      <c r="Y796" s="2"/>
      <c r="Z796" s="2"/>
      <c r="AA796" s="2"/>
      <c r="AB796" s="2"/>
    </row>
    <row r="797">
      <c r="A797" s="2"/>
      <c r="B797" s="2"/>
      <c r="C797" s="2"/>
      <c r="D797" s="2"/>
      <c r="E797" s="398"/>
      <c r="F797" s="2"/>
      <c r="G797" s="398"/>
      <c r="H797" s="398"/>
      <c r="I797" s="398"/>
      <c r="J797" s="398"/>
      <c r="K797" s="2"/>
      <c r="L797" s="2"/>
      <c r="M797" s="2"/>
      <c r="N797" s="2"/>
      <c r="O797" s="2"/>
      <c r="P797" s="2"/>
      <c r="Q797" s="2"/>
      <c r="R797" s="2"/>
      <c r="S797" s="2"/>
      <c r="T797" s="2"/>
      <c r="U797" s="2"/>
      <c r="V797" s="2"/>
      <c r="W797" s="2"/>
      <c r="X797" s="2"/>
      <c r="Y797" s="2"/>
      <c r="Z797" s="2"/>
      <c r="AA797" s="2"/>
      <c r="AB797" s="2"/>
    </row>
    <row r="798">
      <c r="A798" s="2"/>
      <c r="B798" s="2"/>
      <c r="C798" s="2"/>
      <c r="D798" s="2"/>
      <c r="E798" s="398"/>
      <c r="F798" s="2"/>
      <c r="G798" s="398"/>
      <c r="H798" s="398"/>
      <c r="I798" s="398"/>
      <c r="J798" s="398"/>
      <c r="K798" s="2"/>
      <c r="L798" s="2"/>
      <c r="M798" s="2"/>
      <c r="N798" s="2"/>
      <c r="O798" s="2"/>
      <c r="P798" s="2"/>
      <c r="Q798" s="2"/>
      <c r="R798" s="2"/>
      <c r="S798" s="2"/>
      <c r="T798" s="2"/>
      <c r="U798" s="2"/>
      <c r="V798" s="2"/>
      <c r="W798" s="2"/>
      <c r="X798" s="2"/>
      <c r="Y798" s="2"/>
      <c r="Z798" s="2"/>
      <c r="AA798" s="2"/>
      <c r="AB798" s="2"/>
    </row>
    <row r="799">
      <c r="A799" s="2"/>
      <c r="B799" s="2"/>
      <c r="C799" s="2"/>
      <c r="D799" s="2"/>
      <c r="E799" s="398"/>
      <c r="F799" s="2"/>
      <c r="G799" s="398"/>
      <c r="H799" s="398"/>
      <c r="I799" s="398"/>
      <c r="J799" s="398"/>
      <c r="K799" s="2"/>
      <c r="L799" s="2"/>
      <c r="M799" s="2"/>
      <c r="N799" s="2"/>
      <c r="O799" s="2"/>
      <c r="P799" s="2"/>
      <c r="Q799" s="2"/>
      <c r="R799" s="2"/>
      <c r="S799" s="2"/>
      <c r="T799" s="2"/>
      <c r="U799" s="2"/>
      <c r="V799" s="2"/>
      <c r="W799" s="2"/>
      <c r="X799" s="2"/>
      <c r="Y799" s="2"/>
      <c r="Z799" s="2"/>
      <c r="AA799" s="2"/>
      <c r="AB799" s="2"/>
    </row>
    <row r="800">
      <c r="A800" s="2"/>
      <c r="B800" s="2"/>
      <c r="C800" s="2"/>
      <c r="D800" s="2"/>
      <c r="E800" s="398"/>
      <c r="F800" s="2"/>
      <c r="G800" s="398"/>
      <c r="H800" s="398"/>
      <c r="I800" s="398"/>
      <c r="J800" s="398"/>
      <c r="K800" s="2"/>
      <c r="L800" s="2"/>
      <c r="M800" s="2"/>
      <c r="N800" s="2"/>
      <c r="O800" s="2"/>
      <c r="P800" s="2"/>
      <c r="Q800" s="2"/>
      <c r="R800" s="2"/>
      <c r="S800" s="2"/>
      <c r="T800" s="2"/>
      <c r="U800" s="2"/>
      <c r="V800" s="2"/>
      <c r="W800" s="2"/>
      <c r="X800" s="2"/>
      <c r="Y800" s="2"/>
      <c r="Z800" s="2"/>
      <c r="AA800" s="2"/>
      <c r="AB800" s="2"/>
    </row>
    <row r="801">
      <c r="A801" s="2"/>
      <c r="B801" s="2"/>
      <c r="C801" s="2"/>
      <c r="D801" s="2"/>
      <c r="E801" s="398"/>
      <c r="F801" s="2"/>
      <c r="G801" s="398"/>
      <c r="H801" s="398"/>
      <c r="I801" s="398"/>
      <c r="J801" s="398"/>
      <c r="K801" s="2"/>
      <c r="L801" s="2"/>
      <c r="M801" s="2"/>
      <c r="N801" s="2"/>
      <c r="O801" s="2"/>
      <c r="P801" s="2"/>
      <c r="Q801" s="2"/>
      <c r="R801" s="2"/>
      <c r="S801" s="2"/>
      <c r="T801" s="2"/>
      <c r="U801" s="2"/>
      <c r="V801" s="2"/>
      <c r="W801" s="2"/>
      <c r="X801" s="2"/>
      <c r="Y801" s="2"/>
      <c r="Z801" s="2"/>
      <c r="AA801" s="2"/>
      <c r="AB801" s="2"/>
    </row>
    <row r="802">
      <c r="A802" s="2"/>
      <c r="B802" s="2"/>
      <c r="C802" s="2"/>
      <c r="D802" s="2"/>
      <c r="E802" s="398"/>
      <c r="F802" s="2"/>
      <c r="G802" s="398"/>
      <c r="H802" s="398"/>
      <c r="I802" s="398"/>
      <c r="J802" s="398"/>
      <c r="K802" s="2"/>
      <c r="L802" s="2"/>
      <c r="M802" s="2"/>
      <c r="N802" s="2"/>
      <c r="O802" s="2"/>
      <c r="P802" s="2"/>
      <c r="Q802" s="2"/>
      <c r="R802" s="2"/>
      <c r="S802" s="2"/>
      <c r="T802" s="2"/>
      <c r="U802" s="2"/>
      <c r="V802" s="2"/>
      <c r="W802" s="2"/>
      <c r="X802" s="2"/>
      <c r="Y802" s="2"/>
      <c r="Z802" s="2"/>
      <c r="AA802" s="2"/>
      <c r="AB802" s="2"/>
    </row>
    <row r="803">
      <c r="A803" s="2"/>
      <c r="B803" s="2"/>
      <c r="C803" s="2"/>
      <c r="D803" s="2"/>
      <c r="E803" s="398"/>
      <c r="F803" s="2"/>
      <c r="G803" s="398"/>
      <c r="H803" s="398"/>
      <c r="I803" s="398"/>
      <c r="J803" s="398"/>
      <c r="K803" s="2"/>
      <c r="L803" s="2"/>
      <c r="M803" s="2"/>
      <c r="N803" s="2"/>
      <c r="O803" s="2"/>
      <c r="P803" s="2"/>
      <c r="Q803" s="2"/>
      <c r="R803" s="2"/>
      <c r="S803" s="2"/>
      <c r="T803" s="2"/>
      <c r="U803" s="2"/>
      <c r="V803" s="2"/>
      <c r="W803" s="2"/>
      <c r="X803" s="2"/>
      <c r="Y803" s="2"/>
      <c r="Z803" s="2"/>
      <c r="AA803" s="2"/>
      <c r="AB803" s="2"/>
    </row>
    <row r="804">
      <c r="A804" s="2"/>
      <c r="B804" s="2"/>
      <c r="C804" s="2"/>
      <c r="D804" s="2"/>
      <c r="E804" s="398"/>
      <c r="F804" s="2"/>
      <c r="G804" s="398"/>
      <c r="H804" s="398"/>
      <c r="I804" s="398"/>
      <c r="J804" s="398"/>
      <c r="K804" s="2"/>
      <c r="L804" s="2"/>
      <c r="M804" s="2"/>
      <c r="N804" s="2"/>
      <c r="O804" s="2"/>
      <c r="P804" s="2"/>
      <c r="Q804" s="2"/>
      <c r="R804" s="2"/>
      <c r="S804" s="2"/>
      <c r="T804" s="2"/>
      <c r="U804" s="2"/>
      <c r="V804" s="2"/>
      <c r="W804" s="2"/>
      <c r="X804" s="2"/>
      <c r="Y804" s="2"/>
      <c r="Z804" s="2"/>
      <c r="AA804" s="2"/>
      <c r="AB804" s="2"/>
    </row>
    <row r="805">
      <c r="A805" s="2"/>
      <c r="B805" s="2"/>
      <c r="C805" s="2"/>
      <c r="D805" s="2"/>
      <c r="E805" s="398"/>
      <c r="F805" s="2"/>
      <c r="G805" s="398"/>
      <c r="H805" s="398"/>
      <c r="I805" s="398"/>
      <c r="J805" s="398"/>
      <c r="K805" s="2"/>
      <c r="L805" s="2"/>
      <c r="M805" s="2"/>
      <c r="N805" s="2"/>
      <c r="O805" s="2"/>
      <c r="P805" s="2"/>
      <c r="Q805" s="2"/>
      <c r="R805" s="2"/>
      <c r="S805" s="2"/>
      <c r="T805" s="2"/>
      <c r="U805" s="2"/>
      <c r="V805" s="2"/>
      <c r="W805" s="2"/>
      <c r="X805" s="2"/>
      <c r="Y805" s="2"/>
      <c r="Z805" s="2"/>
      <c r="AA805" s="2"/>
      <c r="AB805" s="2"/>
    </row>
    <row r="806">
      <c r="A806" s="2"/>
      <c r="B806" s="2"/>
      <c r="C806" s="2"/>
      <c r="D806" s="2"/>
      <c r="E806" s="398"/>
      <c r="F806" s="2"/>
      <c r="G806" s="398"/>
      <c r="H806" s="398"/>
      <c r="I806" s="398"/>
      <c r="J806" s="398"/>
      <c r="K806" s="2"/>
      <c r="L806" s="2"/>
      <c r="M806" s="2"/>
      <c r="N806" s="2"/>
      <c r="O806" s="2"/>
      <c r="P806" s="2"/>
      <c r="Q806" s="2"/>
      <c r="R806" s="2"/>
      <c r="S806" s="2"/>
      <c r="T806" s="2"/>
      <c r="U806" s="2"/>
      <c r="V806" s="2"/>
      <c r="W806" s="2"/>
      <c r="X806" s="2"/>
      <c r="Y806" s="2"/>
      <c r="Z806" s="2"/>
      <c r="AA806" s="2"/>
      <c r="AB806" s="2"/>
    </row>
    <row r="807">
      <c r="A807" s="2"/>
      <c r="B807" s="2"/>
      <c r="C807" s="2"/>
      <c r="D807" s="2"/>
      <c r="E807" s="398"/>
      <c r="F807" s="2"/>
      <c r="G807" s="398"/>
      <c r="H807" s="398"/>
      <c r="I807" s="398"/>
      <c r="J807" s="398"/>
      <c r="K807" s="2"/>
      <c r="L807" s="2"/>
      <c r="M807" s="2"/>
      <c r="N807" s="2"/>
      <c r="O807" s="2"/>
      <c r="P807" s="2"/>
      <c r="Q807" s="2"/>
      <c r="R807" s="2"/>
      <c r="S807" s="2"/>
      <c r="T807" s="2"/>
      <c r="U807" s="2"/>
      <c r="V807" s="2"/>
      <c r="W807" s="2"/>
      <c r="X807" s="2"/>
      <c r="Y807" s="2"/>
      <c r="Z807" s="2"/>
      <c r="AA807" s="2"/>
      <c r="AB807" s="2"/>
    </row>
    <row r="808">
      <c r="A808" s="2"/>
      <c r="B808" s="2"/>
      <c r="C808" s="2"/>
      <c r="D808" s="2"/>
      <c r="E808" s="398"/>
      <c r="F808" s="2"/>
      <c r="G808" s="398"/>
      <c r="H808" s="398"/>
      <c r="I808" s="398"/>
      <c r="J808" s="398"/>
      <c r="K808" s="2"/>
      <c r="L808" s="2"/>
      <c r="M808" s="2"/>
      <c r="N808" s="2"/>
      <c r="O808" s="2"/>
      <c r="P808" s="2"/>
      <c r="Q808" s="2"/>
      <c r="R808" s="2"/>
      <c r="S808" s="2"/>
      <c r="T808" s="2"/>
      <c r="U808" s="2"/>
      <c r="V808" s="2"/>
      <c r="W808" s="2"/>
      <c r="X808" s="2"/>
      <c r="Y808" s="2"/>
      <c r="Z808" s="2"/>
      <c r="AA808" s="2"/>
      <c r="AB808" s="2"/>
    </row>
    <row r="809">
      <c r="A809" s="2"/>
      <c r="B809" s="2"/>
      <c r="C809" s="2"/>
      <c r="D809" s="2"/>
      <c r="E809" s="398"/>
      <c r="F809" s="2"/>
      <c r="G809" s="398"/>
      <c r="H809" s="398"/>
      <c r="I809" s="398"/>
      <c r="J809" s="398"/>
      <c r="K809" s="2"/>
      <c r="L809" s="2"/>
      <c r="M809" s="2"/>
      <c r="N809" s="2"/>
      <c r="O809" s="2"/>
      <c r="P809" s="2"/>
      <c r="Q809" s="2"/>
      <c r="R809" s="2"/>
      <c r="S809" s="2"/>
      <c r="T809" s="2"/>
      <c r="U809" s="2"/>
      <c r="V809" s="2"/>
      <c r="W809" s="2"/>
      <c r="X809" s="2"/>
      <c r="Y809" s="2"/>
      <c r="Z809" s="2"/>
      <c r="AA809" s="2"/>
      <c r="AB809" s="2"/>
    </row>
    <row r="810">
      <c r="A810" s="2"/>
      <c r="B810" s="2"/>
      <c r="C810" s="2"/>
      <c r="D810" s="2"/>
      <c r="E810" s="398"/>
      <c r="F810" s="2"/>
      <c r="G810" s="398"/>
      <c r="H810" s="398"/>
      <c r="I810" s="398"/>
      <c r="J810" s="398"/>
      <c r="K810" s="2"/>
      <c r="L810" s="2"/>
      <c r="M810" s="2"/>
      <c r="N810" s="2"/>
      <c r="O810" s="2"/>
      <c r="P810" s="2"/>
      <c r="Q810" s="2"/>
      <c r="R810" s="2"/>
      <c r="S810" s="2"/>
      <c r="T810" s="2"/>
      <c r="U810" s="2"/>
      <c r="V810" s="2"/>
      <c r="W810" s="2"/>
      <c r="X810" s="2"/>
      <c r="Y810" s="2"/>
      <c r="Z810" s="2"/>
      <c r="AA810" s="2"/>
      <c r="AB810" s="2"/>
    </row>
    <row r="811">
      <c r="A811" s="2"/>
      <c r="B811" s="2"/>
      <c r="C811" s="2"/>
      <c r="D811" s="2"/>
      <c r="E811" s="398"/>
      <c r="F811" s="2"/>
      <c r="G811" s="398"/>
      <c r="H811" s="398"/>
      <c r="I811" s="398"/>
      <c r="J811" s="398"/>
      <c r="K811" s="2"/>
      <c r="L811" s="2"/>
      <c r="M811" s="2"/>
      <c r="N811" s="2"/>
      <c r="O811" s="2"/>
      <c r="P811" s="2"/>
      <c r="Q811" s="2"/>
      <c r="R811" s="2"/>
      <c r="S811" s="2"/>
      <c r="T811" s="2"/>
      <c r="U811" s="2"/>
      <c r="V811" s="2"/>
      <c r="W811" s="2"/>
      <c r="X811" s="2"/>
      <c r="Y811" s="2"/>
      <c r="Z811" s="2"/>
      <c r="AA811" s="2"/>
      <c r="AB811" s="2"/>
    </row>
    <row r="812">
      <c r="A812" s="2"/>
      <c r="B812" s="2"/>
      <c r="C812" s="2"/>
      <c r="D812" s="2"/>
      <c r="E812" s="398"/>
      <c r="F812" s="2"/>
      <c r="G812" s="398"/>
      <c r="H812" s="398"/>
      <c r="I812" s="398"/>
      <c r="J812" s="398"/>
      <c r="K812" s="2"/>
      <c r="L812" s="2"/>
      <c r="M812" s="2"/>
      <c r="N812" s="2"/>
      <c r="O812" s="2"/>
      <c r="P812" s="2"/>
      <c r="Q812" s="2"/>
      <c r="R812" s="2"/>
      <c r="S812" s="2"/>
      <c r="T812" s="2"/>
      <c r="U812" s="2"/>
      <c r="V812" s="2"/>
      <c r="W812" s="2"/>
      <c r="X812" s="2"/>
      <c r="Y812" s="2"/>
      <c r="Z812" s="2"/>
      <c r="AA812" s="2"/>
      <c r="AB812" s="2"/>
    </row>
    <row r="813">
      <c r="A813" s="2"/>
      <c r="B813" s="2"/>
      <c r="C813" s="2"/>
      <c r="D813" s="2"/>
      <c r="E813" s="398"/>
      <c r="F813" s="2"/>
      <c r="G813" s="398"/>
      <c r="H813" s="398"/>
      <c r="I813" s="398"/>
      <c r="J813" s="398"/>
      <c r="K813" s="2"/>
      <c r="L813" s="2"/>
      <c r="M813" s="2"/>
      <c r="N813" s="2"/>
      <c r="O813" s="2"/>
      <c r="P813" s="2"/>
      <c r="Q813" s="2"/>
      <c r="R813" s="2"/>
      <c r="S813" s="2"/>
      <c r="T813" s="2"/>
      <c r="U813" s="2"/>
      <c r="V813" s="2"/>
      <c r="W813" s="2"/>
      <c r="X813" s="2"/>
      <c r="Y813" s="2"/>
      <c r="Z813" s="2"/>
      <c r="AA813" s="2"/>
      <c r="AB813" s="2"/>
    </row>
    <row r="814">
      <c r="A814" s="2"/>
      <c r="B814" s="2"/>
      <c r="C814" s="2"/>
      <c r="D814" s="2"/>
      <c r="E814" s="398"/>
      <c r="F814" s="2"/>
      <c r="G814" s="398"/>
      <c r="H814" s="398"/>
      <c r="I814" s="398"/>
      <c r="J814" s="398"/>
      <c r="K814" s="2"/>
      <c r="L814" s="2"/>
      <c r="M814" s="2"/>
      <c r="N814" s="2"/>
      <c r="O814" s="2"/>
      <c r="P814" s="2"/>
      <c r="Q814" s="2"/>
      <c r="R814" s="2"/>
      <c r="S814" s="2"/>
      <c r="T814" s="2"/>
      <c r="U814" s="2"/>
      <c r="V814" s="2"/>
      <c r="W814" s="2"/>
      <c r="X814" s="2"/>
      <c r="Y814" s="2"/>
      <c r="Z814" s="2"/>
      <c r="AA814" s="2"/>
      <c r="AB814" s="2"/>
    </row>
    <row r="815">
      <c r="A815" s="2"/>
      <c r="B815" s="2"/>
      <c r="C815" s="2"/>
      <c r="D815" s="2"/>
      <c r="E815" s="398"/>
      <c r="F815" s="2"/>
      <c r="G815" s="398"/>
      <c r="H815" s="398"/>
      <c r="I815" s="398"/>
      <c r="J815" s="398"/>
      <c r="K815" s="2"/>
      <c r="L815" s="2"/>
      <c r="M815" s="2"/>
      <c r="N815" s="2"/>
      <c r="O815" s="2"/>
      <c r="P815" s="2"/>
      <c r="Q815" s="2"/>
      <c r="R815" s="2"/>
      <c r="S815" s="2"/>
      <c r="T815" s="2"/>
      <c r="U815" s="2"/>
      <c r="V815" s="2"/>
      <c r="W815" s="2"/>
      <c r="X815" s="2"/>
      <c r="Y815" s="2"/>
      <c r="Z815" s="2"/>
      <c r="AA815" s="2"/>
      <c r="AB815" s="2"/>
    </row>
    <row r="816">
      <c r="A816" s="2"/>
      <c r="B816" s="2"/>
      <c r="C816" s="2"/>
      <c r="D816" s="2"/>
      <c r="E816" s="398"/>
      <c r="F816" s="2"/>
      <c r="G816" s="398"/>
      <c r="H816" s="398"/>
      <c r="I816" s="398"/>
      <c r="J816" s="398"/>
      <c r="K816" s="2"/>
      <c r="L816" s="2"/>
      <c r="M816" s="2"/>
      <c r="N816" s="2"/>
      <c r="O816" s="2"/>
      <c r="P816" s="2"/>
      <c r="Q816" s="2"/>
      <c r="R816" s="2"/>
      <c r="S816" s="2"/>
      <c r="T816" s="2"/>
      <c r="U816" s="2"/>
      <c r="V816" s="2"/>
      <c r="W816" s="2"/>
      <c r="X816" s="2"/>
      <c r="Y816" s="2"/>
      <c r="Z816" s="2"/>
      <c r="AA816" s="2"/>
      <c r="AB816" s="2"/>
    </row>
    <row r="817">
      <c r="A817" s="2"/>
      <c r="B817" s="2"/>
      <c r="C817" s="2"/>
      <c r="D817" s="2"/>
      <c r="E817" s="398"/>
      <c r="F817" s="2"/>
      <c r="G817" s="398"/>
      <c r="H817" s="398"/>
      <c r="I817" s="398"/>
      <c r="J817" s="398"/>
      <c r="K817" s="2"/>
      <c r="L817" s="2"/>
      <c r="M817" s="2"/>
      <c r="N817" s="2"/>
      <c r="O817" s="2"/>
      <c r="P817" s="2"/>
      <c r="Q817" s="2"/>
      <c r="R817" s="2"/>
      <c r="S817" s="2"/>
      <c r="T817" s="2"/>
      <c r="U817" s="2"/>
      <c r="V817" s="2"/>
      <c r="W817" s="2"/>
      <c r="X817" s="2"/>
      <c r="Y817" s="2"/>
      <c r="Z817" s="2"/>
      <c r="AA817" s="2"/>
      <c r="AB817" s="2"/>
    </row>
    <row r="818">
      <c r="A818" s="2"/>
      <c r="B818" s="2"/>
      <c r="C818" s="2"/>
      <c r="D818" s="2"/>
      <c r="E818" s="398"/>
      <c r="F818" s="2"/>
      <c r="G818" s="398"/>
      <c r="H818" s="398"/>
      <c r="I818" s="398"/>
      <c r="J818" s="398"/>
      <c r="K818" s="2"/>
      <c r="L818" s="2"/>
      <c r="M818" s="2"/>
      <c r="N818" s="2"/>
      <c r="O818" s="2"/>
      <c r="P818" s="2"/>
      <c r="Q818" s="2"/>
      <c r="R818" s="2"/>
      <c r="S818" s="2"/>
      <c r="T818" s="2"/>
      <c r="U818" s="2"/>
      <c r="V818" s="2"/>
      <c r="W818" s="2"/>
      <c r="X818" s="2"/>
      <c r="Y818" s="2"/>
      <c r="Z818" s="2"/>
      <c r="AA818" s="2"/>
      <c r="AB818" s="2"/>
    </row>
    <row r="819">
      <c r="A819" s="2"/>
      <c r="B819" s="2"/>
      <c r="C819" s="2"/>
      <c r="D819" s="2"/>
      <c r="E819" s="398"/>
      <c r="F819" s="2"/>
      <c r="G819" s="398"/>
      <c r="H819" s="398"/>
      <c r="I819" s="398"/>
      <c r="J819" s="398"/>
      <c r="K819" s="2"/>
      <c r="L819" s="2"/>
      <c r="M819" s="2"/>
      <c r="N819" s="2"/>
      <c r="O819" s="2"/>
      <c r="P819" s="2"/>
      <c r="Q819" s="2"/>
      <c r="R819" s="2"/>
      <c r="S819" s="2"/>
      <c r="T819" s="2"/>
      <c r="U819" s="2"/>
      <c r="V819" s="2"/>
      <c r="W819" s="2"/>
      <c r="X819" s="2"/>
      <c r="Y819" s="2"/>
      <c r="Z819" s="2"/>
      <c r="AA819" s="2"/>
      <c r="AB819" s="2"/>
    </row>
    <row r="820">
      <c r="A820" s="2"/>
      <c r="B820" s="2"/>
      <c r="C820" s="2"/>
      <c r="D820" s="2"/>
      <c r="E820" s="398"/>
      <c r="F820" s="2"/>
      <c r="G820" s="398"/>
      <c r="H820" s="398"/>
      <c r="I820" s="398"/>
      <c r="J820" s="398"/>
      <c r="K820" s="2"/>
      <c r="L820" s="2"/>
      <c r="M820" s="2"/>
      <c r="N820" s="2"/>
      <c r="O820" s="2"/>
      <c r="P820" s="2"/>
      <c r="Q820" s="2"/>
      <c r="R820" s="2"/>
      <c r="S820" s="2"/>
      <c r="T820" s="2"/>
      <c r="U820" s="2"/>
      <c r="V820" s="2"/>
      <c r="W820" s="2"/>
      <c r="X820" s="2"/>
      <c r="Y820" s="2"/>
      <c r="Z820" s="2"/>
      <c r="AA820" s="2"/>
      <c r="AB820" s="2"/>
    </row>
    <row r="821">
      <c r="A821" s="2"/>
      <c r="B821" s="2"/>
      <c r="C821" s="2"/>
      <c r="D821" s="2"/>
      <c r="E821" s="398"/>
      <c r="F821" s="2"/>
      <c r="G821" s="398"/>
      <c r="H821" s="398"/>
      <c r="I821" s="398"/>
      <c r="J821" s="398"/>
      <c r="K821" s="2"/>
      <c r="L821" s="2"/>
      <c r="M821" s="2"/>
      <c r="N821" s="2"/>
      <c r="O821" s="2"/>
      <c r="P821" s="2"/>
      <c r="Q821" s="2"/>
      <c r="R821" s="2"/>
      <c r="S821" s="2"/>
      <c r="T821" s="2"/>
      <c r="U821" s="2"/>
      <c r="V821" s="2"/>
      <c r="W821" s="2"/>
      <c r="X821" s="2"/>
      <c r="Y821" s="2"/>
      <c r="Z821" s="2"/>
      <c r="AA821" s="2"/>
      <c r="AB821" s="2"/>
    </row>
    <row r="822">
      <c r="A822" s="2"/>
      <c r="B822" s="2"/>
      <c r="C822" s="2"/>
      <c r="D822" s="2"/>
      <c r="E822" s="398"/>
      <c r="F822" s="2"/>
      <c r="G822" s="398"/>
      <c r="H822" s="398"/>
      <c r="I822" s="398"/>
      <c r="J822" s="398"/>
      <c r="K822" s="2"/>
      <c r="L822" s="2"/>
      <c r="M822" s="2"/>
      <c r="N822" s="2"/>
      <c r="O822" s="2"/>
      <c r="P822" s="2"/>
      <c r="Q822" s="2"/>
      <c r="R822" s="2"/>
      <c r="S822" s="2"/>
      <c r="T822" s="2"/>
      <c r="U822" s="2"/>
      <c r="V822" s="2"/>
      <c r="W822" s="2"/>
      <c r="X822" s="2"/>
      <c r="Y822" s="2"/>
      <c r="Z822" s="2"/>
      <c r="AA822" s="2"/>
      <c r="AB822" s="2"/>
    </row>
    <row r="823">
      <c r="A823" s="2"/>
      <c r="B823" s="2"/>
      <c r="C823" s="2"/>
      <c r="D823" s="2"/>
      <c r="E823" s="398"/>
      <c r="F823" s="2"/>
      <c r="G823" s="398"/>
      <c r="H823" s="398"/>
      <c r="I823" s="398"/>
      <c r="J823" s="398"/>
      <c r="K823" s="2"/>
      <c r="L823" s="2"/>
      <c r="M823" s="2"/>
      <c r="N823" s="2"/>
      <c r="O823" s="2"/>
      <c r="P823" s="2"/>
      <c r="Q823" s="2"/>
      <c r="R823" s="2"/>
      <c r="S823" s="2"/>
      <c r="T823" s="2"/>
      <c r="U823" s="2"/>
      <c r="V823" s="2"/>
      <c r="W823" s="2"/>
      <c r="X823" s="2"/>
      <c r="Y823" s="2"/>
      <c r="Z823" s="2"/>
      <c r="AA823" s="2"/>
      <c r="AB823" s="2"/>
    </row>
    <row r="824">
      <c r="A824" s="2"/>
      <c r="B824" s="2"/>
      <c r="C824" s="2"/>
      <c r="D824" s="2"/>
      <c r="E824" s="398"/>
      <c r="F824" s="2"/>
      <c r="G824" s="398"/>
      <c r="H824" s="398"/>
      <c r="I824" s="398"/>
      <c r="J824" s="398"/>
      <c r="K824" s="2"/>
      <c r="L824" s="2"/>
      <c r="M824" s="2"/>
      <c r="N824" s="2"/>
      <c r="O824" s="2"/>
      <c r="P824" s="2"/>
      <c r="Q824" s="2"/>
      <c r="R824" s="2"/>
      <c r="S824" s="2"/>
      <c r="T824" s="2"/>
      <c r="U824" s="2"/>
      <c r="V824" s="2"/>
      <c r="W824" s="2"/>
      <c r="X824" s="2"/>
      <c r="Y824" s="2"/>
      <c r="Z824" s="2"/>
      <c r="AA824" s="2"/>
      <c r="AB824" s="2"/>
    </row>
    <row r="825">
      <c r="A825" s="2"/>
      <c r="B825" s="2"/>
      <c r="C825" s="2"/>
      <c r="D825" s="2"/>
      <c r="E825" s="398"/>
      <c r="F825" s="2"/>
      <c r="G825" s="398"/>
      <c r="H825" s="398"/>
      <c r="I825" s="398"/>
      <c r="J825" s="398"/>
      <c r="K825" s="2"/>
      <c r="L825" s="2"/>
      <c r="M825" s="2"/>
      <c r="N825" s="2"/>
      <c r="O825" s="2"/>
      <c r="P825" s="2"/>
      <c r="Q825" s="2"/>
      <c r="R825" s="2"/>
      <c r="S825" s="2"/>
      <c r="T825" s="2"/>
      <c r="U825" s="2"/>
      <c r="V825" s="2"/>
      <c r="W825" s="2"/>
      <c r="X825" s="2"/>
      <c r="Y825" s="2"/>
      <c r="Z825" s="2"/>
      <c r="AA825" s="2"/>
      <c r="AB825" s="2"/>
    </row>
    <row r="826">
      <c r="A826" s="2"/>
      <c r="B826" s="2"/>
      <c r="C826" s="2"/>
      <c r="D826" s="2"/>
      <c r="E826" s="398"/>
      <c r="F826" s="2"/>
      <c r="G826" s="398"/>
      <c r="H826" s="398"/>
      <c r="I826" s="398"/>
      <c r="J826" s="398"/>
      <c r="K826" s="2"/>
      <c r="L826" s="2"/>
      <c r="M826" s="2"/>
      <c r="N826" s="2"/>
      <c r="O826" s="2"/>
      <c r="P826" s="2"/>
      <c r="Q826" s="2"/>
      <c r="R826" s="2"/>
      <c r="S826" s="2"/>
      <c r="T826" s="2"/>
      <c r="U826" s="2"/>
      <c r="V826" s="2"/>
      <c r="W826" s="2"/>
      <c r="X826" s="2"/>
      <c r="Y826" s="2"/>
      <c r="Z826" s="2"/>
      <c r="AA826" s="2"/>
      <c r="AB826" s="2"/>
    </row>
    <row r="827">
      <c r="A827" s="2"/>
      <c r="B827" s="2"/>
      <c r="C827" s="2"/>
      <c r="D827" s="2"/>
      <c r="E827" s="398"/>
      <c r="F827" s="2"/>
      <c r="G827" s="398"/>
      <c r="H827" s="398"/>
      <c r="I827" s="398"/>
      <c r="J827" s="398"/>
      <c r="K827" s="2"/>
      <c r="L827" s="2"/>
      <c r="M827" s="2"/>
      <c r="N827" s="2"/>
      <c r="O827" s="2"/>
      <c r="P827" s="2"/>
      <c r="Q827" s="2"/>
      <c r="R827" s="2"/>
      <c r="S827" s="2"/>
      <c r="T827" s="2"/>
      <c r="U827" s="2"/>
      <c r="V827" s="2"/>
      <c r="W827" s="2"/>
      <c r="X827" s="2"/>
      <c r="Y827" s="2"/>
      <c r="Z827" s="2"/>
      <c r="AA827" s="2"/>
      <c r="AB827" s="2"/>
    </row>
    <row r="828">
      <c r="A828" s="2"/>
      <c r="B828" s="2"/>
      <c r="C828" s="2"/>
      <c r="D828" s="2"/>
      <c r="E828" s="398"/>
      <c r="F828" s="2"/>
      <c r="G828" s="398"/>
      <c r="H828" s="398"/>
      <c r="I828" s="398"/>
      <c r="J828" s="398"/>
      <c r="K828" s="2"/>
      <c r="L828" s="2"/>
      <c r="M828" s="2"/>
      <c r="N828" s="2"/>
      <c r="O828" s="2"/>
      <c r="P828" s="2"/>
      <c r="Q828" s="2"/>
      <c r="R828" s="2"/>
      <c r="S828" s="2"/>
      <c r="T828" s="2"/>
      <c r="U828" s="2"/>
      <c r="V828" s="2"/>
      <c r="W828" s="2"/>
      <c r="X828" s="2"/>
      <c r="Y828" s="2"/>
      <c r="Z828" s="2"/>
      <c r="AA828" s="2"/>
      <c r="AB828" s="2"/>
    </row>
    <row r="829">
      <c r="A829" s="2"/>
      <c r="B829" s="2"/>
      <c r="C829" s="2"/>
      <c r="D829" s="2"/>
      <c r="E829" s="398"/>
      <c r="F829" s="2"/>
      <c r="G829" s="398"/>
      <c r="H829" s="398"/>
      <c r="I829" s="398"/>
      <c r="J829" s="398"/>
      <c r="K829" s="2"/>
      <c r="L829" s="2"/>
      <c r="M829" s="2"/>
      <c r="N829" s="2"/>
      <c r="O829" s="2"/>
      <c r="P829" s="2"/>
      <c r="Q829" s="2"/>
      <c r="R829" s="2"/>
      <c r="S829" s="2"/>
      <c r="T829" s="2"/>
      <c r="U829" s="2"/>
      <c r="V829" s="2"/>
      <c r="W829" s="2"/>
      <c r="X829" s="2"/>
      <c r="Y829" s="2"/>
      <c r="Z829" s="2"/>
      <c r="AA829" s="2"/>
      <c r="AB829" s="2"/>
    </row>
    <row r="830">
      <c r="A830" s="2"/>
      <c r="B830" s="2"/>
      <c r="C830" s="2"/>
      <c r="D830" s="2"/>
      <c r="E830" s="398"/>
      <c r="F830" s="2"/>
      <c r="G830" s="398"/>
      <c r="H830" s="398"/>
      <c r="I830" s="398"/>
      <c r="J830" s="398"/>
      <c r="K830" s="2"/>
      <c r="L830" s="2"/>
      <c r="M830" s="2"/>
      <c r="N830" s="2"/>
      <c r="O830" s="2"/>
      <c r="P830" s="2"/>
      <c r="Q830" s="2"/>
      <c r="R830" s="2"/>
      <c r="S830" s="2"/>
      <c r="T830" s="2"/>
      <c r="U830" s="2"/>
      <c r="V830" s="2"/>
      <c r="W830" s="2"/>
      <c r="X830" s="2"/>
      <c r="Y830" s="2"/>
      <c r="Z830" s="2"/>
      <c r="AA830" s="2"/>
      <c r="AB830" s="2"/>
    </row>
    <row r="831">
      <c r="A831" s="2"/>
      <c r="B831" s="2"/>
      <c r="C831" s="2"/>
      <c r="D831" s="2"/>
      <c r="E831" s="398"/>
      <c r="F831" s="2"/>
      <c r="G831" s="398"/>
      <c r="H831" s="398"/>
      <c r="I831" s="398"/>
      <c r="J831" s="398"/>
      <c r="K831" s="2"/>
      <c r="L831" s="2"/>
      <c r="M831" s="2"/>
      <c r="N831" s="2"/>
      <c r="O831" s="2"/>
      <c r="P831" s="2"/>
      <c r="Q831" s="2"/>
      <c r="R831" s="2"/>
      <c r="S831" s="2"/>
      <c r="T831" s="2"/>
      <c r="U831" s="2"/>
      <c r="V831" s="2"/>
      <c r="W831" s="2"/>
      <c r="X831" s="2"/>
      <c r="Y831" s="2"/>
      <c r="Z831" s="2"/>
      <c r="AA831" s="2"/>
      <c r="AB831" s="2"/>
    </row>
    <row r="832">
      <c r="A832" s="2"/>
      <c r="B832" s="2"/>
      <c r="C832" s="2"/>
      <c r="D832" s="2"/>
      <c r="E832" s="398"/>
      <c r="F832" s="2"/>
      <c r="G832" s="398"/>
      <c r="H832" s="398"/>
      <c r="I832" s="398"/>
      <c r="J832" s="398"/>
      <c r="K832" s="2"/>
      <c r="L832" s="2"/>
      <c r="M832" s="2"/>
      <c r="N832" s="2"/>
      <c r="O832" s="2"/>
      <c r="P832" s="2"/>
      <c r="Q832" s="2"/>
      <c r="R832" s="2"/>
      <c r="S832" s="2"/>
      <c r="T832" s="2"/>
      <c r="U832" s="2"/>
      <c r="V832" s="2"/>
      <c r="W832" s="2"/>
      <c r="X832" s="2"/>
      <c r="Y832" s="2"/>
      <c r="Z832" s="2"/>
      <c r="AA832" s="2"/>
      <c r="AB832" s="2"/>
    </row>
    <row r="833">
      <c r="A833" s="2"/>
      <c r="B833" s="2"/>
      <c r="C833" s="2"/>
      <c r="D833" s="2"/>
      <c r="E833" s="398"/>
      <c r="F833" s="2"/>
      <c r="G833" s="398"/>
      <c r="H833" s="398"/>
      <c r="I833" s="398"/>
      <c r="J833" s="398"/>
      <c r="K833" s="2"/>
      <c r="L833" s="2"/>
      <c r="M833" s="2"/>
      <c r="N833" s="2"/>
      <c r="O833" s="2"/>
      <c r="P833" s="2"/>
      <c r="Q833" s="2"/>
      <c r="R833" s="2"/>
      <c r="S833" s="2"/>
      <c r="T833" s="2"/>
      <c r="U833" s="2"/>
      <c r="V833" s="2"/>
      <c r="W833" s="2"/>
      <c r="X833" s="2"/>
      <c r="Y833" s="2"/>
      <c r="Z833" s="2"/>
      <c r="AA833" s="2"/>
      <c r="AB833" s="2"/>
    </row>
    <row r="834">
      <c r="A834" s="2"/>
      <c r="B834" s="2"/>
      <c r="C834" s="2"/>
      <c r="D834" s="2"/>
      <c r="E834" s="398"/>
      <c r="F834" s="2"/>
      <c r="G834" s="398"/>
      <c r="H834" s="398"/>
      <c r="I834" s="398"/>
      <c r="J834" s="398"/>
      <c r="K834" s="2"/>
      <c r="L834" s="2"/>
      <c r="M834" s="2"/>
      <c r="N834" s="2"/>
      <c r="O834" s="2"/>
      <c r="P834" s="2"/>
      <c r="Q834" s="2"/>
      <c r="R834" s="2"/>
      <c r="S834" s="2"/>
      <c r="T834" s="2"/>
      <c r="U834" s="2"/>
      <c r="V834" s="2"/>
      <c r="W834" s="2"/>
      <c r="X834" s="2"/>
      <c r="Y834" s="2"/>
      <c r="Z834" s="2"/>
      <c r="AA834" s="2"/>
      <c r="AB834" s="2"/>
    </row>
    <row r="835">
      <c r="A835" s="2"/>
      <c r="B835" s="2"/>
      <c r="C835" s="2"/>
      <c r="D835" s="2"/>
      <c r="E835" s="398"/>
      <c r="F835" s="2"/>
      <c r="G835" s="398"/>
      <c r="H835" s="398"/>
      <c r="I835" s="398"/>
      <c r="J835" s="398"/>
      <c r="K835" s="2"/>
      <c r="L835" s="2"/>
      <c r="M835" s="2"/>
      <c r="N835" s="2"/>
      <c r="O835" s="2"/>
      <c r="P835" s="2"/>
      <c r="Q835" s="2"/>
      <c r="R835" s="2"/>
      <c r="S835" s="2"/>
      <c r="T835" s="2"/>
      <c r="U835" s="2"/>
      <c r="V835" s="2"/>
      <c r="W835" s="2"/>
      <c r="X835" s="2"/>
      <c r="Y835" s="2"/>
      <c r="Z835" s="2"/>
      <c r="AA835" s="2"/>
      <c r="AB835" s="2"/>
    </row>
    <row r="836">
      <c r="A836" s="2"/>
      <c r="B836" s="2"/>
      <c r="C836" s="2"/>
      <c r="D836" s="2"/>
      <c r="E836" s="398"/>
      <c r="F836" s="2"/>
      <c r="G836" s="398"/>
      <c r="H836" s="398"/>
      <c r="I836" s="398"/>
      <c r="J836" s="398"/>
      <c r="K836" s="2"/>
      <c r="L836" s="2"/>
      <c r="M836" s="2"/>
      <c r="N836" s="2"/>
      <c r="O836" s="2"/>
      <c r="P836" s="2"/>
      <c r="Q836" s="2"/>
      <c r="R836" s="2"/>
      <c r="S836" s="2"/>
      <c r="T836" s="2"/>
      <c r="U836" s="2"/>
      <c r="V836" s="2"/>
      <c r="W836" s="2"/>
      <c r="X836" s="2"/>
      <c r="Y836" s="2"/>
      <c r="Z836" s="2"/>
      <c r="AA836" s="2"/>
      <c r="AB836" s="2"/>
    </row>
    <row r="837">
      <c r="A837" s="2"/>
      <c r="B837" s="2"/>
      <c r="C837" s="2"/>
      <c r="D837" s="2"/>
      <c r="E837" s="398"/>
      <c r="F837" s="2"/>
      <c r="G837" s="398"/>
      <c r="H837" s="398"/>
      <c r="I837" s="398"/>
      <c r="J837" s="398"/>
      <c r="K837" s="2"/>
      <c r="L837" s="2"/>
      <c r="M837" s="2"/>
      <c r="N837" s="2"/>
      <c r="O837" s="2"/>
      <c r="P837" s="2"/>
      <c r="Q837" s="2"/>
      <c r="R837" s="2"/>
      <c r="S837" s="2"/>
      <c r="T837" s="2"/>
      <c r="U837" s="2"/>
      <c r="V837" s="2"/>
      <c r="W837" s="2"/>
      <c r="X837" s="2"/>
      <c r="Y837" s="2"/>
      <c r="Z837" s="2"/>
      <c r="AA837" s="2"/>
      <c r="AB837" s="2"/>
    </row>
    <row r="838">
      <c r="A838" s="2"/>
      <c r="B838" s="2"/>
      <c r="C838" s="2"/>
      <c r="D838" s="2"/>
      <c r="E838" s="398"/>
      <c r="F838" s="2"/>
      <c r="G838" s="398"/>
      <c r="H838" s="398"/>
      <c r="I838" s="398"/>
      <c r="J838" s="398"/>
      <c r="K838" s="2"/>
      <c r="L838" s="2"/>
      <c r="M838" s="2"/>
      <c r="N838" s="2"/>
      <c r="O838" s="2"/>
      <c r="P838" s="2"/>
      <c r="Q838" s="2"/>
      <c r="R838" s="2"/>
      <c r="S838" s="2"/>
      <c r="T838" s="2"/>
      <c r="U838" s="2"/>
      <c r="V838" s="2"/>
      <c r="W838" s="2"/>
      <c r="X838" s="2"/>
      <c r="Y838" s="2"/>
      <c r="Z838" s="2"/>
      <c r="AA838" s="2"/>
      <c r="AB838" s="2"/>
    </row>
    <row r="839">
      <c r="A839" s="2"/>
      <c r="B839" s="2"/>
      <c r="C839" s="2"/>
      <c r="D839" s="2"/>
      <c r="E839" s="398"/>
      <c r="F839" s="2"/>
      <c r="G839" s="398"/>
      <c r="H839" s="398"/>
      <c r="I839" s="398"/>
      <c r="J839" s="398"/>
      <c r="K839" s="2"/>
      <c r="L839" s="2"/>
      <c r="M839" s="2"/>
      <c r="N839" s="2"/>
      <c r="O839" s="2"/>
      <c r="P839" s="2"/>
      <c r="Q839" s="2"/>
      <c r="R839" s="2"/>
      <c r="S839" s="2"/>
      <c r="T839" s="2"/>
      <c r="U839" s="2"/>
      <c r="V839" s="2"/>
      <c r="W839" s="2"/>
      <c r="X839" s="2"/>
      <c r="Y839" s="2"/>
      <c r="Z839" s="2"/>
      <c r="AA839" s="2"/>
      <c r="AB839" s="2"/>
    </row>
    <row r="840">
      <c r="A840" s="2"/>
      <c r="B840" s="2"/>
      <c r="C840" s="2"/>
      <c r="D840" s="2"/>
      <c r="E840" s="398"/>
      <c r="F840" s="2"/>
      <c r="G840" s="398"/>
      <c r="H840" s="398"/>
      <c r="I840" s="398"/>
      <c r="J840" s="398"/>
      <c r="K840" s="2"/>
      <c r="L840" s="2"/>
      <c r="M840" s="2"/>
      <c r="N840" s="2"/>
      <c r="O840" s="2"/>
      <c r="P840" s="2"/>
      <c r="Q840" s="2"/>
      <c r="R840" s="2"/>
      <c r="S840" s="2"/>
      <c r="T840" s="2"/>
      <c r="U840" s="2"/>
      <c r="V840" s="2"/>
      <c r="W840" s="2"/>
      <c r="X840" s="2"/>
      <c r="Y840" s="2"/>
      <c r="Z840" s="2"/>
      <c r="AA840" s="2"/>
      <c r="AB840" s="2"/>
    </row>
    <row r="841">
      <c r="A841" s="2"/>
      <c r="B841" s="2"/>
      <c r="C841" s="2"/>
      <c r="D841" s="2"/>
      <c r="E841" s="398"/>
      <c r="F841" s="2"/>
      <c r="G841" s="398"/>
      <c r="H841" s="398"/>
      <c r="I841" s="398"/>
      <c r="J841" s="398"/>
      <c r="K841" s="2"/>
      <c r="L841" s="2"/>
      <c r="M841" s="2"/>
      <c r="N841" s="2"/>
      <c r="O841" s="2"/>
      <c r="P841" s="2"/>
      <c r="Q841" s="2"/>
      <c r="R841" s="2"/>
      <c r="S841" s="2"/>
      <c r="T841" s="2"/>
      <c r="U841" s="2"/>
      <c r="V841" s="2"/>
      <c r="W841" s="2"/>
      <c r="X841" s="2"/>
      <c r="Y841" s="2"/>
      <c r="Z841" s="2"/>
      <c r="AA841" s="2"/>
      <c r="AB841" s="2"/>
    </row>
    <row r="842">
      <c r="A842" s="2"/>
      <c r="B842" s="2"/>
      <c r="C842" s="2"/>
      <c r="D842" s="2"/>
      <c r="E842" s="398"/>
      <c r="F842" s="2"/>
      <c r="G842" s="398"/>
      <c r="H842" s="398"/>
      <c r="I842" s="398"/>
      <c r="J842" s="398"/>
      <c r="K842" s="2"/>
      <c r="L842" s="2"/>
      <c r="M842" s="2"/>
      <c r="N842" s="2"/>
      <c r="O842" s="2"/>
      <c r="P842" s="2"/>
      <c r="Q842" s="2"/>
      <c r="R842" s="2"/>
      <c r="S842" s="2"/>
      <c r="T842" s="2"/>
      <c r="U842" s="2"/>
      <c r="V842" s="2"/>
      <c r="W842" s="2"/>
      <c r="X842" s="2"/>
      <c r="Y842" s="2"/>
      <c r="Z842" s="2"/>
      <c r="AA842" s="2"/>
      <c r="AB842" s="2"/>
    </row>
    <row r="843">
      <c r="A843" s="2"/>
      <c r="B843" s="2"/>
      <c r="C843" s="2"/>
      <c r="D843" s="2"/>
      <c r="E843" s="398"/>
      <c r="F843" s="2"/>
      <c r="G843" s="398"/>
      <c r="H843" s="398"/>
      <c r="I843" s="398"/>
      <c r="J843" s="398"/>
      <c r="K843" s="2"/>
      <c r="L843" s="2"/>
      <c r="M843" s="2"/>
      <c r="N843" s="2"/>
      <c r="O843" s="2"/>
      <c r="P843" s="2"/>
      <c r="Q843" s="2"/>
      <c r="R843" s="2"/>
      <c r="S843" s="2"/>
      <c r="T843" s="2"/>
      <c r="U843" s="2"/>
      <c r="V843" s="2"/>
      <c r="W843" s="2"/>
      <c r="X843" s="2"/>
      <c r="Y843" s="2"/>
      <c r="Z843" s="2"/>
      <c r="AA843" s="2"/>
      <c r="AB843" s="2"/>
    </row>
    <row r="844">
      <c r="A844" s="2"/>
      <c r="B844" s="2"/>
      <c r="C844" s="2"/>
      <c r="D844" s="2"/>
      <c r="E844" s="398"/>
      <c r="F844" s="2"/>
      <c r="G844" s="398"/>
      <c r="H844" s="398"/>
      <c r="I844" s="398"/>
      <c r="J844" s="398"/>
      <c r="K844" s="2"/>
      <c r="L844" s="2"/>
      <c r="M844" s="2"/>
      <c r="N844" s="2"/>
      <c r="O844" s="2"/>
      <c r="P844" s="2"/>
      <c r="Q844" s="2"/>
      <c r="R844" s="2"/>
      <c r="S844" s="2"/>
      <c r="T844" s="2"/>
      <c r="U844" s="2"/>
      <c r="V844" s="2"/>
      <c r="W844" s="2"/>
      <c r="X844" s="2"/>
      <c r="Y844" s="2"/>
      <c r="Z844" s="2"/>
      <c r="AA844" s="2"/>
      <c r="AB844" s="2"/>
    </row>
    <row r="845">
      <c r="A845" s="2"/>
      <c r="B845" s="2"/>
      <c r="C845" s="2"/>
      <c r="D845" s="2"/>
      <c r="E845" s="398"/>
      <c r="F845" s="2"/>
      <c r="G845" s="398"/>
      <c r="H845" s="398"/>
      <c r="I845" s="398"/>
      <c r="J845" s="398"/>
      <c r="K845" s="2"/>
      <c r="L845" s="2"/>
      <c r="M845" s="2"/>
      <c r="N845" s="2"/>
      <c r="O845" s="2"/>
      <c r="P845" s="2"/>
      <c r="Q845" s="2"/>
      <c r="R845" s="2"/>
      <c r="S845" s="2"/>
      <c r="T845" s="2"/>
      <c r="U845" s="2"/>
      <c r="V845" s="2"/>
      <c r="W845" s="2"/>
      <c r="X845" s="2"/>
      <c r="Y845" s="2"/>
      <c r="Z845" s="2"/>
      <c r="AA845" s="2"/>
      <c r="AB845" s="2"/>
    </row>
    <row r="846">
      <c r="A846" s="2"/>
      <c r="B846" s="2"/>
      <c r="C846" s="2"/>
      <c r="D846" s="2"/>
      <c r="E846" s="398"/>
      <c r="F846" s="2"/>
      <c r="G846" s="398"/>
      <c r="H846" s="398"/>
      <c r="I846" s="398"/>
      <c r="J846" s="398"/>
      <c r="K846" s="2"/>
      <c r="L846" s="2"/>
      <c r="M846" s="2"/>
      <c r="N846" s="2"/>
      <c r="O846" s="2"/>
      <c r="P846" s="2"/>
      <c r="Q846" s="2"/>
      <c r="R846" s="2"/>
      <c r="S846" s="2"/>
      <c r="T846" s="2"/>
      <c r="U846" s="2"/>
      <c r="V846" s="2"/>
      <c r="W846" s="2"/>
      <c r="X846" s="2"/>
      <c r="Y846" s="2"/>
      <c r="Z846" s="2"/>
      <c r="AA846" s="2"/>
      <c r="AB846" s="2"/>
    </row>
    <row r="847">
      <c r="A847" s="2"/>
      <c r="B847" s="2"/>
      <c r="C847" s="2"/>
      <c r="D847" s="2"/>
      <c r="E847" s="398"/>
      <c r="F847" s="2"/>
      <c r="G847" s="398"/>
      <c r="H847" s="398"/>
      <c r="I847" s="398"/>
      <c r="J847" s="398"/>
      <c r="K847" s="2"/>
      <c r="L847" s="2"/>
      <c r="M847" s="2"/>
      <c r="N847" s="2"/>
      <c r="O847" s="2"/>
      <c r="P847" s="2"/>
      <c r="Q847" s="2"/>
      <c r="R847" s="2"/>
      <c r="S847" s="2"/>
      <c r="T847" s="2"/>
      <c r="U847" s="2"/>
      <c r="V847" s="2"/>
      <c r="W847" s="2"/>
      <c r="X847" s="2"/>
      <c r="Y847" s="2"/>
      <c r="Z847" s="2"/>
      <c r="AA847" s="2"/>
      <c r="AB847" s="2"/>
    </row>
    <row r="848">
      <c r="A848" s="2"/>
      <c r="B848" s="2"/>
      <c r="C848" s="2"/>
      <c r="D848" s="2"/>
      <c r="E848" s="398"/>
      <c r="F848" s="2"/>
      <c r="G848" s="398"/>
      <c r="H848" s="398"/>
      <c r="I848" s="398"/>
      <c r="J848" s="398"/>
      <c r="K848" s="2"/>
      <c r="L848" s="2"/>
      <c r="M848" s="2"/>
      <c r="N848" s="2"/>
      <c r="O848" s="2"/>
      <c r="P848" s="2"/>
      <c r="Q848" s="2"/>
      <c r="R848" s="2"/>
      <c r="S848" s="2"/>
      <c r="T848" s="2"/>
      <c r="U848" s="2"/>
      <c r="V848" s="2"/>
      <c r="W848" s="2"/>
      <c r="X848" s="2"/>
      <c r="Y848" s="2"/>
      <c r="Z848" s="2"/>
      <c r="AA848" s="2"/>
      <c r="AB848" s="2"/>
    </row>
    <row r="849">
      <c r="A849" s="2"/>
      <c r="B849" s="2"/>
      <c r="C849" s="2"/>
      <c r="D849" s="2"/>
      <c r="E849" s="398"/>
      <c r="F849" s="2"/>
      <c r="G849" s="398"/>
      <c r="H849" s="398"/>
      <c r="I849" s="398"/>
      <c r="J849" s="398"/>
      <c r="K849" s="2"/>
      <c r="L849" s="2"/>
      <c r="M849" s="2"/>
      <c r="N849" s="2"/>
      <c r="O849" s="2"/>
      <c r="P849" s="2"/>
      <c r="Q849" s="2"/>
      <c r="R849" s="2"/>
      <c r="S849" s="2"/>
      <c r="T849" s="2"/>
      <c r="U849" s="2"/>
      <c r="V849" s="2"/>
      <c r="W849" s="2"/>
      <c r="X849" s="2"/>
      <c r="Y849" s="2"/>
      <c r="Z849" s="2"/>
      <c r="AA849" s="2"/>
      <c r="AB849" s="2"/>
    </row>
    <row r="850">
      <c r="A850" s="2"/>
      <c r="B850" s="2"/>
      <c r="C850" s="2"/>
      <c r="D850" s="2"/>
      <c r="E850" s="398"/>
      <c r="F850" s="2"/>
      <c r="G850" s="398"/>
      <c r="H850" s="398"/>
      <c r="I850" s="398"/>
      <c r="J850" s="398"/>
      <c r="K850" s="2"/>
      <c r="L850" s="2"/>
      <c r="M850" s="2"/>
      <c r="N850" s="2"/>
      <c r="O850" s="2"/>
      <c r="P850" s="2"/>
      <c r="Q850" s="2"/>
      <c r="R850" s="2"/>
      <c r="S850" s="2"/>
      <c r="T850" s="2"/>
      <c r="U850" s="2"/>
      <c r="V850" s="2"/>
      <c r="W850" s="2"/>
      <c r="X850" s="2"/>
      <c r="Y850" s="2"/>
      <c r="Z850" s="2"/>
      <c r="AA850" s="2"/>
      <c r="AB850" s="2"/>
    </row>
    <row r="851">
      <c r="A851" s="2"/>
      <c r="B851" s="2"/>
      <c r="C851" s="2"/>
      <c r="D851" s="2"/>
      <c r="E851" s="398"/>
      <c r="F851" s="2"/>
      <c r="G851" s="398"/>
      <c r="H851" s="398"/>
      <c r="I851" s="398"/>
      <c r="J851" s="398"/>
      <c r="K851" s="2"/>
      <c r="L851" s="2"/>
      <c r="M851" s="2"/>
      <c r="N851" s="2"/>
      <c r="O851" s="2"/>
      <c r="P851" s="2"/>
      <c r="Q851" s="2"/>
      <c r="R851" s="2"/>
      <c r="S851" s="2"/>
      <c r="T851" s="2"/>
      <c r="U851" s="2"/>
      <c r="V851" s="2"/>
      <c r="W851" s="2"/>
      <c r="X851" s="2"/>
      <c r="Y851" s="2"/>
      <c r="Z851" s="2"/>
      <c r="AA851" s="2"/>
      <c r="AB851" s="2"/>
    </row>
    <row r="852">
      <c r="A852" s="2"/>
      <c r="B852" s="2"/>
      <c r="C852" s="2"/>
      <c r="D852" s="2"/>
      <c r="E852" s="398"/>
      <c r="F852" s="2"/>
      <c r="G852" s="398"/>
      <c r="H852" s="398"/>
      <c r="I852" s="398"/>
      <c r="J852" s="398"/>
      <c r="K852" s="2"/>
      <c r="L852" s="2"/>
      <c r="M852" s="2"/>
      <c r="N852" s="2"/>
      <c r="O852" s="2"/>
      <c r="P852" s="2"/>
      <c r="Q852" s="2"/>
      <c r="R852" s="2"/>
      <c r="S852" s="2"/>
      <c r="T852" s="2"/>
      <c r="U852" s="2"/>
      <c r="V852" s="2"/>
      <c r="W852" s="2"/>
      <c r="X852" s="2"/>
      <c r="Y852" s="2"/>
      <c r="Z852" s="2"/>
      <c r="AA852" s="2"/>
      <c r="AB852" s="2"/>
    </row>
    <row r="853">
      <c r="A853" s="2"/>
      <c r="B853" s="2"/>
      <c r="C853" s="2"/>
      <c r="D853" s="2"/>
      <c r="E853" s="398"/>
      <c r="F853" s="2"/>
      <c r="G853" s="398"/>
      <c r="H853" s="398"/>
      <c r="I853" s="398"/>
      <c r="J853" s="398"/>
      <c r="K853" s="2"/>
      <c r="L853" s="2"/>
      <c r="M853" s="2"/>
      <c r="N853" s="2"/>
      <c r="O853" s="2"/>
      <c r="P853" s="2"/>
      <c r="Q853" s="2"/>
      <c r="R853" s="2"/>
      <c r="S853" s="2"/>
      <c r="T853" s="2"/>
      <c r="U853" s="2"/>
      <c r="V853" s="2"/>
      <c r="W853" s="2"/>
      <c r="X853" s="2"/>
      <c r="Y853" s="2"/>
      <c r="Z853" s="2"/>
      <c r="AA853" s="2"/>
      <c r="AB853" s="2"/>
    </row>
    <row r="854">
      <c r="A854" s="2"/>
      <c r="B854" s="2"/>
      <c r="C854" s="2"/>
      <c r="D854" s="2"/>
      <c r="E854" s="398"/>
      <c r="F854" s="2"/>
      <c r="G854" s="398"/>
      <c r="H854" s="398"/>
      <c r="I854" s="398"/>
      <c r="J854" s="398"/>
      <c r="K854" s="2"/>
      <c r="L854" s="2"/>
      <c r="M854" s="2"/>
      <c r="N854" s="2"/>
      <c r="O854" s="2"/>
      <c r="P854" s="2"/>
      <c r="Q854" s="2"/>
      <c r="R854" s="2"/>
      <c r="S854" s="2"/>
      <c r="T854" s="2"/>
      <c r="U854" s="2"/>
      <c r="V854" s="2"/>
      <c r="W854" s="2"/>
      <c r="X854" s="2"/>
      <c r="Y854" s="2"/>
      <c r="Z854" s="2"/>
      <c r="AA854" s="2"/>
      <c r="AB854" s="2"/>
    </row>
    <row r="855">
      <c r="A855" s="2"/>
      <c r="B855" s="2"/>
      <c r="C855" s="2"/>
      <c r="D855" s="2"/>
      <c r="E855" s="398"/>
      <c r="F855" s="2"/>
      <c r="G855" s="398"/>
      <c r="H855" s="398"/>
      <c r="I855" s="398"/>
      <c r="J855" s="398"/>
      <c r="K855" s="2"/>
      <c r="L855" s="2"/>
      <c r="M855" s="2"/>
      <c r="N855" s="2"/>
      <c r="O855" s="2"/>
      <c r="P855" s="2"/>
      <c r="Q855" s="2"/>
      <c r="R855" s="2"/>
      <c r="S855" s="2"/>
      <c r="T855" s="2"/>
      <c r="U855" s="2"/>
      <c r="V855" s="2"/>
      <c r="W855" s="2"/>
      <c r="X855" s="2"/>
      <c r="Y855" s="2"/>
      <c r="Z855" s="2"/>
      <c r="AA855" s="2"/>
      <c r="AB855" s="2"/>
    </row>
    <row r="856">
      <c r="A856" s="2"/>
      <c r="B856" s="2"/>
      <c r="C856" s="2"/>
      <c r="D856" s="2"/>
      <c r="E856" s="398"/>
      <c r="F856" s="2"/>
      <c r="G856" s="398"/>
      <c r="H856" s="398"/>
      <c r="I856" s="398"/>
      <c r="J856" s="398"/>
      <c r="K856" s="2"/>
      <c r="L856" s="2"/>
      <c r="M856" s="2"/>
      <c r="N856" s="2"/>
      <c r="O856" s="2"/>
      <c r="P856" s="2"/>
      <c r="Q856" s="2"/>
      <c r="R856" s="2"/>
      <c r="S856" s="2"/>
      <c r="T856" s="2"/>
      <c r="U856" s="2"/>
      <c r="V856" s="2"/>
      <c r="W856" s="2"/>
      <c r="X856" s="2"/>
      <c r="Y856" s="2"/>
      <c r="Z856" s="2"/>
      <c r="AA856" s="2"/>
      <c r="AB856" s="2"/>
    </row>
    <row r="857">
      <c r="A857" s="2"/>
      <c r="B857" s="2"/>
      <c r="C857" s="2"/>
      <c r="D857" s="2"/>
      <c r="E857" s="398"/>
      <c r="F857" s="2"/>
      <c r="G857" s="398"/>
      <c r="H857" s="398"/>
      <c r="I857" s="398"/>
      <c r="J857" s="398"/>
      <c r="K857" s="2"/>
      <c r="L857" s="2"/>
      <c r="M857" s="2"/>
      <c r="N857" s="2"/>
      <c r="O857" s="2"/>
      <c r="P857" s="2"/>
      <c r="Q857" s="2"/>
      <c r="R857" s="2"/>
      <c r="S857" s="2"/>
      <c r="T857" s="2"/>
      <c r="U857" s="2"/>
      <c r="V857" s="2"/>
      <c r="W857" s="2"/>
      <c r="X857" s="2"/>
      <c r="Y857" s="2"/>
      <c r="Z857" s="2"/>
      <c r="AA857" s="2"/>
      <c r="AB857" s="2"/>
    </row>
    <row r="858">
      <c r="A858" s="2"/>
      <c r="B858" s="2"/>
      <c r="C858" s="2"/>
      <c r="D858" s="2"/>
      <c r="E858" s="398"/>
      <c r="F858" s="2"/>
      <c r="G858" s="398"/>
      <c r="H858" s="398"/>
      <c r="I858" s="398"/>
      <c r="J858" s="398"/>
      <c r="K858" s="2"/>
      <c r="L858" s="2"/>
      <c r="M858" s="2"/>
      <c r="N858" s="2"/>
      <c r="O858" s="2"/>
      <c r="P858" s="2"/>
      <c r="Q858" s="2"/>
      <c r="R858" s="2"/>
      <c r="S858" s="2"/>
      <c r="T858" s="2"/>
      <c r="U858" s="2"/>
      <c r="V858" s="2"/>
      <c r="W858" s="2"/>
      <c r="X858" s="2"/>
      <c r="Y858" s="2"/>
      <c r="Z858" s="2"/>
      <c r="AA858" s="2"/>
      <c r="AB858" s="2"/>
    </row>
    <row r="859">
      <c r="A859" s="2"/>
      <c r="B859" s="2"/>
      <c r="C859" s="2"/>
      <c r="D859" s="2"/>
      <c r="E859" s="398"/>
      <c r="F859" s="2"/>
      <c r="G859" s="398"/>
      <c r="H859" s="398"/>
      <c r="I859" s="398"/>
      <c r="J859" s="398"/>
      <c r="K859" s="2"/>
      <c r="L859" s="2"/>
      <c r="M859" s="2"/>
      <c r="N859" s="2"/>
      <c r="O859" s="2"/>
      <c r="P859" s="2"/>
      <c r="Q859" s="2"/>
      <c r="R859" s="2"/>
      <c r="S859" s="2"/>
      <c r="T859" s="2"/>
      <c r="U859" s="2"/>
      <c r="V859" s="2"/>
      <c r="W859" s="2"/>
      <c r="X859" s="2"/>
      <c r="Y859" s="2"/>
      <c r="Z859" s="2"/>
      <c r="AA859" s="2"/>
      <c r="AB859" s="2"/>
    </row>
    <row r="860">
      <c r="A860" s="2"/>
      <c r="B860" s="2"/>
      <c r="C860" s="2"/>
      <c r="D860" s="2"/>
      <c r="E860" s="398"/>
      <c r="F860" s="2"/>
      <c r="G860" s="398"/>
      <c r="H860" s="398"/>
      <c r="I860" s="398"/>
      <c r="J860" s="398"/>
      <c r="K860" s="2"/>
      <c r="L860" s="2"/>
      <c r="M860" s="2"/>
      <c r="N860" s="2"/>
      <c r="O860" s="2"/>
      <c r="P860" s="2"/>
      <c r="Q860" s="2"/>
      <c r="R860" s="2"/>
      <c r="S860" s="2"/>
      <c r="T860" s="2"/>
      <c r="U860" s="2"/>
      <c r="V860" s="2"/>
      <c r="W860" s="2"/>
      <c r="X860" s="2"/>
      <c r="Y860" s="2"/>
      <c r="Z860" s="2"/>
      <c r="AA860" s="2"/>
      <c r="AB860" s="2"/>
    </row>
    <row r="861">
      <c r="A861" s="2"/>
      <c r="B861" s="2"/>
      <c r="C861" s="2"/>
      <c r="D861" s="2"/>
      <c r="E861" s="398"/>
      <c r="F861" s="2"/>
      <c r="G861" s="398"/>
      <c r="H861" s="398"/>
      <c r="I861" s="398"/>
      <c r="J861" s="398"/>
      <c r="K861" s="2"/>
      <c r="L861" s="2"/>
      <c r="M861" s="2"/>
      <c r="N861" s="2"/>
      <c r="O861" s="2"/>
      <c r="P861" s="2"/>
      <c r="Q861" s="2"/>
      <c r="R861" s="2"/>
      <c r="S861" s="2"/>
      <c r="T861" s="2"/>
      <c r="U861" s="2"/>
      <c r="V861" s="2"/>
      <c r="W861" s="2"/>
      <c r="X861" s="2"/>
      <c r="Y861" s="2"/>
      <c r="Z861" s="2"/>
      <c r="AA861" s="2"/>
      <c r="AB861" s="2"/>
    </row>
    <row r="862">
      <c r="A862" s="2"/>
      <c r="B862" s="2"/>
      <c r="C862" s="2"/>
      <c r="D862" s="2"/>
      <c r="E862" s="398"/>
      <c r="F862" s="2"/>
      <c r="G862" s="398"/>
      <c r="H862" s="398"/>
      <c r="I862" s="398"/>
      <c r="J862" s="398"/>
      <c r="K862" s="2"/>
      <c r="L862" s="2"/>
      <c r="M862" s="2"/>
      <c r="N862" s="2"/>
      <c r="O862" s="2"/>
      <c r="P862" s="2"/>
      <c r="Q862" s="2"/>
      <c r="R862" s="2"/>
      <c r="S862" s="2"/>
      <c r="T862" s="2"/>
      <c r="U862" s="2"/>
      <c r="V862" s="2"/>
      <c r="W862" s="2"/>
      <c r="X862" s="2"/>
      <c r="Y862" s="2"/>
      <c r="Z862" s="2"/>
      <c r="AA862" s="2"/>
      <c r="AB862" s="2"/>
    </row>
    <row r="863">
      <c r="A863" s="2"/>
      <c r="B863" s="2"/>
      <c r="C863" s="2"/>
      <c r="D863" s="2"/>
      <c r="E863" s="398"/>
      <c r="F863" s="2"/>
      <c r="G863" s="398"/>
      <c r="H863" s="398"/>
      <c r="I863" s="398"/>
      <c r="J863" s="398"/>
      <c r="K863" s="2"/>
      <c r="L863" s="2"/>
      <c r="M863" s="2"/>
      <c r="N863" s="2"/>
      <c r="O863" s="2"/>
      <c r="P863" s="2"/>
      <c r="Q863" s="2"/>
      <c r="R863" s="2"/>
      <c r="S863" s="2"/>
      <c r="T863" s="2"/>
      <c r="U863" s="2"/>
      <c r="V863" s="2"/>
      <c r="W863" s="2"/>
      <c r="X863" s="2"/>
      <c r="Y863" s="2"/>
      <c r="Z863" s="2"/>
      <c r="AA863" s="2"/>
      <c r="AB863" s="2"/>
    </row>
    <row r="864">
      <c r="A864" s="2"/>
      <c r="B864" s="2"/>
      <c r="C864" s="2"/>
      <c r="D864" s="2"/>
      <c r="E864" s="398"/>
      <c r="F864" s="2"/>
      <c r="G864" s="398"/>
      <c r="H864" s="398"/>
      <c r="I864" s="398"/>
      <c r="J864" s="398"/>
      <c r="K864" s="2"/>
      <c r="L864" s="2"/>
      <c r="M864" s="2"/>
      <c r="N864" s="2"/>
      <c r="O864" s="2"/>
      <c r="P864" s="2"/>
      <c r="Q864" s="2"/>
      <c r="R864" s="2"/>
      <c r="S864" s="2"/>
      <c r="T864" s="2"/>
      <c r="U864" s="2"/>
      <c r="V864" s="2"/>
      <c r="W864" s="2"/>
      <c r="X864" s="2"/>
      <c r="Y864" s="2"/>
      <c r="Z864" s="2"/>
      <c r="AA864" s="2"/>
      <c r="AB864" s="2"/>
    </row>
    <row r="865">
      <c r="A865" s="2"/>
      <c r="B865" s="2"/>
      <c r="C865" s="2"/>
      <c r="D865" s="2"/>
      <c r="E865" s="398"/>
      <c r="F865" s="2"/>
      <c r="G865" s="398"/>
      <c r="H865" s="398"/>
      <c r="I865" s="398"/>
      <c r="J865" s="398"/>
      <c r="K865" s="2"/>
      <c r="L865" s="2"/>
      <c r="M865" s="2"/>
      <c r="N865" s="2"/>
      <c r="O865" s="2"/>
      <c r="P865" s="2"/>
      <c r="Q865" s="2"/>
      <c r="R865" s="2"/>
      <c r="S865" s="2"/>
      <c r="T865" s="2"/>
      <c r="U865" s="2"/>
      <c r="V865" s="2"/>
      <c r="W865" s="2"/>
      <c r="X865" s="2"/>
      <c r="Y865" s="2"/>
      <c r="Z865" s="2"/>
      <c r="AA865" s="2"/>
      <c r="AB865" s="2"/>
    </row>
    <row r="866">
      <c r="A866" s="2"/>
      <c r="B866" s="2"/>
      <c r="C866" s="2"/>
      <c r="D866" s="2"/>
      <c r="E866" s="398"/>
      <c r="F866" s="2"/>
      <c r="G866" s="398"/>
      <c r="H866" s="398"/>
      <c r="I866" s="398"/>
      <c r="J866" s="398"/>
      <c r="K866" s="2"/>
      <c r="L866" s="2"/>
      <c r="M866" s="2"/>
      <c r="N866" s="2"/>
      <c r="O866" s="2"/>
      <c r="P866" s="2"/>
      <c r="Q866" s="2"/>
      <c r="R866" s="2"/>
      <c r="S866" s="2"/>
      <c r="T866" s="2"/>
      <c r="U866" s="2"/>
      <c r="V866" s="2"/>
      <c r="W866" s="2"/>
      <c r="X866" s="2"/>
      <c r="Y866" s="2"/>
      <c r="Z866" s="2"/>
      <c r="AA866" s="2"/>
      <c r="AB866" s="2"/>
    </row>
    <row r="867">
      <c r="A867" s="2"/>
      <c r="B867" s="2"/>
      <c r="C867" s="2"/>
      <c r="D867" s="2"/>
      <c r="E867" s="398"/>
      <c r="F867" s="2"/>
      <c r="G867" s="398"/>
      <c r="H867" s="398"/>
      <c r="I867" s="398"/>
      <c r="J867" s="398"/>
      <c r="K867" s="2"/>
      <c r="L867" s="2"/>
      <c r="M867" s="2"/>
      <c r="N867" s="2"/>
      <c r="O867" s="2"/>
      <c r="P867" s="2"/>
      <c r="Q867" s="2"/>
      <c r="R867" s="2"/>
      <c r="S867" s="2"/>
      <c r="T867" s="2"/>
      <c r="U867" s="2"/>
      <c r="V867" s="2"/>
      <c r="W867" s="2"/>
      <c r="X867" s="2"/>
      <c r="Y867" s="2"/>
      <c r="Z867" s="2"/>
      <c r="AA867" s="2"/>
      <c r="AB867" s="2"/>
    </row>
    <row r="868">
      <c r="A868" s="2"/>
      <c r="B868" s="2"/>
      <c r="C868" s="2"/>
      <c r="D868" s="2"/>
      <c r="E868" s="398"/>
      <c r="F868" s="2"/>
      <c r="G868" s="398"/>
      <c r="H868" s="398"/>
      <c r="I868" s="398"/>
      <c r="J868" s="398"/>
      <c r="K868" s="2"/>
      <c r="L868" s="2"/>
      <c r="M868" s="2"/>
      <c r="N868" s="2"/>
      <c r="O868" s="2"/>
      <c r="P868" s="2"/>
      <c r="Q868" s="2"/>
      <c r="R868" s="2"/>
      <c r="S868" s="2"/>
      <c r="T868" s="2"/>
      <c r="U868" s="2"/>
      <c r="V868" s="2"/>
      <c r="W868" s="2"/>
      <c r="X868" s="2"/>
      <c r="Y868" s="2"/>
      <c r="Z868" s="2"/>
      <c r="AA868" s="2"/>
      <c r="AB868" s="2"/>
    </row>
    <row r="869">
      <c r="A869" s="2"/>
      <c r="B869" s="2"/>
      <c r="C869" s="2"/>
      <c r="D869" s="2"/>
      <c r="E869" s="398"/>
      <c r="F869" s="2"/>
      <c r="G869" s="398"/>
      <c r="H869" s="398"/>
      <c r="I869" s="398"/>
      <c r="J869" s="398"/>
      <c r="K869" s="2"/>
      <c r="L869" s="2"/>
      <c r="M869" s="2"/>
      <c r="N869" s="2"/>
      <c r="O869" s="2"/>
      <c r="P869" s="2"/>
      <c r="Q869" s="2"/>
      <c r="R869" s="2"/>
      <c r="S869" s="2"/>
      <c r="T869" s="2"/>
      <c r="U869" s="2"/>
      <c r="V869" s="2"/>
      <c r="W869" s="2"/>
      <c r="X869" s="2"/>
      <c r="Y869" s="2"/>
      <c r="Z869" s="2"/>
      <c r="AA869" s="2"/>
      <c r="AB869" s="2"/>
    </row>
    <row r="870">
      <c r="A870" s="2"/>
      <c r="B870" s="2"/>
      <c r="C870" s="2"/>
      <c r="D870" s="2"/>
      <c r="E870" s="398"/>
      <c r="F870" s="2"/>
      <c r="G870" s="398"/>
      <c r="H870" s="398"/>
      <c r="I870" s="398"/>
      <c r="J870" s="398"/>
      <c r="K870" s="2"/>
      <c r="L870" s="2"/>
      <c r="M870" s="2"/>
      <c r="N870" s="2"/>
      <c r="O870" s="2"/>
      <c r="P870" s="2"/>
      <c r="Q870" s="2"/>
      <c r="R870" s="2"/>
      <c r="S870" s="2"/>
      <c r="T870" s="2"/>
      <c r="U870" s="2"/>
      <c r="V870" s="2"/>
      <c r="W870" s="2"/>
      <c r="X870" s="2"/>
      <c r="Y870" s="2"/>
      <c r="Z870" s="2"/>
      <c r="AA870" s="2"/>
      <c r="AB870" s="2"/>
    </row>
    <row r="871">
      <c r="A871" s="2"/>
      <c r="B871" s="2"/>
      <c r="C871" s="2"/>
      <c r="D871" s="2"/>
      <c r="E871" s="398"/>
      <c r="F871" s="2"/>
      <c r="G871" s="398"/>
      <c r="H871" s="398"/>
      <c r="I871" s="398"/>
      <c r="J871" s="398"/>
      <c r="K871" s="2"/>
      <c r="L871" s="2"/>
      <c r="M871" s="2"/>
      <c r="N871" s="2"/>
      <c r="O871" s="2"/>
      <c r="P871" s="2"/>
      <c r="Q871" s="2"/>
      <c r="R871" s="2"/>
      <c r="S871" s="2"/>
      <c r="T871" s="2"/>
      <c r="U871" s="2"/>
      <c r="V871" s="2"/>
      <c r="W871" s="2"/>
      <c r="X871" s="2"/>
      <c r="Y871" s="2"/>
      <c r="Z871" s="2"/>
      <c r="AA871" s="2"/>
      <c r="AB871" s="2"/>
    </row>
    <row r="872">
      <c r="A872" s="2"/>
      <c r="B872" s="2"/>
      <c r="C872" s="2"/>
      <c r="D872" s="2"/>
      <c r="E872" s="398"/>
      <c r="F872" s="2"/>
      <c r="G872" s="398"/>
      <c r="H872" s="398"/>
      <c r="I872" s="398"/>
      <c r="J872" s="398"/>
      <c r="K872" s="2"/>
      <c r="L872" s="2"/>
      <c r="M872" s="2"/>
      <c r="N872" s="2"/>
      <c r="O872" s="2"/>
      <c r="P872" s="2"/>
      <c r="Q872" s="2"/>
      <c r="R872" s="2"/>
      <c r="S872" s="2"/>
      <c r="T872" s="2"/>
      <c r="U872" s="2"/>
      <c r="V872" s="2"/>
      <c r="W872" s="2"/>
      <c r="X872" s="2"/>
      <c r="Y872" s="2"/>
      <c r="Z872" s="2"/>
      <c r="AA872" s="2"/>
      <c r="AB872" s="2"/>
    </row>
    <row r="873">
      <c r="A873" s="2"/>
      <c r="B873" s="2"/>
      <c r="C873" s="2"/>
      <c r="D873" s="2"/>
      <c r="E873" s="398"/>
      <c r="F873" s="2"/>
      <c r="G873" s="398"/>
      <c r="H873" s="398"/>
      <c r="I873" s="398"/>
      <c r="J873" s="398"/>
      <c r="K873" s="2"/>
      <c r="L873" s="2"/>
      <c r="M873" s="2"/>
      <c r="N873" s="2"/>
      <c r="O873" s="2"/>
      <c r="P873" s="2"/>
      <c r="Q873" s="2"/>
      <c r="R873" s="2"/>
      <c r="S873" s="2"/>
      <c r="T873" s="2"/>
      <c r="U873" s="2"/>
      <c r="V873" s="2"/>
      <c r="W873" s="2"/>
      <c r="X873" s="2"/>
      <c r="Y873" s="2"/>
      <c r="Z873" s="2"/>
      <c r="AA873" s="2"/>
      <c r="AB873" s="2"/>
    </row>
    <row r="874">
      <c r="A874" s="2"/>
      <c r="B874" s="2"/>
      <c r="C874" s="2"/>
      <c r="D874" s="2"/>
      <c r="E874" s="398"/>
      <c r="F874" s="2"/>
      <c r="G874" s="398"/>
      <c r="H874" s="398"/>
      <c r="I874" s="398"/>
      <c r="J874" s="398"/>
      <c r="K874" s="2"/>
      <c r="L874" s="2"/>
      <c r="M874" s="2"/>
      <c r="N874" s="2"/>
      <c r="O874" s="2"/>
      <c r="P874" s="2"/>
      <c r="Q874" s="2"/>
      <c r="R874" s="2"/>
      <c r="S874" s="2"/>
      <c r="T874" s="2"/>
      <c r="U874" s="2"/>
      <c r="V874" s="2"/>
      <c r="W874" s="2"/>
      <c r="X874" s="2"/>
      <c r="Y874" s="2"/>
      <c r="Z874" s="2"/>
      <c r="AA874" s="2"/>
      <c r="AB874" s="2"/>
    </row>
    <row r="875">
      <c r="A875" s="2"/>
      <c r="B875" s="2"/>
      <c r="C875" s="2"/>
      <c r="D875" s="2"/>
      <c r="E875" s="398"/>
      <c r="F875" s="2"/>
      <c r="G875" s="398"/>
      <c r="H875" s="398"/>
      <c r="I875" s="398"/>
      <c r="J875" s="398"/>
      <c r="K875" s="2"/>
      <c r="L875" s="2"/>
      <c r="M875" s="2"/>
      <c r="N875" s="2"/>
      <c r="O875" s="2"/>
      <c r="P875" s="2"/>
      <c r="Q875" s="2"/>
      <c r="R875" s="2"/>
      <c r="S875" s="2"/>
      <c r="T875" s="2"/>
      <c r="U875" s="2"/>
      <c r="V875" s="2"/>
      <c r="W875" s="2"/>
      <c r="X875" s="2"/>
      <c r="Y875" s="2"/>
      <c r="Z875" s="2"/>
      <c r="AA875" s="2"/>
      <c r="AB875" s="2"/>
    </row>
    <row r="876">
      <c r="A876" s="2"/>
      <c r="B876" s="2"/>
      <c r="C876" s="2"/>
      <c r="D876" s="2"/>
      <c r="E876" s="398"/>
      <c r="F876" s="2"/>
      <c r="G876" s="398"/>
      <c r="H876" s="398"/>
      <c r="I876" s="398"/>
      <c r="J876" s="398"/>
      <c r="K876" s="2"/>
      <c r="L876" s="2"/>
      <c r="M876" s="2"/>
      <c r="N876" s="2"/>
      <c r="O876" s="2"/>
      <c r="P876" s="2"/>
      <c r="Q876" s="2"/>
      <c r="R876" s="2"/>
      <c r="S876" s="2"/>
      <c r="T876" s="2"/>
      <c r="U876" s="2"/>
      <c r="V876" s="2"/>
      <c r="W876" s="2"/>
      <c r="X876" s="2"/>
      <c r="Y876" s="2"/>
      <c r="Z876" s="2"/>
      <c r="AA876" s="2"/>
      <c r="AB876" s="2"/>
    </row>
    <row r="877">
      <c r="A877" s="2"/>
      <c r="B877" s="2"/>
      <c r="C877" s="2"/>
      <c r="D877" s="2"/>
      <c r="E877" s="398"/>
      <c r="F877" s="2"/>
      <c r="G877" s="398"/>
      <c r="H877" s="398"/>
      <c r="I877" s="398"/>
      <c r="J877" s="398"/>
      <c r="K877" s="2"/>
      <c r="L877" s="2"/>
      <c r="M877" s="2"/>
      <c r="N877" s="2"/>
      <c r="O877" s="2"/>
      <c r="P877" s="2"/>
      <c r="Q877" s="2"/>
      <c r="R877" s="2"/>
      <c r="S877" s="2"/>
      <c r="T877" s="2"/>
      <c r="U877" s="2"/>
      <c r="V877" s="2"/>
      <c r="W877" s="2"/>
      <c r="X877" s="2"/>
      <c r="Y877" s="2"/>
      <c r="Z877" s="2"/>
      <c r="AA877" s="2"/>
      <c r="AB877" s="2"/>
    </row>
    <row r="878">
      <c r="A878" s="2"/>
      <c r="B878" s="2"/>
      <c r="C878" s="2"/>
      <c r="D878" s="2"/>
      <c r="E878" s="398"/>
      <c r="F878" s="2"/>
      <c r="G878" s="398"/>
      <c r="H878" s="398"/>
      <c r="I878" s="398"/>
      <c r="J878" s="398"/>
      <c r="K878" s="2"/>
      <c r="L878" s="2"/>
      <c r="M878" s="2"/>
      <c r="N878" s="2"/>
      <c r="O878" s="2"/>
      <c r="P878" s="2"/>
      <c r="Q878" s="2"/>
      <c r="R878" s="2"/>
      <c r="S878" s="2"/>
      <c r="T878" s="2"/>
      <c r="U878" s="2"/>
      <c r="V878" s="2"/>
      <c r="W878" s="2"/>
      <c r="X878" s="2"/>
      <c r="Y878" s="2"/>
      <c r="Z878" s="2"/>
      <c r="AA878" s="2"/>
      <c r="AB878" s="2"/>
    </row>
    <row r="879">
      <c r="A879" s="2"/>
      <c r="B879" s="2"/>
      <c r="C879" s="2"/>
      <c r="D879" s="2"/>
      <c r="E879" s="398"/>
      <c r="F879" s="2"/>
      <c r="G879" s="398"/>
      <c r="H879" s="398"/>
      <c r="I879" s="398"/>
      <c r="J879" s="398"/>
      <c r="K879" s="2"/>
      <c r="L879" s="2"/>
      <c r="M879" s="2"/>
      <c r="N879" s="2"/>
      <c r="O879" s="2"/>
      <c r="P879" s="2"/>
      <c r="Q879" s="2"/>
      <c r="R879" s="2"/>
      <c r="S879" s="2"/>
      <c r="T879" s="2"/>
      <c r="U879" s="2"/>
      <c r="V879" s="2"/>
      <c r="W879" s="2"/>
      <c r="X879" s="2"/>
      <c r="Y879" s="2"/>
      <c r="Z879" s="2"/>
      <c r="AA879" s="2"/>
      <c r="AB879" s="2"/>
    </row>
    <row r="880">
      <c r="A880" s="2"/>
      <c r="B880" s="2"/>
      <c r="C880" s="2"/>
      <c r="D880" s="2"/>
      <c r="E880" s="398"/>
      <c r="F880" s="2"/>
      <c r="G880" s="398"/>
      <c r="H880" s="398"/>
      <c r="I880" s="398"/>
      <c r="J880" s="398"/>
      <c r="K880" s="2"/>
      <c r="L880" s="2"/>
      <c r="M880" s="2"/>
      <c r="N880" s="2"/>
      <c r="O880" s="2"/>
      <c r="P880" s="2"/>
      <c r="Q880" s="2"/>
      <c r="R880" s="2"/>
      <c r="S880" s="2"/>
      <c r="T880" s="2"/>
      <c r="U880" s="2"/>
      <c r="V880" s="2"/>
      <c r="W880" s="2"/>
      <c r="X880" s="2"/>
      <c r="Y880" s="2"/>
      <c r="Z880" s="2"/>
      <c r="AA880" s="2"/>
      <c r="AB880" s="2"/>
    </row>
    <row r="881">
      <c r="A881" s="2"/>
      <c r="B881" s="2"/>
      <c r="C881" s="2"/>
      <c r="D881" s="2"/>
      <c r="E881" s="398"/>
      <c r="F881" s="2"/>
      <c r="G881" s="398"/>
      <c r="H881" s="398"/>
      <c r="I881" s="398"/>
      <c r="J881" s="398"/>
      <c r="K881" s="2"/>
      <c r="L881" s="2"/>
      <c r="M881" s="2"/>
      <c r="N881" s="2"/>
      <c r="O881" s="2"/>
      <c r="P881" s="2"/>
      <c r="Q881" s="2"/>
      <c r="R881" s="2"/>
      <c r="S881" s="2"/>
      <c r="T881" s="2"/>
      <c r="U881" s="2"/>
      <c r="V881" s="2"/>
      <c r="W881" s="2"/>
      <c r="X881" s="2"/>
      <c r="Y881" s="2"/>
      <c r="Z881" s="2"/>
      <c r="AA881" s="2"/>
      <c r="AB881" s="2"/>
    </row>
    <row r="882">
      <c r="A882" s="2"/>
      <c r="B882" s="2"/>
      <c r="C882" s="2"/>
      <c r="D882" s="2"/>
      <c r="E882" s="398"/>
      <c r="F882" s="2"/>
      <c r="G882" s="398"/>
      <c r="H882" s="398"/>
      <c r="I882" s="398"/>
      <c r="J882" s="398"/>
      <c r="K882" s="2"/>
      <c r="L882" s="2"/>
      <c r="M882" s="2"/>
      <c r="N882" s="2"/>
      <c r="O882" s="2"/>
      <c r="P882" s="2"/>
      <c r="Q882" s="2"/>
      <c r="R882" s="2"/>
      <c r="S882" s="2"/>
      <c r="T882" s="2"/>
      <c r="U882" s="2"/>
      <c r="V882" s="2"/>
      <c r="W882" s="2"/>
      <c r="X882" s="2"/>
      <c r="Y882" s="2"/>
      <c r="Z882" s="2"/>
      <c r="AA882" s="2"/>
      <c r="AB882" s="2"/>
    </row>
    <row r="883">
      <c r="A883" s="2"/>
      <c r="B883" s="2"/>
      <c r="C883" s="2"/>
      <c r="D883" s="2"/>
      <c r="E883" s="398"/>
      <c r="F883" s="2"/>
      <c r="G883" s="398"/>
      <c r="H883" s="398"/>
      <c r="I883" s="398"/>
      <c r="J883" s="398"/>
      <c r="K883" s="2"/>
      <c r="L883" s="2"/>
      <c r="M883" s="2"/>
      <c r="N883" s="2"/>
      <c r="O883" s="2"/>
      <c r="P883" s="2"/>
      <c r="Q883" s="2"/>
      <c r="R883" s="2"/>
      <c r="S883" s="2"/>
      <c r="T883" s="2"/>
      <c r="U883" s="2"/>
      <c r="V883" s="2"/>
      <c r="W883" s="2"/>
      <c r="X883" s="2"/>
      <c r="Y883" s="2"/>
      <c r="Z883" s="2"/>
      <c r="AA883" s="2"/>
      <c r="AB883" s="2"/>
    </row>
    <row r="884">
      <c r="A884" s="2"/>
      <c r="B884" s="2"/>
      <c r="C884" s="2"/>
      <c r="D884" s="2"/>
      <c r="E884" s="398"/>
      <c r="F884" s="2"/>
      <c r="G884" s="398"/>
      <c r="H884" s="398"/>
      <c r="I884" s="398"/>
      <c r="J884" s="398"/>
      <c r="K884" s="2"/>
      <c r="L884" s="2"/>
      <c r="M884" s="2"/>
      <c r="N884" s="2"/>
      <c r="O884" s="2"/>
      <c r="P884" s="2"/>
      <c r="Q884" s="2"/>
      <c r="R884" s="2"/>
      <c r="S884" s="2"/>
      <c r="T884" s="2"/>
      <c r="U884" s="2"/>
      <c r="V884" s="2"/>
      <c r="W884" s="2"/>
      <c r="X884" s="2"/>
      <c r="Y884" s="2"/>
      <c r="Z884" s="2"/>
      <c r="AA884" s="2"/>
      <c r="AB884" s="2"/>
    </row>
    <row r="885">
      <c r="A885" s="2"/>
      <c r="B885" s="2"/>
      <c r="C885" s="2"/>
      <c r="D885" s="2"/>
      <c r="E885" s="398"/>
      <c r="F885" s="2"/>
      <c r="G885" s="398"/>
      <c r="H885" s="398"/>
      <c r="I885" s="398"/>
      <c r="J885" s="398"/>
      <c r="K885" s="2"/>
      <c r="L885" s="2"/>
      <c r="M885" s="2"/>
      <c r="N885" s="2"/>
      <c r="O885" s="2"/>
      <c r="P885" s="2"/>
      <c r="Q885" s="2"/>
      <c r="R885" s="2"/>
      <c r="S885" s="2"/>
      <c r="T885" s="2"/>
      <c r="U885" s="2"/>
      <c r="V885" s="2"/>
      <c r="W885" s="2"/>
      <c r="X885" s="2"/>
      <c r="Y885" s="2"/>
      <c r="Z885" s="2"/>
      <c r="AA885" s="2"/>
      <c r="AB885" s="2"/>
    </row>
    <row r="886">
      <c r="A886" s="2"/>
      <c r="B886" s="2"/>
      <c r="C886" s="2"/>
      <c r="D886" s="2"/>
      <c r="E886" s="398"/>
      <c r="F886" s="2"/>
      <c r="G886" s="398"/>
      <c r="H886" s="398"/>
      <c r="I886" s="398"/>
      <c r="J886" s="398"/>
      <c r="K886" s="2"/>
      <c r="L886" s="2"/>
      <c r="M886" s="2"/>
      <c r="N886" s="2"/>
      <c r="O886" s="2"/>
      <c r="P886" s="2"/>
      <c r="Q886" s="2"/>
      <c r="R886" s="2"/>
      <c r="S886" s="2"/>
      <c r="T886" s="2"/>
      <c r="U886" s="2"/>
      <c r="V886" s="2"/>
      <c r="W886" s="2"/>
      <c r="X886" s="2"/>
      <c r="Y886" s="2"/>
      <c r="Z886" s="2"/>
      <c r="AA886" s="2"/>
      <c r="AB886" s="2"/>
    </row>
    <row r="887">
      <c r="A887" s="2"/>
      <c r="B887" s="2"/>
      <c r="C887" s="2"/>
      <c r="D887" s="2"/>
      <c r="E887" s="398"/>
      <c r="F887" s="2"/>
      <c r="G887" s="398"/>
      <c r="H887" s="398"/>
      <c r="I887" s="398"/>
      <c r="J887" s="398"/>
      <c r="K887" s="2"/>
      <c r="L887" s="2"/>
      <c r="M887" s="2"/>
      <c r="N887" s="2"/>
      <c r="O887" s="2"/>
      <c r="P887" s="2"/>
      <c r="Q887" s="2"/>
      <c r="R887" s="2"/>
      <c r="S887" s="2"/>
      <c r="T887" s="2"/>
      <c r="U887" s="2"/>
      <c r="V887" s="2"/>
      <c r="W887" s="2"/>
      <c r="X887" s="2"/>
      <c r="Y887" s="2"/>
      <c r="Z887" s="2"/>
      <c r="AA887" s="2"/>
      <c r="AB887" s="2"/>
    </row>
    <row r="888">
      <c r="A888" s="2"/>
      <c r="B888" s="2"/>
      <c r="C888" s="2"/>
      <c r="D888" s="2"/>
      <c r="E888" s="398"/>
      <c r="F888" s="2"/>
      <c r="G888" s="398"/>
      <c r="H888" s="398"/>
      <c r="I888" s="398"/>
      <c r="J888" s="398"/>
      <c r="K888" s="2"/>
      <c r="L888" s="2"/>
      <c r="M888" s="2"/>
      <c r="N888" s="2"/>
      <c r="O888" s="2"/>
      <c r="P888" s="2"/>
      <c r="Q888" s="2"/>
      <c r="R888" s="2"/>
      <c r="S888" s="2"/>
      <c r="T888" s="2"/>
      <c r="U888" s="2"/>
      <c r="V888" s="2"/>
      <c r="W888" s="2"/>
      <c r="X888" s="2"/>
      <c r="Y888" s="2"/>
      <c r="Z888" s="2"/>
      <c r="AA888" s="2"/>
      <c r="AB888" s="2"/>
    </row>
    <row r="889">
      <c r="A889" s="2"/>
      <c r="B889" s="2"/>
      <c r="C889" s="2"/>
      <c r="D889" s="2"/>
      <c r="E889" s="398"/>
      <c r="F889" s="2"/>
      <c r="G889" s="398"/>
      <c r="H889" s="398"/>
      <c r="I889" s="398"/>
      <c r="J889" s="398"/>
      <c r="K889" s="2"/>
      <c r="L889" s="2"/>
      <c r="M889" s="2"/>
      <c r="N889" s="2"/>
      <c r="O889" s="2"/>
      <c r="P889" s="2"/>
      <c r="Q889" s="2"/>
      <c r="R889" s="2"/>
      <c r="S889" s="2"/>
      <c r="T889" s="2"/>
      <c r="U889" s="2"/>
      <c r="V889" s="2"/>
      <c r="W889" s="2"/>
      <c r="X889" s="2"/>
      <c r="Y889" s="2"/>
      <c r="Z889" s="2"/>
      <c r="AA889" s="2"/>
      <c r="AB889" s="2"/>
    </row>
    <row r="890">
      <c r="A890" s="2"/>
      <c r="B890" s="2"/>
      <c r="C890" s="2"/>
      <c r="D890" s="2"/>
      <c r="E890" s="398"/>
      <c r="F890" s="2"/>
      <c r="G890" s="398"/>
      <c r="H890" s="398"/>
      <c r="I890" s="398"/>
      <c r="J890" s="398"/>
      <c r="K890" s="2"/>
      <c r="L890" s="2"/>
      <c r="M890" s="2"/>
      <c r="N890" s="2"/>
      <c r="O890" s="2"/>
      <c r="P890" s="2"/>
      <c r="Q890" s="2"/>
      <c r="R890" s="2"/>
      <c r="S890" s="2"/>
      <c r="T890" s="2"/>
      <c r="U890" s="2"/>
      <c r="V890" s="2"/>
      <c r="W890" s="2"/>
      <c r="X890" s="2"/>
      <c r="Y890" s="2"/>
      <c r="Z890" s="2"/>
      <c r="AA890" s="2"/>
      <c r="AB890" s="2"/>
    </row>
    <row r="891">
      <c r="A891" s="2"/>
      <c r="B891" s="2"/>
      <c r="C891" s="2"/>
      <c r="D891" s="2"/>
      <c r="E891" s="398"/>
      <c r="F891" s="2"/>
      <c r="G891" s="398"/>
      <c r="H891" s="398"/>
      <c r="I891" s="398"/>
      <c r="J891" s="398"/>
      <c r="K891" s="2"/>
      <c r="L891" s="2"/>
      <c r="M891" s="2"/>
      <c r="N891" s="2"/>
      <c r="O891" s="2"/>
      <c r="P891" s="2"/>
      <c r="Q891" s="2"/>
      <c r="R891" s="2"/>
      <c r="S891" s="2"/>
      <c r="T891" s="2"/>
      <c r="U891" s="2"/>
      <c r="V891" s="2"/>
      <c r="W891" s="2"/>
      <c r="X891" s="2"/>
      <c r="Y891" s="2"/>
      <c r="Z891" s="2"/>
      <c r="AA891" s="2"/>
      <c r="AB891" s="2"/>
    </row>
    <row r="892">
      <c r="A892" s="2"/>
      <c r="B892" s="2"/>
      <c r="C892" s="2"/>
      <c r="D892" s="2"/>
      <c r="E892" s="398"/>
      <c r="F892" s="2"/>
      <c r="G892" s="398"/>
      <c r="H892" s="398"/>
      <c r="I892" s="398"/>
      <c r="J892" s="398"/>
      <c r="K892" s="2"/>
      <c r="L892" s="2"/>
      <c r="M892" s="2"/>
      <c r="N892" s="2"/>
      <c r="O892" s="2"/>
      <c r="P892" s="2"/>
      <c r="Q892" s="2"/>
      <c r="R892" s="2"/>
      <c r="S892" s="2"/>
      <c r="T892" s="2"/>
      <c r="U892" s="2"/>
      <c r="V892" s="2"/>
      <c r="W892" s="2"/>
      <c r="X892" s="2"/>
      <c r="Y892" s="2"/>
      <c r="Z892" s="2"/>
      <c r="AA892" s="2"/>
      <c r="AB892" s="2"/>
    </row>
    <row r="893">
      <c r="A893" s="2"/>
      <c r="B893" s="2"/>
      <c r="C893" s="2"/>
      <c r="D893" s="2"/>
      <c r="E893" s="398"/>
      <c r="F893" s="2"/>
      <c r="G893" s="398"/>
      <c r="H893" s="398"/>
      <c r="I893" s="398"/>
      <c r="J893" s="398"/>
      <c r="K893" s="2"/>
      <c r="L893" s="2"/>
      <c r="M893" s="2"/>
      <c r="N893" s="2"/>
      <c r="O893" s="2"/>
      <c r="P893" s="2"/>
      <c r="Q893" s="2"/>
      <c r="R893" s="2"/>
      <c r="S893" s="2"/>
      <c r="T893" s="2"/>
      <c r="U893" s="2"/>
      <c r="V893" s="2"/>
      <c r="W893" s="2"/>
      <c r="X893" s="2"/>
      <c r="Y893" s="2"/>
      <c r="Z893" s="2"/>
      <c r="AA893" s="2"/>
      <c r="AB893" s="2"/>
    </row>
    <row r="894">
      <c r="A894" s="2"/>
      <c r="B894" s="2"/>
      <c r="C894" s="2"/>
      <c r="D894" s="2"/>
      <c r="E894" s="398"/>
      <c r="F894" s="2"/>
      <c r="G894" s="398"/>
      <c r="H894" s="398"/>
      <c r="I894" s="398"/>
      <c r="J894" s="398"/>
      <c r="K894" s="2"/>
      <c r="L894" s="2"/>
      <c r="M894" s="2"/>
      <c r="N894" s="2"/>
      <c r="O894" s="2"/>
      <c r="P894" s="2"/>
      <c r="Q894" s="2"/>
      <c r="R894" s="2"/>
      <c r="S894" s="2"/>
      <c r="T894" s="2"/>
      <c r="U894" s="2"/>
      <c r="V894" s="2"/>
      <c r="W894" s="2"/>
      <c r="X894" s="2"/>
      <c r="Y894" s="2"/>
      <c r="Z894" s="2"/>
      <c r="AA894" s="2"/>
      <c r="AB894" s="2"/>
    </row>
    <row r="895">
      <c r="A895" s="2"/>
      <c r="B895" s="2"/>
      <c r="C895" s="2"/>
      <c r="D895" s="2"/>
      <c r="E895" s="398"/>
      <c r="F895" s="2"/>
      <c r="G895" s="398"/>
      <c r="H895" s="398"/>
      <c r="I895" s="398"/>
      <c r="J895" s="398"/>
      <c r="K895" s="2"/>
      <c r="L895" s="2"/>
      <c r="M895" s="2"/>
      <c r="N895" s="2"/>
      <c r="O895" s="2"/>
      <c r="P895" s="2"/>
      <c r="Q895" s="2"/>
      <c r="R895" s="2"/>
      <c r="S895" s="2"/>
      <c r="T895" s="2"/>
      <c r="U895" s="2"/>
      <c r="V895" s="2"/>
      <c r="W895" s="2"/>
      <c r="X895" s="2"/>
      <c r="Y895" s="2"/>
      <c r="Z895" s="2"/>
      <c r="AA895" s="2"/>
      <c r="AB895" s="2"/>
    </row>
    <row r="896">
      <c r="A896" s="2"/>
      <c r="B896" s="2"/>
      <c r="C896" s="2"/>
      <c r="D896" s="2"/>
      <c r="E896" s="398"/>
      <c r="F896" s="2"/>
      <c r="G896" s="398"/>
      <c r="H896" s="398"/>
      <c r="I896" s="398"/>
      <c r="J896" s="398"/>
      <c r="K896" s="2"/>
      <c r="L896" s="2"/>
      <c r="M896" s="2"/>
      <c r="N896" s="2"/>
      <c r="O896" s="2"/>
      <c r="P896" s="2"/>
      <c r="Q896" s="2"/>
      <c r="R896" s="2"/>
      <c r="S896" s="2"/>
      <c r="T896" s="2"/>
      <c r="U896" s="2"/>
      <c r="V896" s="2"/>
      <c r="W896" s="2"/>
      <c r="X896" s="2"/>
      <c r="Y896" s="2"/>
      <c r="Z896" s="2"/>
      <c r="AA896" s="2"/>
      <c r="AB896" s="2"/>
    </row>
    <row r="897">
      <c r="A897" s="2"/>
      <c r="B897" s="2"/>
      <c r="C897" s="2"/>
      <c r="D897" s="2"/>
      <c r="E897" s="398"/>
      <c r="F897" s="2"/>
      <c r="G897" s="398"/>
      <c r="H897" s="398"/>
      <c r="I897" s="398"/>
      <c r="J897" s="398"/>
      <c r="K897" s="2"/>
      <c r="L897" s="2"/>
      <c r="M897" s="2"/>
      <c r="N897" s="2"/>
      <c r="O897" s="2"/>
      <c r="P897" s="2"/>
      <c r="Q897" s="2"/>
      <c r="R897" s="2"/>
      <c r="S897" s="2"/>
      <c r="T897" s="2"/>
      <c r="U897" s="2"/>
      <c r="V897" s="2"/>
      <c r="W897" s="2"/>
      <c r="X897" s="2"/>
      <c r="Y897" s="2"/>
      <c r="Z897" s="2"/>
      <c r="AA897" s="2"/>
      <c r="AB897" s="2"/>
    </row>
    <row r="898">
      <c r="A898" s="2"/>
      <c r="B898" s="2"/>
      <c r="C898" s="2"/>
      <c r="D898" s="2"/>
      <c r="E898" s="398"/>
      <c r="F898" s="2"/>
      <c r="G898" s="398"/>
      <c r="H898" s="398"/>
      <c r="I898" s="398"/>
      <c r="J898" s="398"/>
      <c r="K898" s="2"/>
      <c r="L898" s="2"/>
      <c r="M898" s="2"/>
      <c r="N898" s="2"/>
      <c r="O898" s="2"/>
      <c r="P898" s="2"/>
      <c r="Q898" s="2"/>
      <c r="R898" s="2"/>
      <c r="S898" s="2"/>
      <c r="T898" s="2"/>
      <c r="U898" s="2"/>
      <c r="V898" s="2"/>
      <c r="W898" s="2"/>
      <c r="X898" s="2"/>
      <c r="Y898" s="2"/>
      <c r="Z898" s="2"/>
      <c r="AA898" s="2"/>
      <c r="AB898" s="2"/>
    </row>
    <row r="899">
      <c r="A899" s="2"/>
      <c r="B899" s="2"/>
      <c r="C899" s="2"/>
      <c r="D899" s="2"/>
      <c r="E899" s="398"/>
      <c r="F899" s="2"/>
      <c r="G899" s="398"/>
      <c r="H899" s="398"/>
      <c r="I899" s="398"/>
      <c r="J899" s="398"/>
      <c r="K899" s="2"/>
      <c r="L899" s="2"/>
      <c r="M899" s="2"/>
      <c r="N899" s="2"/>
      <c r="O899" s="2"/>
      <c r="P899" s="2"/>
      <c r="Q899" s="2"/>
      <c r="R899" s="2"/>
      <c r="S899" s="2"/>
      <c r="T899" s="2"/>
      <c r="U899" s="2"/>
      <c r="V899" s="2"/>
      <c r="W899" s="2"/>
      <c r="X899" s="2"/>
      <c r="Y899" s="2"/>
      <c r="Z899" s="2"/>
      <c r="AA899" s="2"/>
      <c r="AB899" s="2"/>
    </row>
    <row r="900">
      <c r="A900" s="2"/>
      <c r="B900" s="2"/>
      <c r="C900" s="2"/>
      <c r="D900" s="2"/>
      <c r="E900" s="398"/>
      <c r="F900" s="2"/>
      <c r="G900" s="398"/>
      <c r="H900" s="398"/>
      <c r="I900" s="398"/>
      <c r="J900" s="398"/>
      <c r="K900" s="2"/>
      <c r="L900" s="2"/>
      <c r="M900" s="2"/>
      <c r="N900" s="2"/>
      <c r="O900" s="2"/>
      <c r="P900" s="2"/>
      <c r="Q900" s="2"/>
      <c r="R900" s="2"/>
      <c r="S900" s="2"/>
      <c r="T900" s="2"/>
      <c r="U900" s="2"/>
      <c r="V900" s="2"/>
      <c r="W900" s="2"/>
      <c r="X900" s="2"/>
      <c r="Y900" s="2"/>
      <c r="Z900" s="2"/>
      <c r="AA900" s="2"/>
      <c r="AB900" s="2"/>
    </row>
    <row r="901">
      <c r="A901" s="2"/>
      <c r="B901" s="2"/>
      <c r="C901" s="2"/>
      <c r="D901" s="2"/>
      <c r="E901" s="398"/>
      <c r="F901" s="2"/>
      <c r="G901" s="398"/>
      <c r="H901" s="398"/>
      <c r="I901" s="398"/>
      <c r="J901" s="398"/>
      <c r="K901" s="2"/>
      <c r="L901" s="2"/>
      <c r="M901" s="2"/>
      <c r="N901" s="2"/>
      <c r="O901" s="2"/>
      <c r="P901" s="2"/>
      <c r="Q901" s="2"/>
      <c r="R901" s="2"/>
      <c r="S901" s="2"/>
      <c r="T901" s="2"/>
      <c r="U901" s="2"/>
      <c r="V901" s="2"/>
      <c r="W901" s="2"/>
      <c r="X901" s="2"/>
      <c r="Y901" s="2"/>
      <c r="Z901" s="2"/>
      <c r="AA901" s="2"/>
      <c r="AB901" s="2"/>
    </row>
    <row r="902">
      <c r="A902" s="2"/>
      <c r="B902" s="2"/>
      <c r="C902" s="2"/>
      <c r="D902" s="2"/>
      <c r="E902" s="398"/>
      <c r="F902" s="2"/>
      <c r="G902" s="398"/>
      <c r="H902" s="398"/>
      <c r="I902" s="398"/>
      <c r="J902" s="398"/>
      <c r="K902" s="2"/>
      <c r="L902" s="2"/>
      <c r="M902" s="2"/>
      <c r="N902" s="2"/>
      <c r="O902" s="2"/>
      <c r="P902" s="2"/>
      <c r="Q902" s="2"/>
      <c r="R902" s="2"/>
      <c r="S902" s="2"/>
      <c r="T902" s="2"/>
      <c r="U902" s="2"/>
      <c r="V902" s="2"/>
      <c r="W902" s="2"/>
      <c r="X902" s="2"/>
      <c r="Y902" s="2"/>
      <c r="Z902" s="2"/>
      <c r="AA902" s="2"/>
      <c r="AB902" s="2"/>
    </row>
    <row r="903">
      <c r="A903" s="2"/>
      <c r="B903" s="2"/>
      <c r="C903" s="2"/>
      <c r="D903" s="2"/>
      <c r="E903" s="398"/>
      <c r="F903" s="2"/>
      <c r="G903" s="398"/>
      <c r="H903" s="398"/>
      <c r="I903" s="398"/>
      <c r="J903" s="398"/>
      <c r="K903" s="2"/>
      <c r="L903" s="2"/>
      <c r="M903" s="2"/>
      <c r="N903" s="2"/>
      <c r="O903" s="2"/>
      <c r="P903" s="2"/>
      <c r="Q903" s="2"/>
      <c r="R903" s="2"/>
      <c r="S903" s="2"/>
      <c r="T903" s="2"/>
      <c r="U903" s="2"/>
      <c r="V903" s="2"/>
      <c r="W903" s="2"/>
      <c r="X903" s="2"/>
      <c r="Y903" s="2"/>
      <c r="Z903" s="2"/>
      <c r="AA903" s="2"/>
      <c r="AB903" s="2"/>
    </row>
    <row r="904">
      <c r="A904" s="2"/>
      <c r="B904" s="2"/>
      <c r="C904" s="2"/>
      <c r="D904" s="2"/>
      <c r="E904" s="398"/>
      <c r="F904" s="2"/>
      <c r="G904" s="398"/>
      <c r="H904" s="398"/>
      <c r="I904" s="398"/>
      <c r="J904" s="398"/>
      <c r="K904" s="2"/>
      <c r="L904" s="2"/>
      <c r="M904" s="2"/>
      <c r="N904" s="2"/>
      <c r="O904" s="2"/>
      <c r="P904" s="2"/>
      <c r="Q904" s="2"/>
      <c r="R904" s="2"/>
      <c r="S904" s="2"/>
      <c r="T904" s="2"/>
      <c r="U904" s="2"/>
      <c r="V904" s="2"/>
      <c r="W904" s="2"/>
      <c r="X904" s="2"/>
      <c r="Y904" s="2"/>
      <c r="Z904" s="2"/>
      <c r="AA904" s="2"/>
      <c r="AB904" s="2"/>
    </row>
    <row r="905">
      <c r="A905" s="2"/>
      <c r="B905" s="2"/>
      <c r="C905" s="2"/>
      <c r="D905" s="2"/>
      <c r="E905" s="398"/>
      <c r="F905" s="2"/>
      <c r="G905" s="398"/>
      <c r="H905" s="398"/>
      <c r="I905" s="398"/>
      <c r="J905" s="398"/>
      <c r="K905" s="2"/>
      <c r="L905" s="2"/>
      <c r="M905" s="2"/>
      <c r="N905" s="2"/>
      <c r="O905" s="2"/>
      <c r="P905" s="2"/>
      <c r="Q905" s="2"/>
      <c r="R905" s="2"/>
      <c r="S905" s="2"/>
      <c r="T905" s="2"/>
      <c r="U905" s="2"/>
      <c r="V905" s="2"/>
      <c r="W905" s="2"/>
      <c r="X905" s="2"/>
      <c r="Y905" s="2"/>
      <c r="Z905" s="2"/>
      <c r="AA905" s="2"/>
      <c r="AB905" s="2"/>
    </row>
    <row r="906">
      <c r="A906" s="2"/>
      <c r="B906" s="2"/>
      <c r="C906" s="2"/>
      <c r="D906" s="2"/>
      <c r="E906" s="398"/>
      <c r="F906" s="2"/>
      <c r="G906" s="398"/>
      <c r="H906" s="398"/>
      <c r="I906" s="398"/>
      <c r="J906" s="398"/>
      <c r="K906" s="2"/>
      <c r="L906" s="2"/>
      <c r="M906" s="2"/>
      <c r="N906" s="2"/>
      <c r="O906" s="2"/>
      <c r="P906" s="2"/>
      <c r="Q906" s="2"/>
      <c r="R906" s="2"/>
      <c r="S906" s="2"/>
      <c r="T906" s="2"/>
      <c r="U906" s="2"/>
      <c r="V906" s="2"/>
      <c r="W906" s="2"/>
      <c r="X906" s="2"/>
      <c r="Y906" s="2"/>
      <c r="Z906" s="2"/>
      <c r="AA906" s="2"/>
      <c r="AB906" s="2"/>
    </row>
    <row r="907">
      <c r="A907" s="2"/>
      <c r="B907" s="2"/>
      <c r="C907" s="2"/>
      <c r="D907" s="2"/>
      <c r="E907" s="398"/>
      <c r="F907" s="2"/>
      <c r="G907" s="398"/>
      <c r="H907" s="398"/>
      <c r="I907" s="398"/>
      <c r="J907" s="398"/>
      <c r="K907" s="2"/>
      <c r="L907" s="2"/>
      <c r="M907" s="2"/>
      <c r="N907" s="2"/>
      <c r="O907" s="2"/>
      <c r="P907" s="2"/>
      <c r="Q907" s="2"/>
      <c r="R907" s="2"/>
      <c r="S907" s="2"/>
      <c r="T907" s="2"/>
      <c r="U907" s="2"/>
      <c r="V907" s="2"/>
      <c r="W907" s="2"/>
      <c r="X907" s="2"/>
      <c r="Y907" s="2"/>
      <c r="Z907" s="2"/>
      <c r="AA907" s="2"/>
      <c r="AB907" s="2"/>
    </row>
    <row r="908">
      <c r="A908" s="2"/>
      <c r="B908" s="2"/>
      <c r="C908" s="2"/>
      <c r="D908" s="2"/>
      <c r="E908" s="398"/>
      <c r="F908" s="2"/>
      <c r="G908" s="398"/>
      <c r="H908" s="398"/>
      <c r="I908" s="398"/>
      <c r="J908" s="398"/>
      <c r="K908" s="2"/>
      <c r="L908" s="2"/>
      <c r="M908" s="2"/>
      <c r="N908" s="2"/>
      <c r="O908" s="2"/>
      <c r="P908" s="2"/>
      <c r="Q908" s="2"/>
      <c r="R908" s="2"/>
      <c r="S908" s="2"/>
      <c r="T908" s="2"/>
      <c r="U908" s="2"/>
      <c r="V908" s="2"/>
      <c r="W908" s="2"/>
      <c r="X908" s="2"/>
      <c r="Y908" s="2"/>
      <c r="Z908" s="2"/>
      <c r="AA908" s="2"/>
      <c r="AB908" s="2"/>
    </row>
    <row r="909">
      <c r="A909" s="2"/>
      <c r="B909" s="2"/>
      <c r="C909" s="2"/>
      <c r="D909" s="2"/>
      <c r="E909" s="398"/>
      <c r="F909" s="2"/>
      <c r="G909" s="398"/>
      <c r="H909" s="398"/>
      <c r="I909" s="398"/>
      <c r="J909" s="398"/>
      <c r="K909" s="2"/>
      <c r="L909" s="2"/>
      <c r="M909" s="2"/>
      <c r="N909" s="2"/>
      <c r="O909" s="2"/>
      <c r="P909" s="2"/>
      <c r="Q909" s="2"/>
      <c r="R909" s="2"/>
      <c r="S909" s="2"/>
      <c r="T909" s="2"/>
      <c r="U909" s="2"/>
      <c r="V909" s="2"/>
      <c r="W909" s="2"/>
      <c r="X909" s="2"/>
      <c r="Y909" s="2"/>
      <c r="Z909" s="2"/>
      <c r="AA909" s="2"/>
      <c r="AB909" s="2"/>
    </row>
    <row r="910">
      <c r="A910" s="2"/>
      <c r="B910" s="2"/>
      <c r="C910" s="2"/>
      <c r="D910" s="2"/>
      <c r="E910" s="398"/>
      <c r="F910" s="2"/>
      <c r="G910" s="398"/>
      <c r="H910" s="398"/>
      <c r="I910" s="398"/>
      <c r="J910" s="398"/>
      <c r="K910" s="2"/>
      <c r="L910" s="2"/>
      <c r="M910" s="2"/>
      <c r="N910" s="2"/>
      <c r="O910" s="2"/>
      <c r="P910" s="2"/>
      <c r="Q910" s="2"/>
      <c r="R910" s="2"/>
      <c r="S910" s="2"/>
      <c r="T910" s="2"/>
      <c r="U910" s="2"/>
      <c r="V910" s="2"/>
      <c r="W910" s="2"/>
      <c r="X910" s="2"/>
      <c r="Y910" s="2"/>
      <c r="Z910" s="2"/>
      <c r="AA910" s="2"/>
      <c r="AB910" s="2"/>
    </row>
    <row r="911">
      <c r="A911" s="2"/>
      <c r="B911" s="2"/>
      <c r="C911" s="2"/>
      <c r="D911" s="2"/>
      <c r="E911" s="398"/>
      <c r="F911" s="2"/>
      <c r="G911" s="398"/>
      <c r="H911" s="398"/>
      <c r="I911" s="398"/>
      <c r="J911" s="398"/>
      <c r="K911" s="2"/>
      <c r="L911" s="2"/>
      <c r="M911" s="2"/>
      <c r="N911" s="2"/>
      <c r="O911" s="2"/>
      <c r="P911" s="2"/>
      <c r="Q911" s="2"/>
      <c r="R911" s="2"/>
      <c r="S911" s="2"/>
      <c r="T911" s="2"/>
      <c r="U911" s="2"/>
      <c r="V911" s="2"/>
      <c r="W911" s="2"/>
      <c r="X911" s="2"/>
      <c r="Y911" s="2"/>
      <c r="Z911" s="2"/>
      <c r="AA911" s="2"/>
      <c r="AB911" s="2"/>
    </row>
    <row r="912">
      <c r="A912" s="2"/>
      <c r="B912" s="2"/>
      <c r="C912" s="2"/>
      <c r="D912" s="2"/>
      <c r="E912" s="398"/>
      <c r="F912" s="2"/>
      <c r="G912" s="398"/>
      <c r="H912" s="398"/>
      <c r="I912" s="398"/>
      <c r="J912" s="398"/>
      <c r="K912" s="2"/>
      <c r="L912" s="2"/>
      <c r="M912" s="2"/>
      <c r="N912" s="2"/>
      <c r="O912" s="2"/>
      <c r="P912" s="2"/>
      <c r="Q912" s="2"/>
      <c r="R912" s="2"/>
      <c r="S912" s="2"/>
      <c r="T912" s="2"/>
      <c r="U912" s="2"/>
      <c r="V912" s="2"/>
      <c r="W912" s="2"/>
      <c r="X912" s="2"/>
      <c r="Y912" s="2"/>
      <c r="Z912" s="2"/>
      <c r="AA912" s="2"/>
      <c r="AB912" s="2"/>
    </row>
    <row r="913">
      <c r="A913" s="2"/>
      <c r="B913" s="2"/>
      <c r="C913" s="2"/>
      <c r="D913" s="2"/>
      <c r="E913" s="398"/>
      <c r="F913" s="2"/>
      <c r="G913" s="398"/>
      <c r="H913" s="398"/>
      <c r="I913" s="398"/>
      <c r="J913" s="398"/>
      <c r="K913" s="2"/>
      <c r="L913" s="2"/>
      <c r="M913" s="2"/>
      <c r="N913" s="2"/>
      <c r="O913" s="2"/>
      <c r="P913" s="2"/>
      <c r="Q913" s="2"/>
      <c r="R913" s="2"/>
      <c r="S913" s="2"/>
      <c r="T913" s="2"/>
      <c r="U913" s="2"/>
      <c r="V913" s="2"/>
      <c r="W913" s="2"/>
      <c r="X913" s="2"/>
      <c r="Y913" s="2"/>
      <c r="Z913" s="2"/>
      <c r="AA913" s="2"/>
      <c r="AB913" s="2"/>
    </row>
    <row r="914">
      <c r="A914" s="2"/>
      <c r="B914" s="2"/>
      <c r="C914" s="2"/>
      <c r="D914" s="2"/>
      <c r="E914" s="398"/>
      <c r="F914" s="2"/>
      <c r="G914" s="398"/>
      <c r="H914" s="398"/>
      <c r="I914" s="398"/>
      <c r="J914" s="398"/>
      <c r="K914" s="2"/>
      <c r="L914" s="2"/>
      <c r="M914" s="2"/>
      <c r="N914" s="2"/>
      <c r="O914" s="2"/>
      <c r="P914" s="2"/>
      <c r="Q914" s="2"/>
      <c r="R914" s="2"/>
      <c r="S914" s="2"/>
      <c r="T914" s="2"/>
      <c r="U914" s="2"/>
      <c r="V914" s="2"/>
      <c r="W914" s="2"/>
      <c r="X914" s="2"/>
      <c r="Y914" s="2"/>
      <c r="Z914" s="2"/>
      <c r="AA914" s="2"/>
      <c r="AB914" s="2"/>
    </row>
    <row r="915">
      <c r="A915" s="2"/>
      <c r="B915" s="2"/>
      <c r="C915" s="2"/>
      <c r="D915" s="2"/>
      <c r="E915" s="398"/>
      <c r="F915" s="2"/>
      <c r="G915" s="398"/>
      <c r="H915" s="398"/>
      <c r="I915" s="398"/>
      <c r="J915" s="398"/>
      <c r="K915" s="2"/>
      <c r="L915" s="2"/>
      <c r="M915" s="2"/>
      <c r="N915" s="2"/>
      <c r="O915" s="2"/>
      <c r="P915" s="2"/>
      <c r="Q915" s="2"/>
      <c r="R915" s="2"/>
      <c r="S915" s="2"/>
      <c r="T915" s="2"/>
      <c r="U915" s="2"/>
      <c r="V915" s="2"/>
      <c r="W915" s="2"/>
      <c r="X915" s="2"/>
      <c r="Y915" s="2"/>
      <c r="Z915" s="2"/>
      <c r="AA915" s="2"/>
      <c r="AB915" s="2"/>
    </row>
    <row r="916">
      <c r="A916" s="2"/>
      <c r="B916" s="2"/>
      <c r="C916" s="2"/>
      <c r="D916" s="2"/>
      <c r="E916" s="398"/>
      <c r="F916" s="2"/>
      <c r="G916" s="398"/>
      <c r="H916" s="398"/>
      <c r="I916" s="398"/>
      <c r="J916" s="398"/>
      <c r="K916" s="2"/>
      <c r="L916" s="2"/>
      <c r="M916" s="2"/>
      <c r="N916" s="2"/>
      <c r="O916" s="2"/>
      <c r="P916" s="2"/>
      <c r="Q916" s="2"/>
      <c r="R916" s="2"/>
      <c r="S916" s="2"/>
      <c r="T916" s="2"/>
      <c r="U916" s="2"/>
      <c r="V916" s="2"/>
      <c r="W916" s="2"/>
      <c r="X916" s="2"/>
      <c r="Y916" s="2"/>
      <c r="Z916" s="2"/>
      <c r="AA916" s="2"/>
      <c r="AB916" s="2"/>
    </row>
    <row r="917">
      <c r="A917" s="2"/>
      <c r="B917" s="2"/>
      <c r="C917" s="2"/>
      <c r="D917" s="2"/>
      <c r="E917" s="398"/>
      <c r="F917" s="2"/>
      <c r="G917" s="398"/>
      <c r="H917" s="398"/>
      <c r="I917" s="398"/>
      <c r="J917" s="398"/>
      <c r="K917" s="2"/>
      <c r="L917" s="2"/>
      <c r="M917" s="2"/>
      <c r="N917" s="2"/>
      <c r="O917" s="2"/>
      <c r="P917" s="2"/>
      <c r="Q917" s="2"/>
      <c r="R917" s="2"/>
      <c r="S917" s="2"/>
      <c r="T917" s="2"/>
      <c r="U917" s="2"/>
      <c r="V917" s="2"/>
      <c r="W917" s="2"/>
      <c r="X917" s="2"/>
      <c r="Y917" s="2"/>
      <c r="Z917" s="2"/>
      <c r="AA917" s="2"/>
      <c r="AB917" s="2"/>
    </row>
    <row r="918">
      <c r="A918" s="2"/>
      <c r="B918" s="2"/>
      <c r="C918" s="2"/>
      <c r="D918" s="2"/>
      <c r="E918" s="398"/>
      <c r="F918" s="2"/>
      <c r="G918" s="398"/>
      <c r="H918" s="398"/>
      <c r="I918" s="398"/>
      <c r="J918" s="398"/>
      <c r="K918" s="2"/>
      <c r="L918" s="2"/>
      <c r="M918" s="2"/>
      <c r="N918" s="2"/>
      <c r="O918" s="2"/>
      <c r="P918" s="2"/>
      <c r="Q918" s="2"/>
      <c r="R918" s="2"/>
      <c r="S918" s="2"/>
      <c r="T918" s="2"/>
      <c r="U918" s="2"/>
      <c r="V918" s="2"/>
      <c r="W918" s="2"/>
      <c r="X918" s="2"/>
      <c r="Y918" s="2"/>
      <c r="Z918" s="2"/>
      <c r="AA918" s="2"/>
      <c r="AB918" s="2"/>
    </row>
    <row r="919">
      <c r="A919" s="2"/>
      <c r="B919" s="2"/>
      <c r="C919" s="2"/>
      <c r="D919" s="2"/>
      <c r="E919" s="398"/>
      <c r="F919" s="2"/>
      <c r="G919" s="398"/>
      <c r="H919" s="398"/>
      <c r="I919" s="398"/>
      <c r="J919" s="398"/>
      <c r="K919" s="2"/>
      <c r="L919" s="2"/>
      <c r="M919" s="2"/>
      <c r="N919" s="2"/>
      <c r="O919" s="2"/>
      <c r="P919" s="2"/>
      <c r="Q919" s="2"/>
      <c r="R919" s="2"/>
      <c r="S919" s="2"/>
      <c r="T919" s="2"/>
      <c r="U919" s="2"/>
      <c r="V919" s="2"/>
      <c r="W919" s="2"/>
      <c r="X919" s="2"/>
      <c r="Y919" s="2"/>
      <c r="Z919" s="2"/>
      <c r="AA919" s="2"/>
      <c r="AB919" s="2"/>
    </row>
    <row r="920">
      <c r="A920" s="2"/>
      <c r="B920" s="2"/>
      <c r="C920" s="2"/>
      <c r="D920" s="2"/>
      <c r="E920" s="398"/>
      <c r="F920" s="2"/>
      <c r="G920" s="398"/>
      <c r="H920" s="398"/>
      <c r="I920" s="398"/>
      <c r="J920" s="398"/>
      <c r="K920" s="2"/>
      <c r="L920" s="2"/>
      <c r="M920" s="2"/>
      <c r="N920" s="2"/>
      <c r="O920" s="2"/>
      <c r="P920" s="2"/>
      <c r="Q920" s="2"/>
      <c r="R920" s="2"/>
      <c r="S920" s="2"/>
      <c r="T920" s="2"/>
      <c r="U920" s="2"/>
      <c r="V920" s="2"/>
      <c r="W920" s="2"/>
      <c r="X920" s="2"/>
      <c r="Y920" s="2"/>
      <c r="Z920" s="2"/>
      <c r="AA920" s="2"/>
      <c r="AB920" s="2"/>
    </row>
    <row r="921">
      <c r="A921" s="2"/>
      <c r="B921" s="2"/>
      <c r="C921" s="2"/>
      <c r="D921" s="2"/>
      <c r="E921" s="398"/>
      <c r="F921" s="2"/>
      <c r="G921" s="398"/>
      <c r="H921" s="398"/>
      <c r="I921" s="398"/>
      <c r="J921" s="398"/>
      <c r="K921" s="2"/>
      <c r="L921" s="2"/>
      <c r="M921" s="2"/>
      <c r="N921" s="2"/>
      <c r="O921" s="2"/>
      <c r="P921" s="2"/>
      <c r="Q921" s="2"/>
      <c r="R921" s="2"/>
      <c r="S921" s="2"/>
      <c r="T921" s="2"/>
      <c r="U921" s="2"/>
      <c r="V921" s="2"/>
      <c r="W921" s="2"/>
      <c r="X921" s="2"/>
      <c r="Y921" s="2"/>
      <c r="Z921" s="2"/>
      <c r="AA921" s="2"/>
      <c r="AB921" s="2"/>
    </row>
    <row r="922">
      <c r="A922" s="2"/>
      <c r="B922" s="2"/>
      <c r="C922" s="2"/>
      <c r="D922" s="2"/>
      <c r="E922" s="398"/>
      <c r="F922" s="2"/>
      <c r="G922" s="398"/>
      <c r="H922" s="398"/>
      <c r="I922" s="398"/>
      <c r="J922" s="398"/>
      <c r="K922" s="2"/>
      <c r="L922" s="2"/>
      <c r="M922" s="2"/>
      <c r="N922" s="2"/>
      <c r="O922" s="2"/>
      <c r="P922" s="2"/>
      <c r="Q922" s="2"/>
      <c r="R922" s="2"/>
      <c r="S922" s="2"/>
      <c r="T922" s="2"/>
      <c r="U922" s="2"/>
      <c r="V922" s="2"/>
      <c r="W922" s="2"/>
      <c r="X922" s="2"/>
      <c r="Y922" s="2"/>
      <c r="Z922" s="2"/>
      <c r="AA922" s="2"/>
      <c r="AB922" s="2"/>
    </row>
    <row r="923">
      <c r="A923" s="2"/>
      <c r="B923" s="2"/>
      <c r="C923" s="2"/>
      <c r="D923" s="2"/>
      <c r="E923" s="398"/>
      <c r="F923" s="2"/>
      <c r="G923" s="398"/>
      <c r="H923" s="398"/>
      <c r="I923" s="398"/>
      <c r="J923" s="398"/>
      <c r="K923" s="2"/>
      <c r="L923" s="2"/>
      <c r="M923" s="2"/>
      <c r="N923" s="2"/>
      <c r="O923" s="2"/>
      <c r="P923" s="2"/>
      <c r="Q923" s="2"/>
      <c r="R923" s="2"/>
      <c r="S923" s="2"/>
      <c r="T923" s="2"/>
      <c r="U923" s="2"/>
      <c r="V923" s="2"/>
      <c r="W923" s="2"/>
      <c r="X923" s="2"/>
      <c r="Y923" s="2"/>
      <c r="Z923" s="2"/>
      <c r="AA923" s="2"/>
      <c r="AB923" s="2"/>
    </row>
    <row r="924">
      <c r="A924" s="2"/>
      <c r="B924" s="2"/>
      <c r="C924" s="2"/>
      <c r="D924" s="2"/>
      <c r="E924" s="398"/>
      <c r="F924" s="2"/>
      <c r="G924" s="398"/>
      <c r="H924" s="398"/>
      <c r="I924" s="398"/>
      <c r="J924" s="398"/>
      <c r="K924" s="2"/>
      <c r="L924" s="2"/>
      <c r="M924" s="2"/>
      <c r="N924" s="2"/>
      <c r="O924" s="2"/>
      <c r="P924" s="2"/>
      <c r="Q924" s="2"/>
      <c r="R924" s="2"/>
      <c r="S924" s="2"/>
      <c r="T924" s="2"/>
      <c r="U924" s="2"/>
      <c r="V924" s="2"/>
      <c r="W924" s="2"/>
      <c r="X924" s="2"/>
      <c r="Y924" s="2"/>
      <c r="Z924" s="2"/>
      <c r="AA924" s="2"/>
      <c r="AB924" s="2"/>
    </row>
    <row r="925">
      <c r="A925" s="2"/>
      <c r="B925" s="2"/>
      <c r="C925" s="2"/>
      <c r="D925" s="2"/>
      <c r="E925" s="398"/>
      <c r="F925" s="2"/>
      <c r="G925" s="398"/>
      <c r="H925" s="398"/>
      <c r="I925" s="398"/>
      <c r="J925" s="398"/>
      <c r="K925" s="2"/>
      <c r="L925" s="2"/>
      <c r="M925" s="2"/>
      <c r="N925" s="2"/>
      <c r="O925" s="2"/>
      <c r="P925" s="2"/>
      <c r="Q925" s="2"/>
      <c r="R925" s="2"/>
      <c r="S925" s="2"/>
      <c r="T925" s="2"/>
      <c r="U925" s="2"/>
      <c r="V925" s="2"/>
      <c r="W925" s="2"/>
      <c r="X925" s="2"/>
      <c r="Y925" s="2"/>
      <c r="Z925" s="2"/>
      <c r="AA925" s="2"/>
      <c r="AB925" s="2"/>
    </row>
    <row r="926">
      <c r="A926" s="2"/>
      <c r="B926" s="2"/>
      <c r="C926" s="2"/>
      <c r="D926" s="2"/>
      <c r="E926" s="398"/>
      <c r="F926" s="2"/>
      <c r="G926" s="398"/>
      <c r="H926" s="398"/>
      <c r="I926" s="398"/>
      <c r="J926" s="398"/>
      <c r="K926" s="2"/>
      <c r="L926" s="2"/>
      <c r="M926" s="2"/>
      <c r="N926" s="2"/>
      <c r="O926" s="2"/>
      <c r="P926" s="2"/>
      <c r="Q926" s="2"/>
      <c r="R926" s="2"/>
      <c r="S926" s="2"/>
      <c r="T926" s="2"/>
      <c r="U926" s="2"/>
      <c r="V926" s="2"/>
      <c r="W926" s="2"/>
      <c r="X926" s="2"/>
      <c r="Y926" s="2"/>
      <c r="Z926" s="2"/>
      <c r="AA926" s="2"/>
      <c r="AB926" s="2"/>
    </row>
    <row r="927">
      <c r="A927" s="2"/>
      <c r="B927" s="2"/>
      <c r="C927" s="2"/>
      <c r="D927" s="2"/>
      <c r="E927" s="398"/>
      <c r="F927" s="2"/>
      <c r="G927" s="398"/>
      <c r="H927" s="398"/>
      <c r="I927" s="398"/>
      <c r="J927" s="398"/>
      <c r="K927" s="2"/>
      <c r="L927" s="2"/>
      <c r="M927" s="2"/>
      <c r="N927" s="2"/>
      <c r="O927" s="2"/>
      <c r="P927" s="2"/>
      <c r="Q927" s="2"/>
      <c r="R927" s="2"/>
      <c r="S927" s="2"/>
      <c r="T927" s="2"/>
      <c r="U927" s="2"/>
      <c r="V927" s="2"/>
      <c r="W927" s="2"/>
      <c r="X927" s="2"/>
      <c r="Y927" s="2"/>
      <c r="Z927" s="2"/>
      <c r="AA927" s="2"/>
      <c r="AB927" s="2"/>
    </row>
    <row r="928">
      <c r="A928" s="2"/>
      <c r="B928" s="2"/>
      <c r="C928" s="2"/>
      <c r="D928" s="2"/>
      <c r="E928" s="398"/>
      <c r="F928" s="2"/>
      <c r="G928" s="398"/>
      <c r="H928" s="398"/>
      <c r="I928" s="398"/>
      <c r="J928" s="398"/>
      <c r="K928" s="2"/>
      <c r="L928" s="2"/>
      <c r="M928" s="2"/>
      <c r="N928" s="2"/>
      <c r="O928" s="2"/>
      <c r="P928" s="2"/>
      <c r="Q928" s="2"/>
      <c r="R928" s="2"/>
      <c r="S928" s="2"/>
      <c r="T928" s="2"/>
      <c r="U928" s="2"/>
      <c r="V928" s="2"/>
      <c r="W928" s="2"/>
      <c r="X928" s="2"/>
      <c r="Y928" s="2"/>
      <c r="Z928" s="2"/>
      <c r="AA928" s="2"/>
      <c r="AB928" s="2"/>
    </row>
    <row r="929">
      <c r="A929" s="2"/>
      <c r="B929" s="2"/>
      <c r="C929" s="2"/>
      <c r="D929" s="2"/>
      <c r="E929" s="398"/>
      <c r="F929" s="2"/>
      <c r="G929" s="398"/>
      <c r="H929" s="398"/>
      <c r="I929" s="398"/>
      <c r="J929" s="398"/>
      <c r="K929" s="2"/>
      <c r="L929" s="2"/>
      <c r="M929" s="2"/>
      <c r="N929" s="2"/>
      <c r="O929" s="2"/>
      <c r="P929" s="2"/>
      <c r="Q929" s="2"/>
      <c r="R929" s="2"/>
      <c r="S929" s="2"/>
      <c r="T929" s="2"/>
      <c r="U929" s="2"/>
      <c r="V929" s="2"/>
      <c r="W929" s="2"/>
      <c r="X929" s="2"/>
      <c r="Y929" s="2"/>
      <c r="Z929" s="2"/>
      <c r="AA929" s="2"/>
      <c r="AB929" s="2"/>
    </row>
    <row r="930">
      <c r="A930" s="2"/>
      <c r="B930" s="2"/>
      <c r="C930" s="2"/>
      <c r="D930" s="2"/>
      <c r="E930" s="398"/>
      <c r="F930" s="2"/>
      <c r="G930" s="398"/>
      <c r="H930" s="398"/>
      <c r="I930" s="398"/>
      <c r="J930" s="398"/>
      <c r="K930" s="2"/>
      <c r="L930" s="2"/>
      <c r="M930" s="2"/>
      <c r="N930" s="2"/>
      <c r="O930" s="2"/>
      <c r="P930" s="2"/>
      <c r="Q930" s="2"/>
      <c r="R930" s="2"/>
      <c r="S930" s="2"/>
      <c r="T930" s="2"/>
      <c r="U930" s="2"/>
      <c r="V930" s="2"/>
      <c r="W930" s="2"/>
      <c r="X930" s="2"/>
      <c r="Y930" s="2"/>
      <c r="Z930" s="2"/>
      <c r="AA930" s="2"/>
      <c r="AB930" s="2"/>
    </row>
    <row r="931">
      <c r="A931" s="2"/>
      <c r="B931" s="2"/>
      <c r="C931" s="2"/>
      <c r="D931" s="2"/>
      <c r="E931" s="398"/>
      <c r="F931" s="2"/>
      <c r="G931" s="398"/>
      <c r="H931" s="398"/>
      <c r="I931" s="398"/>
      <c r="J931" s="398"/>
      <c r="K931" s="2"/>
      <c r="L931" s="2"/>
      <c r="M931" s="2"/>
      <c r="N931" s="2"/>
      <c r="O931" s="2"/>
      <c r="P931" s="2"/>
      <c r="Q931" s="2"/>
      <c r="R931" s="2"/>
      <c r="S931" s="2"/>
      <c r="T931" s="2"/>
      <c r="U931" s="2"/>
      <c r="V931" s="2"/>
      <c r="W931" s="2"/>
      <c r="X931" s="2"/>
      <c r="Y931" s="2"/>
      <c r="Z931" s="2"/>
      <c r="AA931" s="2"/>
      <c r="AB931" s="2"/>
    </row>
    <row r="932">
      <c r="A932" s="2"/>
      <c r="B932" s="2"/>
      <c r="C932" s="2"/>
      <c r="D932" s="2"/>
      <c r="E932" s="398"/>
      <c r="F932" s="2"/>
      <c r="G932" s="398"/>
      <c r="H932" s="398"/>
      <c r="I932" s="398"/>
      <c r="J932" s="398"/>
      <c r="K932" s="2"/>
      <c r="L932" s="2"/>
      <c r="M932" s="2"/>
      <c r="N932" s="2"/>
      <c r="O932" s="2"/>
      <c r="P932" s="2"/>
      <c r="Q932" s="2"/>
      <c r="R932" s="2"/>
      <c r="S932" s="2"/>
      <c r="T932" s="2"/>
      <c r="U932" s="2"/>
      <c r="V932" s="2"/>
      <c r="W932" s="2"/>
      <c r="X932" s="2"/>
      <c r="Y932" s="2"/>
      <c r="Z932" s="2"/>
      <c r="AA932" s="2"/>
      <c r="AB932" s="2"/>
    </row>
    <row r="933">
      <c r="A933" s="2"/>
      <c r="B933" s="2"/>
      <c r="C933" s="2"/>
      <c r="D933" s="2"/>
      <c r="E933" s="398"/>
      <c r="F933" s="2"/>
      <c r="G933" s="398"/>
      <c r="H933" s="398"/>
      <c r="I933" s="398"/>
      <c r="J933" s="398"/>
      <c r="K933" s="2"/>
      <c r="L933" s="2"/>
      <c r="M933" s="2"/>
      <c r="N933" s="2"/>
      <c r="O933" s="2"/>
      <c r="P933" s="2"/>
      <c r="Q933" s="2"/>
      <c r="R933" s="2"/>
      <c r="S933" s="2"/>
      <c r="T933" s="2"/>
      <c r="U933" s="2"/>
      <c r="V933" s="2"/>
      <c r="W933" s="2"/>
      <c r="X933" s="2"/>
      <c r="Y933" s="2"/>
      <c r="Z933" s="2"/>
      <c r="AA933" s="2"/>
      <c r="AB933" s="2"/>
    </row>
    <row r="934">
      <c r="A934" s="2"/>
      <c r="B934" s="2"/>
      <c r="C934" s="2"/>
      <c r="D934" s="2"/>
      <c r="E934" s="398"/>
      <c r="F934" s="2"/>
      <c r="G934" s="398"/>
      <c r="H934" s="398"/>
      <c r="I934" s="398"/>
      <c r="J934" s="398"/>
      <c r="K934" s="2"/>
      <c r="L934" s="2"/>
      <c r="M934" s="2"/>
      <c r="N934" s="2"/>
      <c r="O934" s="2"/>
      <c r="P934" s="2"/>
      <c r="Q934" s="2"/>
      <c r="R934" s="2"/>
      <c r="S934" s="2"/>
      <c r="T934" s="2"/>
      <c r="U934" s="2"/>
      <c r="V934" s="2"/>
      <c r="W934" s="2"/>
      <c r="X934" s="2"/>
      <c r="Y934" s="2"/>
      <c r="Z934" s="2"/>
      <c r="AA934" s="2"/>
      <c r="AB934" s="2"/>
    </row>
    <row r="935">
      <c r="A935" s="2"/>
      <c r="B935" s="2"/>
      <c r="C935" s="2"/>
      <c r="D935" s="2"/>
      <c r="E935" s="398"/>
      <c r="F935" s="2"/>
      <c r="G935" s="398"/>
      <c r="H935" s="398"/>
      <c r="I935" s="398"/>
      <c r="J935" s="398"/>
      <c r="K935" s="2"/>
      <c r="L935" s="2"/>
      <c r="M935" s="2"/>
      <c r="N935" s="2"/>
      <c r="O935" s="2"/>
      <c r="P935" s="2"/>
      <c r="Q935" s="2"/>
      <c r="R935" s="2"/>
      <c r="S935" s="2"/>
      <c r="T935" s="2"/>
      <c r="U935" s="2"/>
      <c r="V935" s="2"/>
      <c r="W935" s="2"/>
      <c r="X935" s="2"/>
      <c r="Y935" s="2"/>
      <c r="Z935" s="2"/>
      <c r="AA935" s="2"/>
      <c r="AB935" s="2"/>
    </row>
    <row r="936">
      <c r="A936" s="2"/>
      <c r="B936" s="2"/>
      <c r="C936" s="2"/>
      <c r="D936" s="2"/>
      <c r="E936" s="398"/>
      <c r="F936" s="2"/>
      <c r="G936" s="398"/>
      <c r="H936" s="398"/>
      <c r="I936" s="398"/>
      <c r="J936" s="398"/>
      <c r="K936" s="2"/>
      <c r="L936" s="2"/>
      <c r="M936" s="2"/>
      <c r="N936" s="2"/>
      <c r="O936" s="2"/>
      <c r="P936" s="2"/>
      <c r="Q936" s="2"/>
      <c r="R936" s="2"/>
      <c r="S936" s="2"/>
      <c r="T936" s="2"/>
      <c r="U936" s="2"/>
      <c r="V936" s="2"/>
      <c r="W936" s="2"/>
      <c r="X936" s="2"/>
      <c r="Y936" s="2"/>
      <c r="Z936" s="2"/>
      <c r="AA936" s="2"/>
      <c r="AB936" s="2"/>
    </row>
    <row r="937">
      <c r="A937" s="2"/>
      <c r="B937" s="2"/>
      <c r="C937" s="2"/>
      <c r="D937" s="2"/>
      <c r="E937" s="398"/>
      <c r="F937" s="2"/>
      <c r="G937" s="398"/>
      <c r="H937" s="398"/>
      <c r="I937" s="398"/>
      <c r="J937" s="398"/>
      <c r="K937" s="2"/>
      <c r="L937" s="2"/>
      <c r="M937" s="2"/>
      <c r="N937" s="2"/>
      <c r="O937" s="2"/>
      <c r="P937" s="2"/>
      <c r="Q937" s="2"/>
      <c r="R937" s="2"/>
      <c r="S937" s="2"/>
      <c r="T937" s="2"/>
      <c r="U937" s="2"/>
      <c r="V937" s="2"/>
      <c r="W937" s="2"/>
      <c r="X937" s="2"/>
      <c r="Y937" s="2"/>
      <c r="Z937" s="2"/>
      <c r="AA937" s="2"/>
      <c r="AB937" s="2"/>
    </row>
    <row r="938">
      <c r="A938" s="2"/>
      <c r="B938" s="2"/>
      <c r="C938" s="2"/>
      <c r="D938" s="2"/>
      <c r="E938" s="398"/>
      <c r="F938" s="2"/>
      <c r="G938" s="398"/>
      <c r="H938" s="398"/>
      <c r="I938" s="398"/>
      <c r="J938" s="398"/>
      <c r="K938" s="2"/>
      <c r="L938" s="2"/>
      <c r="M938" s="2"/>
      <c r="N938" s="2"/>
      <c r="O938" s="2"/>
      <c r="P938" s="2"/>
      <c r="Q938" s="2"/>
      <c r="R938" s="2"/>
      <c r="S938" s="2"/>
      <c r="T938" s="2"/>
      <c r="U938" s="2"/>
      <c r="V938" s="2"/>
      <c r="W938" s="2"/>
      <c r="X938" s="2"/>
      <c r="Y938" s="2"/>
      <c r="Z938" s="2"/>
      <c r="AA938" s="2"/>
      <c r="AB938" s="2"/>
    </row>
    <row r="939">
      <c r="A939" s="2"/>
      <c r="B939" s="2"/>
      <c r="C939" s="2"/>
      <c r="D939" s="2"/>
      <c r="E939" s="398"/>
      <c r="F939" s="2"/>
      <c r="G939" s="398"/>
      <c r="H939" s="398"/>
      <c r="I939" s="398"/>
      <c r="J939" s="398"/>
      <c r="K939" s="2"/>
      <c r="L939" s="2"/>
      <c r="M939" s="2"/>
      <c r="N939" s="2"/>
      <c r="O939" s="2"/>
      <c r="P939" s="2"/>
      <c r="Q939" s="2"/>
      <c r="R939" s="2"/>
      <c r="S939" s="2"/>
      <c r="T939" s="2"/>
      <c r="U939" s="2"/>
      <c r="V939" s="2"/>
      <c r="W939" s="2"/>
      <c r="X939" s="2"/>
      <c r="Y939" s="2"/>
      <c r="Z939" s="2"/>
      <c r="AA939" s="2"/>
      <c r="AB939" s="2"/>
    </row>
    <row r="940">
      <c r="A940" s="2"/>
      <c r="B940" s="2"/>
      <c r="C940" s="2"/>
      <c r="D940" s="2"/>
      <c r="E940" s="398"/>
      <c r="F940" s="2"/>
      <c r="G940" s="398"/>
      <c r="H940" s="398"/>
      <c r="I940" s="398"/>
      <c r="J940" s="398"/>
      <c r="K940" s="2"/>
      <c r="L940" s="2"/>
      <c r="M940" s="2"/>
      <c r="N940" s="2"/>
      <c r="O940" s="2"/>
      <c r="P940" s="2"/>
      <c r="Q940" s="2"/>
      <c r="R940" s="2"/>
      <c r="S940" s="2"/>
      <c r="T940" s="2"/>
      <c r="U940" s="2"/>
      <c r="V940" s="2"/>
      <c r="W940" s="2"/>
      <c r="X940" s="2"/>
      <c r="Y940" s="2"/>
      <c r="Z940" s="2"/>
      <c r="AA940" s="2"/>
      <c r="AB940" s="2"/>
    </row>
    <row r="941">
      <c r="A941" s="2"/>
      <c r="B941" s="2"/>
      <c r="C941" s="2"/>
      <c r="D941" s="2"/>
      <c r="E941" s="398"/>
      <c r="F941" s="2"/>
      <c r="G941" s="398"/>
      <c r="H941" s="398"/>
      <c r="I941" s="398"/>
      <c r="J941" s="398"/>
      <c r="K941" s="2"/>
      <c r="L941" s="2"/>
      <c r="M941" s="2"/>
      <c r="N941" s="2"/>
      <c r="O941" s="2"/>
      <c r="P941" s="2"/>
      <c r="Q941" s="2"/>
      <c r="R941" s="2"/>
      <c r="S941" s="2"/>
      <c r="T941" s="2"/>
      <c r="U941" s="2"/>
      <c r="V941" s="2"/>
      <c r="W941" s="2"/>
      <c r="X941" s="2"/>
      <c r="Y941" s="2"/>
      <c r="Z941" s="2"/>
      <c r="AA941" s="2"/>
      <c r="AB941" s="2"/>
    </row>
    <row r="942">
      <c r="A942" s="2"/>
      <c r="B942" s="2"/>
      <c r="C942" s="2"/>
      <c r="D942" s="2"/>
      <c r="E942" s="398"/>
      <c r="F942" s="2"/>
      <c r="G942" s="398"/>
      <c r="H942" s="398"/>
      <c r="I942" s="398"/>
      <c r="J942" s="398"/>
      <c r="K942" s="2"/>
      <c r="L942" s="2"/>
      <c r="M942" s="2"/>
      <c r="N942" s="2"/>
      <c r="O942" s="2"/>
      <c r="P942" s="2"/>
      <c r="Q942" s="2"/>
      <c r="R942" s="2"/>
      <c r="S942" s="2"/>
      <c r="T942" s="2"/>
      <c r="U942" s="2"/>
      <c r="V942" s="2"/>
      <c r="W942" s="2"/>
      <c r="X942" s="2"/>
      <c r="Y942" s="2"/>
      <c r="Z942" s="2"/>
      <c r="AA942" s="2"/>
      <c r="AB942" s="2"/>
    </row>
    <row r="943">
      <c r="A943" s="2"/>
      <c r="B943" s="2"/>
      <c r="C943" s="2"/>
      <c r="D943" s="2"/>
      <c r="E943" s="398"/>
      <c r="F943" s="2"/>
      <c r="G943" s="398"/>
      <c r="H943" s="398"/>
      <c r="I943" s="398"/>
      <c r="J943" s="398"/>
      <c r="K943" s="2"/>
      <c r="L943" s="2"/>
      <c r="M943" s="2"/>
      <c r="N943" s="2"/>
      <c r="O943" s="2"/>
      <c r="P943" s="2"/>
      <c r="Q943" s="2"/>
      <c r="R943" s="2"/>
      <c r="S943" s="2"/>
      <c r="T943" s="2"/>
      <c r="U943" s="2"/>
      <c r="V943" s="2"/>
      <c r="W943" s="2"/>
      <c r="X943" s="2"/>
      <c r="Y943" s="2"/>
      <c r="Z943" s="2"/>
      <c r="AA943" s="2"/>
      <c r="AB943" s="2"/>
    </row>
    <row r="944">
      <c r="A944" s="2"/>
      <c r="B944" s="2"/>
      <c r="C944" s="2"/>
      <c r="D944" s="2"/>
      <c r="E944" s="398"/>
      <c r="F944" s="2"/>
      <c r="G944" s="398"/>
      <c r="H944" s="398"/>
      <c r="I944" s="398"/>
      <c r="J944" s="398"/>
      <c r="K944" s="2"/>
      <c r="L944" s="2"/>
      <c r="M944" s="2"/>
      <c r="N944" s="2"/>
      <c r="O944" s="2"/>
      <c r="P944" s="2"/>
      <c r="Q944" s="2"/>
      <c r="R944" s="2"/>
      <c r="S944" s="2"/>
      <c r="T944" s="2"/>
      <c r="U944" s="2"/>
      <c r="V944" s="2"/>
      <c r="W944" s="2"/>
      <c r="X944" s="2"/>
      <c r="Y944" s="2"/>
      <c r="Z944" s="2"/>
      <c r="AA944" s="2"/>
      <c r="AB944" s="2"/>
    </row>
    <row r="945">
      <c r="A945" s="2"/>
      <c r="B945" s="2"/>
      <c r="C945" s="2"/>
      <c r="D945" s="2"/>
      <c r="E945" s="398"/>
      <c r="F945" s="2"/>
      <c r="G945" s="398"/>
      <c r="H945" s="398"/>
      <c r="I945" s="398"/>
      <c r="J945" s="398"/>
      <c r="K945" s="2"/>
      <c r="L945" s="2"/>
      <c r="M945" s="2"/>
      <c r="N945" s="2"/>
      <c r="O945" s="2"/>
      <c r="P945" s="2"/>
      <c r="Q945" s="2"/>
      <c r="R945" s="2"/>
      <c r="S945" s="2"/>
      <c r="T945" s="2"/>
      <c r="U945" s="2"/>
      <c r="V945" s="2"/>
      <c r="W945" s="2"/>
      <c r="X945" s="2"/>
      <c r="Y945" s="2"/>
      <c r="Z945" s="2"/>
      <c r="AA945" s="2"/>
      <c r="AB945" s="2"/>
    </row>
    <row r="946">
      <c r="A946" s="2"/>
      <c r="B946" s="2"/>
      <c r="C946" s="2"/>
      <c r="D946" s="2"/>
      <c r="E946" s="398"/>
      <c r="F946" s="2"/>
      <c r="G946" s="398"/>
      <c r="H946" s="398"/>
      <c r="I946" s="398"/>
      <c r="J946" s="398"/>
      <c r="K946" s="2"/>
      <c r="L946" s="2"/>
      <c r="M946" s="2"/>
      <c r="N946" s="2"/>
      <c r="O946" s="2"/>
      <c r="P946" s="2"/>
      <c r="Q946" s="2"/>
      <c r="R946" s="2"/>
      <c r="S946" s="2"/>
      <c r="T946" s="2"/>
      <c r="U946" s="2"/>
      <c r="V946" s="2"/>
      <c r="W946" s="2"/>
      <c r="X946" s="2"/>
      <c r="Y946" s="2"/>
      <c r="Z946" s="2"/>
      <c r="AA946" s="2"/>
      <c r="AB946" s="2"/>
    </row>
    <row r="947">
      <c r="A947" s="2"/>
      <c r="B947" s="2"/>
      <c r="C947" s="2"/>
      <c r="D947" s="2"/>
      <c r="E947" s="398"/>
      <c r="F947" s="2"/>
      <c r="G947" s="398"/>
      <c r="H947" s="398"/>
      <c r="I947" s="398"/>
      <c r="J947" s="398"/>
      <c r="K947" s="2"/>
      <c r="L947" s="2"/>
      <c r="M947" s="2"/>
      <c r="N947" s="2"/>
      <c r="O947" s="2"/>
      <c r="P947" s="2"/>
      <c r="Q947" s="2"/>
      <c r="R947" s="2"/>
      <c r="S947" s="2"/>
      <c r="T947" s="2"/>
      <c r="U947" s="2"/>
      <c r="V947" s="2"/>
      <c r="W947" s="2"/>
      <c r="X947" s="2"/>
      <c r="Y947" s="2"/>
      <c r="Z947" s="2"/>
      <c r="AA947" s="2"/>
      <c r="AB947" s="2"/>
    </row>
    <row r="948">
      <c r="A948" s="2"/>
      <c r="B948" s="2"/>
      <c r="C948" s="2"/>
      <c r="D948" s="2"/>
      <c r="E948" s="398"/>
      <c r="F948" s="2"/>
      <c r="G948" s="398"/>
      <c r="H948" s="398"/>
      <c r="I948" s="398"/>
      <c r="J948" s="398"/>
      <c r="K948" s="2"/>
      <c r="L948" s="2"/>
      <c r="M948" s="2"/>
      <c r="N948" s="2"/>
      <c r="O948" s="2"/>
      <c r="P948" s="2"/>
      <c r="Q948" s="2"/>
      <c r="R948" s="2"/>
      <c r="S948" s="2"/>
      <c r="T948" s="2"/>
      <c r="U948" s="2"/>
      <c r="V948" s="2"/>
      <c r="W948" s="2"/>
      <c r="X948" s="2"/>
      <c r="Y948" s="2"/>
      <c r="Z948" s="2"/>
      <c r="AA948" s="2"/>
      <c r="AB948" s="2"/>
    </row>
    <row r="949">
      <c r="A949" s="2"/>
      <c r="B949" s="2"/>
      <c r="C949" s="2"/>
      <c r="D949" s="2"/>
      <c r="E949" s="398"/>
      <c r="F949" s="2"/>
      <c r="G949" s="398"/>
      <c r="H949" s="398"/>
      <c r="I949" s="398"/>
      <c r="J949" s="398"/>
      <c r="K949" s="2"/>
      <c r="L949" s="2"/>
      <c r="M949" s="2"/>
      <c r="N949" s="2"/>
      <c r="O949" s="2"/>
      <c r="P949" s="2"/>
      <c r="Q949" s="2"/>
      <c r="R949" s="2"/>
      <c r="S949" s="2"/>
      <c r="T949" s="2"/>
      <c r="U949" s="2"/>
      <c r="V949" s="2"/>
      <c r="W949" s="2"/>
      <c r="X949" s="2"/>
      <c r="Y949" s="2"/>
      <c r="Z949" s="2"/>
      <c r="AA949" s="2"/>
      <c r="AB949" s="2"/>
    </row>
    <row r="950">
      <c r="A950" s="2"/>
      <c r="B950" s="2"/>
      <c r="C950" s="2"/>
      <c r="D950" s="2"/>
      <c r="E950" s="398"/>
      <c r="F950" s="2"/>
      <c r="G950" s="398"/>
      <c r="H950" s="398"/>
      <c r="I950" s="398"/>
      <c r="J950" s="398"/>
      <c r="K950" s="2"/>
      <c r="L950" s="2"/>
      <c r="M950" s="2"/>
      <c r="N950" s="2"/>
      <c r="O950" s="2"/>
      <c r="P950" s="2"/>
      <c r="Q950" s="2"/>
      <c r="R950" s="2"/>
      <c r="S950" s="2"/>
      <c r="T950" s="2"/>
      <c r="U950" s="2"/>
      <c r="V950" s="2"/>
      <c r="W950" s="2"/>
      <c r="X950" s="2"/>
      <c r="Y950" s="2"/>
      <c r="Z950" s="2"/>
      <c r="AA950" s="2"/>
      <c r="AB950" s="2"/>
    </row>
    <row r="951">
      <c r="A951" s="2"/>
      <c r="B951" s="2"/>
      <c r="C951" s="2"/>
      <c r="D951" s="2"/>
      <c r="E951" s="398"/>
      <c r="F951" s="2"/>
      <c r="G951" s="398"/>
      <c r="H951" s="398"/>
      <c r="I951" s="398"/>
      <c r="J951" s="398"/>
      <c r="K951" s="2"/>
      <c r="L951" s="2"/>
      <c r="M951" s="2"/>
      <c r="N951" s="2"/>
      <c r="O951" s="2"/>
      <c r="P951" s="2"/>
      <c r="Q951" s="2"/>
      <c r="R951" s="2"/>
      <c r="S951" s="2"/>
      <c r="T951" s="2"/>
      <c r="U951" s="2"/>
      <c r="V951" s="2"/>
      <c r="W951" s="2"/>
      <c r="X951" s="2"/>
      <c r="Y951" s="2"/>
      <c r="Z951" s="2"/>
      <c r="AA951" s="2"/>
      <c r="AB951" s="2"/>
    </row>
    <row r="952">
      <c r="A952" s="2"/>
      <c r="B952" s="2"/>
      <c r="C952" s="2"/>
      <c r="D952" s="2"/>
      <c r="E952" s="398"/>
      <c r="F952" s="2"/>
      <c r="G952" s="398"/>
      <c r="H952" s="398"/>
      <c r="I952" s="398"/>
      <c r="J952" s="398"/>
      <c r="K952" s="2"/>
      <c r="L952" s="2"/>
      <c r="M952" s="2"/>
      <c r="N952" s="2"/>
      <c r="O952" s="2"/>
      <c r="P952" s="2"/>
      <c r="Q952" s="2"/>
      <c r="R952" s="2"/>
      <c r="S952" s="2"/>
      <c r="T952" s="2"/>
      <c r="U952" s="2"/>
      <c r="V952" s="2"/>
      <c r="W952" s="2"/>
      <c r="X952" s="2"/>
      <c r="Y952" s="2"/>
      <c r="Z952" s="2"/>
      <c r="AA952" s="2"/>
      <c r="AB952" s="2"/>
    </row>
    <row r="953">
      <c r="A953" s="2"/>
      <c r="B953" s="2"/>
      <c r="C953" s="2"/>
      <c r="D953" s="2"/>
      <c r="E953" s="398"/>
      <c r="F953" s="2"/>
      <c r="G953" s="398"/>
      <c r="H953" s="398"/>
      <c r="I953" s="398"/>
      <c r="J953" s="398"/>
      <c r="K953" s="2"/>
      <c r="L953" s="2"/>
      <c r="M953" s="2"/>
      <c r="N953" s="2"/>
      <c r="O953" s="2"/>
      <c r="P953" s="2"/>
      <c r="Q953" s="2"/>
      <c r="R953" s="2"/>
      <c r="S953" s="2"/>
      <c r="T953" s="2"/>
      <c r="U953" s="2"/>
      <c r="V953" s="2"/>
      <c r="W953" s="2"/>
      <c r="X953" s="2"/>
      <c r="Y953" s="2"/>
      <c r="Z953" s="2"/>
      <c r="AA953" s="2"/>
      <c r="AB953" s="2"/>
    </row>
    <row r="954">
      <c r="A954" s="2"/>
      <c r="B954" s="2"/>
      <c r="C954" s="2"/>
      <c r="D954" s="2"/>
      <c r="E954" s="398"/>
      <c r="F954" s="2"/>
      <c r="G954" s="398"/>
      <c r="H954" s="398"/>
      <c r="I954" s="398"/>
      <c r="J954" s="398"/>
      <c r="K954" s="2"/>
      <c r="L954" s="2"/>
      <c r="M954" s="2"/>
      <c r="N954" s="2"/>
      <c r="O954" s="2"/>
      <c r="P954" s="2"/>
      <c r="Q954" s="2"/>
      <c r="R954" s="2"/>
      <c r="S954" s="2"/>
      <c r="T954" s="2"/>
      <c r="U954" s="2"/>
      <c r="V954" s="2"/>
      <c r="W954" s="2"/>
      <c r="X954" s="2"/>
      <c r="Y954" s="2"/>
      <c r="Z954" s="2"/>
      <c r="AA954" s="2"/>
      <c r="AB954" s="2"/>
    </row>
    <row r="955">
      <c r="A955" s="2"/>
      <c r="B955" s="2"/>
      <c r="C955" s="2"/>
      <c r="D955" s="2"/>
      <c r="E955" s="398"/>
      <c r="F955" s="2"/>
      <c r="G955" s="398"/>
      <c r="H955" s="398"/>
      <c r="I955" s="398"/>
      <c r="J955" s="398"/>
      <c r="K955" s="2"/>
      <c r="L955" s="2"/>
      <c r="M955" s="2"/>
      <c r="N955" s="2"/>
      <c r="O955" s="2"/>
      <c r="P955" s="2"/>
      <c r="Q955" s="2"/>
      <c r="R955" s="2"/>
      <c r="S955" s="2"/>
      <c r="T955" s="2"/>
      <c r="U955" s="2"/>
      <c r="V955" s="2"/>
      <c r="W955" s="2"/>
      <c r="X955" s="2"/>
      <c r="Y955" s="2"/>
      <c r="Z955" s="2"/>
      <c r="AA955" s="2"/>
      <c r="AB955" s="2"/>
    </row>
    <row r="956">
      <c r="A956" s="2"/>
      <c r="B956" s="2"/>
      <c r="C956" s="2"/>
      <c r="D956" s="2"/>
      <c r="E956" s="398"/>
      <c r="F956" s="2"/>
      <c r="G956" s="398"/>
      <c r="H956" s="398"/>
      <c r="I956" s="398"/>
      <c r="J956" s="398"/>
      <c r="K956" s="2"/>
      <c r="L956" s="2"/>
      <c r="M956" s="2"/>
      <c r="N956" s="2"/>
      <c r="O956" s="2"/>
      <c r="P956" s="2"/>
      <c r="Q956" s="2"/>
      <c r="R956" s="2"/>
      <c r="S956" s="2"/>
      <c r="T956" s="2"/>
      <c r="U956" s="2"/>
      <c r="V956" s="2"/>
      <c r="W956" s="2"/>
      <c r="X956" s="2"/>
      <c r="Y956" s="2"/>
      <c r="Z956" s="2"/>
      <c r="AA956" s="2"/>
      <c r="AB956" s="2"/>
    </row>
    <row r="957">
      <c r="A957" s="2"/>
      <c r="B957" s="2"/>
      <c r="C957" s="2"/>
      <c r="D957" s="2"/>
      <c r="E957" s="398"/>
      <c r="F957" s="2"/>
      <c r="G957" s="398"/>
      <c r="H957" s="398"/>
      <c r="I957" s="398"/>
      <c r="J957" s="398"/>
      <c r="K957" s="2"/>
      <c r="L957" s="2"/>
      <c r="M957" s="2"/>
      <c r="N957" s="2"/>
      <c r="O957" s="2"/>
      <c r="P957" s="2"/>
      <c r="Q957" s="2"/>
      <c r="R957" s="2"/>
      <c r="S957" s="2"/>
      <c r="T957" s="2"/>
      <c r="U957" s="2"/>
      <c r="V957" s="2"/>
      <c r="W957" s="2"/>
      <c r="X957" s="2"/>
      <c r="Y957" s="2"/>
      <c r="Z957" s="2"/>
      <c r="AA957" s="2"/>
      <c r="AB957" s="2"/>
    </row>
    <row r="958">
      <c r="A958" s="2"/>
      <c r="B958" s="2"/>
      <c r="C958" s="2"/>
      <c r="D958" s="2"/>
      <c r="E958" s="398"/>
      <c r="F958" s="2"/>
      <c r="G958" s="398"/>
      <c r="H958" s="398"/>
      <c r="I958" s="398"/>
      <c r="J958" s="398"/>
      <c r="K958" s="2"/>
      <c r="L958" s="2"/>
      <c r="M958" s="2"/>
      <c r="N958" s="2"/>
      <c r="O958" s="2"/>
      <c r="P958" s="2"/>
      <c r="Q958" s="2"/>
      <c r="R958" s="2"/>
      <c r="S958" s="2"/>
      <c r="T958" s="2"/>
      <c r="U958" s="2"/>
      <c r="V958" s="2"/>
      <c r="W958" s="2"/>
      <c r="X958" s="2"/>
      <c r="Y958" s="2"/>
      <c r="Z958" s="2"/>
      <c r="AA958" s="2"/>
      <c r="AB958" s="2"/>
    </row>
    <row r="959">
      <c r="A959" s="2"/>
      <c r="B959" s="2"/>
      <c r="C959" s="2"/>
      <c r="D959" s="2"/>
      <c r="E959" s="398"/>
      <c r="F959" s="2"/>
      <c r="G959" s="398"/>
      <c r="H959" s="398"/>
      <c r="I959" s="398"/>
      <c r="J959" s="398"/>
      <c r="K959" s="2"/>
      <c r="L959" s="2"/>
      <c r="M959" s="2"/>
      <c r="N959" s="2"/>
      <c r="O959" s="2"/>
      <c r="P959" s="2"/>
      <c r="Q959" s="2"/>
      <c r="R959" s="2"/>
      <c r="S959" s="2"/>
      <c r="T959" s="2"/>
      <c r="U959" s="2"/>
      <c r="V959" s="2"/>
      <c r="W959" s="2"/>
      <c r="X959" s="2"/>
      <c r="Y959" s="2"/>
      <c r="Z959" s="2"/>
      <c r="AA959" s="2"/>
      <c r="AB959" s="2"/>
    </row>
    <row r="960">
      <c r="A960" s="2"/>
      <c r="B960" s="2"/>
      <c r="C960" s="2"/>
      <c r="D960" s="2"/>
      <c r="E960" s="398"/>
      <c r="F960" s="2"/>
      <c r="G960" s="398"/>
      <c r="H960" s="398"/>
      <c r="I960" s="398"/>
      <c r="J960" s="398"/>
      <c r="K960" s="2"/>
      <c r="L960" s="2"/>
      <c r="M960" s="2"/>
      <c r="N960" s="2"/>
      <c r="O960" s="2"/>
      <c r="P960" s="2"/>
      <c r="Q960" s="2"/>
      <c r="R960" s="2"/>
      <c r="S960" s="2"/>
      <c r="T960" s="2"/>
      <c r="U960" s="2"/>
      <c r="V960" s="2"/>
      <c r="W960" s="2"/>
      <c r="X960" s="2"/>
      <c r="Y960" s="2"/>
      <c r="Z960" s="2"/>
      <c r="AA960" s="2"/>
      <c r="AB960" s="2"/>
    </row>
    <row r="961">
      <c r="A961" s="2"/>
      <c r="B961" s="2"/>
      <c r="C961" s="2"/>
      <c r="D961" s="2"/>
      <c r="E961" s="398"/>
      <c r="F961" s="2"/>
      <c r="G961" s="398"/>
      <c r="H961" s="398"/>
      <c r="I961" s="398"/>
      <c r="J961" s="398"/>
      <c r="K961" s="2"/>
      <c r="L961" s="2"/>
      <c r="M961" s="2"/>
      <c r="N961" s="2"/>
      <c r="O961" s="2"/>
      <c r="P961" s="2"/>
      <c r="Q961" s="2"/>
      <c r="R961" s="2"/>
      <c r="S961" s="2"/>
      <c r="T961" s="2"/>
      <c r="U961" s="2"/>
      <c r="V961" s="2"/>
      <c r="W961" s="2"/>
      <c r="X961" s="2"/>
      <c r="Y961" s="2"/>
      <c r="Z961" s="2"/>
      <c r="AA961" s="2"/>
      <c r="AB961" s="2"/>
    </row>
    <row r="962">
      <c r="A962" s="2"/>
      <c r="B962" s="2"/>
      <c r="C962" s="2"/>
      <c r="D962" s="2"/>
      <c r="E962" s="398"/>
      <c r="F962" s="2"/>
      <c r="G962" s="398"/>
      <c r="H962" s="398"/>
      <c r="I962" s="398"/>
      <c r="J962" s="398"/>
      <c r="K962" s="2"/>
      <c r="L962" s="2"/>
      <c r="M962" s="2"/>
      <c r="N962" s="2"/>
      <c r="O962" s="2"/>
      <c r="P962" s="2"/>
      <c r="Q962" s="2"/>
      <c r="R962" s="2"/>
      <c r="S962" s="2"/>
      <c r="T962" s="2"/>
      <c r="U962" s="2"/>
      <c r="V962" s="2"/>
      <c r="W962" s="2"/>
      <c r="X962" s="2"/>
      <c r="Y962" s="2"/>
      <c r="Z962" s="2"/>
      <c r="AA962" s="2"/>
      <c r="AB962" s="2"/>
    </row>
    <row r="963">
      <c r="A963" s="2"/>
      <c r="B963" s="2"/>
      <c r="C963" s="2"/>
      <c r="D963" s="2"/>
      <c r="E963" s="398"/>
      <c r="F963" s="2"/>
      <c r="G963" s="398"/>
      <c r="H963" s="398"/>
      <c r="I963" s="398"/>
      <c r="J963" s="398"/>
      <c r="K963" s="2"/>
      <c r="L963" s="2"/>
      <c r="M963" s="2"/>
      <c r="N963" s="2"/>
      <c r="O963" s="2"/>
      <c r="P963" s="2"/>
      <c r="Q963" s="2"/>
      <c r="R963" s="2"/>
      <c r="S963" s="2"/>
      <c r="T963" s="2"/>
      <c r="U963" s="2"/>
      <c r="V963" s="2"/>
      <c r="W963" s="2"/>
      <c r="X963" s="2"/>
      <c r="Y963" s="2"/>
      <c r="Z963" s="2"/>
      <c r="AA963" s="2"/>
      <c r="AB963" s="2"/>
    </row>
    <row r="964">
      <c r="A964" s="2"/>
      <c r="B964" s="2"/>
      <c r="C964" s="2"/>
      <c r="D964" s="2"/>
      <c r="E964" s="398"/>
      <c r="F964" s="2"/>
      <c r="G964" s="398"/>
      <c r="H964" s="398"/>
      <c r="I964" s="398"/>
      <c r="J964" s="398"/>
      <c r="K964" s="2"/>
      <c r="L964" s="2"/>
      <c r="M964" s="2"/>
      <c r="N964" s="2"/>
      <c r="O964" s="2"/>
      <c r="P964" s="2"/>
      <c r="Q964" s="2"/>
      <c r="R964" s="2"/>
      <c r="S964" s="2"/>
      <c r="T964" s="2"/>
      <c r="U964" s="2"/>
      <c r="V964" s="2"/>
      <c r="W964" s="2"/>
      <c r="X964" s="2"/>
      <c r="Y964" s="2"/>
      <c r="Z964" s="2"/>
      <c r="AA964" s="2"/>
      <c r="AB964" s="2"/>
    </row>
    <row r="965">
      <c r="A965" s="2"/>
      <c r="B965" s="2"/>
      <c r="C965" s="2"/>
      <c r="D965" s="2"/>
      <c r="E965" s="398"/>
      <c r="F965" s="2"/>
      <c r="G965" s="398"/>
      <c r="H965" s="398"/>
      <c r="I965" s="398"/>
      <c r="J965" s="398"/>
      <c r="K965" s="2"/>
      <c r="L965" s="2"/>
      <c r="M965" s="2"/>
      <c r="N965" s="2"/>
      <c r="O965" s="2"/>
      <c r="P965" s="2"/>
      <c r="Q965" s="2"/>
      <c r="R965" s="2"/>
      <c r="S965" s="2"/>
      <c r="T965" s="2"/>
      <c r="U965" s="2"/>
      <c r="V965" s="2"/>
      <c r="W965" s="2"/>
      <c r="X965" s="2"/>
      <c r="Y965" s="2"/>
      <c r="Z965" s="2"/>
      <c r="AA965" s="2"/>
      <c r="AB965" s="2"/>
    </row>
    <row r="966">
      <c r="A966" s="2"/>
      <c r="B966" s="2"/>
      <c r="C966" s="2"/>
      <c r="D966" s="2"/>
      <c r="E966" s="398"/>
      <c r="F966" s="2"/>
      <c r="G966" s="398"/>
      <c r="H966" s="398"/>
      <c r="I966" s="398"/>
      <c r="J966" s="398"/>
      <c r="K966" s="2"/>
      <c r="L966" s="2"/>
      <c r="M966" s="2"/>
      <c r="N966" s="2"/>
      <c r="O966" s="2"/>
      <c r="P966" s="2"/>
      <c r="Q966" s="2"/>
      <c r="R966" s="2"/>
      <c r="S966" s="2"/>
      <c r="T966" s="2"/>
      <c r="U966" s="2"/>
      <c r="V966" s="2"/>
      <c r="W966" s="2"/>
      <c r="X966" s="2"/>
      <c r="Y966" s="2"/>
      <c r="Z966" s="2"/>
      <c r="AA966" s="2"/>
      <c r="AB966" s="2"/>
    </row>
    <row r="967">
      <c r="A967" s="2"/>
      <c r="B967" s="2"/>
      <c r="C967" s="2"/>
      <c r="D967" s="2"/>
      <c r="E967" s="398"/>
      <c r="F967" s="2"/>
      <c r="G967" s="398"/>
      <c r="H967" s="398"/>
      <c r="I967" s="398"/>
      <c r="J967" s="398"/>
      <c r="K967" s="2"/>
      <c r="L967" s="2"/>
      <c r="M967" s="2"/>
      <c r="N967" s="2"/>
      <c r="O967" s="2"/>
      <c r="P967" s="2"/>
      <c r="Q967" s="2"/>
      <c r="R967" s="2"/>
      <c r="S967" s="2"/>
      <c r="T967" s="2"/>
      <c r="U967" s="2"/>
      <c r="V967" s="2"/>
      <c r="W967" s="2"/>
      <c r="X967" s="2"/>
      <c r="Y967" s="2"/>
      <c r="Z967" s="2"/>
      <c r="AA967" s="2"/>
      <c r="AB967" s="2"/>
    </row>
    <row r="968">
      <c r="A968" s="2"/>
      <c r="B968" s="2"/>
      <c r="C968" s="2"/>
      <c r="D968" s="2"/>
      <c r="E968" s="398"/>
      <c r="F968" s="2"/>
      <c r="G968" s="398"/>
      <c r="H968" s="398"/>
      <c r="I968" s="398"/>
      <c r="J968" s="398"/>
      <c r="K968" s="2"/>
      <c r="L968" s="2"/>
      <c r="M968" s="2"/>
      <c r="N968" s="2"/>
      <c r="O968" s="2"/>
      <c r="P968" s="2"/>
      <c r="Q968" s="2"/>
      <c r="R968" s="2"/>
      <c r="S968" s="2"/>
      <c r="T968" s="2"/>
      <c r="U968" s="2"/>
      <c r="V968" s="2"/>
      <c r="W968" s="2"/>
      <c r="X968" s="2"/>
      <c r="Y968" s="2"/>
      <c r="Z968" s="2"/>
      <c r="AA968" s="2"/>
      <c r="AB968" s="2"/>
    </row>
    <row r="969">
      <c r="A969" s="2"/>
      <c r="B969" s="2"/>
      <c r="C969" s="2"/>
      <c r="D969" s="2"/>
      <c r="E969" s="398"/>
      <c r="F969" s="2"/>
      <c r="G969" s="398"/>
      <c r="H969" s="398"/>
      <c r="I969" s="398"/>
      <c r="J969" s="398"/>
      <c r="K969" s="2"/>
      <c r="L969" s="2"/>
      <c r="M969" s="2"/>
      <c r="N969" s="2"/>
      <c r="O969" s="2"/>
      <c r="P969" s="2"/>
      <c r="Q969" s="2"/>
      <c r="R969" s="2"/>
      <c r="S969" s="2"/>
      <c r="T969" s="2"/>
      <c r="U969" s="2"/>
      <c r="V969" s="2"/>
      <c r="W969" s="2"/>
      <c r="X969" s="2"/>
      <c r="Y969" s="2"/>
      <c r="Z969" s="2"/>
      <c r="AA969" s="2"/>
      <c r="AB969" s="2"/>
    </row>
    <row r="970">
      <c r="A970" s="2"/>
      <c r="B970" s="2"/>
      <c r="C970" s="2"/>
      <c r="D970" s="2"/>
      <c r="E970" s="398"/>
      <c r="F970" s="2"/>
      <c r="G970" s="398"/>
      <c r="H970" s="398"/>
      <c r="I970" s="398"/>
      <c r="J970" s="398"/>
      <c r="K970" s="2"/>
      <c r="L970" s="2"/>
      <c r="M970" s="2"/>
      <c r="N970" s="2"/>
      <c r="O970" s="2"/>
      <c r="P970" s="2"/>
      <c r="Q970" s="2"/>
      <c r="R970" s="2"/>
      <c r="S970" s="2"/>
      <c r="T970" s="2"/>
      <c r="U970" s="2"/>
      <c r="V970" s="2"/>
      <c r="W970" s="2"/>
      <c r="X970" s="2"/>
      <c r="Y970" s="2"/>
      <c r="Z970" s="2"/>
      <c r="AA970" s="2"/>
      <c r="AB970" s="2"/>
    </row>
    <row r="971">
      <c r="A971" s="2"/>
      <c r="B971" s="2"/>
      <c r="C971" s="2"/>
      <c r="D971" s="2"/>
      <c r="E971" s="398"/>
      <c r="F971" s="2"/>
      <c r="G971" s="398"/>
      <c r="H971" s="398"/>
      <c r="I971" s="398"/>
      <c r="J971" s="398"/>
      <c r="K971" s="2"/>
      <c r="L971" s="2"/>
      <c r="M971" s="2"/>
      <c r="N971" s="2"/>
      <c r="O971" s="2"/>
      <c r="P971" s="2"/>
      <c r="Q971" s="2"/>
      <c r="R971" s="2"/>
      <c r="S971" s="2"/>
      <c r="T971" s="2"/>
      <c r="U971" s="2"/>
      <c r="V971" s="2"/>
      <c r="W971" s="2"/>
      <c r="X971" s="2"/>
      <c r="Y971" s="2"/>
      <c r="Z971" s="2"/>
      <c r="AA971" s="2"/>
      <c r="AB971" s="2"/>
    </row>
    <row r="972">
      <c r="A972" s="2"/>
      <c r="B972" s="2"/>
      <c r="C972" s="2"/>
      <c r="D972" s="2"/>
      <c r="E972" s="398"/>
      <c r="F972" s="2"/>
      <c r="G972" s="398"/>
      <c r="H972" s="398"/>
      <c r="I972" s="398"/>
      <c r="J972" s="398"/>
      <c r="K972" s="2"/>
      <c r="L972" s="2"/>
      <c r="M972" s="2"/>
      <c r="N972" s="2"/>
      <c r="O972" s="2"/>
      <c r="P972" s="2"/>
      <c r="Q972" s="2"/>
      <c r="R972" s="2"/>
      <c r="S972" s="2"/>
      <c r="T972" s="2"/>
      <c r="U972" s="2"/>
      <c r="V972" s="2"/>
      <c r="W972" s="2"/>
      <c r="X972" s="2"/>
      <c r="Y972" s="2"/>
      <c r="Z972" s="2"/>
      <c r="AA972" s="2"/>
      <c r="AB972" s="2"/>
    </row>
    <row r="973">
      <c r="A973" s="2"/>
      <c r="B973" s="2"/>
      <c r="C973" s="2"/>
      <c r="D973" s="2"/>
      <c r="E973" s="398"/>
      <c r="F973" s="2"/>
      <c r="G973" s="398"/>
      <c r="H973" s="398"/>
      <c r="I973" s="398"/>
      <c r="J973" s="398"/>
      <c r="K973" s="2"/>
      <c r="L973" s="2"/>
      <c r="M973" s="2"/>
      <c r="N973" s="2"/>
      <c r="O973" s="2"/>
      <c r="P973" s="2"/>
      <c r="Q973" s="2"/>
      <c r="R973" s="2"/>
      <c r="S973" s="2"/>
      <c r="T973" s="2"/>
      <c r="U973" s="2"/>
      <c r="V973" s="2"/>
      <c r="W973" s="2"/>
      <c r="X973" s="2"/>
      <c r="Y973" s="2"/>
      <c r="Z973" s="2"/>
      <c r="AA973" s="2"/>
      <c r="AB973" s="2"/>
    </row>
    <row r="974">
      <c r="A974" s="2"/>
      <c r="B974" s="2"/>
      <c r="C974" s="2"/>
      <c r="D974" s="2"/>
      <c r="E974" s="398"/>
      <c r="F974" s="2"/>
      <c r="G974" s="398"/>
      <c r="H974" s="398"/>
      <c r="I974" s="398"/>
      <c r="J974" s="398"/>
      <c r="K974" s="2"/>
      <c r="L974" s="2"/>
      <c r="M974" s="2"/>
      <c r="N974" s="2"/>
      <c r="O974" s="2"/>
      <c r="P974" s="2"/>
      <c r="Q974" s="2"/>
      <c r="R974" s="2"/>
      <c r="S974" s="2"/>
      <c r="T974" s="2"/>
      <c r="U974" s="2"/>
      <c r="V974" s="2"/>
      <c r="W974" s="2"/>
      <c r="X974" s="2"/>
      <c r="Y974" s="2"/>
      <c r="Z974" s="2"/>
      <c r="AA974" s="2"/>
      <c r="AB974" s="2"/>
    </row>
    <row r="975">
      <c r="A975" s="2"/>
      <c r="B975" s="2"/>
      <c r="C975" s="2"/>
      <c r="D975" s="2"/>
      <c r="E975" s="398"/>
      <c r="F975" s="2"/>
      <c r="G975" s="398"/>
      <c r="H975" s="398"/>
      <c r="I975" s="398"/>
      <c r="J975" s="398"/>
      <c r="K975" s="2"/>
      <c r="L975" s="2"/>
      <c r="M975" s="2"/>
      <c r="N975" s="2"/>
      <c r="O975" s="2"/>
      <c r="P975" s="2"/>
      <c r="Q975" s="2"/>
      <c r="R975" s="2"/>
      <c r="S975" s="2"/>
      <c r="T975" s="2"/>
      <c r="U975" s="2"/>
      <c r="V975" s="2"/>
      <c r="W975" s="2"/>
      <c r="X975" s="2"/>
      <c r="Y975" s="2"/>
      <c r="Z975" s="2"/>
      <c r="AA975" s="2"/>
      <c r="AB975" s="2"/>
    </row>
    <row r="976">
      <c r="A976" s="2"/>
      <c r="B976" s="2"/>
      <c r="C976" s="2"/>
      <c r="D976" s="2"/>
      <c r="E976" s="398"/>
      <c r="F976" s="2"/>
      <c r="G976" s="398"/>
      <c r="H976" s="398"/>
      <c r="I976" s="398"/>
      <c r="J976" s="398"/>
      <c r="K976" s="2"/>
      <c r="L976" s="2"/>
      <c r="M976" s="2"/>
      <c r="N976" s="2"/>
      <c r="O976" s="2"/>
      <c r="P976" s="2"/>
      <c r="Q976" s="2"/>
      <c r="R976" s="2"/>
      <c r="S976" s="2"/>
      <c r="T976" s="2"/>
      <c r="U976" s="2"/>
      <c r="V976" s="2"/>
      <c r="W976" s="2"/>
      <c r="X976" s="2"/>
      <c r="Y976" s="2"/>
      <c r="Z976" s="2"/>
      <c r="AA976" s="2"/>
      <c r="AB976" s="2"/>
    </row>
    <row r="977">
      <c r="A977" s="2"/>
      <c r="B977" s="2"/>
      <c r="C977" s="2"/>
      <c r="D977" s="2"/>
      <c r="E977" s="398"/>
      <c r="F977" s="2"/>
      <c r="G977" s="398"/>
      <c r="H977" s="398"/>
      <c r="I977" s="398"/>
      <c r="J977" s="398"/>
      <c r="K977" s="2"/>
      <c r="L977" s="2"/>
      <c r="M977" s="2"/>
      <c r="N977" s="2"/>
      <c r="O977" s="2"/>
      <c r="P977" s="2"/>
      <c r="Q977" s="2"/>
      <c r="R977" s="2"/>
      <c r="S977" s="2"/>
      <c r="T977" s="2"/>
      <c r="U977" s="2"/>
      <c r="V977" s="2"/>
      <c r="W977" s="2"/>
      <c r="X977" s="2"/>
      <c r="Y977" s="2"/>
      <c r="Z977" s="2"/>
      <c r="AA977" s="2"/>
      <c r="AB977" s="2"/>
    </row>
    <row r="978">
      <c r="A978" s="2"/>
      <c r="B978" s="2"/>
      <c r="C978" s="2"/>
      <c r="D978" s="2"/>
      <c r="E978" s="398"/>
      <c r="F978" s="2"/>
      <c r="G978" s="398"/>
      <c r="H978" s="398"/>
      <c r="I978" s="398"/>
      <c r="J978" s="398"/>
      <c r="K978" s="2"/>
      <c r="L978" s="2"/>
      <c r="M978" s="2"/>
      <c r="N978" s="2"/>
      <c r="O978" s="2"/>
      <c r="P978" s="2"/>
      <c r="Q978" s="2"/>
      <c r="R978" s="2"/>
      <c r="S978" s="2"/>
      <c r="T978" s="2"/>
      <c r="U978" s="2"/>
      <c r="V978" s="2"/>
      <c r="W978" s="2"/>
      <c r="X978" s="2"/>
      <c r="Y978" s="2"/>
      <c r="Z978" s="2"/>
      <c r="AA978" s="2"/>
      <c r="AB978" s="2"/>
    </row>
    <row r="979">
      <c r="A979" s="2"/>
      <c r="B979" s="2"/>
      <c r="C979" s="2"/>
      <c r="D979" s="2"/>
      <c r="E979" s="398"/>
      <c r="F979" s="2"/>
      <c r="G979" s="398"/>
      <c r="H979" s="398"/>
      <c r="I979" s="398"/>
      <c r="J979" s="398"/>
      <c r="K979" s="2"/>
      <c r="L979" s="2"/>
      <c r="M979" s="2"/>
      <c r="N979" s="2"/>
      <c r="O979" s="2"/>
      <c r="P979" s="2"/>
      <c r="Q979" s="2"/>
      <c r="R979" s="2"/>
      <c r="S979" s="2"/>
      <c r="T979" s="2"/>
      <c r="U979" s="2"/>
      <c r="V979" s="2"/>
      <c r="W979" s="2"/>
      <c r="X979" s="2"/>
      <c r="Y979" s="2"/>
      <c r="Z979" s="2"/>
      <c r="AA979" s="2"/>
      <c r="AB979" s="2"/>
    </row>
    <row r="980">
      <c r="A980" s="2"/>
      <c r="B980" s="2"/>
      <c r="C980" s="2"/>
      <c r="D980" s="2"/>
      <c r="E980" s="398"/>
      <c r="F980" s="2"/>
      <c r="G980" s="398"/>
      <c r="H980" s="398"/>
      <c r="I980" s="398"/>
      <c r="J980" s="398"/>
      <c r="K980" s="2"/>
      <c r="L980" s="2"/>
      <c r="M980" s="2"/>
      <c r="N980" s="2"/>
      <c r="O980" s="2"/>
      <c r="P980" s="2"/>
      <c r="Q980" s="2"/>
      <c r="R980" s="2"/>
      <c r="S980" s="2"/>
      <c r="T980" s="2"/>
      <c r="U980" s="2"/>
      <c r="V980" s="2"/>
      <c r="W980" s="2"/>
      <c r="X980" s="2"/>
      <c r="Y980" s="2"/>
      <c r="Z980" s="2"/>
      <c r="AA980" s="2"/>
      <c r="AB980" s="2"/>
    </row>
    <row r="981">
      <c r="A981" s="2"/>
      <c r="B981" s="2"/>
      <c r="C981" s="2"/>
      <c r="D981" s="2"/>
      <c r="E981" s="398"/>
      <c r="F981" s="2"/>
      <c r="G981" s="398"/>
      <c r="H981" s="398"/>
      <c r="I981" s="398"/>
      <c r="J981" s="398"/>
      <c r="K981" s="2"/>
      <c r="L981" s="2"/>
      <c r="M981" s="2"/>
      <c r="N981" s="2"/>
      <c r="O981" s="2"/>
      <c r="P981" s="2"/>
      <c r="Q981" s="2"/>
      <c r="R981" s="2"/>
      <c r="S981" s="2"/>
      <c r="T981" s="2"/>
      <c r="U981" s="2"/>
      <c r="V981" s="2"/>
      <c r="W981" s="2"/>
      <c r="X981" s="2"/>
      <c r="Y981" s="2"/>
      <c r="Z981" s="2"/>
      <c r="AA981" s="2"/>
      <c r="AB981" s="2"/>
    </row>
    <row r="982">
      <c r="A982" s="2"/>
      <c r="B982" s="2"/>
      <c r="C982" s="2"/>
      <c r="D982" s="2"/>
      <c r="E982" s="398"/>
      <c r="F982" s="2"/>
      <c r="G982" s="398"/>
      <c r="H982" s="398"/>
      <c r="I982" s="398"/>
      <c r="J982" s="398"/>
      <c r="K982" s="2"/>
      <c r="L982" s="2"/>
      <c r="M982" s="2"/>
      <c r="N982" s="2"/>
      <c r="O982" s="2"/>
      <c r="P982" s="2"/>
      <c r="Q982" s="2"/>
      <c r="R982" s="2"/>
      <c r="S982" s="2"/>
      <c r="T982" s="2"/>
      <c r="U982" s="2"/>
      <c r="V982" s="2"/>
      <c r="W982" s="2"/>
      <c r="X982" s="2"/>
      <c r="Y982" s="2"/>
      <c r="Z982" s="2"/>
      <c r="AA982" s="2"/>
      <c r="AB982" s="2"/>
    </row>
    <row r="983">
      <c r="A983" s="2"/>
      <c r="B983" s="2"/>
      <c r="C983" s="2"/>
      <c r="D983" s="2"/>
      <c r="E983" s="398"/>
      <c r="F983" s="2"/>
      <c r="G983" s="398"/>
      <c r="H983" s="398"/>
      <c r="I983" s="398"/>
      <c r="J983" s="398"/>
      <c r="K983" s="2"/>
      <c r="L983" s="2"/>
      <c r="M983" s="2"/>
      <c r="N983" s="2"/>
      <c r="O983" s="2"/>
      <c r="P983" s="2"/>
      <c r="Q983" s="2"/>
      <c r="R983" s="2"/>
      <c r="S983" s="2"/>
      <c r="T983" s="2"/>
      <c r="U983" s="2"/>
      <c r="V983" s="2"/>
      <c r="W983" s="2"/>
      <c r="X983" s="2"/>
      <c r="Y983" s="2"/>
      <c r="Z983" s="2"/>
      <c r="AA983" s="2"/>
      <c r="AB983" s="2"/>
    </row>
    <row r="984">
      <c r="A984" s="2"/>
      <c r="B984" s="2"/>
      <c r="C984" s="2"/>
      <c r="D984" s="2"/>
      <c r="E984" s="398"/>
      <c r="F984" s="2"/>
      <c r="G984" s="398"/>
      <c r="H984" s="398"/>
      <c r="I984" s="398"/>
      <c r="J984" s="398"/>
      <c r="K984" s="2"/>
      <c r="L984" s="2"/>
      <c r="M984" s="2"/>
      <c r="N984" s="2"/>
      <c r="O984" s="2"/>
      <c r="P984" s="2"/>
      <c r="Q984" s="2"/>
      <c r="R984" s="2"/>
      <c r="S984" s="2"/>
      <c r="T984" s="2"/>
      <c r="U984" s="2"/>
      <c r="V984" s="2"/>
      <c r="W984" s="2"/>
      <c r="X984" s="2"/>
      <c r="Y984" s="2"/>
      <c r="Z984" s="2"/>
      <c r="AA984" s="2"/>
      <c r="AB984" s="2"/>
    </row>
    <row r="985">
      <c r="A985" s="2"/>
      <c r="B985" s="2"/>
      <c r="C985" s="2"/>
      <c r="D985" s="2"/>
      <c r="E985" s="398"/>
      <c r="F985" s="2"/>
      <c r="G985" s="398"/>
      <c r="H985" s="398"/>
      <c r="I985" s="398"/>
      <c r="J985" s="398"/>
      <c r="K985" s="2"/>
      <c r="L985" s="2"/>
      <c r="M985" s="2"/>
      <c r="N985" s="2"/>
      <c r="O985" s="2"/>
      <c r="P985" s="2"/>
      <c r="Q985" s="2"/>
      <c r="R985" s="2"/>
      <c r="S985" s="2"/>
      <c r="T985" s="2"/>
      <c r="U985" s="2"/>
      <c r="V985" s="2"/>
      <c r="W985" s="2"/>
      <c r="X985" s="2"/>
      <c r="Y985" s="2"/>
      <c r="Z985" s="2"/>
      <c r="AA985" s="2"/>
      <c r="AB985" s="2"/>
    </row>
    <row r="986">
      <c r="A986" s="2"/>
      <c r="B986" s="2"/>
      <c r="C986" s="2"/>
      <c r="D986" s="2"/>
      <c r="E986" s="398"/>
      <c r="F986" s="2"/>
      <c r="G986" s="398"/>
      <c r="H986" s="398"/>
      <c r="I986" s="398"/>
      <c r="J986" s="398"/>
      <c r="K986" s="2"/>
      <c r="L986" s="2"/>
      <c r="M986" s="2"/>
      <c r="N986" s="2"/>
      <c r="O986" s="2"/>
      <c r="P986" s="2"/>
      <c r="Q986" s="2"/>
      <c r="R986" s="2"/>
      <c r="S986" s="2"/>
      <c r="T986" s="2"/>
      <c r="U986" s="2"/>
      <c r="V986" s="2"/>
      <c r="W986" s="2"/>
      <c r="X986" s="2"/>
      <c r="Y986" s="2"/>
      <c r="Z986" s="2"/>
      <c r="AA986" s="2"/>
      <c r="AB986" s="2"/>
    </row>
    <row r="987">
      <c r="A987" s="2"/>
      <c r="B987" s="2"/>
      <c r="C987" s="2"/>
      <c r="D987" s="2"/>
      <c r="E987" s="398"/>
      <c r="F987" s="2"/>
      <c r="G987" s="398"/>
      <c r="H987" s="398"/>
      <c r="I987" s="398"/>
      <c r="J987" s="398"/>
      <c r="K987" s="2"/>
      <c r="L987" s="2"/>
      <c r="M987" s="2"/>
      <c r="N987" s="2"/>
      <c r="O987" s="2"/>
      <c r="P987" s="2"/>
      <c r="Q987" s="2"/>
      <c r="R987" s="2"/>
      <c r="S987" s="2"/>
      <c r="T987" s="2"/>
      <c r="U987" s="2"/>
      <c r="V987" s="2"/>
      <c r="W987" s="2"/>
      <c r="X987" s="2"/>
      <c r="Y987" s="2"/>
      <c r="Z987" s="2"/>
      <c r="AA987" s="2"/>
      <c r="AB987" s="2"/>
    </row>
    <row r="988">
      <c r="A988" s="2"/>
      <c r="B988" s="2"/>
      <c r="C988" s="2"/>
      <c r="D988" s="2"/>
      <c r="E988" s="398"/>
      <c r="F988" s="2"/>
      <c r="G988" s="398"/>
      <c r="H988" s="398"/>
      <c r="I988" s="398"/>
      <c r="J988" s="398"/>
      <c r="K988" s="2"/>
      <c r="L988" s="2"/>
      <c r="M988" s="2"/>
      <c r="N988" s="2"/>
      <c r="O988" s="2"/>
      <c r="P988" s="2"/>
      <c r="Q988" s="2"/>
      <c r="R988" s="2"/>
      <c r="S988" s="2"/>
      <c r="T988" s="2"/>
      <c r="U988" s="2"/>
      <c r="V988" s="2"/>
      <c r="W988" s="2"/>
      <c r="X988" s="2"/>
      <c r="Y988" s="2"/>
      <c r="Z988" s="2"/>
      <c r="AA988" s="2"/>
      <c r="AB988" s="2"/>
    </row>
    <row r="989">
      <c r="A989" s="2"/>
      <c r="B989" s="2"/>
      <c r="C989" s="2"/>
      <c r="D989" s="2"/>
      <c r="E989" s="398"/>
      <c r="F989" s="2"/>
      <c r="G989" s="398"/>
      <c r="H989" s="398"/>
      <c r="I989" s="398"/>
      <c r="J989" s="398"/>
      <c r="K989" s="2"/>
      <c r="L989" s="2"/>
      <c r="M989" s="2"/>
      <c r="N989" s="2"/>
      <c r="O989" s="2"/>
      <c r="P989" s="2"/>
      <c r="Q989" s="2"/>
      <c r="R989" s="2"/>
      <c r="S989" s="2"/>
      <c r="T989" s="2"/>
      <c r="U989" s="2"/>
      <c r="V989" s="2"/>
      <c r="W989" s="2"/>
      <c r="X989" s="2"/>
      <c r="Y989" s="2"/>
      <c r="Z989" s="2"/>
      <c r="AA989" s="2"/>
      <c r="AB989" s="2"/>
    </row>
    <row r="990">
      <c r="A990" s="2"/>
      <c r="B990" s="2"/>
      <c r="C990" s="2"/>
      <c r="D990" s="2"/>
      <c r="E990" s="398"/>
      <c r="F990" s="2"/>
      <c r="G990" s="398"/>
      <c r="H990" s="398"/>
      <c r="I990" s="398"/>
      <c r="J990" s="398"/>
      <c r="K990" s="2"/>
      <c r="L990" s="2"/>
      <c r="M990" s="2"/>
      <c r="N990" s="2"/>
      <c r="O990" s="2"/>
      <c r="P990" s="2"/>
      <c r="Q990" s="2"/>
      <c r="R990" s="2"/>
      <c r="S990" s="2"/>
      <c r="T990" s="2"/>
      <c r="U990" s="2"/>
      <c r="V990" s="2"/>
      <c r="W990" s="2"/>
      <c r="X990" s="2"/>
      <c r="Y990" s="2"/>
      <c r="Z990" s="2"/>
      <c r="AA990" s="2"/>
      <c r="AB990" s="2"/>
    </row>
    <row r="991">
      <c r="A991" s="2"/>
      <c r="B991" s="2"/>
      <c r="C991" s="2"/>
      <c r="D991" s="2"/>
      <c r="E991" s="398"/>
      <c r="F991" s="2"/>
      <c r="G991" s="398"/>
      <c r="H991" s="398"/>
      <c r="I991" s="398"/>
      <c r="J991" s="398"/>
      <c r="K991" s="2"/>
      <c r="L991" s="2"/>
      <c r="M991" s="2"/>
      <c r="N991" s="2"/>
      <c r="O991" s="2"/>
      <c r="P991" s="2"/>
      <c r="Q991" s="2"/>
      <c r="R991" s="2"/>
      <c r="S991" s="2"/>
      <c r="T991" s="2"/>
      <c r="U991" s="2"/>
      <c r="V991" s="2"/>
      <c r="W991" s="2"/>
      <c r="X991" s="2"/>
      <c r="Y991" s="2"/>
      <c r="Z991" s="2"/>
      <c r="AA991" s="2"/>
      <c r="AB991" s="2"/>
    </row>
    <row r="992">
      <c r="A992" s="2"/>
      <c r="B992" s="2"/>
      <c r="C992" s="2"/>
      <c r="D992" s="2"/>
      <c r="E992" s="398"/>
      <c r="F992" s="2"/>
      <c r="G992" s="398"/>
      <c r="H992" s="398"/>
      <c r="I992" s="398"/>
      <c r="J992" s="398"/>
      <c r="K992" s="2"/>
      <c r="L992" s="2"/>
      <c r="M992" s="2"/>
      <c r="N992" s="2"/>
      <c r="O992" s="2"/>
      <c r="P992" s="2"/>
      <c r="Q992" s="2"/>
      <c r="R992" s="2"/>
      <c r="S992" s="2"/>
      <c r="T992" s="2"/>
      <c r="U992" s="2"/>
      <c r="V992" s="2"/>
      <c r="W992" s="2"/>
      <c r="X992" s="2"/>
      <c r="Y992" s="2"/>
      <c r="Z992" s="2"/>
      <c r="AA992" s="2"/>
      <c r="AB992" s="2"/>
    </row>
    <row r="993">
      <c r="A993" s="2"/>
      <c r="B993" s="2"/>
      <c r="C993" s="2"/>
      <c r="D993" s="2"/>
      <c r="E993" s="398"/>
      <c r="F993" s="2"/>
      <c r="G993" s="398"/>
      <c r="H993" s="398"/>
      <c r="I993" s="398"/>
      <c r="J993" s="398"/>
      <c r="K993" s="2"/>
      <c r="L993" s="2"/>
      <c r="M993" s="2"/>
      <c r="N993" s="2"/>
      <c r="O993" s="2"/>
      <c r="P993" s="2"/>
      <c r="Q993" s="2"/>
      <c r="R993" s="2"/>
      <c r="S993" s="2"/>
      <c r="T993" s="2"/>
      <c r="U993" s="2"/>
      <c r="V993" s="2"/>
      <c r="W993" s="2"/>
      <c r="X993" s="2"/>
      <c r="Y993" s="2"/>
      <c r="Z993" s="2"/>
      <c r="AA993" s="2"/>
      <c r="AB993" s="2"/>
    </row>
    <row r="994">
      <c r="A994" s="2"/>
      <c r="B994" s="2"/>
      <c r="C994" s="2"/>
      <c r="D994" s="2"/>
      <c r="E994" s="398"/>
      <c r="F994" s="2"/>
      <c r="G994" s="398"/>
      <c r="H994" s="398"/>
      <c r="I994" s="398"/>
      <c r="J994" s="398"/>
      <c r="K994" s="2"/>
      <c r="L994" s="2"/>
      <c r="M994" s="2"/>
      <c r="N994" s="2"/>
      <c r="O994" s="2"/>
      <c r="P994" s="2"/>
      <c r="Q994" s="2"/>
      <c r="R994" s="2"/>
      <c r="S994" s="2"/>
      <c r="T994" s="2"/>
      <c r="U994" s="2"/>
      <c r="V994" s="2"/>
      <c r="W994" s="2"/>
      <c r="X994" s="2"/>
      <c r="Y994" s="2"/>
      <c r="Z994" s="2"/>
      <c r="AA994" s="2"/>
      <c r="AB994" s="2"/>
    </row>
    <row r="995">
      <c r="A995" s="2"/>
      <c r="B995" s="2"/>
      <c r="C995" s="2"/>
      <c r="D995" s="2"/>
      <c r="E995" s="398"/>
      <c r="F995" s="2"/>
      <c r="G995" s="398"/>
      <c r="H995" s="398"/>
      <c r="I995" s="398"/>
      <c r="J995" s="398"/>
      <c r="K995" s="2"/>
      <c r="L995" s="2"/>
      <c r="M995" s="2"/>
      <c r="N995" s="2"/>
      <c r="O995" s="2"/>
      <c r="P995" s="2"/>
      <c r="Q995" s="2"/>
      <c r="R995" s="2"/>
      <c r="S995" s="2"/>
      <c r="T995" s="2"/>
      <c r="U995" s="2"/>
      <c r="V995" s="2"/>
      <c r="W995" s="2"/>
      <c r="X995" s="2"/>
      <c r="Y995" s="2"/>
      <c r="Z995" s="2"/>
      <c r="AA995" s="2"/>
      <c r="AB995" s="2"/>
    </row>
    <row r="996">
      <c r="A996" s="2"/>
      <c r="B996" s="2"/>
      <c r="C996" s="2"/>
      <c r="D996" s="2"/>
      <c r="E996" s="398"/>
      <c r="F996" s="2"/>
      <c r="G996" s="398"/>
      <c r="H996" s="398"/>
      <c r="I996" s="398"/>
      <c r="J996" s="398"/>
      <c r="K996" s="2"/>
      <c r="L996" s="2"/>
      <c r="M996" s="2"/>
      <c r="N996" s="2"/>
      <c r="O996" s="2"/>
      <c r="P996" s="2"/>
      <c r="Q996" s="2"/>
      <c r="R996" s="2"/>
      <c r="S996" s="2"/>
      <c r="T996" s="2"/>
      <c r="U996" s="2"/>
      <c r="V996" s="2"/>
      <c r="W996" s="2"/>
      <c r="X996" s="2"/>
      <c r="Y996" s="2"/>
      <c r="Z996" s="2"/>
      <c r="AA996" s="2"/>
      <c r="AB996" s="2"/>
    </row>
    <row r="997">
      <c r="A997" s="2"/>
      <c r="B997" s="2"/>
      <c r="C997" s="2"/>
      <c r="D997" s="2"/>
      <c r="E997" s="398"/>
      <c r="F997" s="2"/>
      <c r="G997" s="398"/>
      <c r="H997" s="398"/>
      <c r="I997" s="398"/>
      <c r="J997" s="398"/>
      <c r="K997" s="2"/>
      <c r="L997" s="2"/>
      <c r="M997" s="2"/>
      <c r="N997" s="2"/>
      <c r="O997" s="2"/>
      <c r="P997" s="2"/>
      <c r="Q997" s="2"/>
      <c r="R997" s="2"/>
      <c r="S997" s="2"/>
      <c r="T997" s="2"/>
      <c r="U997" s="2"/>
      <c r="V997" s="2"/>
      <c r="W997" s="2"/>
      <c r="X997" s="2"/>
      <c r="Y997" s="2"/>
      <c r="Z997" s="2"/>
      <c r="AA997" s="2"/>
      <c r="AB997" s="2"/>
    </row>
    <row r="998">
      <c r="A998" s="2"/>
      <c r="B998" s="2"/>
      <c r="C998" s="2"/>
      <c r="D998" s="2"/>
      <c r="E998" s="398"/>
      <c r="F998" s="2"/>
      <c r="G998" s="398"/>
      <c r="H998" s="398"/>
      <c r="I998" s="398"/>
      <c r="J998" s="398"/>
      <c r="K998" s="2"/>
      <c r="L998" s="2"/>
      <c r="M998" s="2"/>
      <c r="N998" s="2"/>
      <c r="O998" s="2"/>
      <c r="P998" s="2"/>
      <c r="Q998" s="2"/>
      <c r="R998" s="2"/>
      <c r="S998" s="2"/>
      <c r="T998" s="2"/>
      <c r="U998" s="2"/>
      <c r="V998" s="2"/>
      <c r="W998" s="2"/>
      <c r="X998" s="2"/>
      <c r="Y998" s="2"/>
      <c r="Z998" s="2"/>
      <c r="AA998" s="2"/>
      <c r="AB998" s="2"/>
    </row>
    <row r="999">
      <c r="A999" s="2"/>
      <c r="B999" s="2"/>
      <c r="C999" s="2"/>
      <c r="D999" s="2"/>
      <c r="E999" s="398"/>
      <c r="F999" s="2"/>
      <c r="G999" s="398"/>
      <c r="H999" s="398"/>
      <c r="I999" s="398"/>
      <c r="J999" s="398"/>
      <c r="K999" s="2"/>
      <c r="L999" s="2"/>
      <c r="M999" s="2"/>
      <c r="N999" s="2"/>
      <c r="O999" s="2"/>
      <c r="P999" s="2"/>
      <c r="Q999" s="2"/>
      <c r="R999" s="2"/>
      <c r="S999" s="2"/>
      <c r="T999" s="2"/>
      <c r="U999" s="2"/>
      <c r="V999" s="2"/>
      <c r="W999" s="2"/>
      <c r="X999" s="2"/>
      <c r="Y999" s="2"/>
      <c r="Z999" s="2"/>
      <c r="AA999" s="2"/>
      <c r="AB999" s="2"/>
    </row>
    <row r="1000">
      <c r="A1000" s="2"/>
      <c r="B1000" s="2"/>
      <c r="C1000" s="2"/>
      <c r="D1000" s="2"/>
      <c r="E1000" s="398"/>
      <c r="F1000" s="2"/>
      <c r="G1000" s="398"/>
      <c r="H1000" s="398"/>
      <c r="I1000" s="398"/>
      <c r="J1000" s="398"/>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398"/>
      <c r="F1001" s="2"/>
      <c r="G1001" s="398"/>
      <c r="H1001" s="398"/>
      <c r="I1001" s="398"/>
      <c r="J1001" s="398"/>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398"/>
      <c r="F1002" s="2"/>
      <c r="G1002" s="398"/>
      <c r="H1002" s="398"/>
      <c r="I1002" s="398"/>
      <c r="J1002" s="398"/>
      <c r="K1002" s="2"/>
      <c r="L1002" s="2"/>
      <c r="M1002" s="2"/>
      <c r="N1002" s="2"/>
      <c r="O1002" s="2"/>
      <c r="P1002" s="2"/>
      <c r="Q1002" s="2"/>
      <c r="R1002" s="2"/>
      <c r="S1002" s="2"/>
      <c r="T1002" s="2"/>
      <c r="U1002" s="2"/>
      <c r="V1002" s="2"/>
      <c r="W1002" s="2"/>
      <c r="X1002" s="2"/>
      <c r="Y1002" s="2"/>
      <c r="Z1002" s="2"/>
      <c r="AA1002" s="2"/>
      <c r="AB1002" s="2"/>
    </row>
    <row r="1003">
      <c r="A1003" s="2"/>
      <c r="B1003" s="2"/>
      <c r="C1003" s="2"/>
      <c r="D1003" s="2"/>
      <c r="E1003" s="398"/>
      <c r="F1003" s="2"/>
      <c r="G1003" s="398"/>
      <c r="H1003" s="398"/>
      <c r="I1003" s="398"/>
      <c r="J1003" s="398"/>
      <c r="K1003" s="2"/>
      <c r="L1003" s="2"/>
      <c r="M1003" s="2"/>
      <c r="N1003" s="2"/>
      <c r="O1003" s="2"/>
      <c r="P1003" s="2"/>
      <c r="Q1003" s="2"/>
      <c r="R1003" s="2"/>
      <c r="S1003" s="2"/>
      <c r="T1003" s="2"/>
      <c r="U1003" s="2"/>
      <c r="V1003" s="2"/>
      <c r="W1003" s="2"/>
      <c r="X1003" s="2"/>
      <c r="Y1003" s="2"/>
      <c r="Z1003" s="2"/>
      <c r="AA1003" s="2"/>
      <c r="AB1003" s="2"/>
    </row>
    <row r="1004">
      <c r="A1004" s="2"/>
      <c r="B1004" s="2"/>
      <c r="C1004" s="2"/>
      <c r="D1004" s="2"/>
      <c r="E1004" s="398"/>
      <c r="F1004" s="2"/>
      <c r="G1004" s="398"/>
      <c r="H1004" s="398"/>
      <c r="I1004" s="398"/>
      <c r="J1004" s="398"/>
      <c r="K1004" s="2"/>
      <c r="L1004" s="2"/>
      <c r="M1004" s="2"/>
      <c r="N1004" s="2"/>
      <c r="O1004" s="2"/>
      <c r="P1004" s="2"/>
      <c r="Q1004" s="2"/>
      <c r="R1004" s="2"/>
      <c r="S1004" s="2"/>
      <c r="T1004" s="2"/>
      <c r="U1004" s="2"/>
      <c r="V1004" s="2"/>
      <c r="W1004" s="2"/>
      <c r="X1004" s="2"/>
      <c r="Y1004" s="2"/>
      <c r="Z1004" s="2"/>
      <c r="AA1004" s="2"/>
      <c r="AB1004" s="2"/>
    </row>
    <row r="1005">
      <c r="A1005" s="2"/>
      <c r="B1005" s="2"/>
      <c r="C1005" s="2"/>
      <c r="D1005" s="2"/>
      <c r="E1005" s="398"/>
      <c r="F1005" s="2"/>
      <c r="G1005" s="398"/>
      <c r="H1005" s="398"/>
      <c r="I1005" s="398"/>
      <c r="J1005" s="398"/>
      <c r="K1005" s="2"/>
      <c r="L1005" s="2"/>
      <c r="M1005" s="2"/>
      <c r="N1005" s="2"/>
      <c r="O1005" s="2"/>
      <c r="P1005" s="2"/>
      <c r="Q1005" s="2"/>
      <c r="R1005" s="2"/>
      <c r="S1005" s="2"/>
      <c r="T1005" s="2"/>
      <c r="U1005" s="2"/>
      <c r="V1005" s="2"/>
      <c r="W1005" s="2"/>
      <c r="X1005" s="2"/>
      <c r="Y1005" s="2"/>
      <c r="Z1005" s="2"/>
      <c r="AA1005" s="2"/>
      <c r="AB1005" s="2"/>
    </row>
    <row r="1006">
      <c r="A1006" s="2"/>
      <c r="B1006" s="2"/>
      <c r="C1006" s="2"/>
      <c r="D1006" s="2"/>
      <c r="E1006" s="398"/>
      <c r="F1006" s="2"/>
      <c r="G1006" s="398"/>
      <c r="H1006" s="398"/>
      <c r="I1006" s="398"/>
      <c r="J1006" s="398"/>
      <c r="K1006" s="2"/>
      <c r="L1006" s="2"/>
      <c r="M1006" s="2"/>
      <c r="N1006" s="2"/>
      <c r="O1006" s="2"/>
      <c r="P1006" s="2"/>
      <c r="Q1006" s="2"/>
      <c r="R1006" s="2"/>
      <c r="S1006" s="2"/>
      <c r="T1006" s="2"/>
      <c r="U1006" s="2"/>
      <c r="V1006" s="2"/>
      <c r="W1006" s="2"/>
      <c r="X1006" s="2"/>
      <c r="Y1006" s="2"/>
      <c r="Z1006" s="2"/>
      <c r="AA1006" s="2"/>
      <c r="AB1006" s="2"/>
    </row>
    <row r="1007">
      <c r="A1007" s="2"/>
      <c r="B1007" s="2"/>
      <c r="C1007" s="2"/>
      <c r="D1007" s="2"/>
      <c r="E1007" s="398"/>
      <c r="F1007" s="2"/>
      <c r="G1007" s="398"/>
      <c r="H1007" s="398"/>
      <c r="I1007" s="398"/>
      <c r="J1007" s="398"/>
      <c r="K1007" s="2"/>
      <c r="L1007" s="2"/>
      <c r="M1007" s="2"/>
      <c r="N1007" s="2"/>
      <c r="O1007" s="2"/>
      <c r="P1007" s="2"/>
      <c r="Q1007" s="2"/>
      <c r="R1007" s="2"/>
      <c r="S1007" s="2"/>
      <c r="T1007" s="2"/>
      <c r="U1007" s="2"/>
      <c r="V1007" s="2"/>
      <c r="W1007" s="2"/>
      <c r="X1007" s="2"/>
      <c r="Y1007" s="2"/>
      <c r="Z1007" s="2"/>
      <c r="AA1007" s="2"/>
      <c r="AB1007" s="2"/>
    </row>
    <row r="1008">
      <c r="A1008" s="2"/>
      <c r="B1008" s="2"/>
      <c r="C1008" s="2"/>
      <c r="D1008" s="2"/>
      <c r="E1008" s="398"/>
      <c r="F1008" s="2"/>
      <c r="G1008" s="398"/>
      <c r="H1008" s="398"/>
      <c r="I1008" s="398"/>
      <c r="J1008" s="398"/>
      <c r="K1008" s="2"/>
      <c r="L1008" s="2"/>
      <c r="M1008" s="2"/>
      <c r="N1008" s="2"/>
      <c r="O1008" s="2"/>
      <c r="P1008" s="2"/>
      <c r="Q1008" s="2"/>
      <c r="R1008" s="2"/>
      <c r="S1008" s="2"/>
      <c r="T1008" s="2"/>
      <c r="U1008" s="2"/>
      <c r="V1008" s="2"/>
      <c r="W1008" s="2"/>
      <c r="X1008" s="2"/>
      <c r="Y1008" s="2"/>
      <c r="Z1008" s="2"/>
      <c r="AA1008" s="2"/>
      <c r="AB1008" s="2"/>
    </row>
    <row r="1009">
      <c r="A1009" s="2"/>
      <c r="B1009" s="2"/>
      <c r="C1009" s="2"/>
      <c r="D1009" s="2"/>
      <c r="E1009" s="398"/>
      <c r="F1009" s="2"/>
      <c r="G1009" s="398"/>
      <c r="H1009" s="398"/>
      <c r="I1009" s="398"/>
      <c r="J1009" s="398"/>
      <c r="K1009" s="2"/>
      <c r="L1009" s="2"/>
      <c r="M1009" s="2"/>
      <c r="N1009" s="2"/>
      <c r="O1009" s="2"/>
      <c r="P1009" s="2"/>
      <c r="Q1009" s="2"/>
      <c r="R1009" s="2"/>
      <c r="S1009" s="2"/>
      <c r="T1009" s="2"/>
      <c r="U1009" s="2"/>
      <c r="V1009" s="2"/>
      <c r="W1009" s="2"/>
      <c r="X1009" s="2"/>
      <c r="Y1009" s="2"/>
      <c r="Z1009" s="2"/>
      <c r="AA1009" s="2"/>
      <c r="AB1009" s="2"/>
    </row>
    <row r="1010">
      <c r="A1010" s="2"/>
      <c r="B1010" s="2"/>
      <c r="C1010" s="2"/>
      <c r="D1010" s="2"/>
      <c r="E1010" s="398"/>
      <c r="F1010" s="2"/>
      <c r="G1010" s="398"/>
      <c r="H1010" s="398"/>
      <c r="I1010" s="398"/>
      <c r="J1010" s="398"/>
      <c r="K1010" s="2"/>
      <c r="L1010" s="2"/>
      <c r="M1010" s="2"/>
      <c r="N1010" s="2"/>
      <c r="O1010" s="2"/>
      <c r="P1010" s="2"/>
      <c r="Q1010" s="2"/>
      <c r="R1010" s="2"/>
      <c r="S1010" s="2"/>
      <c r="T1010" s="2"/>
      <c r="U1010" s="2"/>
      <c r="V1010" s="2"/>
      <c r="W1010" s="2"/>
      <c r="X1010" s="2"/>
      <c r="Y1010" s="2"/>
      <c r="Z1010" s="2"/>
      <c r="AA1010" s="2"/>
      <c r="AB1010" s="2"/>
    </row>
    <row r="1011">
      <c r="A1011" s="2"/>
      <c r="B1011" s="2"/>
      <c r="C1011" s="2"/>
      <c r="D1011" s="2"/>
      <c r="E1011" s="398"/>
      <c r="F1011" s="2"/>
      <c r="G1011" s="398"/>
      <c r="H1011" s="398"/>
      <c r="I1011" s="398"/>
      <c r="J1011" s="398"/>
      <c r="K1011" s="2"/>
      <c r="L1011" s="2"/>
      <c r="M1011" s="2"/>
      <c r="N1011" s="2"/>
      <c r="O1011" s="2"/>
      <c r="P1011" s="2"/>
      <c r="Q1011" s="2"/>
      <c r="R1011" s="2"/>
      <c r="S1011" s="2"/>
      <c r="T1011" s="2"/>
      <c r="U1011" s="2"/>
      <c r="V1011" s="2"/>
      <c r="W1011" s="2"/>
      <c r="X1011" s="2"/>
      <c r="Y1011" s="2"/>
      <c r="Z1011" s="2"/>
      <c r="AA1011" s="2"/>
      <c r="AB1011" s="2"/>
    </row>
    <row r="1012">
      <c r="A1012" s="2"/>
      <c r="B1012" s="2"/>
      <c r="C1012" s="2"/>
      <c r="D1012" s="2"/>
      <c r="E1012" s="398"/>
      <c r="F1012" s="2"/>
      <c r="G1012" s="398"/>
      <c r="H1012" s="398"/>
      <c r="I1012" s="398"/>
      <c r="J1012" s="398"/>
      <c r="K1012" s="2"/>
      <c r="L1012" s="2"/>
      <c r="M1012" s="2"/>
      <c r="N1012" s="2"/>
      <c r="O1012" s="2"/>
      <c r="P1012" s="2"/>
      <c r="Q1012" s="2"/>
      <c r="R1012" s="2"/>
      <c r="S1012" s="2"/>
      <c r="T1012" s="2"/>
      <c r="U1012" s="2"/>
      <c r="V1012" s="2"/>
      <c r="W1012" s="2"/>
      <c r="X1012" s="2"/>
      <c r="Y1012" s="2"/>
      <c r="Z1012" s="2"/>
      <c r="AA1012" s="2"/>
      <c r="AB1012" s="2"/>
    </row>
    <row r="1013">
      <c r="A1013" s="2"/>
      <c r="B1013" s="2"/>
      <c r="C1013" s="2"/>
      <c r="D1013" s="2"/>
      <c r="E1013" s="398"/>
      <c r="F1013" s="2"/>
      <c r="G1013" s="398"/>
      <c r="H1013" s="398"/>
      <c r="I1013" s="398"/>
      <c r="J1013" s="398"/>
      <c r="K1013" s="2"/>
      <c r="L1013" s="2"/>
      <c r="M1013" s="2"/>
      <c r="N1013" s="2"/>
      <c r="O1013" s="2"/>
      <c r="P1013" s="2"/>
      <c r="Q1013" s="2"/>
      <c r="R1013" s="2"/>
      <c r="S1013" s="2"/>
      <c r="T1013" s="2"/>
      <c r="U1013" s="2"/>
      <c r="V1013" s="2"/>
      <c r="W1013" s="2"/>
      <c r="X1013" s="2"/>
      <c r="Y1013" s="2"/>
      <c r="Z1013" s="2"/>
      <c r="AA1013" s="2"/>
      <c r="AB1013" s="2"/>
    </row>
    <row r="1014">
      <c r="A1014" s="2"/>
      <c r="B1014" s="2"/>
      <c r="C1014" s="2"/>
      <c r="D1014" s="2"/>
      <c r="E1014" s="398"/>
      <c r="F1014" s="2"/>
      <c r="G1014" s="398"/>
      <c r="H1014" s="398"/>
      <c r="I1014" s="398"/>
      <c r="J1014" s="398"/>
      <c r="K1014" s="2"/>
      <c r="L1014" s="2"/>
      <c r="M1014" s="2"/>
      <c r="N1014" s="2"/>
      <c r="O1014" s="2"/>
      <c r="P1014" s="2"/>
      <c r="Q1014" s="2"/>
      <c r="R1014" s="2"/>
      <c r="S1014" s="2"/>
      <c r="T1014" s="2"/>
      <c r="U1014" s="2"/>
      <c r="V1014" s="2"/>
      <c r="W1014" s="2"/>
      <c r="X1014" s="2"/>
      <c r="Y1014" s="2"/>
      <c r="Z1014" s="2"/>
      <c r="AA1014" s="2"/>
      <c r="AB1014" s="2"/>
    </row>
    <row r="1015">
      <c r="A1015" s="2"/>
      <c r="B1015" s="2"/>
      <c r="C1015" s="2"/>
      <c r="D1015" s="2"/>
      <c r="E1015" s="398"/>
      <c r="F1015" s="2"/>
      <c r="G1015" s="398"/>
      <c r="H1015" s="398"/>
      <c r="I1015" s="398"/>
      <c r="J1015" s="398"/>
      <c r="K1015" s="2"/>
      <c r="L1015" s="2"/>
      <c r="M1015" s="2"/>
      <c r="N1015" s="2"/>
      <c r="O1015" s="2"/>
      <c r="P1015" s="2"/>
      <c r="Q1015" s="2"/>
      <c r="R1015" s="2"/>
      <c r="S1015" s="2"/>
      <c r="T1015" s="2"/>
      <c r="U1015" s="2"/>
      <c r="V1015" s="2"/>
      <c r="W1015" s="2"/>
      <c r="X1015" s="2"/>
      <c r="Y1015" s="2"/>
      <c r="Z1015" s="2"/>
      <c r="AA1015" s="2"/>
      <c r="AB1015" s="2"/>
    </row>
    <row r="1016">
      <c r="A1016" s="2"/>
      <c r="B1016" s="2"/>
      <c r="C1016" s="2"/>
      <c r="D1016" s="2"/>
      <c r="E1016" s="398"/>
      <c r="F1016" s="2"/>
      <c r="G1016" s="398"/>
      <c r="H1016" s="398"/>
      <c r="I1016" s="398"/>
      <c r="J1016" s="398"/>
      <c r="K1016" s="2"/>
      <c r="L1016" s="2"/>
      <c r="M1016" s="2"/>
      <c r="N1016" s="2"/>
      <c r="O1016" s="2"/>
      <c r="P1016" s="2"/>
      <c r="Q1016" s="2"/>
      <c r="R1016" s="2"/>
      <c r="S1016" s="2"/>
      <c r="T1016" s="2"/>
      <c r="U1016" s="2"/>
      <c r="V1016" s="2"/>
      <c r="W1016" s="2"/>
      <c r="X1016" s="2"/>
      <c r="Y1016" s="2"/>
      <c r="Z1016" s="2"/>
      <c r="AA1016" s="2"/>
      <c r="AB1016" s="2"/>
    </row>
    <row r="1017">
      <c r="A1017" s="2"/>
      <c r="B1017" s="2"/>
      <c r="C1017" s="2"/>
      <c r="D1017" s="2"/>
      <c r="E1017" s="398"/>
      <c r="F1017" s="2"/>
      <c r="G1017" s="398"/>
      <c r="H1017" s="398"/>
      <c r="I1017" s="398"/>
      <c r="J1017" s="398"/>
      <c r="K1017" s="2"/>
      <c r="L1017" s="2"/>
      <c r="M1017" s="2"/>
      <c r="N1017" s="2"/>
      <c r="O1017" s="2"/>
      <c r="P1017" s="2"/>
      <c r="Q1017" s="2"/>
      <c r="R1017" s="2"/>
      <c r="S1017" s="2"/>
      <c r="T1017" s="2"/>
      <c r="U1017" s="2"/>
      <c r="V1017" s="2"/>
      <c r="W1017" s="2"/>
      <c r="X1017" s="2"/>
      <c r="Y1017" s="2"/>
      <c r="Z1017" s="2"/>
      <c r="AA1017" s="2"/>
      <c r="AB1017" s="2"/>
    </row>
    <row r="1018">
      <c r="A1018" s="2"/>
      <c r="B1018" s="2"/>
      <c r="C1018" s="2"/>
      <c r="D1018" s="2"/>
      <c r="E1018" s="398"/>
      <c r="F1018" s="2"/>
      <c r="G1018" s="398"/>
      <c r="H1018" s="398"/>
      <c r="I1018" s="398"/>
      <c r="J1018" s="398"/>
      <c r="K1018" s="2"/>
      <c r="L1018" s="2"/>
      <c r="M1018" s="2"/>
      <c r="N1018" s="2"/>
      <c r="O1018" s="2"/>
      <c r="P1018" s="2"/>
      <c r="Q1018" s="2"/>
      <c r="R1018" s="2"/>
      <c r="S1018" s="2"/>
      <c r="T1018" s="2"/>
      <c r="U1018" s="2"/>
      <c r="V1018" s="2"/>
      <c r="W1018" s="2"/>
      <c r="X1018" s="2"/>
      <c r="Y1018" s="2"/>
      <c r="Z1018" s="2"/>
      <c r="AA1018" s="2"/>
      <c r="AB1018" s="2"/>
    </row>
    <row r="1019">
      <c r="A1019" s="2"/>
      <c r="B1019" s="2"/>
      <c r="C1019" s="2"/>
      <c r="D1019" s="2"/>
      <c r="E1019" s="398"/>
      <c r="F1019" s="2"/>
      <c r="G1019" s="398"/>
      <c r="H1019" s="398"/>
      <c r="I1019" s="398"/>
      <c r="J1019" s="398"/>
      <c r="K1019" s="2"/>
      <c r="L1019" s="2"/>
      <c r="M1019" s="2"/>
      <c r="N1019" s="2"/>
      <c r="O1019" s="2"/>
      <c r="P1019" s="2"/>
      <c r="Q1019" s="2"/>
      <c r="R1019" s="2"/>
      <c r="S1019" s="2"/>
      <c r="T1019" s="2"/>
      <c r="U1019" s="2"/>
      <c r="V1019" s="2"/>
      <c r="W1019" s="2"/>
      <c r="X1019" s="2"/>
      <c r="Y1019" s="2"/>
      <c r="Z1019" s="2"/>
      <c r="AA1019" s="2"/>
      <c r="AB1019" s="2"/>
    </row>
    <row r="1020">
      <c r="A1020" s="2"/>
      <c r="B1020" s="2"/>
      <c r="C1020" s="2"/>
      <c r="D1020" s="2"/>
      <c r="E1020" s="398"/>
      <c r="F1020" s="2"/>
      <c r="G1020" s="398"/>
      <c r="H1020" s="398"/>
      <c r="I1020" s="398"/>
      <c r="J1020" s="398"/>
      <c r="K1020" s="2"/>
      <c r="L1020" s="2"/>
      <c r="M1020" s="2"/>
      <c r="N1020" s="2"/>
      <c r="O1020" s="2"/>
      <c r="P1020" s="2"/>
      <c r="Q1020" s="2"/>
      <c r="R1020" s="2"/>
      <c r="S1020" s="2"/>
      <c r="T1020" s="2"/>
      <c r="U1020" s="2"/>
      <c r="V1020" s="2"/>
      <c r="W1020" s="2"/>
      <c r="X1020" s="2"/>
      <c r="Y1020" s="2"/>
      <c r="Z1020" s="2"/>
      <c r="AA1020" s="2"/>
      <c r="AB1020" s="2"/>
    </row>
    <row r="1021">
      <c r="A1021" s="2"/>
      <c r="B1021" s="2"/>
      <c r="C1021" s="2"/>
      <c r="D1021" s="2"/>
      <c r="E1021" s="398"/>
      <c r="F1021" s="2"/>
      <c r="G1021" s="398"/>
      <c r="H1021" s="398"/>
      <c r="I1021" s="398"/>
      <c r="J1021" s="398"/>
      <c r="K1021" s="2"/>
      <c r="L1021" s="2"/>
      <c r="M1021" s="2"/>
      <c r="N1021" s="2"/>
      <c r="O1021" s="2"/>
      <c r="P1021" s="2"/>
      <c r="Q1021" s="2"/>
      <c r="R1021" s="2"/>
      <c r="S1021" s="2"/>
      <c r="T1021" s="2"/>
      <c r="U1021" s="2"/>
      <c r="V1021" s="2"/>
      <c r="W1021" s="2"/>
      <c r="X1021" s="2"/>
      <c r="Y1021" s="2"/>
      <c r="Z1021" s="2"/>
      <c r="AA1021" s="2"/>
      <c r="AB1021" s="2"/>
    </row>
    <row r="1022">
      <c r="A1022" s="2"/>
      <c r="B1022" s="2"/>
      <c r="C1022" s="2"/>
      <c r="D1022" s="2"/>
      <c r="E1022" s="398"/>
      <c r="F1022" s="2"/>
      <c r="G1022" s="398"/>
      <c r="H1022" s="398"/>
      <c r="I1022" s="398"/>
      <c r="J1022" s="398"/>
      <c r="K1022" s="2"/>
      <c r="L1022" s="2"/>
      <c r="M1022" s="2"/>
      <c r="N1022" s="2"/>
      <c r="O1022" s="2"/>
      <c r="P1022" s="2"/>
      <c r="Q1022" s="2"/>
      <c r="R1022" s="2"/>
      <c r="S1022" s="2"/>
      <c r="T1022" s="2"/>
      <c r="U1022" s="2"/>
      <c r="V1022" s="2"/>
      <c r="W1022" s="2"/>
      <c r="X1022" s="2"/>
      <c r="Y1022" s="2"/>
      <c r="Z1022" s="2"/>
      <c r="AA1022" s="2"/>
      <c r="AB1022" s="2"/>
    </row>
    <row r="1023">
      <c r="A1023" s="2"/>
      <c r="B1023" s="2"/>
      <c r="C1023" s="2"/>
      <c r="D1023" s="2"/>
      <c r="E1023" s="398"/>
      <c r="F1023" s="2"/>
      <c r="G1023" s="398"/>
      <c r="H1023" s="398"/>
      <c r="I1023" s="398"/>
      <c r="J1023" s="398"/>
      <c r="K1023" s="2"/>
      <c r="L1023" s="2"/>
      <c r="M1023" s="2"/>
      <c r="N1023" s="2"/>
      <c r="O1023" s="2"/>
      <c r="P1023" s="2"/>
      <c r="Q1023" s="2"/>
      <c r="R1023" s="2"/>
      <c r="S1023" s="2"/>
      <c r="T1023" s="2"/>
      <c r="U1023" s="2"/>
      <c r="V1023" s="2"/>
      <c r="W1023" s="2"/>
      <c r="X1023" s="2"/>
      <c r="Y1023" s="2"/>
      <c r="Z1023" s="2"/>
      <c r="AA1023" s="2"/>
      <c r="AB1023" s="2"/>
    </row>
    <row r="1024">
      <c r="A1024" s="2"/>
      <c r="B1024" s="2"/>
      <c r="C1024" s="2"/>
      <c r="D1024" s="2"/>
      <c r="E1024" s="398"/>
      <c r="F1024" s="2"/>
      <c r="G1024" s="398"/>
      <c r="H1024" s="398"/>
      <c r="I1024" s="398"/>
      <c r="J1024" s="398"/>
      <c r="K1024" s="2"/>
      <c r="L1024" s="2"/>
      <c r="M1024" s="2"/>
      <c r="N1024" s="2"/>
      <c r="O1024" s="2"/>
      <c r="P1024" s="2"/>
      <c r="Q1024" s="2"/>
      <c r="R1024" s="2"/>
      <c r="S1024" s="2"/>
      <c r="T1024" s="2"/>
      <c r="U1024" s="2"/>
      <c r="V1024" s="2"/>
      <c r="W1024" s="2"/>
      <c r="X1024" s="2"/>
      <c r="Y1024" s="2"/>
      <c r="Z1024" s="2"/>
      <c r="AA1024" s="2"/>
      <c r="AB1024" s="2"/>
    </row>
    <row r="1025">
      <c r="A1025" s="2"/>
      <c r="B1025" s="2"/>
      <c r="C1025" s="2"/>
      <c r="D1025" s="2"/>
      <c r="E1025" s="398"/>
      <c r="F1025" s="2"/>
      <c r="G1025" s="398"/>
      <c r="H1025" s="398"/>
      <c r="I1025" s="398"/>
      <c r="J1025" s="398"/>
      <c r="K1025" s="2"/>
      <c r="L1025" s="2"/>
      <c r="M1025" s="2"/>
      <c r="N1025" s="2"/>
      <c r="O1025" s="2"/>
      <c r="P1025" s="2"/>
      <c r="Q1025" s="2"/>
      <c r="R1025" s="2"/>
      <c r="S1025" s="2"/>
      <c r="T1025" s="2"/>
      <c r="U1025" s="2"/>
      <c r="V1025" s="2"/>
      <c r="W1025" s="2"/>
      <c r="X1025" s="2"/>
      <c r="Y1025" s="2"/>
      <c r="Z1025" s="2"/>
      <c r="AA1025" s="2"/>
      <c r="AB1025" s="2"/>
    </row>
    <row r="1026">
      <c r="A1026" s="2"/>
      <c r="B1026" s="2"/>
      <c r="C1026" s="2"/>
      <c r="D1026" s="2"/>
      <c r="E1026" s="398"/>
      <c r="F1026" s="2"/>
      <c r="G1026" s="398"/>
      <c r="H1026" s="398"/>
      <c r="I1026" s="398"/>
      <c r="J1026" s="398"/>
      <c r="K1026" s="2"/>
      <c r="L1026" s="2"/>
      <c r="M1026" s="2"/>
      <c r="N1026" s="2"/>
      <c r="O1026" s="2"/>
      <c r="P1026" s="2"/>
      <c r="Q1026" s="2"/>
      <c r="R1026" s="2"/>
      <c r="S1026" s="2"/>
      <c r="T1026" s="2"/>
      <c r="U1026" s="2"/>
      <c r="V1026" s="2"/>
      <c r="W1026" s="2"/>
      <c r="X1026" s="2"/>
      <c r="Y1026" s="2"/>
      <c r="Z1026" s="2"/>
      <c r="AA1026" s="2"/>
      <c r="AB1026" s="2"/>
    </row>
    <row r="1027">
      <c r="A1027" s="2"/>
      <c r="B1027" s="2"/>
      <c r="C1027" s="2"/>
      <c r="D1027" s="2"/>
      <c r="E1027" s="398"/>
      <c r="F1027" s="2"/>
      <c r="G1027" s="398"/>
      <c r="H1027" s="398"/>
      <c r="I1027" s="398"/>
      <c r="J1027" s="398"/>
      <c r="K1027" s="2"/>
      <c r="L1027" s="2"/>
      <c r="M1027" s="2"/>
      <c r="N1027" s="2"/>
      <c r="O1027" s="2"/>
      <c r="P1027" s="2"/>
      <c r="Q1027" s="2"/>
      <c r="R1027" s="2"/>
      <c r="S1027" s="2"/>
      <c r="T1027" s="2"/>
      <c r="U1027" s="2"/>
      <c r="V1027" s="2"/>
      <c r="W1027" s="2"/>
      <c r="X1027" s="2"/>
      <c r="Y1027" s="2"/>
      <c r="Z1027" s="2"/>
      <c r="AA1027" s="2"/>
      <c r="AB1027" s="2"/>
    </row>
    <row r="1028">
      <c r="A1028" s="2"/>
      <c r="B1028" s="2"/>
      <c r="C1028" s="2"/>
      <c r="D1028" s="2"/>
      <c r="E1028" s="398"/>
      <c r="F1028" s="2"/>
      <c r="G1028" s="398"/>
      <c r="H1028" s="398"/>
      <c r="I1028" s="398"/>
      <c r="J1028" s="398"/>
      <c r="K1028" s="2"/>
      <c r="L1028" s="2"/>
      <c r="M1028" s="2"/>
      <c r="N1028" s="2"/>
      <c r="O1028" s="2"/>
      <c r="P1028" s="2"/>
      <c r="Q1028" s="2"/>
      <c r="R1028" s="2"/>
      <c r="S1028" s="2"/>
      <c r="T1028" s="2"/>
      <c r="U1028" s="2"/>
      <c r="V1028" s="2"/>
      <c r="W1028" s="2"/>
      <c r="X1028" s="2"/>
      <c r="Y1028" s="2"/>
      <c r="Z1028" s="2"/>
      <c r="AA1028" s="2"/>
      <c r="AB1028" s="2"/>
    </row>
    <row r="1029">
      <c r="A1029" s="2"/>
      <c r="B1029" s="2"/>
      <c r="C1029" s="2"/>
      <c r="D1029" s="2"/>
      <c r="E1029" s="398"/>
      <c r="F1029" s="2"/>
      <c r="G1029" s="398"/>
      <c r="H1029" s="398"/>
      <c r="I1029" s="398"/>
      <c r="J1029" s="398"/>
      <c r="K1029" s="2"/>
      <c r="L1029" s="2"/>
      <c r="M1029" s="2"/>
      <c r="N1029" s="2"/>
      <c r="O1029" s="2"/>
      <c r="P1029" s="2"/>
      <c r="Q1029" s="2"/>
      <c r="R1029" s="2"/>
      <c r="S1029" s="2"/>
      <c r="T1029" s="2"/>
      <c r="U1029" s="2"/>
      <c r="V1029" s="2"/>
      <c r="W1029" s="2"/>
      <c r="X1029" s="2"/>
      <c r="Y1029" s="2"/>
      <c r="Z1029" s="2"/>
      <c r="AA1029" s="2"/>
      <c r="AB1029" s="2"/>
    </row>
    <row r="1030">
      <c r="A1030" s="2"/>
      <c r="B1030" s="2"/>
      <c r="C1030" s="2"/>
      <c r="D1030" s="2"/>
      <c r="E1030" s="398"/>
      <c r="F1030" s="2"/>
      <c r="G1030" s="398"/>
      <c r="H1030" s="398"/>
      <c r="I1030" s="398"/>
      <c r="J1030" s="398"/>
      <c r="K1030" s="2"/>
      <c r="L1030" s="2"/>
      <c r="M1030" s="2"/>
      <c r="N1030" s="2"/>
      <c r="O1030" s="2"/>
      <c r="P1030" s="2"/>
      <c r="Q1030" s="2"/>
      <c r="R1030" s="2"/>
      <c r="S1030" s="2"/>
      <c r="T1030" s="2"/>
      <c r="U1030" s="2"/>
      <c r="V1030" s="2"/>
      <c r="W1030" s="2"/>
      <c r="X1030" s="2"/>
      <c r="Y1030" s="2"/>
      <c r="Z1030" s="2"/>
      <c r="AA1030" s="2"/>
      <c r="AB1030" s="2"/>
    </row>
    <row r="1031">
      <c r="A1031" s="2"/>
      <c r="B1031" s="2"/>
      <c r="C1031" s="2"/>
      <c r="D1031" s="2"/>
      <c r="E1031" s="398"/>
      <c r="F1031" s="2"/>
      <c r="G1031" s="398"/>
      <c r="H1031" s="398"/>
      <c r="I1031" s="398"/>
      <c r="J1031" s="398"/>
      <c r="K1031" s="2"/>
      <c r="L1031" s="2"/>
      <c r="M1031" s="2"/>
      <c r="N1031" s="2"/>
      <c r="O1031" s="2"/>
      <c r="P1031" s="2"/>
      <c r="Q1031" s="2"/>
      <c r="R1031" s="2"/>
      <c r="S1031" s="2"/>
      <c r="T1031" s="2"/>
      <c r="U1031" s="2"/>
      <c r="V1031" s="2"/>
      <c r="W1031" s="2"/>
      <c r="X1031" s="2"/>
      <c r="Y1031" s="2"/>
      <c r="Z1031" s="2"/>
      <c r="AA1031" s="2"/>
      <c r="AB1031" s="2"/>
    </row>
    <row r="1032">
      <c r="A1032" s="2"/>
      <c r="B1032" s="2"/>
      <c r="C1032" s="2"/>
      <c r="D1032" s="2"/>
      <c r="E1032" s="398"/>
      <c r="F1032" s="2"/>
      <c r="G1032" s="398"/>
      <c r="H1032" s="398"/>
      <c r="I1032" s="398"/>
      <c r="J1032" s="398"/>
      <c r="K1032" s="2"/>
      <c r="L1032" s="2"/>
      <c r="M1032" s="2"/>
      <c r="N1032" s="2"/>
      <c r="O1032" s="2"/>
      <c r="P1032" s="2"/>
      <c r="Q1032" s="2"/>
      <c r="R1032" s="2"/>
      <c r="S1032" s="2"/>
      <c r="T1032" s="2"/>
      <c r="U1032" s="2"/>
      <c r="V1032" s="2"/>
      <c r="W1032" s="2"/>
      <c r="X1032" s="2"/>
      <c r="Y1032" s="2"/>
      <c r="Z1032" s="2"/>
      <c r="AA1032" s="2"/>
      <c r="AB1032" s="2"/>
    </row>
    <row r="1033">
      <c r="A1033" s="2"/>
      <c r="B1033" s="2"/>
      <c r="C1033" s="2"/>
      <c r="D1033" s="2"/>
      <c r="E1033" s="398"/>
      <c r="F1033" s="2"/>
      <c r="G1033" s="398"/>
      <c r="H1033" s="398"/>
      <c r="I1033" s="398"/>
      <c r="J1033" s="398"/>
      <c r="K1033" s="2"/>
      <c r="L1033" s="2"/>
      <c r="M1033" s="2"/>
      <c r="N1033" s="2"/>
      <c r="O1033" s="2"/>
      <c r="P1033" s="2"/>
      <c r="Q1033" s="2"/>
      <c r="R1033" s="2"/>
      <c r="S1033" s="2"/>
      <c r="T1033" s="2"/>
      <c r="U1033" s="2"/>
      <c r="V1033" s="2"/>
      <c r="W1033" s="2"/>
      <c r="X1033" s="2"/>
      <c r="Y1033" s="2"/>
      <c r="Z1033" s="2"/>
      <c r="AA1033" s="2"/>
      <c r="AB1033" s="2"/>
    </row>
    <row r="1034">
      <c r="A1034" s="2"/>
      <c r="B1034" s="2"/>
      <c r="C1034" s="2"/>
      <c r="D1034" s="2"/>
      <c r="E1034" s="398"/>
      <c r="F1034" s="2"/>
      <c r="G1034" s="398"/>
      <c r="H1034" s="398"/>
      <c r="I1034" s="398"/>
      <c r="J1034" s="398"/>
      <c r="K1034" s="2"/>
      <c r="L1034" s="2"/>
      <c r="M1034" s="2"/>
      <c r="N1034" s="2"/>
      <c r="O1034" s="2"/>
      <c r="P1034" s="2"/>
      <c r="Q1034" s="2"/>
      <c r="R1034" s="2"/>
      <c r="S1034" s="2"/>
      <c r="T1034" s="2"/>
      <c r="U1034" s="2"/>
      <c r="V1034" s="2"/>
      <c r="W1034" s="2"/>
      <c r="X1034" s="2"/>
      <c r="Y1034" s="2"/>
      <c r="Z1034" s="2"/>
      <c r="AA1034" s="2"/>
      <c r="AB1034" s="2"/>
    </row>
    <row r="1035">
      <c r="A1035" s="2"/>
      <c r="B1035" s="2"/>
      <c r="C1035" s="2"/>
      <c r="D1035" s="2"/>
      <c r="E1035" s="398"/>
      <c r="F1035" s="2"/>
      <c r="G1035" s="398"/>
      <c r="H1035" s="398"/>
      <c r="I1035" s="398"/>
      <c r="J1035" s="398"/>
      <c r="K1035" s="2"/>
      <c r="L1035" s="2"/>
      <c r="M1035" s="2"/>
      <c r="N1035" s="2"/>
      <c r="O1035" s="2"/>
      <c r="P1035" s="2"/>
      <c r="Q1035" s="2"/>
      <c r="R1035" s="2"/>
      <c r="S1035" s="2"/>
      <c r="T1035" s="2"/>
      <c r="U1035" s="2"/>
      <c r="V1035" s="2"/>
      <c r="W1035" s="2"/>
      <c r="X1035" s="2"/>
      <c r="Y1035" s="2"/>
      <c r="Z1035" s="2"/>
      <c r="AA1035" s="2"/>
      <c r="AB1035" s="2"/>
    </row>
    <row r="1036">
      <c r="A1036" s="2"/>
      <c r="B1036" s="2"/>
      <c r="C1036" s="2"/>
      <c r="D1036" s="2"/>
      <c r="E1036" s="398"/>
      <c r="F1036" s="2"/>
      <c r="G1036" s="398"/>
      <c r="H1036" s="398"/>
      <c r="I1036" s="398"/>
      <c r="J1036" s="398"/>
      <c r="K1036" s="2"/>
      <c r="L1036" s="2"/>
      <c r="M1036" s="2"/>
      <c r="N1036" s="2"/>
      <c r="O1036" s="2"/>
      <c r="P1036" s="2"/>
      <c r="Q1036" s="2"/>
      <c r="R1036" s="2"/>
      <c r="S1036" s="2"/>
      <c r="T1036" s="2"/>
      <c r="U1036" s="2"/>
      <c r="V1036" s="2"/>
      <c r="W1036" s="2"/>
      <c r="X1036" s="2"/>
      <c r="Y1036" s="2"/>
      <c r="Z1036" s="2"/>
      <c r="AA1036" s="2"/>
      <c r="AB1036" s="2"/>
    </row>
    <row r="1037">
      <c r="A1037" s="2"/>
      <c r="B1037" s="2"/>
      <c r="C1037" s="2"/>
      <c r="D1037" s="2"/>
      <c r="E1037" s="398"/>
      <c r="F1037" s="2"/>
      <c r="G1037" s="398"/>
      <c r="H1037" s="398"/>
      <c r="I1037" s="398"/>
      <c r="J1037" s="398"/>
      <c r="K1037" s="2"/>
      <c r="L1037" s="2"/>
      <c r="M1037" s="2"/>
      <c r="N1037" s="2"/>
      <c r="O1037" s="2"/>
      <c r="P1037" s="2"/>
      <c r="Q1037" s="2"/>
      <c r="R1037" s="2"/>
      <c r="S1037" s="2"/>
      <c r="T1037" s="2"/>
      <c r="U1037" s="2"/>
      <c r="V1037" s="2"/>
      <c r="W1037" s="2"/>
      <c r="X1037" s="2"/>
      <c r="Y1037" s="2"/>
      <c r="Z1037" s="2"/>
      <c r="AA1037" s="2"/>
      <c r="AB1037" s="2"/>
    </row>
    <row r="1038">
      <c r="A1038" s="2"/>
      <c r="B1038" s="2"/>
      <c r="C1038" s="2"/>
      <c r="D1038" s="2"/>
      <c r="E1038" s="398"/>
      <c r="F1038" s="2"/>
      <c r="G1038" s="398"/>
      <c r="H1038" s="398"/>
      <c r="I1038" s="398"/>
      <c r="J1038" s="398"/>
      <c r="K1038" s="2"/>
      <c r="L1038" s="2"/>
      <c r="M1038" s="2"/>
      <c r="N1038" s="2"/>
      <c r="O1038" s="2"/>
      <c r="P1038" s="2"/>
      <c r="Q1038" s="2"/>
      <c r="R1038" s="2"/>
      <c r="S1038" s="2"/>
      <c r="T1038" s="2"/>
      <c r="U1038" s="2"/>
      <c r="V1038" s="2"/>
      <c r="W1038" s="2"/>
      <c r="X1038" s="2"/>
      <c r="Y1038" s="2"/>
      <c r="Z1038" s="2"/>
      <c r="AA1038" s="2"/>
      <c r="AB1038" s="2"/>
    </row>
    <row r="1039">
      <c r="A1039" s="2"/>
      <c r="B1039" s="2"/>
      <c r="C1039" s="2"/>
      <c r="D1039" s="2"/>
      <c r="E1039" s="398"/>
      <c r="F1039" s="2"/>
      <c r="G1039" s="398"/>
      <c r="H1039" s="398"/>
      <c r="I1039" s="398"/>
      <c r="J1039" s="398"/>
      <c r="K1039" s="2"/>
      <c r="L1039" s="2"/>
      <c r="M1039" s="2"/>
      <c r="N1039" s="2"/>
      <c r="O1039" s="2"/>
      <c r="P1039" s="2"/>
      <c r="Q1039" s="2"/>
      <c r="R1039" s="2"/>
      <c r="S1039" s="2"/>
      <c r="T1039" s="2"/>
      <c r="U1039" s="2"/>
      <c r="V1039" s="2"/>
      <c r="W1039" s="2"/>
      <c r="X1039" s="2"/>
      <c r="Y1039" s="2"/>
      <c r="Z1039" s="2"/>
      <c r="AA1039" s="2"/>
      <c r="AB1039" s="2"/>
    </row>
    <row r="1040">
      <c r="A1040" s="2"/>
      <c r="B1040" s="2"/>
      <c r="C1040" s="2"/>
      <c r="D1040" s="2"/>
      <c r="E1040" s="398"/>
      <c r="F1040" s="2"/>
      <c r="G1040" s="398"/>
      <c r="H1040" s="398"/>
      <c r="I1040" s="398"/>
      <c r="J1040" s="398"/>
      <c r="K1040" s="2"/>
      <c r="L1040" s="2"/>
      <c r="M1040" s="2"/>
      <c r="N1040" s="2"/>
      <c r="O1040" s="2"/>
      <c r="P1040" s="2"/>
      <c r="Q1040" s="2"/>
      <c r="R1040" s="2"/>
      <c r="S1040" s="2"/>
      <c r="T1040" s="2"/>
      <c r="U1040" s="2"/>
      <c r="V1040" s="2"/>
      <c r="W1040" s="2"/>
      <c r="X1040" s="2"/>
      <c r="Y1040" s="2"/>
      <c r="Z1040" s="2"/>
      <c r="AA1040" s="2"/>
      <c r="AB1040" s="2"/>
    </row>
    <row r="1041">
      <c r="A1041" s="2"/>
      <c r="B1041" s="2"/>
      <c r="C1041" s="2"/>
      <c r="D1041" s="2"/>
      <c r="E1041" s="398"/>
      <c r="F1041" s="2"/>
      <c r="G1041" s="398"/>
      <c r="H1041" s="398"/>
      <c r="I1041" s="398"/>
      <c r="J1041" s="398"/>
      <c r="K1041" s="2"/>
      <c r="L1041" s="2"/>
      <c r="M1041" s="2"/>
      <c r="N1041" s="2"/>
      <c r="O1041" s="2"/>
      <c r="P1041" s="2"/>
      <c r="Q1041" s="2"/>
      <c r="R1041" s="2"/>
      <c r="S1041" s="2"/>
      <c r="T1041" s="2"/>
      <c r="U1041" s="2"/>
      <c r="V1041" s="2"/>
      <c r="W1041" s="2"/>
      <c r="X1041" s="2"/>
      <c r="Y1041" s="2"/>
      <c r="Z1041" s="2"/>
      <c r="AA1041" s="2"/>
      <c r="AB1041" s="2"/>
    </row>
    <row r="1042">
      <c r="A1042" s="2"/>
      <c r="B1042" s="2"/>
      <c r="C1042" s="2"/>
      <c r="D1042" s="2"/>
      <c r="E1042" s="398"/>
      <c r="F1042" s="2"/>
      <c r="G1042" s="398"/>
      <c r="H1042" s="398"/>
      <c r="I1042" s="398"/>
      <c r="J1042" s="398"/>
      <c r="K1042" s="2"/>
      <c r="L1042" s="2"/>
      <c r="M1042" s="2"/>
      <c r="N1042" s="2"/>
      <c r="O1042" s="2"/>
      <c r="P1042" s="2"/>
      <c r="Q1042" s="2"/>
      <c r="R1042" s="2"/>
      <c r="S1042" s="2"/>
      <c r="T1042" s="2"/>
      <c r="U1042" s="2"/>
      <c r="V1042" s="2"/>
      <c r="W1042" s="2"/>
      <c r="X1042" s="2"/>
      <c r="Y1042" s="2"/>
      <c r="Z1042" s="2"/>
      <c r="AA1042" s="2"/>
      <c r="AB1042" s="2"/>
    </row>
    <row r="1043">
      <c r="A1043" s="2"/>
      <c r="B1043" s="2"/>
      <c r="C1043" s="2"/>
      <c r="D1043" s="2"/>
      <c r="E1043" s="398"/>
      <c r="F1043" s="2"/>
      <c r="G1043" s="398"/>
      <c r="H1043" s="398"/>
      <c r="I1043" s="398"/>
      <c r="J1043" s="398"/>
      <c r="K1043" s="2"/>
      <c r="L1043" s="2"/>
      <c r="M1043" s="2"/>
      <c r="N1043" s="2"/>
      <c r="O1043" s="2"/>
      <c r="P1043" s="2"/>
      <c r="Q1043" s="2"/>
      <c r="R1043" s="2"/>
      <c r="S1043" s="2"/>
      <c r="T1043" s="2"/>
      <c r="U1043" s="2"/>
      <c r="V1043" s="2"/>
      <c r="W1043" s="2"/>
      <c r="X1043" s="2"/>
      <c r="Y1043" s="2"/>
      <c r="Z1043" s="2"/>
      <c r="AA1043" s="2"/>
      <c r="AB1043" s="2"/>
    </row>
    <row r="1044">
      <c r="A1044" s="2"/>
      <c r="B1044" s="2"/>
      <c r="C1044" s="2"/>
      <c r="D1044" s="2"/>
      <c r="E1044" s="398"/>
      <c r="F1044" s="2"/>
      <c r="G1044" s="398"/>
      <c r="H1044" s="398"/>
      <c r="I1044" s="398"/>
      <c r="J1044" s="398"/>
      <c r="K1044" s="2"/>
      <c r="L1044" s="2"/>
      <c r="M1044" s="2"/>
      <c r="N1044" s="2"/>
      <c r="O1044" s="2"/>
      <c r="P1044" s="2"/>
      <c r="Q1044" s="2"/>
      <c r="R1044" s="2"/>
      <c r="S1044" s="2"/>
      <c r="T1044" s="2"/>
      <c r="U1044" s="2"/>
      <c r="V1044" s="2"/>
      <c r="W1044" s="2"/>
      <c r="X1044" s="2"/>
      <c r="Y1044" s="2"/>
      <c r="Z1044" s="2"/>
      <c r="AA1044" s="2"/>
      <c r="AB1044" s="2"/>
    </row>
  </sheetData>
  <mergeCells count="22">
    <mergeCell ref="A2:A5"/>
    <mergeCell ref="A6:A15"/>
    <mergeCell ref="A16:A52"/>
    <mergeCell ref="A53:A81"/>
    <mergeCell ref="A82:A105"/>
    <mergeCell ref="A106:A109"/>
    <mergeCell ref="A110:A112"/>
    <mergeCell ref="A338:A343"/>
    <mergeCell ref="A345:A410"/>
    <mergeCell ref="A411:A414"/>
    <mergeCell ref="A415:A465"/>
    <mergeCell ref="A466:A494"/>
    <mergeCell ref="A495:A520"/>
    <mergeCell ref="A521:A583"/>
    <mergeCell ref="A584:A600"/>
    <mergeCell ref="A113:A192"/>
    <mergeCell ref="A193:A197"/>
    <mergeCell ref="A199:A255"/>
    <mergeCell ref="A256:A286"/>
    <mergeCell ref="A287:A319"/>
    <mergeCell ref="A320:A335"/>
    <mergeCell ref="A336:A337"/>
  </mergeCells>
  <dataValidations>
    <dataValidation type="list" allowBlank="1" showErrorMessage="1" sqref="F2:F600">
      <formula1>"בכלל לא,כן"</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6" max="26" width="17.63"/>
  </cols>
  <sheetData>
    <row r="1">
      <c r="A1" s="399" t="s">
        <v>4168</v>
      </c>
      <c r="E1" s="243" t="s">
        <v>4169</v>
      </c>
      <c r="F1" s="243" t="s">
        <v>4170</v>
      </c>
      <c r="H1" s="400" t="s">
        <v>4171</v>
      </c>
      <c r="I1" s="400" t="s">
        <v>4170</v>
      </c>
      <c r="K1" s="243" t="s">
        <v>4172</v>
      </c>
      <c r="L1" s="243" t="s">
        <v>4173</v>
      </c>
      <c r="M1" s="243"/>
      <c r="N1" s="401"/>
    </row>
    <row r="2">
      <c r="B2" s="243" t="s">
        <v>718</v>
      </c>
      <c r="C2" s="402">
        <f>SUMIF(Recordings!AK:AK, B2, Recordings!AO:AO)</f>
        <v>0.1384375</v>
      </c>
      <c r="E2" s="401" t="str">
        <f>IFERROR(__xludf.DUMMYFUNCTION("ARRAYFORMULA(LET(names, IFERROR(REGEXEXTRACT(Recordings!AN2:AN1402, ""^(.*)\.R""),""""), unique_names, SORT(UNIQUE(FILTER(names, names&lt;&gt;""""))), {unique_names, VLOOKUP(unique_names, {names, Recordings!I2:I1402}, 2, 0)}))"),"Ab.1M")</f>
        <v>Ab.1M</v>
      </c>
      <c r="F2" s="403" t="str">
        <f>IFERROR(__xludf.DUMMYFUNCTION("""COMPUTED_VALUE"""),"M")</f>
        <v>M</v>
      </c>
      <c r="H2" s="403" t="str">
        <f>IFERROR(__xludf.DUMMYFUNCTION("ARRAYFORMULA(LET(names, IFERROR(REGEXEXTRACT(Recordings!AN2:AN1402, ""^(.*)\.R""),""""), designations, Recordings!AK2:AK1402, target_list, SORT(UNIQUE(FILTER(names, REGEXMATCH(designations, ""^(בקרה|תעתיק|הגהה)$"")))), {target_list, VLOOKUP(target_list, {"&amp;"names, Recordings!I2:I1402}, 2, 0)}))"),"")</f>
        <v/>
      </c>
      <c r="I2" s="404"/>
      <c r="K2" s="243" t="s">
        <v>4174</v>
      </c>
      <c r="L2" s="403">
        <f>COUNTIF(I3:I1402, "M")</f>
        <v>138</v>
      </c>
    </row>
    <row r="3">
      <c r="B3" s="243" t="s">
        <v>636</v>
      </c>
      <c r="C3" s="402">
        <f>SUMIF(Recordings!AK:AK, B3, Recordings!AO:AO)</f>
        <v>0.625625</v>
      </c>
      <c r="E3" s="403" t="str">
        <f>IFERROR(__xludf.DUMMYFUNCTION("""COMPUTED_VALUE"""),"AČ.1FB")</f>
        <v>AČ.1FB</v>
      </c>
      <c r="F3" s="403" t="str">
        <f>IFERROR(__xludf.DUMMYFUNCTION("""COMPUTED_VALUE"""),"F")</f>
        <v>F</v>
      </c>
      <c r="H3" s="404" t="str">
        <f>IFERROR(__xludf.DUMMYFUNCTION("""COMPUTED_VALUE"""),"Ab.1M")</f>
        <v>Ab.1M</v>
      </c>
      <c r="I3" s="404" t="str">
        <f>IFERROR(__xludf.DUMMYFUNCTION("""COMPUTED_VALUE"""),"M")</f>
        <v>M</v>
      </c>
      <c r="K3" s="243" t="s">
        <v>4175</v>
      </c>
      <c r="L3" s="403">
        <f>COUNTIF(I3:I1402, "F")</f>
        <v>126</v>
      </c>
    </row>
    <row r="4">
      <c r="B4" s="243" t="s">
        <v>698</v>
      </c>
      <c r="C4" s="402">
        <f>SUMIF(Recordings!AK:AK, B4, Recordings!AO:AO)</f>
        <v>0.8076967593</v>
      </c>
      <c r="E4" s="403" t="str">
        <f>IFERROR(__xludf.DUMMYFUNCTION("""COMPUTED_VALUE"""),"AD.1F")</f>
        <v>AD.1F</v>
      </c>
      <c r="F4" s="403" t="str">
        <f>IFERROR(__xludf.DUMMYFUNCTION("""COMPUTED_VALUE"""),"F")</f>
        <v>F</v>
      </c>
      <c r="H4" s="404" t="str">
        <f>IFERROR(__xludf.DUMMYFUNCTION("""COMPUTED_VALUE"""),"AČ.1FB")</f>
        <v>AČ.1FB</v>
      </c>
      <c r="I4" s="404" t="str">
        <f>IFERROR(__xludf.DUMMYFUNCTION("""COMPUTED_VALUE"""),"F")</f>
        <v>F</v>
      </c>
      <c r="K4" s="243" t="s">
        <v>4176</v>
      </c>
      <c r="L4" s="403">
        <f>SUM(L2:L3)</f>
        <v>264</v>
      </c>
    </row>
    <row r="5">
      <c r="B5" s="243" t="s">
        <v>666</v>
      </c>
      <c r="C5" s="402">
        <f>SUMIF(Recordings!AK:AK, B5, Recordings!AO:AO)</f>
        <v>0.09556712963</v>
      </c>
      <c r="E5" s="403" t="str">
        <f>IFERROR(__xludf.DUMMYFUNCTION("""COMPUTED_VALUE"""),"AD.2F")</f>
        <v>AD.2F</v>
      </c>
      <c r="F5" s="403" t="str">
        <f>IFERROR(__xludf.DUMMYFUNCTION("""COMPUTED_VALUE"""),"F")</f>
        <v>F</v>
      </c>
      <c r="H5" s="404" t="str">
        <f>IFERROR(__xludf.DUMMYFUNCTION("""COMPUTED_VALUE"""),"AD.1F")</f>
        <v>AD.1F</v>
      </c>
      <c r="I5" s="404" t="str">
        <f>IFERROR(__xludf.DUMMYFUNCTION("""COMPUTED_VALUE"""),"F")</f>
        <v>F</v>
      </c>
    </row>
    <row r="6">
      <c r="B6" s="243" t="s">
        <v>631</v>
      </c>
      <c r="C6" s="402">
        <f>SUMIF(Recordings!AK:AK, B6, Recordings!AO:AO)</f>
        <v>0.7488657407</v>
      </c>
      <c r="E6" s="403" t="str">
        <f>IFERROR(__xludf.DUMMYFUNCTION("""COMPUTED_VALUE"""),"AD.3M")</f>
        <v>AD.3M</v>
      </c>
      <c r="F6" s="403" t="str">
        <f>IFERROR(__xludf.DUMMYFUNCTION("""COMPUTED_VALUE"""),"M")</f>
        <v>M</v>
      </c>
      <c r="H6" s="404" t="str">
        <f>IFERROR(__xludf.DUMMYFUNCTION("""COMPUTED_VALUE"""),"AD.5F")</f>
        <v>AD.5F</v>
      </c>
      <c r="I6" s="404" t="str">
        <f>IFERROR(__xludf.DUMMYFUNCTION("""COMPUTED_VALUE"""),"F")</f>
        <v>F</v>
      </c>
      <c r="K6" s="243" t="s">
        <v>4177</v>
      </c>
      <c r="L6" s="243" t="s">
        <v>4173</v>
      </c>
    </row>
    <row r="7">
      <c r="B7" s="243" t="s">
        <v>4178</v>
      </c>
      <c r="C7" s="402">
        <f>SUMIF(Recordings!AK:AK, "", Recordings!AO:AO)</f>
        <v>1.204756944</v>
      </c>
      <c r="E7" s="403" t="str">
        <f>IFERROR(__xludf.DUMMYFUNCTION("""COMPUTED_VALUE"""),"AD.4M")</f>
        <v>AD.4M</v>
      </c>
      <c r="F7" s="403" t="str">
        <f>IFERROR(__xludf.DUMMYFUNCTION("""COMPUTED_VALUE"""),"M")</f>
        <v>M</v>
      </c>
      <c r="H7" s="404" t="str">
        <f>IFERROR(__xludf.DUMMYFUNCTION("""COMPUTED_VALUE"""),"AĠ.1M")</f>
        <v>AĠ.1M</v>
      </c>
      <c r="I7" s="404" t="str">
        <f>IFERROR(__xludf.DUMMYFUNCTION("""COMPUTED_VALUE"""),"M")</f>
        <v>M</v>
      </c>
      <c r="K7" s="243" t="s">
        <v>4174</v>
      </c>
      <c r="L7" s="403">
        <f>COUNTIF(F1:F1402, "M")</f>
        <v>254</v>
      </c>
    </row>
    <row r="8">
      <c r="B8" s="405" t="s">
        <v>4176</v>
      </c>
      <c r="C8" s="406">
        <f>SUM(C2:C7)</f>
        <v>3.620949074</v>
      </c>
      <c r="E8" s="403" t="str">
        <f>IFERROR(__xludf.DUMMYFUNCTION("""COMPUTED_VALUE"""),"AD.5F")</f>
        <v>AD.5F</v>
      </c>
      <c r="F8" s="403" t="str">
        <f>IFERROR(__xludf.DUMMYFUNCTION("""COMPUTED_VALUE"""),"F")</f>
        <v>F</v>
      </c>
      <c r="H8" s="404" t="str">
        <f>IFERROR(__xludf.DUMMYFUNCTION("""COMPUTED_VALUE"""),"AĠ.2M")</f>
        <v>AĠ.2M</v>
      </c>
      <c r="I8" s="404" t="str">
        <f>IFERROR(__xludf.DUMMYFUNCTION("""COMPUTED_VALUE"""),"M")</f>
        <v>M</v>
      </c>
      <c r="K8" s="243" t="s">
        <v>4175</v>
      </c>
      <c r="L8" s="403">
        <f>COUNTIF(F1:F1402, "F")</f>
        <v>220</v>
      </c>
    </row>
    <row r="9">
      <c r="E9" s="403" t="str">
        <f>IFERROR(__xludf.DUMMYFUNCTION("""COMPUTED_VALUE"""),"AD.6M")</f>
        <v>AD.6M</v>
      </c>
      <c r="F9" s="403" t="str">
        <f>IFERROR(__xludf.DUMMYFUNCTION("""COMPUTED_VALUE"""),"M")</f>
        <v>M</v>
      </c>
      <c r="H9" s="404" t="str">
        <f>IFERROR(__xludf.DUMMYFUNCTION("""COMPUTED_VALUE"""),"AĠ.4M")</f>
        <v>AĠ.4M</v>
      </c>
      <c r="I9" s="404" t="str">
        <f>IFERROR(__xludf.DUMMYFUNCTION("""COMPUTED_VALUE"""),"M")</f>
        <v>M</v>
      </c>
      <c r="K9" s="243" t="s">
        <v>4176</v>
      </c>
      <c r="L9" s="403">
        <f>SUM(L7:L8)</f>
        <v>474</v>
      </c>
    </row>
    <row r="10">
      <c r="E10" s="403" t="str">
        <f>IFERROR(__xludf.DUMMYFUNCTION("""COMPUTED_VALUE"""),"AD.7F")</f>
        <v>AD.7F</v>
      </c>
      <c r="F10" s="403" t="str">
        <f>IFERROR(__xludf.DUMMYFUNCTION("""COMPUTED_VALUE"""),"F")</f>
        <v>F</v>
      </c>
      <c r="H10" s="404" t="str">
        <f>IFERROR(__xludf.DUMMYFUNCTION("""COMPUTED_VALUE"""),"AĠ.5M")</f>
        <v>AĠ.5M</v>
      </c>
      <c r="I10" s="404" t="str">
        <f>IFERROR(__xludf.DUMMYFUNCTION("""COMPUTED_VALUE"""),"M")</f>
        <v>M</v>
      </c>
    </row>
    <row r="11">
      <c r="A11" s="399" t="s">
        <v>4179</v>
      </c>
      <c r="E11" s="403" t="str">
        <f>IFERROR(__xludf.DUMMYFUNCTION("""COMPUTED_VALUE"""),"AĠ.10F")</f>
        <v>AĠ.10F</v>
      </c>
      <c r="F11" s="403" t="str">
        <f>IFERROR(__xludf.DUMMYFUNCTION("""COMPUTED_VALUE"""),"F")</f>
        <v>F</v>
      </c>
      <c r="H11" s="404" t="str">
        <f>IFERROR(__xludf.DUMMYFUNCTION("""COMPUTED_VALUE"""),"AǦh.1MB")</f>
        <v>AǦh.1MB</v>
      </c>
      <c r="I11" s="404" t="str">
        <f>IFERROR(__xludf.DUMMYFUNCTION("""COMPUTED_VALUE"""),"M")</f>
        <v>M</v>
      </c>
    </row>
    <row r="12">
      <c r="B12" s="243" t="s">
        <v>718</v>
      </c>
      <c r="C12" s="402">
        <f>SUMIF(Recordings!AK:AK, B2, Recordings!AO:AO)</f>
        <v>0.1384375</v>
      </c>
      <c r="E12" s="403" t="str">
        <f>IFERROR(__xludf.DUMMYFUNCTION("""COMPUTED_VALUE"""),"AĠ.11M")</f>
        <v>AĠ.11M</v>
      </c>
      <c r="F12" s="403" t="str">
        <f>IFERROR(__xludf.DUMMYFUNCTION("""COMPUTED_VALUE"""),"M")</f>
        <v>M</v>
      </c>
      <c r="H12" s="404" t="str">
        <f>IFERROR(__xludf.DUMMYFUNCTION("""COMPUTED_VALUE"""),"AḤ.1FB")</f>
        <v>AḤ.1FB</v>
      </c>
      <c r="I12" s="404" t="str">
        <f>IFERROR(__xludf.DUMMYFUNCTION("""COMPUTED_VALUE"""),"F")</f>
        <v>F</v>
      </c>
    </row>
    <row r="13">
      <c r="B13" s="243" t="s">
        <v>698</v>
      </c>
      <c r="C13" s="402">
        <f>SUMIF(Recordings!AK:AK, B4, Recordings!AO:AO)</f>
        <v>0.8076967593</v>
      </c>
      <c r="E13" s="403" t="str">
        <f>IFERROR(__xludf.DUMMYFUNCTION("""COMPUTED_VALUE"""),"AĠ.12F")</f>
        <v>AĠ.12F</v>
      </c>
      <c r="F13" s="403" t="str">
        <f>IFERROR(__xludf.DUMMYFUNCTION("""COMPUTED_VALUE"""),"F")</f>
        <v>F</v>
      </c>
      <c r="H13" s="404" t="str">
        <f>IFERROR(__xludf.DUMMYFUNCTION("""COMPUTED_VALUE"""),"AḤǧ.1MB")</f>
        <v>AḤǧ.1MB</v>
      </c>
      <c r="I13" s="404" t="str">
        <f>IFERROR(__xludf.DUMMYFUNCTION("""COMPUTED_VALUE"""),"M")</f>
        <v>M</v>
      </c>
    </row>
    <row r="14">
      <c r="B14" s="243" t="s">
        <v>631</v>
      </c>
      <c r="C14" s="402">
        <f>SUMIF(Recordings!AK:AK, B6, Recordings!AO:AO)</f>
        <v>0.7488657407</v>
      </c>
      <c r="E14" s="403" t="str">
        <f>IFERROR(__xludf.DUMMYFUNCTION("""COMPUTED_VALUE"""),"AĠ.13F")</f>
        <v>AĠ.13F</v>
      </c>
      <c r="F14" s="403" t="str">
        <f>IFERROR(__xludf.DUMMYFUNCTION("""COMPUTED_VALUE"""),"F")</f>
        <v>F</v>
      </c>
      <c r="H14" s="404" t="str">
        <f>IFERROR(__xludf.DUMMYFUNCTION("""COMPUTED_VALUE"""),"Arb.2M")</f>
        <v>Arb.2M</v>
      </c>
      <c r="I14" s="404" t="str">
        <f>IFERROR(__xludf.DUMMYFUNCTION("""COMPUTED_VALUE"""),"M")</f>
        <v>M</v>
      </c>
    </row>
    <row r="15">
      <c r="B15" s="405" t="s">
        <v>4176</v>
      </c>
      <c r="C15" s="406">
        <f>SUM(C12:C14)</f>
        <v>1.695</v>
      </c>
      <c r="E15" s="403" t="str">
        <f>IFERROR(__xludf.DUMMYFUNCTION("""COMPUTED_VALUE"""),"AĠ.14F")</f>
        <v>AĠ.14F</v>
      </c>
      <c r="F15" s="403" t="str">
        <f>IFERROR(__xludf.DUMMYFUNCTION("""COMPUTED_VALUE"""),"F")</f>
        <v>F</v>
      </c>
      <c r="H15" s="404" t="str">
        <f>IFERROR(__xludf.DUMMYFUNCTION("""COMPUTED_VALUE"""),"Arḥ.2F")</f>
        <v>Arḥ.2F</v>
      </c>
      <c r="I15" s="404" t="str">
        <f>IFERROR(__xludf.DUMMYFUNCTION("""COMPUTED_VALUE"""),"F")</f>
        <v>F</v>
      </c>
    </row>
    <row r="16">
      <c r="E16" s="403" t="str">
        <f>IFERROR(__xludf.DUMMYFUNCTION("""COMPUTED_VALUE"""),"AĠ.1M")</f>
        <v>AĠ.1M</v>
      </c>
      <c r="F16" s="403" t="str">
        <f>IFERROR(__xludf.DUMMYFUNCTION("""COMPUTED_VALUE"""),"M")</f>
        <v>M</v>
      </c>
      <c r="H16" s="404" t="str">
        <f>IFERROR(__xludf.DUMMYFUNCTION("""COMPUTED_VALUE"""),"Arr.1F")</f>
        <v>Arr.1F</v>
      </c>
      <c r="I16" s="404" t="str">
        <f>IFERROR(__xludf.DUMMYFUNCTION("""COMPUTED_VALUE"""),"F")</f>
        <v>F</v>
      </c>
    </row>
    <row r="17">
      <c r="B17" s="243"/>
      <c r="C17" s="402"/>
      <c r="E17" s="403" t="str">
        <f>IFERROR(__xludf.DUMMYFUNCTION("""COMPUTED_VALUE"""),"AĠ.2M")</f>
        <v>AĠ.2M</v>
      </c>
      <c r="F17" s="403" t="str">
        <f>IFERROR(__xludf.DUMMYFUNCTION("""COMPUTED_VALUE"""),"M")</f>
        <v>M</v>
      </c>
      <c r="H17" s="404" t="str">
        <f>IFERROR(__xludf.DUMMYFUNCTION("""COMPUTED_VALUE"""),"Arš.1MB")</f>
        <v>Arš.1MB</v>
      </c>
      <c r="I17" s="404" t="str">
        <f>IFERROR(__xludf.DUMMYFUNCTION("""COMPUTED_VALUE"""),"M")</f>
        <v>M</v>
      </c>
    </row>
    <row r="18">
      <c r="B18" s="243"/>
      <c r="C18" s="402"/>
      <c r="E18" s="403" t="str">
        <f>IFERROR(__xludf.DUMMYFUNCTION("""COMPUTED_VALUE"""),"AĠ.3M")</f>
        <v>AĠ.3M</v>
      </c>
      <c r="F18" s="403" t="str">
        <f>IFERROR(__xludf.DUMMYFUNCTION("""COMPUTED_VALUE"""),"M")</f>
        <v>M</v>
      </c>
      <c r="H18" s="404" t="str">
        <f>IFERROR(__xludf.DUMMYFUNCTION("""COMPUTED_VALUE"""),"AŠ.1MB")</f>
        <v>AŠ.1MB</v>
      </c>
      <c r="I18" s="404" t="str">
        <f>IFERROR(__xludf.DUMMYFUNCTION("""COMPUTED_VALUE"""),"M")</f>
        <v>M</v>
      </c>
    </row>
    <row r="19">
      <c r="A19" s="399" t="s">
        <v>4180</v>
      </c>
      <c r="C19" s="402"/>
      <c r="E19" s="403" t="str">
        <f>IFERROR(__xludf.DUMMYFUNCTION("""COMPUTED_VALUE"""),"AĠ.4M")</f>
        <v>AĠ.4M</v>
      </c>
      <c r="F19" s="403" t="str">
        <f>IFERROR(__xludf.DUMMYFUNCTION("""COMPUTED_VALUE"""),"M")</f>
        <v>M</v>
      </c>
      <c r="H19" s="404" t="str">
        <f>IFERROR(__xludf.DUMMYFUNCTION("""COMPUTED_VALUE"""),"AŠ.3MB")</f>
        <v>AŠ.3MB</v>
      </c>
      <c r="I19" s="404" t="str">
        <f>IFERROR(__xludf.DUMMYFUNCTION("""COMPUTED_VALUE"""),"M")</f>
        <v>M</v>
      </c>
    </row>
    <row r="20">
      <c r="B20" s="243" t="s">
        <v>666</v>
      </c>
      <c r="C20" s="402">
        <f>SUMIF(Recordings!AK:AK, B20, Recordings!AO:AO)</f>
        <v>0.09556712963</v>
      </c>
      <c r="E20" s="403" t="str">
        <f>IFERROR(__xludf.DUMMYFUNCTION("""COMPUTED_VALUE"""),"AĠ.5M")</f>
        <v>AĠ.5M</v>
      </c>
      <c r="F20" s="403" t="str">
        <f>IFERROR(__xludf.DUMMYFUNCTION("""COMPUTED_VALUE"""),"M")</f>
        <v>M</v>
      </c>
      <c r="H20" s="404" t="str">
        <f>IFERROR(__xludf.DUMMYFUNCTION("""COMPUTED_VALUE"""),"ASn.1MC")</f>
        <v>ASn.1MC</v>
      </c>
      <c r="I20" s="404" t="str">
        <f>IFERROR(__xludf.DUMMYFUNCTION("""COMPUTED_VALUE"""),"M")</f>
        <v>M</v>
      </c>
    </row>
    <row r="21">
      <c r="B21" s="243" t="s">
        <v>4178</v>
      </c>
      <c r="C21" s="402">
        <f>SUMIF(Recordings!AK:AK, "", Recordings!AO:AO)</f>
        <v>1.204756944</v>
      </c>
      <c r="E21" s="403" t="str">
        <f>IFERROR(__xludf.DUMMYFUNCTION("""COMPUTED_VALUE"""),"AĠ.6F")</f>
        <v>AĠ.6F</v>
      </c>
      <c r="F21" s="403" t="str">
        <f>IFERROR(__xludf.DUMMYFUNCTION("""COMPUTED_VALUE"""),"F")</f>
        <v>F</v>
      </c>
      <c r="H21" s="404" t="str">
        <f>IFERROR(__xludf.DUMMYFUNCTION("""COMPUTED_VALUE"""),"ASn.2FC")</f>
        <v>ASn.2FC</v>
      </c>
      <c r="I21" s="404" t="str">
        <f>IFERROR(__xludf.DUMMYFUNCTION("""COMPUTED_VALUE"""),"F")</f>
        <v>F</v>
      </c>
    </row>
    <row r="22">
      <c r="B22" s="405" t="s">
        <v>4176</v>
      </c>
      <c r="C22" s="406">
        <f>SUM(C17:C21)</f>
        <v>1.300324074</v>
      </c>
      <c r="E22" s="403" t="str">
        <f>IFERROR(__xludf.DUMMYFUNCTION("""COMPUTED_VALUE"""),"AĠ.7F")</f>
        <v>AĠ.7F</v>
      </c>
      <c r="F22" s="403" t="str">
        <f>IFERROR(__xludf.DUMMYFUNCTION("""COMPUTED_VALUE"""),"F")</f>
        <v>F</v>
      </c>
      <c r="H22" s="404" t="str">
        <f>IFERROR(__xludf.DUMMYFUNCTION("""COMPUTED_VALUE"""),"AZ.1MB")</f>
        <v>AZ.1MB</v>
      </c>
      <c r="I22" s="404" t="str">
        <f>IFERROR(__xludf.DUMMYFUNCTION("""COMPUTED_VALUE"""),"M")</f>
        <v>M</v>
      </c>
    </row>
    <row r="23">
      <c r="E23" s="403" t="str">
        <f>IFERROR(__xludf.DUMMYFUNCTION("""COMPUTED_VALUE"""),"AĠ.8F")</f>
        <v>AĠ.8F</v>
      </c>
      <c r="F23" s="403" t="str">
        <f>IFERROR(__xludf.DUMMYFUNCTION("""COMPUTED_VALUE"""),"F")</f>
        <v>F</v>
      </c>
      <c r="H23" s="404" t="str">
        <f>IFERROR(__xludf.DUMMYFUNCTION("""COMPUTED_VALUE"""),"Bd.1F")</f>
        <v>Bd.1F</v>
      </c>
      <c r="I23" s="404" t="str">
        <f>IFERROR(__xludf.DUMMYFUNCTION("""COMPUTED_VALUE"""),"F")</f>
        <v>F</v>
      </c>
    </row>
    <row r="24">
      <c r="A24" s="399" t="s">
        <v>4181</v>
      </c>
      <c r="E24" s="403" t="str">
        <f>IFERROR(__xludf.DUMMYFUNCTION("""COMPUTED_VALUE"""),"AĠ.9F")</f>
        <v>AĠ.9F</v>
      </c>
      <c r="F24" s="403" t="str">
        <f>IFERROR(__xludf.DUMMYFUNCTION("""COMPUTED_VALUE"""),"F")</f>
        <v>F</v>
      </c>
      <c r="H24" s="404" t="str">
        <f>IFERROR(__xludf.DUMMYFUNCTION("""COMPUTED_VALUE"""),"BD.3F")</f>
        <v>BD.3F</v>
      </c>
      <c r="I24" s="404" t="str">
        <f>IFERROR(__xludf.DUMMYFUNCTION("""COMPUTED_VALUE"""),"F")</f>
        <v>F</v>
      </c>
    </row>
    <row r="25">
      <c r="B25" s="243" t="s">
        <v>4182</v>
      </c>
      <c r="C25" s="407">
        <f>C7</f>
        <v>1.204756944</v>
      </c>
      <c r="E25" s="403" t="str">
        <f>IFERROR(__xludf.DUMMYFUNCTION("""COMPUTED_VALUE"""),"AǦh.1MB")</f>
        <v>AǦh.1MB</v>
      </c>
      <c r="F25" s="403" t="str">
        <f>IFERROR(__xludf.DUMMYFUNCTION("""COMPUTED_VALUE"""),"M")</f>
        <v>M</v>
      </c>
      <c r="H25" s="404" t="str">
        <f>IFERROR(__xludf.DUMMYFUNCTION("""COMPUTED_VALUE"""),"BD.5M")</f>
        <v>BD.5M</v>
      </c>
      <c r="I25" s="404" t="str">
        <f>IFERROR(__xludf.DUMMYFUNCTION("""COMPUTED_VALUE"""),"M")</f>
        <v>M</v>
      </c>
    </row>
    <row r="26">
      <c r="B26" s="243" t="s">
        <v>4180</v>
      </c>
      <c r="C26" s="407">
        <f>C15</f>
        <v>1.695</v>
      </c>
      <c r="E26" s="403" t="str">
        <f>IFERROR(__xludf.DUMMYFUNCTION("""COMPUTED_VALUE"""),"AǦh.2MB")</f>
        <v>AǦh.2MB</v>
      </c>
      <c r="F26" s="403" t="str">
        <f>IFERROR(__xludf.DUMMYFUNCTION("""COMPUTED_VALUE"""),"M")</f>
        <v>M</v>
      </c>
      <c r="H26" s="404" t="str">
        <f>IFERROR(__xludf.DUMMYFUNCTION("""COMPUTED_VALUE"""),"BD.6M")</f>
        <v>BD.6M</v>
      </c>
      <c r="I26" s="404" t="str">
        <f>IFERROR(__xludf.DUMMYFUNCTION("""COMPUTED_VALUE"""),"M")</f>
        <v>M</v>
      </c>
    </row>
    <row r="27">
      <c r="E27" s="403" t="str">
        <f>IFERROR(__xludf.DUMMYFUNCTION("""COMPUTED_VALUE"""),"AǦh.3MB")</f>
        <v>AǦh.3MB</v>
      </c>
      <c r="F27" s="403" t="str">
        <f>IFERROR(__xludf.DUMMYFUNCTION("""COMPUTED_VALUE"""),"M")</f>
        <v>M</v>
      </c>
      <c r="H27" s="404" t="str">
        <f>IFERROR(__xludf.DUMMYFUNCTION("""COMPUTED_VALUE"""),"BF.1M")</f>
        <v>BF.1M</v>
      </c>
      <c r="I27" s="404" t="str">
        <f>IFERROR(__xludf.DUMMYFUNCTION("""COMPUTED_VALUE"""),"M")</f>
        <v>M</v>
      </c>
    </row>
    <row r="28">
      <c r="A28" s="243" t="s">
        <v>4183</v>
      </c>
      <c r="E28" s="403" t="str">
        <f>IFERROR(__xludf.DUMMYFUNCTION("""COMPUTED_VALUE"""),"AǦh.4MB")</f>
        <v>AǦh.4MB</v>
      </c>
      <c r="F28" s="403" t="str">
        <f>IFERROR(__xludf.DUMMYFUNCTION("""COMPUTED_VALUE"""),"M")</f>
        <v>M</v>
      </c>
      <c r="H28" s="404" t="str">
        <f>IFERROR(__xludf.DUMMYFUNCTION("""COMPUTED_VALUE"""),"BF.2M")</f>
        <v>BF.2M</v>
      </c>
      <c r="I28" s="404" t="str">
        <f>IFERROR(__xludf.DUMMYFUNCTION("""COMPUTED_VALUE"""),"M")</f>
        <v>M</v>
      </c>
    </row>
    <row r="29">
      <c r="B29" s="243" t="s">
        <v>4184</v>
      </c>
      <c r="C29" s="403">
        <f>IFERROR(__xludf.DUMMYFUNCTION("COUNTUNIQUE(FILTER(TRIM(Recordings!A2:A1402), Recordings!A2:A1402&lt;&gt;"""", TRIM(Recordings!A2:A1402)&lt;&gt;""""))"),128.0)</f>
        <v>128</v>
      </c>
      <c r="E29" s="403" t="str">
        <f>IFERROR(__xludf.DUMMYFUNCTION("""COMPUTED_VALUE"""),"AǦh.5MB")</f>
        <v>AǦh.5MB</v>
      </c>
      <c r="F29" s="403" t="str">
        <f>IFERROR(__xludf.DUMMYFUNCTION("""COMPUTED_VALUE"""),"M")</f>
        <v>M</v>
      </c>
      <c r="H29" s="404" t="str">
        <f>IFERROR(__xludf.DUMMYFUNCTION("""COMPUTED_VALUE"""),"BF.3F")</f>
        <v>BF.3F</v>
      </c>
      <c r="I29" s="404" t="str">
        <f>IFERROR(__xludf.DUMMYFUNCTION("""COMPUTED_VALUE"""),"F")</f>
        <v>F</v>
      </c>
    </row>
    <row r="30">
      <c r="B30" s="243"/>
      <c r="E30" s="403" t="str">
        <f>IFERROR(__xludf.DUMMYFUNCTION("""COMPUTED_VALUE"""),"AǦh.6MB")</f>
        <v>AǦh.6MB</v>
      </c>
      <c r="F30" s="403" t="str">
        <f>IFERROR(__xludf.DUMMYFUNCTION("""COMPUTED_VALUE"""),"M")</f>
        <v>M</v>
      </c>
      <c r="H30" s="404" t="str">
        <f>IFERROR(__xludf.DUMMYFUNCTION("""COMPUTED_VALUE"""),"BǦb.1M")</f>
        <v>BǦb.1M</v>
      </c>
      <c r="I30" s="404" t="str">
        <f>IFERROR(__xludf.DUMMYFUNCTION("""COMPUTED_VALUE"""),"M")</f>
        <v>M</v>
      </c>
    </row>
    <row r="31">
      <c r="B31" s="243"/>
      <c r="E31" s="403" t="str">
        <f>IFERROR(__xludf.DUMMYFUNCTION("""COMPUTED_VALUE"""),"AḤ.1FB")</f>
        <v>AḤ.1FB</v>
      </c>
      <c r="F31" s="403" t="str">
        <f>IFERROR(__xludf.DUMMYFUNCTION("""COMPUTED_VALUE"""),"F")</f>
        <v>F</v>
      </c>
      <c r="H31" s="404" t="str">
        <f>IFERROR(__xludf.DUMMYFUNCTION("""COMPUTED_VALUE"""),"BǦl.2F")</f>
        <v>BǦl.2F</v>
      </c>
      <c r="I31" s="404" t="str">
        <f>IFERROR(__xludf.DUMMYFUNCTION("""COMPUTED_VALUE"""),"F")</f>
        <v>F</v>
      </c>
    </row>
    <row r="32">
      <c r="A32" s="243" t="s">
        <v>4185</v>
      </c>
      <c r="E32" s="403" t="str">
        <f>IFERROR(__xludf.DUMMYFUNCTION("""COMPUTED_VALUE"""),"AḤǧ.1MB")</f>
        <v>AḤǧ.1MB</v>
      </c>
      <c r="F32" s="403" t="str">
        <f>IFERROR(__xludf.DUMMYFUNCTION("""COMPUTED_VALUE"""),"M")</f>
        <v>M</v>
      </c>
      <c r="H32" s="404" t="str">
        <f>IFERROR(__xludf.DUMMYFUNCTION("""COMPUTED_VALUE"""),"BǦl.2M")</f>
        <v>BǦl.2M</v>
      </c>
      <c r="I32" s="404" t="str">
        <f>IFERROR(__xludf.DUMMYFUNCTION("""COMPUTED_VALUE"""),"M")</f>
        <v>M</v>
      </c>
    </row>
    <row r="33">
      <c r="B33" s="408" t="s">
        <v>613</v>
      </c>
      <c r="C33" s="403">
        <f>COUNTIF(Recordings!E:E, B33)</f>
        <v>4</v>
      </c>
      <c r="E33" s="403" t="str">
        <f>IFERROR(__xludf.DUMMYFUNCTION("""COMPUTED_VALUE"""),"Ak.1M")</f>
        <v>Ak.1M</v>
      </c>
      <c r="F33" s="403" t="str">
        <f>IFERROR(__xludf.DUMMYFUNCTION("""COMPUTED_VALUE"""),"M")</f>
        <v>M</v>
      </c>
      <c r="H33" s="404" t="str">
        <f>IFERROR(__xludf.DUMMYFUNCTION("""COMPUTED_VALUE"""),"BǦl.3M")</f>
        <v>BǦl.3M</v>
      </c>
      <c r="I33" s="404" t="str">
        <f>IFERROR(__xludf.DUMMYFUNCTION("""COMPUTED_VALUE"""),"M")</f>
        <v>M</v>
      </c>
    </row>
    <row r="34">
      <c r="B34" s="408" t="s">
        <v>656</v>
      </c>
      <c r="C34" s="403">
        <f>COUNTIF(Recordings!E:E, B34)</f>
        <v>1</v>
      </c>
      <c r="E34" s="403" t="str">
        <f>IFERROR(__xludf.DUMMYFUNCTION("""COMPUTED_VALUE"""),"Arb.1M")</f>
        <v>Arb.1M</v>
      </c>
      <c r="F34" s="403" t="str">
        <f>IFERROR(__xludf.DUMMYFUNCTION("""COMPUTED_VALUE"""),"M")</f>
        <v>M</v>
      </c>
      <c r="H34" s="404" t="str">
        <f>IFERROR(__xludf.DUMMYFUNCTION("""COMPUTED_VALUE"""),"BǦl.5M")</f>
        <v>BǦl.5M</v>
      </c>
      <c r="I34" s="404" t="str">
        <f>IFERROR(__xludf.DUMMYFUNCTION("""COMPUTED_VALUE"""),"M")</f>
        <v>M</v>
      </c>
    </row>
    <row r="35">
      <c r="B35" s="408" t="s">
        <v>691</v>
      </c>
      <c r="C35" s="403">
        <f>COUNTIF(Recordings!E:E, B35)</f>
        <v>23</v>
      </c>
      <c r="E35" s="403" t="str">
        <f>IFERROR(__xludf.DUMMYFUNCTION("""COMPUTED_VALUE"""),"Arb.2M")</f>
        <v>Arb.2M</v>
      </c>
      <c r="F35" s="403" t="str">
        <f>IFERROR(__xludf.DUMMYFUNCTION("""COMPUTED_VALUE"""),"M")</f>
        <v>M</v>
      </c>
      <c r="H35" s="404" t="str">
        <f>IFERROR(__xludf.DUMMYFUNCTION("""COMPUTED_VALUE"""),"BǦl.5MC")</f>
        <v>BǦl.5MC</v>
      </c>
      <c r="I35" s="404" t="str">
        <f>IFERROR(__xludf.DUMMYFUNCTION("""COMPUTED_VALUE"""),"F")</f>
        <v>F</v>
      </c>
    </row>
    <row r="36">
      <c r="B36" s="408" t="s">
        <v>706</v>
      </c>
      <c r="C36" s="403">
        <f>COUNTIF(Recordings!E:E, B36)</f>
        <v>12</v>
      </c>
      <c r="E36" s="403" t="str">
        <f>IFERROR(__xludf.DUMMYFUNCTION("""COMPUTED_VALUE"""),"Arb.3F")</f>
        <v>Arb.3F</v>
      </c>
      <c r="F36" s="403" t="str">
        <f>IFERROR(__xludf.DUMMYFUNCTION("""COMPUTED_VALUE"""),"F")</f>
        <v>F</v>
      </c>
      <c r="H36" s="404" t="str">
        <f>IFERROR(__xludf.DUMMYFUNCTION("""COMPUTED_VALUE"""),"BǦl.8M")</f>
        <v>BǦl.8M</v>
      </c>
      <c r="I36" s="404" t="str">
        <f>IFERROR(__xludf.DUMMYFUNCTION("""COMPUTED_VALUE"""),"M")</f>
        <v>M</v>
      </c>
    </row>
    <row r="37">
      <c r="B37" s="408" t="s">
        <v>826</v>
      </c>
      <c r="C37" s="403">
        <f>COUNTIF(Recordings!E:E, B37)</f>
        <v>11</v>
      </c>
      <c r="E37" s="403" t="str">
        <f>IFERROR(__xludf.DUMMYFUNCTION("""COMPUTED_VALUE"""),"Arḥ.1F")</f>
        <v>Arḥ.1F</v>
      </c>
      <c r="F37" s="403" t="str">
        <f>IFERROR(__xludf.DUMMYFUNCTION("""COMPUTED_VALUE"""),"F")</f>
        <v>F</v>
      </c>
      <c r="H37" s="404" t="str">
        <f>IFERROR(__xludf.DUMMYFUNCTION("""COMPUTED_VALUE"""),"BĠr.1F")</f>
        <v>BĠr.1F</v>
      </c>
      <c r="I37" s="404" t="str">
        <f>IFERROR(__xludf.DUMMYFUNCTION("""COMPUTED_VALUE"""),"F")</f>
        <v>F</v>
      </c>
    </row>
    <row r="38">
      <c r="B38" s="408" t="s">
        <v>850</v>
      </c>
      <c r="C38" s="403">
        <f>COUNTIF(Recordings!E:E, B38)</f>
        <v>32</v>
      </c>
      <c r="E38" s="403" t="str">
        <f>IFERROR(__xludf.DUMMYFUNCTION("""COMPUTED_VALUE"""),"Arḥ.2F")</f>
        <v>Arḥ.2F</v>
      </c>
      <c r="F38" s="403" t="str">
        <f>IFERROR(__xludf.DUMMYFUNCTION("""COMPUTED_VALUE"""),"F")</f>
        <v>F</v>
      </c>
      <c r="H38" s="404" t="str">
        <f>IFERROR(__xludf.DUMMYFUNCTION("""COMPUTED_VALUE"""),"BI.2F")</f>
        <v>BI.2F</v>
      </c>
      <c r="I38" s="404" t="str">
        <f>IFERROR(__xludf.DUMMYFUNCTION("""COMPUTED_VALUE"""),"F")</f>
        <v>F</v>
      </c>
    </row>
    <row r="39">
      <c r="B39" s="408" t="s">
        <v>901</v>
      </c>
      <c r="C39" s="403">
        <f>COUNTIF(Recordings!E:E, B39)</f>
        <v>16</v>
      </c>
      <c r="E39" s="403" t="str">
        <f>IFERROR(__xludf.DUMMYFUNCTION("""COMPUTED_VALUE"""),"Arr.1F")</f>
        <v>Arr.1F</v>
      </c>
      <c r="F39" s="403" t="str">
        <f>IFERROR(__xludf.DUMMYFUNCTION("""COMPUTED_VALUE"""),"F")</f>
        <v>F</v>
      </c>
      <c r="H39" s="404" t="str">
        <f>IFERROR(__xludf.DUMMYFUNCTION("""COMPUTED_VALUE"""),"BI.4F")</f>
        <v>BI.4F</v>
      </c>
      <c r="I39" s="404" t="str">
        <f>IFERROR(__xludf.DUMMYFUNCTION("""COMPUTED_VALUE"""),"F")</f>
        <v>F</v>
      </c>
    </row>
    <row r="40">
      <c r="B40" s="408" t="s">
        <v>958</v>
      </c>
      <c r="C40" s="403">
        <f>COUNTIF(Recordings!E:E, B40)</f>
        <v>14</v>
      </c>
      <c r="E40" s="403" t="str">
        <f>IFERROR(__xludf.DUMMYFUNCTION("""COMPUTED_VALUE"""),"Arš.1MB")</f>
        <v>Arš.1MB</v>
      </c>
      <c r="F40" s="403" t="str">
        <f>IFERROR(__xludf.DUMMYFUNCTION("""COMPUTED_VALUE"""),"M")</f>
        <v>M</v>
      </c>
      <c r="H40" s="404" t="str">
        <f>IFERROR(__xludf.DUMMYFUNCTION("""COMPUTED_VALUE"""),"BI.5M")</f>
        <v>BI.5M</v>
      </c>
      <c r="I40" s="404" t="str">
        <f>IFERROR(__xludf.DUMMYFUNCTION("""COMPUTED_VALUE"""),"M")</f>
        <v>M</v>
      </c>
    </row>
    <row r="41">
      <c r="B41" s="408" t="s">
        <v>900</v>
      </c>
      <c r="C41" s="403">
        <f>COUNTIF(Recordings!E:E, B41)</f>
        <v>12</v>
      </c>
      <c r="E41" s="403" t="str">
        <f>IFERROR(__xludf.DUMMYFUNCTION("""COMPUTED_VALUE"""),"AŠ.1MB")</f>
        <v>AŠ.1MB</v>
      </c>
      <c r="F41" s="403" t="str">
        <f>IFERROR(__xludf.DUMMYFUNCTION("""COMPUTED_VALUE"""),"M")</f>
        <v>M</v>
      </c>
      <c r="H41" s="404" t="str">
        <f>IFERROR(__xludf.DUMMYFUNCTION("""COMPUTED_VALUE"""),"BIǧ.1M")</f>
        <v>BIǧ.1M</v>
      </c>
      <c r="I41" s="404" t="str">
        <f>IFERROR(__xludf.DUMMYFUNCTION("""COMPUTED_VALUE"""),"M")</f>
        <v>M</v>
      </c>
      <c r="Z41" s="13"/>
    </row>
    <row r="42">
      <c r="B42" s="408" t="s">
        <v>1153</v>
      </c>
      <c r="C42" s="403">
        <f>COUNTIF(Recordings!E:E, B42)</f>
        <v>3</v>
      </c>
      <c r="E42" s="403" t="str">
        <f>IFERROR(__xludf.DUMMYFUNCTION("""COMPUTED_VALUE"""),"AŠ.2MB")</f>
        <v>AŠ.2MB</v>
      </c>
      <c r="F42" s="403" t="str">
        <f>IFERROR(__xludf.DUMMYFUNCTION("""COMPUTED_VALUE"""),"M")</f>
        <v>M</v>
      </c>
      <c r="H42" s="404" t="str">
        <f>IFERROR(__xludf.DUMMYFUNCTION("""COMPUTED_VALUE"""),"BIǧ.2F")</f>
        <v>BIǧ.2F</v>
      </c>
      <c r="I42" s="404" t="str">
        <f>IFERROR(__xludf.DUMMYFUNCTION("""COMPUTED_VALUE"""),"F")</f>
        <v>F</v>
      </c>
      <c r="Z42" s="7"/>
    </row>
    <row r="43">
      <c r="B43" s="408" t="s">
        <v>1249</v>
      </c>
      <c r="C43" s="403">
        <f>COUNTIF(Recordings!E:E, B43)</f>
        <v>2</v>
      </c>
      <c r="E43" s="403" t="str">
        <f>IFERROR(__xludf.DUMMYFUNCTION("""COMPUTED_VALUE"""),"AŠ.3MB")</f>
        <v>AŠ.3MB</v>
      </c>
      <c r="F43" s="403" t="str">
        <f>IFERROR(__xludf.DUMMYFUNCTION("""COMPUTED_VALUE"""),"M")</f>
        <v>M</v>
      </c>
      <c r="H43" s="404" t="str">
        <f>IFERROR(__xludf.DUMMYFUNCTION("""COMPUTED_VALUE"""),"BIǧ.5F")</f>
        <v>BIǧ.5F</v>
      </c>
      <c r="I43" s="404" t="str">
        <f>IFERROR(__xludf.DUMMYFUNCTION("""COMPUTED_VALUE"""),"F")</f>
        <v>F</v>
      </c>
    </row>
    <row r="44">
      <c r="B44" s="408" t="s">
        <v>1272</v>
      </c>
      <c r="C44" s="403">
        <f>COUNTIF(Recordings!E:E, B44)</f>
        <v>1</v>
      </c>
      <c r="E44" s="403" t="str">
        <f>IFERROR(__xludf.DUMMYFUNCTION("""COMPUTED_VALUE"""),"ASn.1MC")</f>
        <v>ASn.1MC</v>
      </c>
      <c r="F44" s="403" t="str">
        <f>IFERROR(__xludf.DUMMYFUNCTION("""COMPUTED_VALUE"""),"M")</f>
        <v>M</v>
      </c>
      <c r="H44" s="404" t="str">
        <f>IFERROR(__xludf.DUMMYFUNCTION("""COMPUTED_VALUE"""),"BIk.1M")</f>
        <v>BIk.1M</v>
      </c>
      <c r="I44" s="404" t="str">
        <f>IFERROR(__xludf.DUMMYFUNCTION("""COMPUTED_VALUE"""),"M")</f>
        <v>M</v>
      </c>
      <c r="Z44" s="27"/>
    </row>
    <row r="45">
      <c r="B45" s="408" t="s">
        <v>1488</v>
      </c>
      <c r="C45" s="403">
        <f>COUNTIF(Recordings!E:E, B45)</f>
        <v>6</v>
      </c>
      <c r="E45" s="403" t="str">
        <f>IFERROR(__xludf.DUMMYFUNCTION("""COMPUTED_VALUE"""),"ASn.2FC")</f>
        <v>ASn.2FC</v>
      </c>
      <c r="F45" s="403" t="str">
        <f>IFERROR(__xludf.DUMMYFUNCTION("""COMPUTED_VALUE"""),"F")</f>
        <v>F</v>
      </c>
      <c r="H45" s="404" t="str">
        <f>IFERROR(__xludf.DUMMYFUNCTION("""COMPUTED_VALUE"""),"BIk.2M")</f>
        <v>BIk.2M</v>
      </c>
      <c r="I45" s="404" t="str">
        <f>IFERROR(__xludf.DUMMYFUNCTION("""COMPUTED_VALUE"""),"M")</f>
        <v>M</v>
      </c>
      <c r="Z45" s="27"/>
    </row>
    <row r="46">
      <c r="B46" s="408" t="s">
        <v>1809</v>
      </c>
      <c r="C46" s="403">
        <f>COUNTIF(Recordings!E:E, B46)</f>
        <v>5</v>
      </c>
      <c r="E46" s="403" t="str">
        <f>IFERROR(__xludf.DUMMYFUNCTION("""COMPUTED_VALUE"""),"ASn.3MD")</f>
        <v>ASn.3MD</v>
      </c>
      <c r="F46" s="403" t="str">
        <f>IFERROR(__xludf.DUMMYFUNCTION("""COMPUTED_VALUE"""),"M")</f>
        <v>M</v>
      </c>
      <c r="H46" s="404" t="str">
        <f>IFERROR(__xludf.DUMMYFUNCTION("""COMPUTED_VALUE"""),"BIk.3M")</f>
        <v>BIk.3M</v>
      </c>
      <c r="I46" s="404" t="str">
        <f>IFERROR(__xludf.DUMMYFUNCTION("""COMPUTED_VALUE"""),"M")</f>
        <v>M</v>
      </c>
      <c r="U46" s="409"/>
      <c r="Z46" s="27"/>
    </row>
    <row r="47">
      <c r="B47" s="408" t="s">
        <v>2348</v>
      </c>
      <c r="C47" s="403">
        <f>COUNTIF(Recordings!E:E, B47)</f>
        <v>3</v>
      </c>
      <c r="E47" s="403" t="str">
        <f>IFERROR(__xludf.DUMMYFUNCTION("""COMPUTED_VALUE"""),"ASn.4F")</f>
        <v>ASn.4F</v>
      </c>
      <c r="F47" s="403" t="str">
        <f>IFERROR(__xludf.DUMMYFUNCTION("""COMPUTED_VALUE"""),"F")</f>
        <v>F</v>
      </c>
      <c r="H47" s="404" t="str">
        <f>IFERROR(__xludf.DUMMYFUNCTION("""COMPUTED_VALUE"""),"BL.1FA")</f>
        <v>BL.1FA</v>
      </c>
      <c r="I47" s="404" t="str">
        <f>IFERROR(__xludf.DUMMYFUNCTION("""COMPUTED_VALUE"""),"F")</f>
        <v>F</v>
      </c>
    </row>
    <row r="48">
      <c r="B48" s="408" t="s">
        <v>2356</v>
      </c>
      <c r="C48" s="403">
        <f>COUNTIF(Recordings!E:E, B48)</f>
        <v>2</v>
      </c>
      <c r="E48" s="403" t="str">
        <f>IFERROR(__xludf.DUMMYFUNCTION("""COMPUTED_VALUE"""),"AZ.1MB")</f>
        <v>AZ.1MB</v>
      </c>
      <c r="F48" s="403" t="str">
        <f>IFERROR(__xludf.DUMMYFUNCTION("""COMPUTED_VALUE"""),"M")</f>
        <v>M</v>
      </c>
      <c r="H48" s="404" t="str">
        <f>IFERROR(__xludf.DUMMYFUNCTION("""COMPUTED_VALUE"""),"Bl.2F")</f>
        <v>Bl.2F</v>
      </c>
      <c r="I48" s="404" t="str">
        <f>IFERROR(__xludf.DUMMYFUNCTION("""COMPUTED_VALUE"""),"F")</f>
        <v>F</v>
      </c>
    </row>
    <row r="49">
      <c r="B49" s="408" t="s">
        <v>2379</v>
      </c>
      <c r="C49" s="403">
        <f>COUNTIF(Recordings!E:E, B49)</f>
        <v>1</v>
      </c>
      <c r="E49" s="403" t="str">
        <f>IFERROR(__xludf.DUMMYFUNCTION("""COMPUTED_VALUE"""),"Bd.1F")</f>
        <v>Bd.1F</v>
      </c>
      <c r="F49" s="403" t="str">
        <f>IFERROR(__xludf.DUMMYFUNCTION("""COMPUTED_VALUE"""),"F")</f>
        <v>F</v>
      </c>
      <c r="H49" s="404" t="str">
        <f>IFERROR(__xludf.DUMMYFUNCTION("""COMPUTED_VALUE"""),"BL.2FS")</f>
        <v>BL.2FS</v>
      </c>
      <c r="I49" s="404" t="str">
        <f>IFERROR(__xludf.DUMMYFUNCTION("""COMPUTED_VALUE"""),"F")</f>
        <v>F</v>
      </c>
      <c r="Z49" s="7"/>
    </row>
    <row r="50">
      <c r="B50" s="408" t="s">
        <v>2348</v>
      </c>
      <c r="C50" s="403">
        <f>COUNTIF(Recordings!E:E, B50)</f>
        <v>3</v>
      </c>
      <c r="E50" s="403" t="str">
        <f>IFERROR(__xludf.DUMMYFUNCTION("""COMPUTED_VALUE"""),"BD.1M")</f>
        <v>BD.1M</v>
      </c>
      <c r="F50" s="403" t="str">
        <f>IFERROR(__xludf.DUMMYFUNCTION("""COMPUTED_VALUE"""),"M")</f>
        <v>M</v>
      </c>
      <c r="H50" s="404" t="str">
        <f>IFERROR(__xludf.DUMMYFUNCTION("""COMPUTED_VALUE"""),"BM.5M")</f>
        <v>BM.5M</v>
      </c>
      <c r="I50" s="404" t="str">
        <f>IFERROR(__xludf.DUMMYFUNCTION("""COMPUTED_VALUE"""),"M")</f>
        <v>M</v>
      </c>
    </row>
    <row r="51">
      <c r="B51" s="408" t="s">
        <v>4186</v>
      </c>
      <c r="C51" s="403">
        <f>COUNTIF(Recordings!E:E, B51)</f>
        <v>0</v>
      </c>
      <c r="E51" s="403" t="str">
        <f>IFERROR(__xludf.DUMMYFUNCTION("""COMPUTED_VALUE"""),"BD.2F")</f>
        <v>BD.2F</v>
      </c>
      <c r="F51" s="403" t="str">
        <f>IFERROR(__xludf.DUMMYFUNCTION("""COMPUTED_VALUE"""),"F")</f>
        <v>F</v>
      </c>
      <c r="H51" s="404" t="str">
        <f>IFERROR(__xludf.DUMMYFUNCTION("""COMPUTED_VALUE"""),"BN.1M")</f>
        <v>BN.1M</v>
      </c>
      <c r="I51" s="404" t="str">
        <f>IFERROR(__xludf.DUMMYFUNCTION("""COMPUTED_VALUE"""),"M")</f>
        <v>M</v>
      </c>
    </row>
    <row r="52">
      <c r="B52" s="408" t="s">
        <v>4187</v>
      </c>
      <c r="C52" s="403">
        <f>COUNTIF(Recordings!E:E, B52)</f>
        <v>0</v>
      </c>
      <c r="E52" s="403" t="str">
        <f>IFERROR(__xludf.DUMMYFUNCTION("""COMPUTED_VALUE"""),"Bd.2M")</f>
        <v>Bd.2M</v>
      </c>
      <c r="F52" s="403" t="str">
        <f>IFERROR(__xludf.DUMMYFUNCTION("""COMPUTED_VALUE"""),"M")</f>
        <v>M</v>
      </c>
      <c r="H52" s="404" t="str">
        <f>IFERROR(__xludf.DUMMYFUNCTION("""COMPUTED_VALUE"""),"BN.2M")</f>
        <v>BN.2M</v>
      </c>
      <c r="I52" s="404" t="str">
        <f>IFERROR(__xludf.DUMMYFUNCTION("""COMPUTED_VALUE"""),"M")</f>
        <v>M</v>
      </c>
    </row>
    <row r="53">
      <c r="B53" s="408" t="s">
        <v>2707</v>
      </c>
      <c r="C53" s="403">
        <f>COUNTIF(Recordings!E:E, B53)</f>
        <v>20</v>
      </c>
      <c r="E53" s="403" t="str">
        <f>IFERROR(__xludf.DUMMYFUNCTION("""COMPUTED_VALUE"""),"BD.3F")</f>
        <v>BD.3F</v>
      </c>
      <c r="F53" s="403" t="str">
        <f>IFERROR(__xludf.DUMMYFUNCTION("""COMPUTED_VALUE"""),"F")</f>
        <v>F</v>
      </c>
      <c r="H53" s="404" t="str">
        <f>IFERROR(__xludf.DUMMYFUNCTION("""COMPUTED_VALUE"""),"BNk.1F")</f>
        <v>BNk.1F</v>
      </c>
      <c r="I53" s="404" t="str">
        <f>IFERROR(__xludf.DUMMYFUNCTION("""COMPUTED_VALUE"""),"F")</f>
        <v>F</v>
      </c>
    </row>
    <row r="54">
      <c r="E54" s="403" t="str">
        <f>IFERROR(__xludf.DUMMYFUNCTION("""COMPUTED_VALUE"""),"Bd.3M")</f>
        <v>Bd.3M</v>
      </c>
      <c r="F54" s="403" t="str">
        <f>IFERROR(__xludf.DUMMYFUNCTION("""COMPUTED_VALUE"""),"M")</f>
        <v>M</v>
      </c>
      <c r="H54" s="404" t="str">
        <f>IFERROR(__xludf.DUMMYFUNCTION("""COMPUTED_VALUE"""),"BNk.2F")</f>
        <v>BNk.2F</v>
      </c>
      <c r="I54" s="404" t="str">
        <f>IFERROR(__xludf.DUMMYFUNCTION("""COMPUTED_VALUE"""),"F")</f>
        <v>F</v>
      </c>
      <c r="Z54" s="11"/>
    </row>
    <row r="55">
      <c r="B55" s="243" t="s">
        <v>4188</v>
      </c>
      <c r="C55" s="410">
        <v>600.0</v>
      </c>
      <c r="E55" s="403" t="str">
        <f>IFERROR(__xludf.DUMMYFUNCTION("""COMPUTED_VALUE"""),"BD.4F")</f>
        <v>BD.4F</v>
      </c>
      <c r="F55" s="403" t="str">
        <f>IFERROR(__xludf.DUMMYFUNCTION("""COMPUTED_VALUE"""),"F")</f>
        <v>F</v>
      </c>
      <c r="H55" s="404" t="str">
        <f>IFERROR(__xludf.DUMMYFUNCTION("""COMPUTED_VALUE"""),"BNk.3M")</f>
        <v>BNk.3M</v>
      </c>
      <c r="I55" s="404" t="str">
        <f>IFERROR(__xludf.DUMMYFUNCTION("""COMPUTED_VALUE"""),"M")</f>
        <v>M</v>
      </c>
      <c r="Z55" s="11"/>
    </row>
    <row r="56">
      <c r="E56" s="403" t="str">
        <f>IFERROR(__xludf.DUMMYFUNCTION("""COMPUTED_VALUE"""),"BD.5M")</f>
        <v>BD.5M</v>
      </c>
      <c r="F56" s="403" t="str">
        <f>IFERROR(__xludf.DUMMYFUNCTION("""COMPUTED_VALUE"""),"M")</f>
        <v>M</v>
      </c>
      <c r="H56" s="404" t="str">
        <f>IFERROR(__xludf.DUMMYFUNCTION("""COMPUTED_VALUE"""),"Bq.1FC")</f>
        <v>Bq.1FC</v>
      </c>
      <c r="I56" s="404" t="str">
        <f>IFERROR(__xludf.DUMMYFUNCTION("""COMPUTED_VALUE"""),"F")</f>
        <v>F</v>
      </c>
      <c r="Z56" s="11"/>
    </row>
    <row r="57">
      <c r="E57" s="403" t="str">
        <f>IFERROR(__xludf.DUMMYFUNCTION("""COMPUTED_VALUE"""),"BD.6M")</f>
        <v>BD.6M</v>
      </c>
      <c r="F57" s="403" t="str">
        <f>IFERROR(__xludf.DUMMYFUNCTION("""COMPUTED_VALUE"""),"M")</f>
        <v>M</v>
      </c>
      <c r="H57" s="404" t="str">
        <f>IFERROR(__xludf.DUMMYFUNCTION("""COMPUTED_VALUE"""),"Bq.2MD")</f>
        <v>Bq.2MD</v>
      </c>
      <c r="I57" s="404" t="str">
        <f>IFERROR(__xludf.DUMMYFUNCTION("""COMPUTED_VALUE"""),"M")</f>
        <v>M</v>
      </c>
      <c r="Z57" s="11"/>
    </row>
    <row r="58">
      <c r="E58" s="403" t="str">
        <f>IFERROR(__xludf.DUMMYFUNCTION("""COMPUTED_VALUE"""),"BF.1M")</f>
        <v>BF.1M</v>
      </c>
      <c r="F58" s="403" t="str">
        <f>IFERROR(__xludf.DUMMYFUNCTION("""COMPUTED_VALUE"""),"M")</f>
        <v>M</v>
      </c>
      <c r="H58" s="404" t="str">
        <f>IFERROR(__xludf.DUMMYFUNCTION("""COMPUTED_VALUE"""),"Bq.3MC")</f>
        <v>Bq.3MC</v>
      </c>
      <c r="I58" s="404" t="str">
        <f>IFERROR(__xludf.DUMMYFUNCTION("""COMPUTED_VALUE"""),"M")</f>
        <v>M</v>
      </c>
      <c r="Z58" s="11"/>
    </row>
    <row r="59">
      <c r="E59" s="403" t="str">
        <f>IFERROR(__xludf.DUMMYFUNCTION("""COMPUTED_VALUE"""),"BF.2M")</f>
        <v>BF.2M</v>
      </c>
      <c r="F59" s="403" t="str">
        <f>IFERROR(__xludf.DUMMYFUNCTION("""COMPUTED_VALUE"""),"M")</f>
        <v>M</v>
      </c>
      <c r="H59" s="404" t="str">
        <f>IFERROR(__xludf.DUMMYFUNCTION("""COMPUTED_VALUE"""),"Bq.4FD")</f>
        <v>Bq.4FD</v>
      </c>
      <c r="I59" s="404" t="str">
        <f>IFERROR(__xludf.DUMMYFUNCTION("""COMPUTED_VALUE"""),"F")</f>
        <v>F</v>
      </c>
      <c r="Z59" s="11"/>
    </row>
    <row r="60">
      <c r="E60" s="403" t="str">
        <f>IFERROR(__xludf.DUMMYFUNCTION("""COMPUTED_VALUE"""),"BF.3F")</f>
        <v>BF.3F</v>
      </c>
      <c r="F60" s="403" t="str">
        <f>IFERROR(__xludf.DUMMYFUNCTION("""COMPUTED_VALUE"""),"F")</f>
        <v>F</v>
      </c>
      <c r="H60" s="404" t="str">
        <f>IFERROR(__xludf.DUMMYFUNCTION("""COMPUTED_VALUE"""),"Br.1FC")</f>
        <v>Br.1FC</v>
      </c>
      <c r="I60" s="404" t="str">
        <f>IFERROR(__xludf.DUMMYFUNCTION("""COMPUTED_VALUE"""),"F")</f>
        <v>F</v>
      </c>
      <c r="Z60" s="11"/>
    </row>
    <row r="61">
      <c r="E61" s="403" t="str">
        <f>IFERROR(__xludf.DUMMYFUNCTION("""COMPUTED_VALUE"""),"BǦb.1M")</f>
        <v>BǦb.1M</v>
      </c>
      <c r="F61" s="403" t="str">
        <f>IFERROR(__xludf.DUMMYFUNCTION("""COMPUTED_VALUE"""),"M")</f>
        <v>M</v>
      </c>
      <c r="H61" s="404" t="str">
        <f>IFERROR(__xludf.DUMMYFUNCTION("""COMPUTED_VALUE"""),"Br.2MC")</f>
        <v>Br.2MC</v>
      </c>
      <c r="I61" s="404" t="str">
        <f>IFERROR(__xludf.DUMMYFUNCTION("""COMPUTED_VALUE"""),"M")</f>
        <v>M</v>
      </c>
    </row>
    <row r="62">
      <c r="E62" s="403" t="str">
        <f>IFERROR(__xludf.DUMMYFUNCTION("""COMPUTED_VALUE"""),"BǦl.10MC")</f>
        <v>BǦl.10MC</v>
      </c>
      <c r="F62" s="403" t="str">
        <f>IFERROR(__xludf.DUMMYFUNCTION("""COMPUTED_VALUE"""),"M")</f>
        <v>M</v>
      </c>
      <c r="H62" s="404" t="str">
        <f>IFERROR(__xludf.DUMMYFUNCTION("""COMPUTED_VALUE"""),"Br.5MC")</f>
        <v>Br.5MC</v>
      </c>
      <c r="I62" s="404" t="str">
        <f>IFERROR(__xludf.DUMMYFUNCTION("""COMPUTED_VALUE"""),"M")</f>
        <v>M</v>
      </c>
      <c r="Z62" s="11"/>
    </row>
    <row r="63">
      <c r="E63" s="403" t="str">
        <f>IFERROR(__xludf.DUMMYFUNCTION("""COMPUTED_VALUE"""),"BǦl.11MC")</f>
        <v>BǦl.11MC</v>
      </c>
      <c r="F63" s="403" t="str">
        <f>IFERROR(__xludf.DUMMYFUNCTION("""COMPUTED_VALUE"""),"M")</f>
        <v>M</v>
      </c>
      <c r="H63" s="404" t="str">
        <f>IFERROR(__xludf.DUMMYFUNCTION("""COMPUTED_VALUE"""),"BṢ.12F")</f>
        <v>BṢ.12F</v>
      </c>
      <c r="I63" s="404" t="str">
        <f>IFERROR(__xludf.DUMMYFUNCTION("""COMPUTED_VALUE"""),"F")</f>
        <v>F</v>
      </c>
      <c r="Z63" s="11"/>
    </row>
    <row r="64">
      <c r="E64" s="403" t="str">
        <f>IFERROR(__xludf.DUMMYFUNCTION("""COMPUTED_VALUE"""),"BǦl.1M")</f>
        <v>BǦl.1M</v>
      </c>
      <c r="F64" s="403" t="str">
        <f>IFERROR(__xludf.DUMMYFUNCTION("""COMPUTED_VALUE"""),"M")</f>
        <v>M</v>
      </c>
      <c r="H64" s="404" t="str">
        <f>IFERROR(__xludf.DUMMYFUNCTION("""COMPUTED_VALUE"""),"BṢ.13F")</f>
        <v>BṢ.13F</v>
      </c>
      <c r="I64" s="404" t="str">
        <f>IFERROR(__xludf.DUMMYFUNCTION("""COMPUTED_VALUE"""),"F")</f>
        <v>F</v>
      </c>
    </row>
    <row r="65">
      <c r="E65" s="403" t="str">
        <f>IFERROR(__xludf.DUMMYFUNCTION("""COMPUTED_VALUE"""),"BǦl.2F")</f>
        <v>BǦl.2F</v>
      </c>
      <c r="F65" s="403" t="str">
        <f>IFERROR(__xludf.DUMMYFUNCTION("""COMPUTED_VALUE"""),"F")</f>
        <v>F</v>
      </c>
      <c r="H65" s="404" t="str">
        <f>IFERROR(__xludf.DUMMYFUNCTION("""COMPUTED_VALUE"""),"BṢ.1M")</f>
        <v>BṢ.1M</v>
      </c>
      <c r="I65" s="404" t="str">
        <f>IFERROR(__xludf.DUMMYFUNCTION("""COMPUTED_VALUE"""),"M")</f>
        <v>M</v>
      </c>
      <c r="Z65" s="7"/>
    </row>
    <row r="66">
      <c r="E66" s="403" t="str">
        <f>IFERROR(__xludf.DUMMYFUNCTION("""COMPUTED_VALUE"""),"BǦl.2M")</f>
        <v>BǦl.2M</v>
      </c>
      <c r="F66" s="403" t="str">
        <f>IFERROR(__xludf.DUMMYFUNCTION("""COMPUTED_VALUE"""),"M")</f>
        <v>M</v>
      </c>
      <c r="H66" s="404" t="str">
        <f>IFERROR(__xludf.DUMMYFUNCTION("""COMPUTED_VALUE"""),"BṢ.2F")</f>
        <v>BṢ.2F</v>
      </c>
      <c r="I66" s="404" t="str">
        <f>IFERROR(__xludf.DUMMYFUNCTION("""COMPUTED_VALUE"""),"F")</f>
        <v>F</v>
      </c>
      <c r="Z66" s="7"/>
    </row>
    <row r="67">
      <c r="E67" s="403" t="str">
        <f>IFERROR(__xludf.DUMMYFUNCTION("""COMPUTED_VALUE"""),"BǦl.3M")</f>
        <v>BǦl.3M</v>
      </c>
      <c r="F67" s="403" t="str">
        <f>IFERROR(__xludf.DUMMYFUNCTION("""COMPUTED_VALUE"""),"M")</f>
        <v>M</v>
      </c>
      <c r="H67" s="404" t="str">
        <f>IFERROR(__xludf.DUMMYFUNCTION("""COMPUTED_VALUE"""),"BS.3F")</f>
        <v>BS.3F</v>
      </c>
      <c r="I67" s="404" t="str">
        <f>IFERROR(__xludf.DUMMYFUNCTION("""COMPUTED_VALUE"""),"F")</f>
        <v>F</v>
      </c>
    </row>
    <row r="68">
      <c r="E68" s="403" t="str">
        <f>IFERROR(__xludf.DUMMYFUNCTION("""COMPUTED_VALUE"""),"BǦl.4M")</f>
        <v>BǦl.4M</v>
      </c>
      <c r="F68" s="403" t="str">
        <f>IFERROR(__xludf.DUMMYFUNCTION("""COMPUTED_VALUE"""),"M")</f>
        <v>M</v>
      </c>
      <c r="H68" s="404" t="str">
        <f>IFERROR(__xludf.DUMMYFUNCTION("""COMPUTED_VALUE"""),"BṢ.3F")</f>
        <v>BṢ.3F</v>
      </c>
      <c r="I68" s="404" t="str">
        <f>IFERROR(__xludf.DUMMYFUNCTION("""COMPUTED_VALUE"""),"F")</f>
        <v>F</v>
      </c>
    </row>
    <row r="69">
      <c r="E69" s="403" t="str">
        <f>IFERROR(__xludf.DUMMYFUNCTION("""COMPUTED_VALUE"""),"BǦl.5M")</f>
        <v>BǦl.5M</v>
      </c>
      <c r="F69" s="403" t="str">
        <f>IFERROR(__xludf.DUMMYFUNCTION("""COMPUTED_VALUE"""),"M")</f>
        <v>M</v>
      </c>
      <c r="H69" s="404" t="str">
        <f>IFERROR(__xludf.DUMMYFUNCTION("""COMPUTED_VALUE"""),"BṢ.4F")</f>
        <v>BṢ.4F</v>
      </c>
      <c r="I69" s="404" t="str">
        <f>IFERROR(__xludf.DUMMYFUNCTION("""COMPUTED_VALUE"""),"F")</f>
        <v>F</v>
      </c>
    </row>
    <row r="70">
      <c r="E70" s="403" t="str">
        <f>IFERROR(__xludf.DUMMYFUNCTION("""COMPUTED_VALUE"""),"BǦl.5MC")</f>
        <v>BǦl.5MC</v>
      </c>
      <c r="F70" s="403" t="str">
        <f>IFERROR(__xludf.DUMMYFUNCTION("""COMPUTED_VALUE"""),"F")</f>
        <v>F</v>
      </c>
      <c r="H70" s="404" t="str">
        <f>IFERROR(__xludf.DUMMYFUNCTION("""COMPUTED_VALUE"""),"BS.4M")</f>
        <v>BS.4M</v>
      </c>
      <c r="I70" s="404" t="str">
        <f>IFERROR(__xludf.DUMMYFUNCTION("""COMPUTED_VALUE"""),"M")</f>
        <v>M</v>
      </c>
      <c r="Z70" s="7"/>
    </row>
    <row r="71">
      <c r="E71" s="403" t="str">
        <f>IFERROR(__xludf.DUMMYFUNCTION("""COMPUTED_VALUE"""),"BǦl.8M")</f>
        <v>BǦl.8M</v>
      </c>
      <c r="F71" s="403" t="str">
        <f>IFERROR(__xludf.DUMMYFUNCTION("""COMPUTED_VALUE"""),"M")</f>
        <v>M</v>
      </c>
      <c r="H71" s="404" t="str">
        <f>IFERROR(__xludf.DUMMYFUNCTION("""COMPUTED_VALUE"""),"BṢ.5F")</f>
        <v>BṢ.5F</v>
      </c>
      <c r="I71" s="404" t="str">
        <f>IFERROR(__xludf.DUMMYFUNCTION("""COMPUTED_VALUE"""),"F")</f>
        <v>F</v>
      </c>
      <c r="Z71" s="11"/>
    </row>
    <row r="72">
      <c r="E72" s="403" t="str">
        <f>IFERROR(__xludf.DUMMYFUNCTION("""COMPUTED_VALUE"""),"BǦl.9MC")</f>
        <v>BǦl.9MC</v>
      </c>
      <c r="F72" s="403" t="str">
        <f>IFERROR(__xludf.DUMMYFUNCTION("""COMPUTED_VALUE"""),"M")</f>
        <v>M</v>
      </c>
      <c r="H72" s="404" t="str">
        <f>IFERROR(__xludf.DUMMYFUNCTION("""COMPUTED_VALUE"""),"BS.5M")</f>
        <v>BS.5M</v>
      </c>
      <c r="I72" s="404" t="str">
        <f>IFERROR(__xludf.DUMMYFUNCTION("""COMPUTED_VALUE"""),"M")</f>
        <v>M</v>
      </c>
      <c r="Z72" s="11"/>
    </row>
    <row r="73">
      <c r="E73" s="403" t="str">
        <f>IFERROR(__xludf.DUMMYFUNCTION("""COMPUTED_VALUE"""),"BĠr.1F")</f>
        <v>BĠr.1F</v>
      </c>
      <c r="F73" s="403" t="str">
        <f>IFERROR(__xludf.DUMMYFUNCTION("""COMPUTED_VALUE"""),"F")</f>
        <v>F</v>
      </c>
      <c r="H73" s="404" t="str">
        <f>IFERROR(__xludf.DUMMYFUNCTION("""COMPUTED_VALUE"""),"BṢ.6M")</f>
        <v>BṢ.6M</v>
      </c>
      <c r="I73" s="404" t="str">
        <f>IFERROR(__xludf.DUMMYFUNCTION("""COMPUTED_VALUE"""),"M")</f>
        <v>M</v>
      </c>
    </row>
    <row r="74">
      <c r="E74" s="403" t="str">
        <f>IFERROR(__xludf.DUMMYFUNCTION("""COMPUTED_VALUE"""),"BI.1F")</f>
        <v>BI.1F</v>
      </c>
      <c r="F74" s="403" t="str">
        <f>IFERROR(__xludf.DUMMYFUNCTION("""COMPUTED_VALUE"""),"F")</f>
        <v>F</v>
      </c>
      <c r="H74" s="404" t="str">
        <f>IFERROR(__xludf.DUMMYFUNCTION("""COMPUTED_VALUE"""),"BṢ.7M")</f>
        <v>BṢ.7M</v>
      </c>
      <c r="I74" s="404" t="str">
        <f>IFERROR(__xludf.DUMMYFUNCTION("""COMPUTED_VALUE"""),"M")</f>
        <v>M</v>
      </c>
      <c r="Z74" s="11"/>
    </row>
    <row r="75">
      <c r="E75" s="403" t="str">
        <f>IFERROR(__xludf.DUMMYFUNCTION("""COMPUTED_VALUE"""),"BI.2F")</f>
        <v>BI.2F</v>
      </c>
      <c r="F75" s="403" t="str">
        <f>IFERROR(__xludf.DUMMYFUNCTION("""COMPUTED_VALUE"""),"F")</f>
        <v>F</v>
      </c>
      <c r="H75" s="404" t="str">
        <f>IFERROR(__xludf.DUMMYFUNCTION("""COMPUTED_VALUE"""),"BSḥ.10M")</f>
        <v>BSḥ.10M</v>
      </c>
      <c r="I75" s="404" t="str">
        <f>IFERROR(__xludf.DUMMYFUNCTION("""COMPUTED_VALUE"""),"M")</f>
        <v>M</v>
      </c>
      <c r="Z75" s="7"/>
    </row>
    <row r="76">
      <c r="E76" s="403" t="str">
        <f>IFERROR(__xludf.DUMMYFUNCTION("""COMPUTED_VALUE"""),"BI.3F")</f>
        <v>BI.3F</v>
      </c>
      <c r="F76" s="403" t="str">
        <f>IFERROR(__xludf.DUMMYFUNCTION("""COMPUTED_VALUE"""),"F")</f>
        <v>F</v>
      </c>
      <c r="H76" s="404" t="str">
        <f>IFERROR(__xludf.DUMMYFUNCTION("""COMPUTED_VALUE"""),"BSḥ.15F")</f>
        <v>BSḥ.15F</v>
      </c>
      <c r="I76" s="404" t="str">
        <f>IFERROR(__xludf.DUMMYFUNCTION("""COMPUTED_VALUE"""),"F")</f>
        <v>F</v>
      </c>
      <c r="Z76" s="7"/>
    </row>
    <row r="77">
      <c r="E77" s="403" t="str">
        <f>IFERROR(__xludf.DUMMYFUNCTION("""COMPUTED_VALUE"""),"BI.4F")</f>
        <v>BI.4F</v>
      </c>
      <c r="F77" s="403" t="str">
        <f>IFERROR(__xludf.DUMMYFUNCTION("""COMPUTED_VALUE"""),"F")</f>
        <v>F</v>
      </c>
      <c r="H77" s="404" t="str">
        <f>IFERROR(__xludf.DUMMYFUNCTION("""COMPUTED_VALUE"""),"BSḥ.1MC")</f>
        <v>BSḥ.1MC</v>
      </c>
      <c r="I77" s="404" t="str">
        <f>IFERROR(__xludf.DUMMYFUNCTION("""COMPUTED_VALUE"""),"M")</f>
        <v>M</v>
      </c>
      <c r="Z77" s="7"/>
    </row>
    <row r="78">
      <c r="E78" s="403" t="str">
        <f>IFERROR(__xludf.DUMMYFUNCTION("""COMPUTED_VALUE"""),"BI.5M")</f>
        <v>BI.5M</v>
      </c>
      <c r="F78" s="403" t="str">
        <f>IFERROR(__xludf.DUMMYFUNCTION("""COMPUTED_VALUE"""),"M")</f>
        <v>M</v>
      </c>
      <c r="H78" s="404" t="str">
        <f>IFERROR(__xludf.DUMMYFUNCTION("""COMPUTED_VALUE"""),"BSḥ.5MC")</f>
        <v>BSḥ.5MC</v>
      </c>
      <c r="I78" s="404" t="str">
        <f>IFERROR(__xludf.DUMMYFUNCTION("""COMPUTED_VALUE"""),"M")</f>
        <v>M</v>
      </c>
      <c r="Z78" s="7"/>
    </row>
    <row r="79">
      <c r="E79" s="403" t="str">
        <f>IFERROR(__xludf.DUMMYFUNCTION("""COMPUTED_VALUE"""),"BI.6M")</f>
        <v>BI.6M</v>
      </c>
      <c r="F79" s="403" t="str">
        <f>IFERROR(__xludf.DUMMYFUNCTION("""COMPUTED_VALUE"""),"M")</f>
        <v>M</v>
      </c>
      <c r="H79" s="404" t="str">
        <f>IFERROR(__xludf.DUMMYFUNCTION("""COMPUTED_VALUE"""),"BSḥ.6FC")</f>
        <v>BSḥ.6FC</v>
      </c>
      <c r="I79" s="404" t="str">
        <f>IFERROR(__xludf.DUMMYFUNCTION("""COMPUTED_VALUE"""),"F")</f>
        <v>F</v>
      </c>
      <c r="Z79" s="7"/>
    </row>
    <row r="80">
      <c r="E80" s="403" t="str">
        <f>IFERROR(__xludf.DUMMYFUNCTION("""COMPUTED_VALUE"""),"BIǧ.1M")</f>
        <v>BIǧ.1M</v>
      </c>
      <c r="F80" s="403" t="str">
        <f>IFERROR(__xludf.DUMMYFUNCTION("""COMPUTED_VALUE"""),"M")</f>
        <v>M</v>
      </c>
      <c r="H80" s="404" t="str">
        <f>IFERROR(__xludf.DUMMYFUNCTION("""COMPUTED_VALUE"""),"BSḥ.7FC")</f>
        <v>BSḥ.7FC</v>
      </c>
      <c r="I80" s="404" t="str">
        <f>IFERROR(__xludf.DUMMYFUNCTION("""COMPUTED_VALUE"""),"F")</f>
        <v>F</v>
      </c>
      <c r="Z80" s="7"/>
    </row>
    <row r="81">
      <c r="E81" s="403" t="str">
        <f>IFERROR(__xludf.DUMMYFUNCTION("""COMPUTED_VALUE"""),"BIǧ.2F")</f>
        <v>BIǧ.2F</v>
      </c>
      <c r="F81" s="403" t="str">
        <f>IFERROR(__xludf.DUMMYFUNCTION("""COMPUTED_VALUE"""),"F")</f>
        <v>F</v>
      </c>
      <c r="H81" s="404" t="str">
        <f>IFERROR(__xludf.DUMMYFUNCTION("""COMPUTED_VALUE"""),"BSḥ.8MC")</f>
        <v>BSḥ.8MC</v>
      </c>
      <c r="I81" s="404" t="str">
        <f>IFERROR(__xludf.DUMMYFUNCTION("""COMPUTED_VALUE"""),"M")</f>
        <v>M</v>
      </c>
      <c r="Z81" s="7"/>
    </row>
    <row r="82">
      <c r="E82" s="403" t="str">
        <f>IFERROR(__xludf.DUMMYFUNCTION("""COMPUTED_VALUE"""),"BIǧ.3F")</f>
        <v>BIǧ.3F</v>
      </c>
      <c r="F82" s="403" t="str">
        <f>IFERROR(__xludf.DUMMYFUNCTION("""COMPUTED_VALUE"""),"F")</f>
        <v>F</v>
      </c>
      <c r="H82" s="404" t="str">
        <f>IFERROR(__xludf.DUMMYFUNCTION("""COMPUTED_VALUE"""),"BSḥ.9FC")</f>
        <v>BSḥ.9FC</v>
      </c>
      <c r="I82" s="404" t="str">
        <f>IFERROR(__xludf.DUMMYFUNCTION("""COMPUTED_VALUE"""),"F")</f>
        <v>F</v>
      </c>
      <c r="Z82" s="7"/>
    </row>
    <row r="83">
      <c r="E83" s="403" t="str">
        <f>IFERROR(__xludf.DUMMYFUNCTION("""COMPUTED_VALUE"""),"BIǧ.4F")</f>
        <v>BIǧ.4F</v>
      </c>
      <c r="F83" s="403" t="str">
        <f>IFERROR(__xludf.DUMMYFUNCTION("""COMPUTED_VALUE"""),"F")</f>
        <v>F</v>
      </c>
      <c r="H83" s="404" t="str">
        <f>IFERROR(__xludf.DUMMYFUNCTION("""COMPUTED_VALUE"""),"Bt.1M")</f>
        <v>Bt.1M</v>
      </c>
      <c r="I83" s="404" t="str">
        <f>IFERROR(__xludf.DUMMYFUNCTION("""COMPUTED_VALUE"""),"M")</f>
        <v>M</v>
      </c>
      <c r="Z83" s="7"/>
    </row>
    <row r="84">
      <c r="E84" s="403" t="str">
        <f>IFERROR(__xludf.DUMMYFUNCTION("""COMPUTED_VALUE"""),"BIǧ.5F")</f>
        <v>BIǧ.5F</v>
      </c>
      <c r="F84" s="403" t="str">
        <f>IFERROR(__xludf.DUMMYFUNCTION("""COMPUTED_VALUE"""),"F")</f>
        <v>F</v>
      </c>
      <c r="H84" s="404" t="str">
        <f>IFERROR(__xludf.DUMMYFUNCTION("""COMPUTED_VALUE"""),"BŪ.1F")</f>
        <v>BŪ.1F</v>
      </c>
      <c r="I84" s="404" t="str">
        <f>IFERROR(__xludf.DUMMYFUNCTION("""COMPUTED_VALUE"""),"F")</f>
        <v>F</v>
      </c>
    </row>
    <row r="85">
      <c r="E85" s="403" t="str">
        <f>IFERROR(__xludf.DUMMYFUNCTION("""COMPUTED_VALUE"""),"BIk.1M")</f>
        <v>BIk.1M</v>
      </c>
      <c r="F85" s="403" t="str">
        <f>IFERROR(__xludf.DUMMYFUNCTION("""COMPUTED_VALUE"""),"M")</f>
        <v>M</v>
      </c>
      <c r="H85" s="404" t="str">
        <f>IFERROR(__xludf.DUMMYFUNCTION("""COMPUTED_VALUE"""),"BU.1M")</f>
        <v>BU.1M</v>
      </c>
      <c r="I85" s="404" t="str">
        <f>IFERROR(__xludf.DUMMYFUNCTION("""COMPUTED_VALUE"""),"M")</f>
        <v>M</v>
      </c>
      <c r="Z85" s="7"/>
    </row>
    <row r="86">
      <c r="E86" s="403" t="str">
        <f>IFERROR(__xludf.DUMMYFUNCTION("""COMPUTED_VALUE"""),"BIk.2M")</f>
        <v>BIk.2M</v>
      </c>
      <c r="F86" s="403" t="str">
        <f>IFERROR(__xludf.DUMMYFUNCTION("""COMPUTED_VALUE"""),"M")</f>
        <v>M</v>
      </c>
      <c r="H86" s="404" t="str">
        <f>IFERROR(__xludf.DUMMYFUNCTION("""COMPUTED_VALUE"""),"BUr.2M")</f>
        <v>BUr.2M</v>
      </c>
      <c r="I86" s="404" t="str">
        <f>IFERROR(__xludf.DUMMYFUNCTION("""COMPUTED_VALUE"""),"M")</f>
        <v>M</v>
      </c>
      <c r="Z86" s="7"/>
    </row>
    <row r="87">
      <c r="E87" s="403" t="str">
        <f>IFERROR(__xludf.DUMMYFUNCTION("""COMPUTED_VALUE"""),"BIk.3M")</f>
        <v>BIk.3M</v>
      </c>
      <c r="F87" s="403" t="str">
        <f>IFERROR(__xludf.DUMMYFUNCTION("""COMPUTED_VALUE"""),"M")</f>
        <v>M</v>
      </c>
      <c r="H87" s="404" t="str">
        <f>IFERROR(__xludf.DUMMYFUNCTION("""COMPUTED_VALUE"""),"Byr.2FB")</f>
        <v>Byr.2FB</v>
      </c>
      <c r="I87" s="404" t="str">
        <f>IFERROR(__xludf.DUMMYFUNCTION("""COMPUTED_VALUE"""),"F")</f>
        <v>F</v>
      </c>
    </row>
    <row r="88">
      <c r="E88" s="403" t="str">
        <f>IFERROR(__xludf.DUMMYFUNCTION("""COMPUTED_VALUE"""),"BIk.4M")</f>
        <v>BIk.4M</v>
      </c>
      <c r="F88" s="403" t="str">
        <f>IFERROR(__xludf.DUMMYFUNCTION("""COMPUTED_VALUE"""),"M")</f>
        <v>M</v>
      </c>
      <c r="H88" s="404" t="str">
        <f>IFERROR(__xludf.DUMMYFUNCTION("""COMPUTED_VALUE"""),"BZ.1M")</f>
        <v>BZ.1M</v>
      </c>
      <c r="I88" s="404" t="str">
        <f>IFERROR(__xludf.DUMMYFUNCTION("""COMPUTED_VALUE"""),"M")</f>
        <v>M</v>
      </c>
      <c r="Z88" s="7"/>
    </row>
    <row r="89">
      <c r="E89" s="403" t="str">
        <f>IFERROR(__xludf.DUMMYFUNCTION("""COMPUTED_VALUE"""),"BIk.5M")</f>
        <v>BIk.5M</v>
      </c>
      <c r="F89" s="403" t="str">
        <f>IFERROR(__xludf.DUMMYFUNCTION("""COMPUTED_VALUE"""),"M")</f>
        <v>M</v>
      </c>
      <c r="H89" s="404" t="str">
        <f>IFERROR(__xludf.DUMMYFUNCTION("""COMPUTED_VALUE"""),"BZ.2M")</f>
        <v>BZ.2M</v>
      </c>
      <c r="I89" s="404" t="str">
        <f>IFERROR(__xludf.DUMMYFUNCTION("""COMPUTED_VALUE"""),"M")</f>
        <v>M</v>
      </c>
      <c r="Z89" s="7"/>
    </row>
    <row r="90">
      <c r="E90" s="403" t="str">
        <f>IFERROR(__xludf.DUMMYFUNCTION("""COMPUTED_VALUE"""),"BIk.6M")</f>
        <v>BIk.6M</v>
      </c>
      <c r="F90" s="403" t="str">
        <f>IFERROR(__xludf.DUMMYFUNCTION("""COMPUTED_VALUE"""),"M")</f>
        <v>M</v>
      </c>
      <c r="H90" s="404" t="str">
        <f>IFERROR(__xludf.DUMMYFUNCTION("""COMPUTED_VALUE"""),"BZ.3M")</f>
        <v>BZ.3M</v>
      </c>
      <c r="I90" s="404" t="str">
        <f>IFERROR(__xludf.DUMMYFUNCTION("""COMPUTED_VALUE"""),"M")</f>
        <v>M</v>
      </c>
      <c r="Z90" s="7"/>
    </row>
    <row r="91">
      <c r="E91" s="403" t="str">
        <f>IFERROR(__xludf.DUMMYFUNCTION("""COMPUTED_VALUE"""),"BIk.7F")</f>
        <v>BIk.7F</v>
      </c>
      <c r="F91" s="403" t="str">
        <f>IFERROR(__xludf.DUMMYFUNCTION("""COMPUTED_VALUE"""),"F")</f>
        <v>F</v>
      </c>
      <c r="H91" s="404" t="str">
        <f>IFERROR(__xludf.DUMMYFUNCTION("""COMPUTED_VALUE"""),"BZ.4M")</f>
        <v>BZ.4M</v>
      </c>
      <c r="I91" s="404" t="str">
        <f>IFERROR(__xludf.DUMMYFUNCTION("""COMPUTED_VALUE"""),"M")</f>
        <v>M</v>
      </c>
      <c r="Z91" s="7"/>
    </row>
    <row r="92">
      <c r="E92" s="403" t="str">
        <f>IFERROR(__xludf.DUMMYFUNCTION("""COMPUTED_VALUE"""),"BL .3MM")</f>
        <v>BL .3MM</v>
      </c>
      <c r="F92" s="403" t="str">
        <f>IFERROR(__xludf.DUMMYFUNCTION("""COMPUTED_VALUE"""),"M")</f>
        <v>M</v>
      </c>
      <c r="H92" s="404" t="str">
        <f>IFERROR(__xludf.DUMMYFUNCTION("""COMPUTED_VALUE"""),"BZ.5M")</f>
        <v>BZ.5M</v>
      </c>
      <c r="I92" s="404" t="str">
        <f>IFERROR(__xludf.DUMMYFUNCTION("""COMPUTED_VALUE"""),"M")</f>
        <v>M</v>
      </c>
      <c r="Z92" s="7"/>
    </row>
    <row r="93">
      <c r="E93" s="403" t="str">
        <f>IFERROR(__xludf.DUMMYFUNCTION("""COMPUTED_VALUE"""),"Bl.1F")</f>
        <v>Bl.1F</v>
      </c>
      <c r="F93" s="403" t="str">
        <f>IFERROR(__xludf.DUMMYFUNCTION("""COMPUTED_VALUE"""),"F")</f>
        <v>F</v>
      </c>
      <c r="H93" s="404" t="str">
        <f>IFERROR(__xludf.DUMMYFUNCTION("""COMPUTED_VALUE"""),"DA.1F")</f>
        <v>DA.1F</v>
      </c>
      <c r="I93" s="404" t="str">
        <f>IFERROR(__xludf.DUMMYFUNCTION("""COMPUTED_VALUE"""),"F")</f>
        <v>F</v>
      </c>
    </row>
    <row r="94">
      <c r="E94" s="403" t="str">
        <f>IFERROR(__xludf.DUMMYFUNCTION("""COMPUTED_VALUE"""),"BL.1FA")</f>
        <v>BL.1FA</v>
      </c>
      <c r="F94" s="403" t="str">
        <f>IFERROR(__xludf.DUMMYFUNCTION("""COMPUTED_VALUE"""),"F")</f>
        <v>F</v>
      </c>
      <c r="H94" s="404" t="str">
        <f>IFERROR(__xludf.DUMMYFUNCTION("""COMPUTED_VALUE"""),"Dr.1FB")</f>
        <v>Dr.1FB</v>
      </c>
      <c r="I94" s="404" t="str">
        <f>IFERROR(__xludf.DUMMYFUNCTION("""COMPUTED_VALUE"""),"F")</f>
        <v>F</v>
      </c>
    </row>
    <row r="95">
      <c r="E95" s="403" t="str">
        <f>IFERROR(__xludf.DUMMYFUNCTION("""COMPUTED_VALUE"""),"Bl.2F")</f>
        <v>Bl.2F</v>
      </c>
      <c r="F95" s="403" t="str">
        <f>IFERROR(__xludf.DUMMYFUNCTION("""COMPUTED_VALUE"""),"F")</f>
        <v>F</v>
      </c>
      <c r="H95" s="404" t="str">
        <f>IFERROR(__xludf.DUMMYFUNCTION("""COMPUTED_VALUE"""),"DṢ.1F")</f>
        <v>DṢ.1F</v>
      </c>
      <c r="I95" s="404" t="str">
        <f>IFERROR(__xludf.DUMMYFUNCTION("""COMPUTED_VALUE"""),"F")</f>
        <v>F</v>
      </c>
    </row>
    <row r="96">
      <c r="E96" s="403" t="str">
        <f>IFERROR(__xludf.DUMMYFUNCTION("""COMPUTED_VALUE"""),"BL.2FS")</f>
        <v>BL.2FS</v>
      </c>
      <c r="F96" s="403" t="str">
        <f>IFERROR(__xludf.DUMMYFUNCTION("""COMPUTED_VALUE"""),"F")</f>
        <v>F</v>
      </c>
      <c r="H96" s="404" t="str">
        <f>IFERROR(__xludf.DUMMYFUNCTION("""COMPUTED_VALUE"""),"DṢ.2M")</f>
        <v>DṢ.2M</v>
      </c>
      <c r="I96" s="404" t="str">
        <f>IFERROR(__xludf.DUMMYFUNCTION("""COMPUTED_VALUE"""),"M")</f>
        <v>M</v>
      </c>
    </row>
    <row r="97">
      <c r="E97" s="403" t="str">
        <f>IFERROR(__xludf.DUMMYFUNCTION("""COMPUTED_VALUE"""),"Bl.3F")</f>
        <v>Bl.3F</v>
      </c>
      <c r="F97" s="403" t="str">
        <f>IFERROR(__xludf.DUMMYFUNCTION("""COMPUTED_VALUE"""),"F")</f>
        <v>F</v>
      </c>
      <c r="H97" s="404" t="str">
        <f>IFERROR(__xludf.DUMMYFUNCTION("""COMPUTED_VALUE"""),"EḤ.1M")</f>
        <v>EḤ.1M</v>
      </c>
      <c r="I97" s="404" t="str">
        <f>IFERROR(__xludf.DUMMYFUNCTION("""COMPUTED_VALUE"""),"M")</f>
        <v>M</v>
      </c>
    </row>
    <row r="98">
      <c r="E98" s="403" t="str">
        <f>IFERROR(__xludf.DUMMYFUNCTION("""COMPUTED_VALUE"""),"BM.1M")</f>
        <v>BM.1M</v>
      </c>
      <c r="F98" s="403" t="str">
        <f>IFERROR(__xludf.DUMMYFUNCTION("""COMPUTED_VALUE"""),"M")</f>
        <v>M</v>
      </c>
      <c r="H98" s="404" t="str">
        <f>IFERROR(__xludf.DUMMYFUNCTION("""COMPUTED_VALUE"""),"El.2FB")</f>
        <v>El.2FB</v>
      </c>
      <c r="I98" s="404" t="str">
        <f>IFERROR(__xludf.DUMMYFUNCTION("""COMPUTED_VALUE"""),"F")</f>
        <v>F</v>
      </c>
      <c r="Z98" s="7"/>
    </row>
    <row r="99">
      <c r="E99" s="403" t="str">
        <f>IFERROR(__xludf.DUMMYFUNCTION("""COMPUTED_VALUE"""),"BM.2F")</f>
        <v>BM.2F</v>
      </c>
      <c r="F99" s="403" t="str">
        <f>IFERROR(__xludf.DUMMYFUNCTION("""COMPUTED_VALUE"""),"F")</f>
        <v>F</v>
      </c>
      <c r="H99" s="404" t="str">
        <f>IFERROR(__xludf.DUMMYFUNCTION("""COMPUTED_VALUE"""),"EQ.1MD")</f>
        <v>EQ.1MD</v>
      </c>
      <c r="I99" s="404" t="str">
        <f>IFERROR(__xludf.DUMMYFUNCTION("""COMPUTED_VALUE"""),"M")</f>
        <v>M</v>
      </c>
      <c r="Z99" s="25"/>
    </row>
    <row r="100">
      <c r="E100" s="403" t="str">
        <f>IFERROR(__xludf.DUMMYFUNCTION("""COMPUTED_VALUE"""),"BM.3M")</f>
        <v>BM.3M</v>
      </c>
      <c r="F100" s="403" t="str">
        <f>IFERROR(__xludf.DUMMYFUNCTION("""COMPUTED_VALUE"""),"M")</f>
        <v>M</v>
      </c>
      <c r="H100" s="404" t="str">
        <f>IFERROR(__xludf.DUMMYFUNCTION("""COMPUTED_VALUE"""),"Fr.1F")</f>
        <v>Fr.1F</v>
      </c>
      <c r="I100" s="404" t="str">
        <f>IFERROR(__xludf.DUMMYFUNCTION("""COMPUTED_VALUE"""),"F")</f>
        <v>F</v>
      </c>
      <c r="Z100" s="7"/>
    </row>
    <row r="101">
      <c r="E101" s="403" t="str">
        <f>IFERROR(__xludf.DUMMYFUNCTION("""COMPUTED_VALUE"""),"BM.4F")</f>
        <v>BM.4F</v>
      </c>
      <c r="F101" s="403" t="str">
        <f>IFERROR(__xludf.DUMMYFUNCTION("""COMPUTED_VALUE"""),"F")</f>
        <v>F</v>
      </c>
      <c r="H101" s="404" t="str">
        <f>IFERROR(__xludf.DUMMYFUNCTION("""COMPUTED_VALUE"""),"Fs.1FC")</f>
        <v>Fs.1FC</v>
      </c>
      <c r="I101" s="404" t="str">
        <f>IFERROR(__xludf.DUMMYFUNCTION("""COMPUTED_VALUE"""),"F")</f>
        <v>F</v>
      </c>
      <c r="Z101" s="7"/>
    </row>
    <row r="102">
      <c r="E102" s="403" t="str">
        <f>IFERROR(__xludf.DUMMYFUNCTION("""COMPUTED_VALUE"""),"BM.5M")</f>
        <v>BM.5M</v>
      </c>
      <c r="F102" s="403" t="str">
        <f>IFERROR(__xludf.DUMMYFUNCTION("""COMPUTED_VALUE"""),"M")</f>
        <v>M</v>
      </c>
      <c r="H102" s="404" t="str">
        <f>IFERROR(__xludf.DUMMYFUNCTION("""COMPUTED_VALUE"""),"Fs.2FC")</f>
        <v>Fs.2FC</v>
      </c>
      <c r="I102" s="404" t="str">
        <f>IFERROR(__xludf.DUMMYFUNCTION("""COMPUTED_VALUE"""),"F")</f>
        <v>F</v>
      </c>
      <c r="Z102" s="7"/>
    </row>
    <row r="103">
      <c r="E103" s="403" t="str">
        <f>IFERROR(__xludf.DUMMYFUNCTION("""COMPUTED_VALUE"""),"BN.1M")</f>
        <v>BN.1M</v>
      </c>
      <c r="F103" s="403" t="str">
        <f>IFERROR(__xludf.DUMMYFUNCTION("""COMPUTED_VALUE"""),"M")</f>
        <v>M</v>
      </c>
      <c r="H103" s="404" t="str">
        <f>IFERROR(__xludf.DUMMYFUNCTION("""COMPUTED_VALUE"""),"Fs.3MC")</f>
        <v>Fs.3MC</v>
      </c>
      <c r="I103" s="404" t="str">
        <f>IFERROR(__xludf.DUMMYFUNCTION("""COMPUTED_VALUE"""),"M")</f>
        <v>M</v>
      </c>
      <c r="Z103" s="7"/>
    </row>
    <row r="104">
      <c r="E104" s="403" t="str">
        <f>IFERROR(__xludf.DUMMYFUNCTION("""COMPUTED_VALUE"""),"BN.2M")</f>
        <v>BN.2M</v>
      </c>
      <c r="F104" s="403" t="str">
        <f>IFERROR(__xludf.DUMMYFUNCTION("""COMPUTED_VALUE"""),"M")</f>
        <v>M</v>
      </c>
      <c r="H104" s="404" t="str">
        <f>IFERROR(__xludf.DUMMYFUNCTION("""COMPUTED_VALUE"""),"Ǧb.1F")</f>
        <v>Ǧb.1F</v>
      </c>
      <c r="I104" s="404" t="str">
        <f>IFERROR(__xludf.DUMMYFUNCTION("""COMPUTED_VALUE"""),"F")</f>
        <v>F</v>
      </c>
      <c r="Z104" s="7"/>
    </row>
    <row r="105">
      <c r="E105" s="403" t="str">
        <f>IFERROR(__xludf.DUMMYFUNCTION("""COMPUTED_VALUE"""),"BNk.1F")</f>
        <v>BNk.1F</v>
      </c>
      <c r="F105" s="403" t="str">
        <f>IFERROR(__xludf.DUMMYFUNCTION("""COMPUTED_VALUE"""),"F")</f>
        <v>F</v>
      </c>
      <c r="H105" s="404" t="str">
        <f>IFERROR(__xludf.DUMMYFUNCTION("""COMPUTED_VALUE"""),"Ǧb.2F")</f>
        <v>Ǧb.2F</v>
      </c>
      <c r="I105" s="404" t="str">
        <f>IFERROR(__xludf.DUMMYFUNCTION("""COMPUTED_VALUE"""),"F")</f>
        <v>F</v>
      </c>
      <c r="Z105" s="7"/>
    </row>
    <row r="106">
      <c r="E106" s="403" t="str">
        <f>IFERROR(__xludf.DUMMYFUNCTION("""COMPUTED_VALUE"""),"BNk.2F")</f>
        <v>BNk.2F</v>
      </c>
      <c r="F106" s="403" t="str">
        <f>IFERROR(__xludf.DUMMYFUNCTION("""COMPUTED_VALUE"""),"F")</f>
        <v>F</v>
      </c>
      <c r="H106" s="404" t="str">
        <f>IFERROR(__xludf.DUMMYFUNCTION("""COMPUTED_VALUE"""),"Ǧd.1F")</f>
        <v>Ǧd.1F</v>
      </c>
      <c r="I106" s="404" t="str">
        <f>IFERROR(__xludf.DUMMYFUNCTION("""COMPUTED_VALUE"""),"F")</f>
        <v>F</v>
      </c>
    </row>
    <row r="107">
      <c r="E107" s="403" t="str">
        <f>IFERROR(__xludf.DUMMYFUNCTION("""COMPUTED_VALUE"""),"BNk.3M")</f>
        <v>BNk.3M</v>
      </c>
      <c r="F107" s="403" t="str">
        <f>IFERROR(__xludf.DUMMYFUNCTION("""COMPUTED_VALUE"""),"M")</f>
        <v>M</v>
      </c>
      <c r="H107" s="404" t="str">
        <f>IFERROR(__xludf.DUMMYFUNCTION("""COMPUTED_VALUE"""),"Ġǧ.1F")</f>
        <v>Ġǧ.1F</v>
      </c>
      <c r="I107" s="404"/>
      <c r="Z107" s="7"/>
    </row>
    <row r="108">
      <c r="E108" s="403" t="str">
        <f>IFERROR(__xludf.DUMMYFUNCTION("""COMPUTED_VALUE"""),"BNk.4M")</f>
        <v>BNk.4M</v>
      </c>
      <c r="F108" s="403" t="str">
        <f>IFERROR(__xludf.DUMMYFUNCTION("""COMPUTED_VALUE"""),"M")</f>
        <v>M</v>
      </c>
      <c r="H108" s="404" t="str">
        <f>IFERROR(__xludf.DUMMYFUNCTION("""COMPUTED_VALUE"""),"Ġǧ.2F")</f>
        <v>Ġǧ.2F</v>
      </c>
      <c r="I108" s="404" t="str">
        <f>IFERROR(__xludf.DUMMYFUNCTION("""COMPUTED_VALUE"""),"F")</f>
        <v>F</v>
      </c>
      <c r="Z108" s="7"/>
    </row>
    <row r="109">
      <c r="E109" s="403" t="str">
        <f>IFERROR(__xludf.DUMMYFUNCTION("""COMPUTED_VALUE"""),"BNk.5F")</f>
        <v>BNk.5F</v>
      </c>
      <c r="F109" s="403" t="str">
        <f>IFERROR(__xludf.DUMMYFUNCTION("""COMPUTED_VALUE"""),"F")</f>
        <v>F</v>
      </c>
      <c r="H109" s="404" t="str">
        <f>IFERROR(__xludf.DUMMYFUNCTION("""COMPUTED_VALUE"""),"ǦM.1F")</f>
        <v>ǦM.1F</v>
      </c>
      <c r="I109" s="404" t="str">
        <f>IFERROR(__xludf.DUMMYFUNCTION("""COMPUTED_VALUE"""),"F")</f>
        <v>F</v>
      </c>
      <c r="Z109" s="83"/>
    </row>
    <row r="110">
      <c r="E110" s="403" t="str">
        <f>IFERROR(__xludf.DUMMYFUNCTION("""COMPUTED_VALUE"""),"BNk.6M")</f>
        <v>BNk.6M</v>
      </c>
      <c r="F110" s="403" t="str">
        <f>IFERROR(__xludf.DUMMYFUNCTION("""COMPUTED_VALUE"""),"F")</f>
        <v>F</v>
      </c>
      <c r="H110" s="404" t="str">
        <f>IFERROR(__xludf.DUMMYFUNCTION("""COMPUTED_VALUE"""),"ǦM.2M")</f>
        <v>ǦM.2M</v>
      </c>
      <c r="I110" s="404" t="str">
        <f>IFERROR(__xludf.DUMMYFUNCTION("""COMPUTED_VALUE"""),"M")</f>
        <v>M</v>
      </c>
      <c r="Z110" s="7"/>
    </row>
    <row r="111">
      <c r="E111" s="403" t="str">
        <f>IFERROR(__xludf.DUMMYFUNCTION("""COMPUTED_VALUE"""),"Bq.1FC")</f>
        <v>Bq.1FC</v>
      </c>
      <c r="F111" s="403" t="str">
        <f>IFERROR(__xludf.DUMMYFUNCTION("""COMPUTED_VALUE"""),"F")</f>
        <v>F</v>
      </c>
      <c r="H111" s="404" t="str">
        <f>IFERROR(__xludf.DUMMYFUNCTION("""COMPUTED_VALUE"""),"ǦM.3M")</f>
        <v>ǦM.3M</v>
      </c>
      <c r="I111" s="404" t="str">
        <f>IFERROR(__xludf.DUMMYFUNCTION("""COMPUTED_VALUE"""),"M")</f>
        <v>M</v>
      </c>
      <c r="Z111" s="7"/>
    </row>
    <row r="112">
      <c r="E112" s="403" t="str">
        <f>IFERROR(__xludf.DUMMYFUNCTION("""COMPUTED_VALUE"""),"Bq.2MD")</f>
        <v>Bq.2MD</v>
      </c>
      <c r="F112" s="403" t="str">
        <f>IFERROR(__xludf.DUMMYFUNCTION("""COMPUTED_VALUE"""),"M")</f>
        <v>M</v>
      </c>
      <c r="H112" s="404" t="str">
        <f>IFERROR(__xludf.DUMMYFUNCTION("""COMPUTED_VALUE"""),"ǦM.4M")</f>
        <v>ǦM.4M</v>
      </c>
      <c r="I112" s="404" t="str">
        <f>IFERROR(__xludf.DUMMYFUNCTION("""COMPUTED_VALUE"""),"M")</f>
        <v>M</v>
      </c>
      <c r="Z112" s="7"/>
    </row>
    <row r="113">
      <c r="E113" s="403" t="str">
        <f>IFERROR(__xludf.DUMMYFUNCTION("""COMPUTED_VALUE"""),"Bq.3MC")</f>
        <v>Bq.3MC</v>
      </c>
      <c r="F113" s="403" t="str">
        <f>IFERROR(__xludf.DUMMYFUNCTION("""COMPUTED_VALUE"""),"M")</f>
        <v>M</v>
      </c>
      <c r="H113" s="404" t="str">
        <f>IFERROR(__xludf.DUMMYFUNCTION("""COMPUTED_VALUE"""),"ǦM.5M")</f>
        <v>ǦM.5M</v>
      </c>
      <c r="I113" s="404" t="str">
        <f>IFERROR(__xludf.DUMMYFUNCTION("""COMPUTED_VALUE"""),"M")</f>
        <v>M</v>
      </c>
      <c r="Z113" s="7"/>
    </row>
    <row r="114">
      <c r="E114" s="403" t="str">
        <f>IFERROR(__xludf.DUMMYFUNCTION("""COMPUTED_VALUE"""),"Bq.4FD")</f>
        <v>Bq.4FD</v>
      </c>
      <c r="F114" s="403" t="str">
        <f>IFERROR(__xludf.DUMMYFUNCTION("""COMPUTED_VALUE"""),"F")</f>
        <v>F</v>
      </c>
      <c r="H114" s="404" t="str">
        <f>IFERROR(__xludf.DUMMYFUNCTION("""COMPUTED_VALUE"""),"Ǧn.1M")</f>
        <v>Ǧn.1M</v>
      </c>
      <c r="I114" s="404" t="str">
        <f>IFERROR(__xludf.DUMMYFUNCTION("""COMPUTED_VALUE"""),"M")</f>
        <v>M</v>
      </c>
      <c r="Z114" s="7"/>
    </row>
    <row r="115">
      <c r="E115" s="403" t="str">
        <f>IFERROR(__xludf.DUMMYFUNCTION("""COMPUTED_VALUE"""),"Br.1FC")</f>
        <v>Br.1FC</v>
      </c>
      <c r="F115" s="403" t="str">
        <f>IFERROR(__xludf.DUMMYFUNCTION("""COMPUTED_VALUE"""),"F")</f>
        <v>F</v>
      </c>
      <c r="H115" s="404" t="str">
        <f>IFERROR(__xludf.DUMMYFUNCTION("""COMPUTED_VALUE"""),"Ǧw.1M")</f>
        <v>Ǧw.1M</v>
      </c>
      <c r="I115" s="404" t="str">
        <f>IFERROR(__xludf.DUMMYFUNCTION("""COMPUTED_VALUE"""),"M")</f>
        <v>M</v>
      </c>
      <c r="Z115" s="7"/>
    </row>
    <row r="116">
      <c r="E116" s="403" t="str">
        <f>IFERROR(__xludf.DUMMYFUNCTION("""COMPUTED_VALUE"""),"Br.2MC")</f>
        <v>Br.2MC</v>
      </c>
      <c r="F116" s="403" t="str">
        <f>IFERROR(__xludf.DUMMYFUNCTION("""COMPUTED_VALUE"""),"M")</f>
        <v>M</v>
      </c>
      <c r="H116" s="404" t="str">
        <f>IFERROR(__xludf.DUMMYFUNCTION("""COMPUTED_VALUE"""),"ǦZ.1M")</f>
        <v>ǦZ.1M</v>
      </c>
      <c r="I116" s="404" t="str">
        <f>IFERROR(__xludf.DUMMYFUNCTION("""COMPUTED_VALUE"""),"M")</f>
        <v>M</v>
      </c>
      <c r="Z116" s="7"/>
    </row>
    <row r="117">
      <c r="E117" s="403" t="str">
        <f>IFERROR(__xludf.DUMMYFUNCTION("""COMPUTED_VALUE"""),"Br.3MC")</f>
        <v>Br.3MC</v>
      </c>
      <c r="F117" s="403" t="str">
        <f>IFERROR(__xludf.DUMMYFUNCTION("""COMPUTED_VALUE"""),"M")</f>
        <v>M</v>
      </c>
      <c r="H117" s="404" t="str">
        <f>IFERROR(__xludf.DUMMYFUNCTION("""COMPUTED_VALUE"""),"Ġz.1M")</f>
        <v>Ġz.1M</v>
      </c>
      <c r="I117" s="404" t="str">
        <f>IFERROR(__xludf.DUMMYFUNCTION("""COMPUTED_VALUE"""),"M")</f>
        <v>M</v>
      </c>
      <c r="Z117" s="7"/>
    </row>
    <row r="118">
      <c r="E118" s="403" t="str">
        <f>IFERROR(__xludf.DUMMYFUNCTION("""COMPUTED_VALUE"""),"Br.4FC")</f>
        <v>Br.4FC</v>
      </c>
      <c r="F118" s="403" t="str">
        <f>IFERROR(__xludf.DUMMYFUNCTION("""COMPUTED_VALUE"""),"F")</f>
        <v>F</v>
      </c>
      <c r="H118" s="404" t="str">
        <f>IFERROR(__xludf.DUMMYFUNCTION("""COMPUTED_VALUE"""),"Ġz.2F")</f>
        <v>Ġz.2F</v>
      </c>
      <c r="I118" s="404" t="str">
        <f>IFERROR(__xludf.DUMMYFUNCTION("""COMPUTED_VALUE"""),"F")</f>
        <v>F</v>
      </c>
      <c r="Z118" s="7"/>
    </row>
    <row r="119">
      <c r="E119" s="403" t="str">
        <f>IFERROR(__xludf.DUMMYFUNCTION("""COMPUTED_VALUE"""),"Br.5MC")</f>
        <v>Br.5MC</v>
      </c>
      <c r="F119" s="403" t="str">
        <f>IFERROR(__xludf.DUMMYFUNCTION("""COMPUTED_VALUE"""),"M")</f>
        <v>M</v>
      </c>
      <c r="H119" s="404" t="str">
        <f>IFERROR(__xludf.DUMMYFUNCTION("""COMPUTED_VALUE"""),"Ġz.3M")</f>
        <v>Ġz.3M</v>
      </c>
      <c r="I119" s="404" t="str">
        <f>IFERROR(__xludf.DUMMYFUNCTION("""COMPUTED_VALUE"""),"M")</f>
        <v>M</v>
      </c>
      <c r="Z119" s="85"/>
    </row>
    <row r="120">
      <c r="E120" s="403" t="str">
        <f>IFERROR(__xludf.DUMMYFUNCTION("""COMPUTED_VALUE"""),"BṢ.10M")</f>
        <v>BṢ.10M</v>
      </c>
      <c r="F120" s="403" t="str">
        <f>IFERROR(__xludf.DUMMYFUNCTION("""COMPUTED_VALUE"""),"M")</f>
        <v>M</v>
      </c>
      <c r="H120" s="404" t="str">
        <f>IFERROR(__xludf.DUMMYFUNCTION("""COMPUTED_VALUE"""),"Ġz.4M")</f>
        <v>Ġz.4M</v>
      </c>
      <c r="I120" s="404" t="str">
        <f>IFERROR(__xludf.DUMMYFUNCTION("""COMPUTED_VALUE"""),"M")</f>
        <v>M</v>
      </c>
    </row>
    <row r="121">
      <c r="E121" s="403" t="str">
        <f>IFERROR(__xludf.DUMMYFUNCTION("""COMPUTED_VALUE"""),"BṢ.11M")</f>
        <v>BṢ.11M</v>
      </c>
      <c r="F121" s="403" t="str">
        <f>IFERROR(__xludf.DUMMYFUNCTION("""COMPUTED_VALUE"""),"M")</f>
        <v>M</v>
      </c>
      <c r="H121" s="404" t="str">
        <f>IFERROR(__xludf.DUMMYFUNCTION("""COMPUTED_VALUE"""),"Ġz.5M")</f>
        <v>Ġz.5M</v>
      </c>
      <c r="I121" s="404" t="str">
        <f>IFERROR(__xludf.DUMMYFUNCTION("""COMPUTED_VALUE"""),"M")</f>
        <v>M</v>
      </c>
      <c r="Z121" s="7"/>
    </row>
    <row r="122">
      <c r="E122" s="403" t="str">
        <f>IFERROR(__xludf.DUMMYFUNCTION("""COMPUTED_VALUE"""),"BṢ.12F")</f>
        <v>BṢ.12F</v>
      </c>
      <c r="F122" s="403" t="str">
        <f>IFERROR(__xludf.DUMMYFUNCTION("""COMPUTED_VALUE"""),"F")</f>
        <v>F</v>
      </c>
      <c r="H122" s="404" t="str">
        <f>IFERROR(__xludf.DUMMYFUNCTION("""COMPUTED_VALUE"""),"Ġz.6M")</f>
        <v>Ġz.6M</v>
      </c>
      <c r="I122" s="404" t="str">
        <f>IFERROR(__xludf.DUMMYFUNCTION("""COMPUTED_VALUE"""),"M")</f>
        <v>M</v>
      </c>
    </row>
    <row r="123">
      <c r="E123" s="403" t="str">
        <f>IFERROR(__xludf.DUMMYFUNCTION("""COMPUTED_VALUE"""),"BṢ.13F")</f>
        <v>BṢ.13F</v>
      </c>
      <c r="F123" s="403" t="str">
        <f>IFERROR(__xludf.DUMMYFUNCTION("""COMPUTED_VALUE"""),"F")</f>
        <v>F</v>
      </c>
      <c r="H123" s="404" t="str">
        <f>IFERROR(__xludf.DUMMYFUNCTION("""COMPUTED_VALUE"""),"Ġz.7M")</f>
        <v>Ġz.7M</v>
      </c>
      <c r="I123" s="404" t="str">
        <f>IFERROR(__xludf.DUMMYFUNCTION("""COMPUTED_VALUE"""),"M")</f>
        <v>M</v>
      </c>
    </row>
    <row r="124">
      <c r="E124" s="403" t="str">
        <f>IFERROR(__xludf.DUMMYFUNCTION("""COMPUTED_VALUE"""),"BṢ.14M")</f>
        <v>BṢ.14M</v>
      </c>
      <c r="F124" s="403" t="str">
        <f>IFERROR(__xludf.DUMMYFUNCTION("""COMPUTED_VALUE"""),"M")</f>
        <v>M</v>
      </c>
      <c r="H124" s="404" t="str">
        <f>IFERROR(__xludf.DUMMYFUNCTION("""COMPUTED_VALUE"""),"Ġz.8M")</f>
        <v>Ġz.8M</v>
      </c>
      <c r="I124" s="404" t="str">
        <f>IFERROR(__xludf.DUMMYFUNCTION("""COMPUTED_VALUE"""),"M")</f>
        <v>M</v>
      </c>
    </row>
    <row r="125">
      <c r="E125" s="403" t="str">
        <f>IFERROR(__xludf.DUMMYFUNCTION("""COMPUTED_VALUE"""),"BṢ.15M")</f>
        <v>BṢ.15M</v>
      </c>
      <c r="F125" s="403" t="str">
        <f>IFERROR(__xludf.DUMMYFUNCTION("""COMPUTED_VALUE"""),"M")</f>
        <v>M</v>
      </c>
      <c r="H125" s="404" t="str">
        <f>IFERROR(__xludf.DUMMYFUNCTION("""COMPUTED_VALUE"""),"Ḥf.1FC")</f>
        <v>Ḥf.1FC</v>
      </c>
      <c r="I125" s="404" t="str">
        <f>IFERROR(__xludf.DUMMYFUNCTION("""COMPUTED_VALUE"""),"F")</f>
        <v>F</v>
      </c>
      <c r="Z125" s="7"/>
    </row>
    <row r="126">
      <c r="E126" s="403" t="str">
        <f>IFERROR(__xludf.DUMMYFUNCTION("""COMPUTED_VALUE"""),"BṢ.16F")</f>
        <v>BṢ.16F</v>
      </c>
      <c r="F126" s="403" t="str">
        <f>IFERROR(__xludf.DUMMYFUNCTION("""COMPUTED_VALUE"""),"F")</f>
        <v>F</v>
      </c>
      <c r="H126" s="404" t="str">
        <f>IFERROR(__xludf.DUMMYFUNCTION("""COMPUTED_VALUE"""),"Ḥf.3MC")</f>
        <v>Ḥf.3MC</v>
      </c>
      <c r="I126" s="404" t="str">
        <f>IFERROR(__xludf.DUMMYFUNCTION("""COMPUTED_VALUE"""),"M")</f>
        <v>M</v>
      </c>
    </row>
    <row r="127">
      <c r="E127" s="403" t="str">
        <f>IFERROR(__xludf.DUMMYFUNCTION("""COMPUTED_VALUE"""),"BṢ.17M")</f>
        <v>BṢ.17M</v>
      </c>
      <c r="F127" s="403" t="str">
        <f>IFERROR(__xludf.DUMMYFUNCTION("""COMPUTED_VALUE"""),"M")</f>
        <v>M</v>
      </c>
      <c r="H127" s="404" t="str">
        <f>IFERROR(__xludf.DUMMYFUNCTION("""COMPUTED_VALUE"""),"Ḥf.4MC")</f>
        <v>Ḥf.4MC</v>
      </c>
      <c r="I127" s="404" t="str">
        <f>IFERROR(__xludf.DUMMYFUNCTION("""COMPUTED_VALUE"""),"M")</f>
        <v>M</v>
      </c>
      <c r="Z127" s="7"/>
    </row>
    <row r="128">
      <c r="E128" s="403" t="str">
        <f>IFERROR(__xludf.DUMMYFUNCTION("""COMPUTED_VALUE"""),"BṢ.18F")</f>
        <v>BṢ.18F</v>
      </c>
      <c r="F128" s="403" t="str">
        <f>IFERROR(__xludf.DUMMYFUNCTION("""COMPUTED_VALUE"""),"F")</f>
        <v>F</v>
      </c>
      <c r="H128" s="404" t="str">
        <f>IFERROR(__xludf.DUMMYFUNCTION("""COMPUTED_VALUE"""),"Ḥf.5FC")</f>
        <v>Ḥf.5FC</v>
      </c>
      <c r="I128" s="404" t="str">
        <f>IFERROR(__xludf.DUMMYFUNCTION("""COMPUTED_VALUE"""),"F")</f>
        <v>F</v>
      </c>
    </row>
    <row r="129">
      <c r="E129" s="403" t="str">
        <f>IFERROR(__xludf.DUMMYFUNCTION("""COMPUTED_VALUE"""),"BṢ.19M")</f>
        <v>BṢ.19M</v>
      </c>
      <c r="F129" s="403" t="str">
        <f>IFERROR(__xludf.DUMMYFUNCTION("""COMPUTED_VALUE"""),"M")</f>
        <v>M</v>
      </c>
      <c r="H129" s="404" t="str">
        <f>IFERROR(__xludf.DUMMYFUNCTION("""COMPUTED_VALUE"""),"Ḥf.6MC")</f>
        <v>Ḥf.6MC</v>
      </c>
      <c r="I129" s="404" t="str">
        <f>IFERROR(__xludf.DUMMYFUNCTION("""COMPUTED_VALUE"""),"M")</f>
        <v>M</v>
      </c>
    </row>
    <row r="130">
      <c r="E130" s="403" t="str">
        <f>IFERROR(__xludf.DUMMYFUNCTION("""COMPUTED_VALUE"""),"BS.1F")</f>
        <v>BS.1F</v>
      </c>
      <c r="F130" s="403" t="str">
        <f>IFERROR(__xludf.DUMMYFUNCTION("""COMPUTED_VALUE"""),"F")</f>
        <v>F</v>
      </c>
      <c r="H130" s="404" t="str">
        <f>IFERROR(__xludf.DUMMYFUNCTION("""COMPUTED_VALUE"""),"Ḥf.7FC")</f>
        <v>Ḥf.7FC</v>
      </c>
      <c r="I130" s="404" t="str">
        <f>IFERROR(__xludf.DUMMYFUNCTION("""COMPUTED_VALUE"""),"F")</f>
        <v>F</v>
      </c>
    </row>
    <row r="131">
      <c r="E131" s="403" t="str">
        <f>IFERROR(__xludf.DUMMYFUNCTION("""COMPUTED_VALUE"""),"BṢ.1M")</f>
        <v>BṢ.1M</v>
      </c>
      <c r="F131" s="403" t="str">
        <f>IFERROR(__xludf.DUMMYFUNCTION("""COMPUTED_VALUE"""),"M")</f>
        <v>M</v>
      </c>
      <c r="H131" s="404" t="str">
        <f>IFERROR(__xludf.DUMMYFUNCTION("""COMPUTED_VALUE"""),"Ḥf.9M")</f>
        <v>Ḥf.9M</v>
      </c>
      <c r="I131" s="404" t="str">
        <f>IFERROR(__xludf.DUMMYFUNCTION("""COMPUTED_VALUE"""),"M")</f>
        <v>M</v>
      </c>
      <c r="Z131" s="7"/>
    </row>
    <row r="132">
      <c r="E132" s="403" t="str">
        <f>IFERROR(__xludf.DUMMYFUNCTION("""COMPUTED_VALUE"""),"BṢ.20F")</f>
        <v>BṢ.20F</v>
      </c>
      <c r="F132" s="403" t="str">
        <f>IFERROR(__xludf.DUMMYFUNCTION("""COMPUTED_VALUE"""),"F")</f>
        <v>F</v>
      </c>
      <c r="H132" s="404" t="str">
        <f>IFERROR(__xludf.DUMMYFUNCTION("""COMPUTED_VALUE"""),"Ḥsn.1M")</f>
        <v>Ḥsn.1M</v>
      </c>
      <c r="I132" s="404" t="str">
        <f>IFERROR(__xludf.DUMMYFUNCTION("""COMPUTED_VALUE"""),"M")</f>
        <v>M</v>
      </c>
    </row>
    <row r="133">
      <c r="E133" s="403" t="str">
        <f>IFERROR(__xludf.DUMMYFUNCTION("""COMPUTED_VALUE"""),"BṢ.21M")</f>
        <v>BṢ.21M</v>
      </c>
      <c r="F133" s="403" t="str">
        <f>IFERROR(__xludf.DUMMYFUNCTION("""COMPUTED_VALUE"""),"M")</f>
        <v>M</v>
      </c>
      <c r="H133" s="404" t="str">
        <f>IFERROR(__xludf.DUMMYFUNCTION("""COMPUTED_VALUE"""),"Ḥz.1F")</f>
        <v>Ḥz.1F</v>
      </c>
      <c r="I133" s="404" t="str">
        <f>IFERROR(__xludf.DUMMYFUNCTION("""COMPUTED_VALUE"""),"F")</f>
        <v>F</v>
      </c>
      <c r="Z133" s="87"/>
    </row>
    <row r="134">
      <c r="E134" s="403" t="str">
        <f>IFERROR(__xludf.DUMMYFUNCTION("""COMPUTED_VALUE"""),"BṢ.22M")</f>
        <v>BṢ.22M</v>
      </c>
      <c r="F134" s="403" t="str">
        <f>IFERROR(__xludf.DUMMYFUNCTION("""COMPUTED_VALUE"""),"M")</f>
        <v>M</v>
      </c>
      <c r="H134" s="404" t="str">
        <f>IFERROR(__xludf.DUMMYFUNCTION("""COMPUTED_VALUE"""),"Ir.1F")</f>
        <v>Ir.1F</v>
      </c>
      <c r="I134" s="404" t="str">
        <f>IFERROR(__xludf.DUMMYFUNCTION("""COMPUTED_VALUE"""),"F")</f>
        <v>F</v>
      </c>
      <c r="Z134" s="7"/>
    </row>
    <row r="135">
      <c r="E135" s="403" t="str">
        <f>IFERROR(__xludf.DUMMYFUNCTION("""COMPUTED_VALUE"""),"BṢ.23F")</f>
        <v>BṢ.23F</v>
      </c>
      <c r="F135" s="403" t="str">
        <f>IFERROR(__xludf.DUMMYFUNCTION("""COMPUTED_VALUE"""),"F")</f>
        <v>F</v>
      </c>
      <c r="H135" s="404" t="str">
        <f>IFERROR(__xludf.DUMMYFUNCTION("""COMPUTED_VALUE"""),"Ir.2M")</f>
        <v>Ir.2M</v>
      </c>
      <c r="I135" s="404" t="str">
        <f>IFERROR(__xludf.DUMMYFUNCTION("""COMPUTED_VALUE"""),"M")</f>
        <v>M</v>
      </c>
      <c r="Z135" s="25"/>
    </row>
    <row r="136">
      <c r="E136" s="403" t="str">
        <f>IFERROR(__xludf.DUMMYFUNCTION("""COMPUTED_VALUE"""),"BṢ.24M")</f>
        <v>BṢ.24M</v>
      </c>
      <c r="F136" s="403" t="str">
        <f>IFERROR(__xludf.DUMMYFUNCTION("""COMPUTED_VALUE"""),"M")</f>
        <v>M</v>
      </c>
      <c r="H136" s="404" t="str">
        <f>IFERROR(__xludf.DUMMYFUNCTION("""COMPUTED_VALUE"""),"Is.1F")</f>
        <v>Is.1F</v>
      </c>
      <c r="I136" s="404" t="str">
        <f>IFERROR(__xludf.DUMMYFUNCTION("""COMPUTED_VALUE"""),"F")</f>
        <v>F</v>
      </c>
      <c r="Z136" s="25"/>
    </row>
    <row r="137">
      <c r="E137" s="403" t="str">
        <f>IFERROR(__xludf.DUMMYFUNCTION("""COMPUTED_VALUE"""),"BṢ.25M")</f>
        <v>BṢ.25M</v>
      </c>
      <c r="F137" s="403" t="str">
        <f>IFERROR(__xludf.DUMMYFUNCTION("""COMPUTED_VALUE"""),"M")</f>
        <v>M</v>
      </c>
      <c r="H137" s="404" t="str">
        <f>IFERROR(__xludf.DUMMYFUNCTION("""COMPUTED_VALUE"""),"Is.2F")</f>
        <v>Is.2F</v>
      </c>
      <c r="I137" s="404" t="str">
        <f>IFERROR(__xludf.DUMMYFUNCTION("""COMPUTED_VALUE"""),"F")</f>
        <v>F</v>
      </c>
      <c r="Z137" s="25"/>
    </row>
    <row r="138">
      <c r="E138" s="403" t="str">
        <f>IFERROR(__xludf.DUMMYFUNCTION("""COMPUTED_VALUE"""),"BṢ.26M")</f>
        <v>BṢ.26M</v>
      </c>
      <c r="F138" s="403" t="str">
        <f>IFERROR(__xludf.DUMMYFUNCTION("""COMPUTED_VALUE"""),"M")</f>
        <v>M</v>
      </c>
      <c r="H138" s="404" t="str">
        <f>IFERROR(__xludf.DUMMYFUNCTION("""COMPUTED_VALUE"""),"Is.3F")</f>
        <v>Is.3F</v>
      </c>
      <c r="I138" s="404" t="str">
        <f>IFERROR(__xludf.DUMMYFUNCTION("""COMPUTED_VALUE"""),"F")</f>
        <v>F</v>
      </c>
      <c r="Z138" s="25"/>
    </row>
    <row r="139">
      <c r="E139" s="403" t="str">
        <f>IFERROR(__xludf.DUMMYFUNCTION("""COMPUTED_VALUE"""),"BṢ.27F")</f>
        <v>BṢ.27F</v>
      </c>
      <c r="F139" s="403" t="str">
        <f>IFERROR(__xludf.DUMMYFUNCTION("""COMPUTED_VALUE"""),"F")</f>
        <v>F</v>
      </c>
      <c r="H139" s="404" t="str">
        <f>IFERROR(__xludf.DUMMYFUNCTION("""COMPUTED_VALUE"""),"Is.4M")</f>
        <v>Is.4M</v>
      </c>
      <c r="I139" s="404" t="str">
        <f>IFERROR(__xludf.DUMMYFUNCTION("""COMPUTED_VALUE"""),"M")</f>
        <v>M</v>
      </c>
    </row>
    <row r="140">
      <c r="E140" s="403" t="str">
        <f>IFERROR(__xludf.DUMMYFUNCTION("""COMPUTED_VALUE"""),"BS.2F")</f>
        <v>BS.2F</v>
      </c>
      <c r="F140" s="403" t="str">
        <f>IFERROR(__xludf.DUMMYFUNCTION("""COMPUTED_VALUE"""),"F")</f>
        <v>F</v>
      </c>
      <c r="H140" s="404" t="str">
        <f>IFERROR(__xludf.DUMMYFUNCTION("""COMPUTED_VALUE"""),"Is.5M")</f>
        <v>Is.5M</v>
      </c>
      <c r="I140" s="404" t="str">
        <f>IFERROR(__xludf.DUMMYFUNCTION("""COMPUTED_VALUE"""),"M")</f>
        <v>M</v>
      </c>
      <c r="Z140" s="25"/>
    </row>
    <row r="141">
      <c r="E141" s="403" t="str">
        <f>IFERROR(__xludf.DUMMYFUNCTION("""COMPUTED_VALUE"""),"BṢ.2F")</f>
        <v>BṢ.2F</v>
      </c>
      <c r="F141" s="403" t="str">
        <f>IFERROR(__xludf.DUMMYFUNCTION("""COMPUTED_VALUE"""),"F")</f>
        <v>F</v>
      </c>
      <c r="H141" s="404" t="str">
        <f>IFERROR(__xludf.DUMMYFUNCTION("""COMPUTED_VALUE"""),"Is.6F")</f>
        <v>Is.6F</v>
      </c>
      <c r="I141" s="404" t="str">
        <f>IFERROR(__xludf.DUMMYFUNCTION("""COMPUTED_VALUE"""),"F")</f>
        <v>F</v>
      </c>
    </row>
    <row r="142">
      <c r="E142" s="403" t="str">
        <f>IFERROR(__xludf.DUMMYFUNCTION("""COMPUTED_VALUE"""),"BS.3F")</f>
        <v>BS.3F</v>
      </c>
      <c r="F142" s="403" t="str">
        <f>IFERROR(__xludf.DUMMYFUNCTION("""COMPUTED_VALUE"""),"F")</f>
        <v>F</v>
      </c>
      <c r="H142" s="404" t="str">
        <f>IFERROR(__xludf.DUMMYFUNCTION("""COMPUTED_VALUE"""),"Is.7M")</f>
        <v>Is.7M</v>
      </c>
      <c r="I142" s="404" t="str">
        <f>IFERROR(__xludf.DUMMYFUNCTION("""COMPUTED_VALUE"""),"M")</f>
        <v>M</v>
      </c>
    </row>
    <row r="143">
      <c r="E143" s="403" t="str">
        <f>IFERROR(__xludf.DUMMYFUNCTION("""COMPUTED_VALUE"""),"BṢ.3F")</f>
        <v>BṢ.3F</v>
      </c>
      <c r="F143" s="403" t="str">
        <f>IFERROR(__xludf.DUMMYFUNCTION("""COMPUTED_VALUE"""),"F")</f>
        <v>F</v>
      </c>
      <c r="H143" s="404" t="str">
        <f>IFERROR(__xludf.DUMMYFUNCTION("""COMPUTED_VALUE"""),"Is.8M")</f>
        <v>Is.8M</v>
      </c>
      <c r="I143" s="404" t="str">
        <f>IFERROR(__xludf.DUMMYFUNCTION("""COMPUTED_VALUE"""),"M")</f>
        <v>M</v>
      </c>
    </row>
    <row r="144">
      <c r="E144" s="403" t="str">
        <f>IFERROR(__xludf.DUMMYFUNCTION("""COMPUTED_VALUE"""),"BṢ.4F")</f>
        <v>BṢ.4F</v>
      </c>
      <c r="F144" s="403" t="str">
        <f>IFERROR(__xludf.DUMMYFUNCTION("""COMPUTED_VALUE"""),"F")</f>
        <v>F</v>
      </c>
      <c r="H144" s="404" t="str">
        <f>IFERROR(__xludf.DUMMYFUNCTION("""COMPUTED_VALUE"""),"Is.9F")</f>
        <v>Is.9F</v>
      </c>
      <c r="I144" s="404" t="str">
        <f>IFERROR(__xludf.DUMMYFUNCTION("""COMPUTED_VALUE"""),"F")</f>
        <v>F</v>
      </c>
    </row>
    <row r="145">
      <c r="E145" s="403" t="str">
        <f>IFERROR(__xludf.DUMMYFUNCTION("""COMPUTED_VALUE"""),"BS.4M")</f>
        <v>BS.4M</v>
      </c>
      <c r="F145" s="403" t="str">
        <f>IFERROR(__xludf.DUMMYFUNCTION("""COMPUTED_VALUE"""),"M")</f>
        <v>M</v>
      </c>
      <c r="H145" s="404" t="str">
        <f>IFERROR(__xludf.DUMMYFUNCTION("""COMPUTED_VALUE"""),"Jr.1MA")</f>
        <v>Jr.1MA</v>
      </c>
      <c r="I145" s="404" t="str">
        <f>IFERROR(__xludf.DUMMYFUNCTION("""COMPUTED_VALUE"""),"M")</f>
        <v>M</v>
      </c>
      <c r="Z145" s="7"/>
    </row>
    <row r="146">
      <c r="E146" s="403" t="str">
        <f>IFERROR(__xludf.DUMMYFUNCTION("""COMPUTED_VALUE"""),"BṢ.5F")</f>
        <v>BṢ.5F</v>
      </c>
      <c r="F146" s="403" t="str">
        <f>IFERROR(__xludf.DUMMYFUNCTION("""COMPUTED_VALUE"""),"F")</f>
        <v>F</v>
      </c>
      <c r="H146" s="404" t="str">
        <f>IFERROR(__xludf.DUMMYFUNCTION("""COMPUTED_VALUE"""),"Jr.2FC")</f>
        <v>Jr.2FC</v>
      </c>
      <c r="I146" s="404" t="str">
        <f>IFERROR(__xludf.DUMMYFUNCTION("""COMPUTED_VALUE"""),"F")</f>
        <v>F</v>
      </c>
      <c r="Z146" s="7"/>
    </row>
    <row r="147">
      <c r="E147" s="403" t="str">
        <f>IFERROR(__xludf.DUMMYFUNCTION("""COMPUTED_VALUE"""),"BS.5M")</f>
        <v>BS.5M</v>
      </c>
      <c r="F147" s="403" t="str">
        <f>IFERROR(__xludf.DUMMYFUNCTION("""COMPUTED_VALUE"""),"M")</f>
        <v>M</v>
      </c>
      <c r="H147" s="404" t="str">
        <f>IFERROR(__xludf.DUMMYFUNCTION("""COMPUTED_VALUE"""),"Jr.3MC")</f>
        <v>Jr.3MC</v>
      </c>
      <c r="I147" s="404" t="str">
        <f>IFERROR(__xludf.DUMMYFUNCTION("""COMPUTED_VALUE"""),"M")</f>
        <v>M</v>
      </c>
      <c r="Z147" s="7"/>
    </row>
    <row r="148">
      <c r="E148" s="403" t="str">
        <f>IFERROR(__xludf.DUMMYFUNCTION("""COMPUTED_VALUE"""),"BS.6M")</f>
        <v>BS.6M</v>
      </c>
      <c r="F148" s="403" t="str">
        <f>IFERROR(__xludf.DUMMYFUNCTION("""COMPUTED_VALUE"""),"M")</f>
        <v>M</v>
      </c>
      <c r="H148" s="404" t="str">
        <f>IFERROR(__xludf.DUMMYFUNCTION("""COMPUTED_VALUE"""),"Jr.5MC")</f>
        <v>Jr.5MC</v>
      </c>
      <c r="I148" s="404" t="str">
        <f>IFERROR(__xludf.DUMMYFUNCTION("""COMPUTED_VALUE"""),"M")</f>
        <v>M</v>
      </c>
      <c r="Z148" s="7"/>
    </row>
    <row r="149">
      <c r="E149" s="403" t="str">
        <f>IFERROR(__xludf.DUMMYFUNCTION("""COMPUTED_VALUE"""),"BṢ.6M")</f>
        <v>BṢ.6M</v>
      </c>
      <c r="F149" s="403" t="str">
        <f>IFERROR(__xludf.DUMMYFUNCTION("""COMPUTED_VALUE"""),"M")</f>
        <v>M</v>
      </c>
      <c r="H149" s="404" t="str">
        <f>IFERROR(__xludf.DUMMYFUNCTION("""COMPUTED_VALUE"""),"Jr.6FC")</f>
        <v>Jr.6FC</v>
      </c>
      <c r="I149" s="404" t="str">
        <f>IFERROR(__xludf.DUMMYFUNCTION("""COMPUTED_VALUE"""),"F")</f>
        <v>F</v>
      </c>
      <c r="Z149" s="7"/>
    </row>
    <row r="150">
      <c r="E150" s="403" t="str">
        <f>IFERROR(__xludf.DUMMYFUNCTION("""COMPUTED_VALUE"""),"BṢ.7M")</f>
        <v>BṢ.7M</v>
      </c>
      <c r="F150" s="403" t="str">
        <f>IFERROR(__xludf.DUMMYFUNCTION("""COMPUTED_VALUE"""),"M")</f>
        <v>M</v>
      </c>
      <c r="H150" s="404" t="str">
        <f>IFERROR(__xludf.DUMMYFUNCTION("""COMPUTED_VALUE"""),"Jr.7MC")</f>
        <v>Jr.7MC</v>
      </c>
      <c r="I150" s="404" t="str">
        <f>IFERROR(__xludf.DUMMYFUNCTION("""COMPUTED_VALUE"""),"M")</f>
        <v>M</v>
      </c>
      <c r="Z150" s="7"/>
    </row>
    <row r="151">
      <c r="E151" s="403" t="str">
        <f>IFERROR(__xludf.DUMMYFUNCTION("""COMPUTED_VALUE"""),"BṢ.8F")</f>
        <v>BṢ.8F</v>
      </c>
      <c r="F151" s="403" t="str">
        <f>IFERROR(__xludf.DUMMYFUNCTION("""COMPUTED_VALUE"""),"F")</f>
        <v>F</v>
      </c>
      <c r="H151" s="404" t="str">
        <f>IFERROR(__xludf.DUMMYFUNCTION("""COMPUTED_VALUE"""),"KAH.2F")</f>
        <v>KAH.2F</v>
      </c>
      <c r="I151" s="404" t="str">
        <f>IFERROR(__xludf.DUMMYFUNCTION("""COMPUTED_VALUE"""),"F")</f>
        <v>F</v>
      </c>
      <c r="Z151" s="7"/>
    </row>
    <row r="152">
      <c r="E152" s="403" t="str">
        <f>IFERROR(__xludf.DUMMYFUNCTION("""COMPUTED_VALUE"""),"BṢ.9M")</f>
        <v>BṢ.9M</v>
      </c>
      <c r="F152" s="403" t="str">
        <f>IFERROR(__xludf.DUMMYFUNCTION("""COMPUTED_VALUE"""),"M")</f>
        <v>M</v>
      </c>
      <c r="H152" s="404" t="str">
        <f>IFERROR(__xludf.DUMMYFUNCTION("""COMPUTED_VALUE"""),"Kb.1F")</f>
        <v>Kb.1F</v>
      </c>
      <c r="I152" s="404" t="str">
        <f>IFERROR(__xludf.DUMMYFUNCTION("""COMPUTED_VALUE"""),"F")</f>
        <v>F</v>
      </c>
      <c r="Z152" s="7"/>
    </row>
    <row r="153">
      <c r="E153" s="403" t="str">
        <f>IFERROR(__xludf.DUMMYFUNCTION("""COMPUTED_VALUE"""),"BSḥ.10M")</f>
        <v>BSḥ.10M</v>
      </c>
      <c r="F153" s="403" t="str">
        <f>IFERROR(__xludf.DUMMYFUNCTION("""COMPUTED_VALUE"""),"M")</f>
        <v>M</v>
      </c>
      <c r="H153" s="404" t="str">
        <f>IFERROR(__xludf.DUMMYFUNCTION("""COMPUTED_VALUE"""),"Kbb.1M")</f>
        <v>Kbb.1M</v>
      </c>
      <c r="I153" s="404" t="str">
        <f>IFERROR(__xludf.DUMMYFUNCTION("""COMPUTED_VALUE"""),"M")</f>
        <v>M</v>
      </c>
      <c r="Z153" s="7"/>
    </row>
    <row r="154">
      <c r="E154" s="403" t="str">
        <f>IFERROR(__xludf.DUMMYFUNCTION("""COMPUTED_VALUE"""),"BSḥ.11F")</f>
        <v>BSḥ.11F</v>
      </c>
      <c r="F154" s="403" t="str">
        <f>IFERROR(__xludf.DUMMYFUNCTION("""COMPUTED_VALUE"""),"F")</f>
        <v>F</v>
      </c>
      <c r="H154" s="404" t="str">
        <f>IFERROR(__xludf.DUMMYFUNCTION("""COMPUTED_VALUE"""),"Kbb.2M")</f>
        <v>Kbb.2M</v>
      </c>
      <c r="I154" s="404" t="str">
        <f>IFERROR(__xludf.DUMMYFUNCTION("""COMPUTED_VALUE"""),"M")</f>
        <v>M</v>
      </c>
      <c r="Z154" s="7"/>
    </row>
    <row r="155">
      <c r="E155" s="403" t="str">
        <f>IFERROR(__xludf.DUMMYFUNCTION("""COMPUTED_VALUE"""),"BSḥ.12F")</f>
        <v>BSḥ.12F</v>
      </c>
      <c r="F155" s="403" t="str">
        <f>IFERROR(__xludf.DUMMYFUNCTION("""COMPUTED_VALUE"""),"F")</f>
        <v>F</v>
      </c>
      <c r="H155" s="404" t="str">
        <f>IFERROR(__xludf.DUMMYFUNCTION("""COMPUTED_VALUE"""),"KM.1M")</f>
        <v>KM.1M</v>
      </c>
      <c r="I155" s="404" t="str">
        <f>IFERROR(__xludf.DUMMYFUNCTION("""COMPUTED_VALUE"""),"M")</f>
        <v>M</v>
      </c>
      <c r="Z155" s="7"/>
    </row>
    <row r="156">
      <c r="E156" s="403" t="str">
        <f>IFERROR(__xludf.DUMMYFUNCTION("""COMPUTED_VALUE"""),"BSḥ.13M")</f>
        <v>BSḥ.13M</v>
      </c>
      <c r="F156" s="403" t="str">
        <f>IFERROR(__xludf.DUMMYFUNCTION("""COMPUTED_VALUE"""),"M")</f>
        <v>M</v>
      </c>
      <c r="H156" s="404" t="str">
        <f>IFERROR(__xludf.DUMMYFUNCTION("""COMPUTED_VALUE"""),"KM.2F")</f>
        <v>KM.2F</v>
      </c>
      <c r="I156" s="404" t="str">
        <f>IFERROR(__xludf.DUMMYFUNCTION("""COMPUTED_VALUE"""),"F")</f>
        <v>F</v>
      </c>
      <c r="Z156" s="7"/>
    </row>
    <row r="157">
      <c r="E157" s="403" t="str">
        <f>IFERROR(__xludf.DUMMYFUNCTION("""COMPUTED_VALUE"""),"BSḥ.14M")</f>
        <v>BSḥ.14M</v>
      </c>
      <c r="F157" s="403" t="str">
        <f>IFERROR(__xludf.DUMMYFUNCTION("""COMPUTED_VALUE"""),"M")</f>
        <v>M</v>
      </c>
      <c r="H157" s="404" t="str">
        <f>IFERROR(__xludf.DUMMYFUNCTION("""COMPUTED_VALUE"""),"KN.2F")</f>
        <v>KN.2F</v>
      </c>
      <c r="I157" s="404" t="str">
        <f>IFERROR(__xludf.DUMMYFUNCTION("""COMPUTED_VALUE"""),"F")</f>
        <v>F</v>
      </c>
      <c r="Z157" s="7"/>
    </row>
    <row r="158">
      <c r="E158" s="403" t="str">
        <f>IFERROR(__xludf.DUMMYFUNCTION("""COMPUTED_VALUE"""),"BSḥ.15F")</f>
        <v>BSḥ.15F</v>
      </c>
      <c r="F158" s="403" t="str">
        <f>IFERROR(__xludf.DUMMYFUNCTION("""COMPUTED_VALUE"""),"F")</f>
        <v>F</v>
      </c>
      <c r="H158" s="404" t="str">
        <f>IFERROR(__xludf.DUMMYFUNCTION("""COMPUTED_VALUE"""),"KS.1FC")</f>
        <v>KS.1FC</v>
      </c>
      <c r="I158" s="404" t="str">
        <f>IFERROR(__xludf.DUMMYFUNCTION("""COMPUTED_VALUE"""),"F")</f>
        <v>F</v>
      </c>
      <c r="Z158" s="7"/>
    </row>
    <row r="159">
      <c r="E159" s="403" t="str">
        <f>IFERROR(__xludf.DUMMYFUNCTION("""COMPUTED_VALUE"""),"BSḥ.1MC")</f>
        <v>BSḥ.1MC</v>
      </c>
      <c r="F159" s="403" t="str">
        <f>IFERROR(__xludf.DUMMYFUNCTION("""COMPUTED_VALUE"""),"M")</f>
        <v>M</v>
      </c>
      <c r="H159" s="404" t="str">
        <f>IFERROR(__xludf.DUMMYFUNCTION("""COMPUTED_VALUE"""),"KS.2FD")</f>
        <v>KS.2FD</v>
      </c>
      <c r="I159" s="404" t="str">
        <f>IFERROR(__xludf.DUMMYFUNCTION("""COMPUTED_VALUE"""),"F")</f>
        <v>F</v>
      </c>
      <c r="Z159" s="7"/>
    </row>
    <row r="160">
      <c r="E160" s="403" t="str">
        <f>IFERROR(__xludf.DUMMYFUNCTION("""COMPUTED_VALUE"""),"BSḥ.2FC")</f>
        <v>BSḥ.2FC</v>
      </c>
      <c r="F160" s="403" t="str">
        <f>IFERROR(__xludf.DUMMYFUNCTION("""COMPUTED_VALUE"""),"F")</f>
        <v>F</v>
      </c>
      <c r="H160" s="404" t="str">
        <f>IFERROR(__xludf.DUMMYFUNCTION("""COMPUTED_VALUE"""),"KS.3MD")</f>
        <v>KS.3MD</v>
      </c>
      <c r="I160" s="404" t="str">
        <f>IFERROR(__xludf.DUMMYFUNCTION("""COMPUTED_VALUE"""),"M")</f>
        <v>M</v>
      </c>
    </row>
    <row r="161">
      <c r="E161" s="403" t="str">
        <f>IFERROR(__xludf.DUMMYFUNCTION("""COMPUTED_VALUE"""),"BSḥ.3FC")</f>
        <v>BSḥ.3FC</v>
      </c>
      <c r="F161" s="403" t="str">
        <f>IFERROR(__xludf.DUMMYFUNCTION("""COMPUTED_VALUE"""),"F")</f>
        <v>F</v>
      </c>
      <c r="H161" s="404" t="str">
        <f>IFERROR(__xludf.DUMMYFUNCTION("""COMPUTED_VALUE"""),"Ksf.1MB")</f>
        <v>Ksf.1MB</v>
      </c>
      <c r="I161" s="404" t="str">
        <f>IFERROR(__xludf.DUMMYFUNCTION("""COMPUTED_VALUE"""),"M")</f>
        <v>M</v>
      </c>
    </row>
    <row r="162">
      <c r="E162" s="403" t="str">
        <f>IFERROR(__xludf.DUMMYFUNCTION("""COMPUTED_VALUE"""),"BSḥ.4MC")</f>
        <v>BSḥ.4MC</v>
      </c>
      <c r="F162" s="403" t="str">
        <f>IFERROR(__xludf.DUMMYFUNCTION("""COMPUTED_VALUE"""),"M")</f>
        <v>M</v>
      </c>
      <c r="H162" s="404" t="str">
        <f>IFERROR(__xludf.DUMMYFUNCTION("""COMPUTED_VALUE"""),"Ksf.2MB")</f>
        <v>Ksf.2MB</v>
      </c>
      <c r="I162" s="404" t="str">
        <f>IFERROR(__xludf.DUMMYFUNCTION("""COMPUTED_VALUE"""),"M")</f>
        <v>M</v>
      </c>
    </row>
    <row r="163">
      <c r="E163" s="403" t="str">
        <f>IFERROR(__xludf.DUMMYFUNCTION("""COMPUTED_VALUE"""),"BSḥ.5MC")</f>
        <v>BSḥ.5MC</v>
      </c>
      <c r="F163" s="403" t="str">
        <f>IFERROR(__xludf.DUMMYFUNCTION("""COMPUTED_VALUE"""),"M")</f>
        <v>M</v>
      </c>
      <c r="H163" s="404" t="str">
        <f>IFERROR(__xludf.DUMMYFUNCTION("""COMPUTED_VALUE"""),"Ksf.3MB")</f>
        <v>Ksf.3MB</v>
      </c>
      <c r="I163" s="404" t="str">
        <f>IFERROR(__xludf.DUMMYFUNCTION("""COMPUTED_VALUE"""),"M")</f>
        <v>M</v>
      </c>
    </row>
    <row r="164">
      <c r="E164" s="403" t="str">
        <f>IFERROR(__xludf.DUMMYFUNCTION("""COMPUTED_VALUE"""),"BSḥ.6FC")</f>
        <v>BSḥ.6FC</v>
      </c>
      <c r="F164" s="403" t="str">
        <f>IFERROR(__xludf.DUMMYFUNCTION("""COMPUTED_VALUE"""),"F")</f>
        <v>F</v>
      </c>
      <c r="H164" s="404" t="str">
        <f>IFERROR(__xludf.DUMMYFUNCTION("""COMPUTED_VALUE"""),"Ksr.1FD")</f>
        <v>Ksr.1FD</v>
      </c>
      <c r="I164" s="404" t="str">
        <f>IFERROR(__xludf.DUMMYFUNCTION("""COMPUTED_VALUE"""),"F")</f>
        <v>F</v>
      </c>
    </row>
    <row r="165">
      <c r="E165" s="403" t="str">
        <f>IFERROR(__xludf.DUMMYFUNCTION("""COMPUTED_VALUE"""),"BSḥ.7FC")</f>
        <v>BSḥ.7FC</v>
      </c>
      <c r="F165" s="403" t="str">
        <f>IFERROR(__xludf.DUMMYFUNCTION("""COMPUTED_VALUE"""),"F")</f>
        <v>F</v>
      </c>
      <c r="H165" s="404" t="str">
        <f>IFERROR(__xludf.DUMMYFUNCTION("""COMPUTED_VALUE"""),"Ksr.2FD")</f>
        <v>Ksr.2FD</v>
      </c>
      <c r="I165" s="404" t="str">
        <f>IFERROR(__xludf.DUMMYFUNCTION("""COMPUTED_VALUE"""),"F")</f>
        <v>F</v>
      </c>
    </row>
    <row r="166">
      <c r="E166" s="403" t="str">
        <f>IFERROR(__xludf.DUMMYFUNCTION("""COMPUTED_VALUE"""),"BSḥ.8MC")</f>
        <v>BSḥ.8MC</v>
      </c>
      <c r="F166" s="403" t="str">
        <f>IFERROR(__xludf.DUMMYFUNCTION("""COMPUTED_VALUE"""),"M")</f>
        <v>M</v>
      </c>
      <c r="H166" s="404" t="str">
        <f>IFERROR(__xludf.DUMMYFUNCTION("""COMPUTED_VALUE"""),"Ksr.3MD")</f>
        <v>Ksr.3MD</v>
      </c>
      <c r="I166" s="404" t="str">
        <f>IFERROR(__xludf.DUMMYFUNCTION("""COMPUTED_VALUE"""),"M")</f>
        <v>M</v>
      </c>
      <c r="Z166" s="7"/>
    </row>
    <row r="167">
      <c r="E167" s="403" t="str">
        <f>IFERROR(__xludf.DUMMYFUNCTION("""COMPUTED_VALUE"""),"BSḥ.9FC")</f>
        <v>BSḥ.9FC</v>
      </c>
      <c r="F167" s="403" t="str">
        <f>IFERROR(__xludf.DUMMYFUNCTION("""COMPUTED_VALUE"""),"F")</f>
        <v>F</v>
      </c>
      <c r="H167" s="404" t="str">
        <f>IFERROR(__xludf.DUMMYFUNCTION("""COMPUTED_VALUE"""),"Kṭn.1F")</f>
        <v>Kṭn.1F</v>
      </c>
      <c r="I167" s="404" t="str">
        <f>IFERROR(__xludf.DUMMYFUNCTION("""COMPUTED_VALUE"""),"F")</f>
        <v>F</v>
      </c>
    </row>
    <row r="168">
      <c r="E168" s="403" t="str">
        <f>IFERROR(__xludf.DUMMYFUNCTION("""COMPUTED_VALUE"""),"Bt.1M")</f>
        <v>Bt.1M</v>
      </c>
      <c r="F168" s="403" t="str">
        <f>IFERROR(__xludf.DUMMYFUNCTION("""COMPUTED_VALUE"""),"M")</f>
        <v>M</v>
      </c>
      <c r="H168" s="404" t="str">
        <f>IFERROR(__xludf.DUMMYFUNCTION("""COMPUTED_VALUE"""),"Kṭn.2M")</f>
        <v>Kṭn.2M</v>
      </c>
      <c r="I168" s="404" t="str">
        <f>IFERROR(__xludf.DUMMYFUNCTION("""COMPUTED_VALUE"""),"M")</f>
        <v>M</v>
      </c>
    </row>
    <row r="169">
      <c r="E169" s="403" t="str">
        <f>IFERROR(__xludf.DUMMYFUNCTION("""COMPUTED_VALUE"""),"Bt.2M")</f>
        <v>Bt.2M</v>
      </c>
      <c r="F169" s="403" t="str">
        <f>IFERROR(__xludf.DUMMYFUNCTION("""COMPUTED_VALUE"""),"M")</f>
        <v>M</v>
      </c>
      <c r="H169" s="404" t="str">
        <f>IFERROR(__xludf.DUMMYFUNCTION("""COMPUTED_VALUE"""),"KY.1FC")</f>
        <v>KY.1FC</v>
      </c>
      <c r="I169" s="404" t="str">
        <f>IFERROR(__xludf.DUMMYFUNCTION("""COMPUTED_VALUE"""),"F")</f>
        <v>F</v>
      </c>
      <c r="Z169" s="7"/>
    </row>
    <row r="170">
      <c r="E170" s="403" t="str">
        <f>IFERROR(__xludf.DUMMYFUNCTION("""COMPUTED_VALUE"""),"BŪ.1F")</f>
        <v>BŪ.1F</v>
      </c>
      <c r="F170" s="403" t="str">
        <f>IFERROR(__xludf.DUMMYFUNCTION("""COMPUTED_VALUE"""),"F")</f>
        <v>F</v>
      </c>
      <c r="H170" s="404" t="str">
        <f>IFERROR(__xludf.DUMMYFUNCTION("""COMPUTED_VALUE"""),"KY.2MC")</f>
        <v>KY.2MC</v>
      </c>
      <c r="I170" s="404" t="str">
        <f>IFERROR(__xludf.DUMMYFUNCTION("""COMPUTED_VALUE"""),"M")</f>
        <v>M</v>
      </c>
      <c r="Z170" s="7"/>
    </row>
    <row r="171">
      <c r="E171" s="403" t="str">
        <f>IFERROR(__xludf.DUMMYFUNCTION("""COMPUTED_VALUE"""),"BU.1M")</f>
        <v>BU.1M</v>
      </c>
      <c r="F171" s="403" t="str">
        <f>IFERROR(__xludf.DUMMYFUNCTION("""COMPUTED_VALUE"""),"M")</f>
        <v>M</v>
      </c>
      <c r="H171" s="404" t="str">
        <f>IFERROR(__xludf.DUMMYFUNCTION("""COMPUTED_VALUE"""),"Ld.1FC")</f>
        <v>Ld.1FC</v>
      </c>
      <c r="I171" s="404" t="str">
        <f>IFERROR(__xludf.DUMMYFUNCTION("""COMPUTED_VALUE"""),"F")</f>
        <v>F</v>
      </c>
      <c r="Z171" s="7"/>
    </row>
    <row r="172">
      <c r="E172" s="403" t="str">
        <f>IFERROR(__xludf.DUMMYFUNCTION("""COMPUTED_VALUE"""),"BUr.1M")</f>
        <v>BUr.1M</v>
      </c>
      <c r="F172" s="403" t="str">
        <f>IFERROR(__xludf.DUMMYFUNCTION("""COMPUTED_VALUE"""),"M")</f>
        <v>M</v>
      </c>
      <c r="H172" s="404" t="str">
        <f>IFERROR(__xludf.DUMMYFUNCTION("""COMPUTED_VALUE"""),"Lf.1M")</f>
        <v>Lf.1M</v>
      </c>
      <c r="I172" s="404" t="str">
        <f>IFERROR(__xludf.DUMMYFUNCTION("""COMPUTED_VALUE"""),"M")</f>
        <v>M</v>
      </c>
      <c r="Z172" s="7"/>
    </row>
    <row r="173">
      <c r="E173" s="403" t="str">
        <f>IFERROR(__xludf.DUMMYFUNCTION("""COMPUTED_VALUE"""),"BUr.2M")</f>
        <v>BUr.2M</v>
      </c>
      <c r="F173" s="403" t="str">
        <f>IFERROR(__xludf.DUMMYFUNCTION("""COMPUTED_VALUE"""),"M")</f>
        <v>M</v>
      </c>
      <c r="H173" s="404" t="str">
        <f>IFERROR(__xludf.DUMMYFUNCTION("""COMPUTED_VALUE"""),"Lf.2F")</f>
        <v>Lf.2F</v>
      </c>
      <c r="I173" s="404" t="str">
        <f>IFERROR(__xludf.DUMMYFUNCTION("""COMPUTED_VALUE"""),"F")</f>
        <v>F</v>
      </c>
      <c r="Z173" s="7"/>
    </row>
    <row r="174">
      <c r="E174" s="403" t="str">
        <f>IFERROR(__xludf.DUMMYFUNCTION("""COMPUTED_VALUE"""),"Byr.1MB")</f>
        <v>Byr.1MB</v>
      </c>
      <c r="F174" s="403" t="str">
        <f>IFERROR(__xludf.DUMMYFUNCTION("""COMPUTED_VALUE"""),"M")</f>
        <v>M</v>
      </c>
      <c r="H174" s="404" t="str">
        <f>IFERROR(__xludf.DUMMYFUNCTION("""COMPUTED_VALUE"""),"Mġ.10MD")</f>
        <v>Mġ.10MD</v>
      </c>
      <c r="I174" s="404" t="str">
        <f>IFERROR(__xludf.DUMMYFUNCTION("""COMPUTED_VALUE"""),"M")</f>
        <v>M</v>
      </c>
      <c r="Z174" s="7"/>
    </row>
    <row r="175">
      <c r="E175" s="403" t="str">
        <f>IFERROR(__xludf.DUMMYFUNCTION("""COMPUTED_VALUE"""),"Byr.2FB")</f>
        <v>Byr.2FB</v>
      </c>
      <c r="F175" s="403" t="str">
        <f>IFERROR(__xludf.DUMMYFUNCTION("""COMPUTED_VALUE"""),"F")</f>
        <v>F</v>
      </c>
      <c r="H175" s="404" t="str">
        <f>IFERROR(__xludf.DUMMYFUNCTION("""COMPUTED_VALUE"""),"Mġ.8M")</f>
        <v>Mġ.8M</v>
      </c>
      <c r="I175" s="404" t="str">
        <f>IFERROR(__xludf.DUMMYFUNCTION("""COMPUTED_VALUE"""),"M")</f>
        <v>M</v>
      </c>
      <c r="Z175" s="7"/>
    </row>
    <row r="176">
      <c r="E176" s="403" t="str">
        <f>IFERROR(__xludf.DUMMYFUNCTION("""COMPUTED_VALUE"""),"BZ.1M")</f>
        <v>BZ.1M</v>
      </c>
      <c r="F176" s="403" t="str">
        <f>IFERROR(__xludf.DUMMYFUNCTION("""COMPUTED_VALUE"""),"M")</f>
        <v>M</v>
      </c>
      <c r="H176" s="404" t="str">
        <f>IFERROR(__xludf.DUMMYFUNCTION("""COMPUTED_VALUE"""),"Mġ.9M")</f>
        <v>Mġ.9M</v>
      </c>
      <c r="I176" s="404" t="str">
        <f>IFERROR(__xludf.DUMMYFUNCTION("""COMPUTED_VALUE"""),"M")</f>
        <v>M</v>
      </c>
      <c r="Z176" s="7"/>
    </row>
    <row r="177">
      <c r="E177" s="403" t="str">
        <f>IFERROR(__xludf.DUMMYFUNCTION("""COMPUTED_VALUE"""),"BZ.2M")</f>
        <v>BZ.2M</v>
      </c>
      <c r="F177" s="403" t="str">
        <f>IFERROR(__xludf.DUMMYFUNCTION("""COMPUTED_VALUE"""),"M")</f>
        <v>M</v>
      </c>
      <c r="H177" s="404" t="str">
        <f>IFERROR(__xludf.DUMMYFUNCTION("""COMPUTED_VALUE"""),"Mġr.1M")</f>
        <v>Mġr.1M</v>
      </c>
      <c r="I177" s="404" t="str">
        <f>IFERROR(__xludf.DUMMYFUNCTION("""COMPUTED_VALUE"""),"M")</f>
        <v>M</v>
      </c>
      <c r="Z177" s="7"/>
    </row>
    <row r="178">
      <c r="E178" s="403" t="str">
        <f>IFERROR(__xludf.DUMMYFUNCTION("""COMPUTED_VALUE"""),"BZ.3M")</f>
        <v>BZ.3M</v>
      </c>
      <c r="F178" s="403" t="str">
        <f>IFERROR(__xludf.DUMMYFUNCTION("""COMPUTED_VALUE"""),"M")</f>
        <v>M</v>
      </c>
      <c r="H178" s="404" t="str">
        <f>IFERROR(__xludf.DUMMYFUNCTION("""COMPUTED_VALUE"""),"Ml.1FC")</f>
        <v>Ml.1FC</v>
      </c>
      <c r="I178" s="404" t="str">
        <f>IFERROR(__xludf.DUMMYFUNCTION("""COMPUTED_VALUE"""),"F")</f>
        <v>F</v>
      </c>
      <c r="Z178" s="7"/>
    </row>
    <row r="179">
      <c r="E179" s="403" t="str">
        <f>IFERROR(__xludf.DUMMYFUNCTION("""COMPUTED_VALUE"""),"BZ.4M")</f>
        <v>BZ.4M</v>
      </c>
      <c r="F179" s="403" t="str">
        <f>IFERROR(__xludf.DUMMYFUNCTION("""COMPUTED_VALUE"""),"M")</f>
        <v>M</v>
      </c>
      <c r="H179" s="411" t="str">
        <f>IFERROR(__xludf.DUMMYFUNCTION("""COMPUTED_VALUE"""),"Ml.2FC")</f>
        <v>Ml.2FC</v>
      </c>
      <c r="I179" s="404" t="str">
        <f>IFERROR(__xludf.DUMMYFUNCTION("""COMPUTED_VALUE"""),"F")</f>
        <v>F</v>
      </c>
      <c r="Z179" s="7"/>
    </row>
    <row r="180">
      <c r="E180" s="403" t="str">
        <f>IFERROR(__xludf.DUMMYFUNCTION("""COMPUTED_VALUE"""),"BZ.5M")</f>
        <v>BZ.5M</v>
      </c>
      <c r="F180" s="403" t="str">
        <f>IFERROR(__xludf.DUMMYFUNCTION("""COMPUTED_VALUE"""),"M")</f>
        <v>M</v>
      </c>
      <c r="H180" s="404" t="str">
        <f>IFERROR(__xludf.DUMMYFUNCTION("""COMPUTED_VALUE"""),"Mlḥ.1F")</f>
        <v>Mlḥ.1F</v>
      </c>
      <c r="I180" s="404" t="str">
        <f>IFERROR(__xludf.DUMMYFUNCTION("""COMPUTED_VALUE"""),"F")</f>
        <v>F</v>
      </c>
    </row>
    <row r="181">
      <c r="E181" s="403" t="str">
        <f>IFERROR(__xludf.DUMMYFUNCTION("""COMPUTED_VALUE"""),"DA.1F")</f>
        <v>DA.1F</v>
      </c>
      <c r="F181" s="403" t="str">
        <f>IFERROR(__xludf.DUMMYFUNCTION("""COMPUTED_VALUE"""),"F")</f>
        <v>F</v>
      </c>
      <c r="H181" s="404" t="str">
        <f>IFERROR(__xludf.DUMMYFUNCTION("""COMPUTED_VALUE"""),"Mlḥ.2M")</f>
        <v>Mlḥ.2M</v>
      </c>
      <c r="I181" s="404" t="str">
        <f>IFERROR(__xludf.DUMMYFUNCTION("""COMPUTED_VALUE"""),"M")</f>
        <v>M</v>
      </c>
      <c r="Z181" s="7"/>
    </row>
    <row r="182">
      <c r="E182" s="403" t="str">
        <f>IFERROR(__xludf.DUMMYFUNCTION("""COMPUTED_VALUE"""),"ḌB.1F")</f>
        <v>ḌB.1F</v>
      </c>
      <c r="F182" s="403" t="str">
        <f>IFERROR(__xludf.DUMMYFUNCTION("""COMPUTED_VALUE"""),"F")</f>
        <v>F</v>
      </c>
      <c r="H182" s="404" t="str">
        <f>IFERROR(__xludf.DUMMYFUNCTION("""COMPUTED_VALUE"""),"Mlḥ.3M")</f>
        <v>Mlḥ.3M</v>
      </c>
      <c r="I182" s="404" t="str">
        <f>IFERROR(__xludf.DUMMYFUNCTION("""COMPUTED_VALUE"""),"M")</f>
        <v>M</v>
      </c>
      <c r="Z182" s="7"/>
    </row>
    <row r="183">
      <c r="E183" s="403" t="str">
        <f>IFERROR(__xludf.DUMMYFUNCTION("""COMPUTED_VALUE"""),"ḌB.2M")</f>
        <v>ḌB.2M</v>
      </c>
      <c r="F183" s="403" t="str">
        <f>IFERROR(__xludf.DUMMYFUNCTION("""COMPUTED_VALUE"""),"M")</f>
        <v>M</v>
      </c>
      <c r="H183" s="404" t="str">
        <f>IFERROR(__xludf.DUMMYFUNCTION("""COMPUTED_VALUE"""),"MŠ.1FD")</f>
        <v>MŠ.1FD</v>
      </c>
      <c r="I183" s="404" t="str">
        <f>IFERROR(__xludf.DUMMYFUNCTION("""COMPUTED_VALUE"""),"F")</f>
        <v>F</v>
      </c>
    </row>
    <row r="184">
      <c r="E184" s="403" t="str">
        <f>IFERROR(__xludf.DUMMYFUNCTION("""COMPUTED_VALUE"""),"ḌB.3F")</f>
        <v>ḌB.3F</v>
      </c>
      <c r="F184" s="403" t="str">
        <f>IFERROR(__xludf.DUMMYFUNCTION("""COMPUTED_VALUE"""),"F")</f>
        <v>F</v>
      </c>
      <c r="H184" s="404" t="str">
        <f>IFERROR(__xludf.DUMMYFUNCTION("""COMPUTED_VALUE"""),"Ms.2FD")</f>
        <v>Ms.2FD</v>
      </c>
      <c r="I184" s="404" t="str">
        <f>IFERROR(__xludf.DUMMYFUNCTION("""COMPUTED_VALUE"""),"F")</f>
        <v>F</v>
      </c>
      <c r="Z184" s="7"/>
    </row>
    <row r="185">
      <c r="E185" s="403" t="str">
        <f>IFERROR(__xludf.DUMMYFUNCTION("""COMPUTED_VALUE"""),"D̠̣h.1M")</f>
        <v>D̠̣h.1M</v>
      </c>
      <c r="F185" s="403" t="str">
        <f>IFERROR(__xludf.DUMMYFUNCTION("""COMPUTED_VALUE"""),"M")</f>
        <v>M</v>
      </c>
      <c r="H185" s="404" t="str">
        <f>IFERROR(__xludf.DUMMYFUNCTION("""COMPUTED_VALUE"""),"Nb.1M")</f>
        <v>Nb.1M</v>
      </c>
      <c r="I185" s="404" t="str">
        <f>IFERROR(__xludf.DUMMYFUNCTION("""COMPUTED_VALUE"""),"M")</f>
        <v>M</v>
      </c>
      <c r="Z185" s="7"/>
    </row>
    <row r="186">
      <c r="E186" s="403" t="str">
        <f>IFERROR(__xludf.DUMMYFUNCTION("""COMPUTED_VALUE"""),"DQ.1F")</f>
        <v>DQ.1F</v>
      </c>
      <c r="F186" s="403" t="str">
        <f>IFERROR(__xludf.DUMMYFUNCTION("""COMPUTED_VALUE"""),"F")</f>
        <v>F</v>
      </c>
      <c r="H186" s="404" t="str">
        <f>IFERROR(__xludf.DUMMYFUNCTION("""COMPUTED_VALUE"""),"Nb.2F")</f>
        <v>Nb.2F</v>
      </c>
      <c r="I186" s="404" t="str">
        <f>IFERROR(__xludf.DUMMYFUNCTION("""COMPUTED_VALUE"""),"F")</f>
        <v>F</v>
      </c>
    </row>
    <row r="187">
      <c r="E187" s="403" t="str">
        <f>IFERROR(__xludf.DUMMYFUNCTION("""COMPUTED_VALUE"""),"DQ.2M")</f>
        <v>DQ.2M</v>
      </c>
      <c r="F187" s="403" t="str">
        <f>IFERROR(__xludf.DUMMYFUNCTION("""COMPUTED_VALUE"""),"M")</f>
        <v>M</v>
      </c>
      <c r="H187" s="404" t="str">
        <f>IFERROR(__xludf.DUMMYFUNCTION("""COMPUTED_VALUE"""),"Nb.3M")</f>
        <v>Nb.3M</v>
      </c>
      <c r="I187" s="404" t="str">
        <f>IFERROR(__xludf.DUMMYFUNCTION("""COMPUTED_VALUE"""),"M")</f>
        <v>M</v>
      </c>
      <c r="Z187" s="7"/>
    </row>
    <row r="188">
      <c r="E188" s="403" t="str">
        <f>IFERROR(__xludf.DUMMYFUNCTION("""COMPUTED_VALUE"""),"Dr.1FB")</f>
        <v>Dr.1FB</v>
      </c>
      <c r="F188" s="403" t="str">
        <f>IFERROR(__xludf.DUMMYFUNCTION("""COMPUTED_VALUE"""),"F")</f>
        <v>F</v>
      </c>
      <c r="H188" s="412" t="str">
        <f>IFERROR(__xludf.DUMMYFUNCTION("""COMPUTED_VALUE"""),"Nb.4M.Sm")</f>
        <v>Nb.4M.Sm</v>
      </c>
      <c r="I188" s="404" t="str">
        <f>IFERROR(__xludf.DUMMYFUNCTION("""COMPUTED_VALUE"""),"M")</f>
        <v>M</v>
      </c>
    </row>
    <row r="189">
      <c r="E189" s="403" t="str">
        <f>IFERROR(__xludf.DUMMYFUNCTION("""COMPUTED_VALUE"""),"Dr.2MB")</f>
        <v>Dr.2MB</v>
      </c>
      <c r="F189" s="403" t="str">
        <f>IFERROR(__xludf.DUMMYFUNCTION("""COMPUTED_VALUE"""),"M")</f>
        <v>M</v>
      </c>
      <c r="H189" s="404" t="str">
        <f>IFERROR(__xludf.DUMMYFUNCTION("""COMPUTED_VALUE"""),"Ng.1MB")</f>
        <v>Ng.1MB</v>
      </c>
      <c r="I189" s="404" t="str">
        <f>IFERROR(__xludf.DUMMYFUNCTION("""COMPUTED_VALUE"""),"M")</f>
        <v>M</v>
      </c>
      <c r="Z189" s="7"/>
    </row>
    <row r="190">
      <c r="E190" s="403" t="str">
        <f>IFERROR(__xludf.DUMMYFUNCTION("""COMPUTED_VALUE"""),"DṢ.1F")</f>
        <v>DṢ.1F</v>
      </c>
      <c r="F190" s="403" t="str">
        <f>IFERROR(__xludf.DUMMYFUNCTION("""COMPUTED_VALUE"""),"F")</f>
        <v>F</v>
      </c>
      <c r="H190" s="404" t="str">
        <f>IFERROR(__xludf.DUMMYFUNCTION("""COMPUTED_VALUE"""),"Nṣ.1FC")</f>
        <v>Nṣ.1FC</v>
      </c>
      <c r="I190" s="404" t="str">
        <f>IFERROR(__xludf.DUMMYFUNCTION("""COMPUTED_VALUE"""),"F")</f>
        <v>F</v>
      </c>
      <c r="Z190" s="7"/>
    </row>
    <row r="191">
      <c r="E191" s="403" t="str">
        <f>IFERROR(__xludf.DUMMYFUNCTION("""COMPUTED_VALUE"""),"DṢ.2M")</f>
        <v>DṢ.2M</v>
      </c>
      <c r="F191" s="403" t="str">
        <f>IFERROR(__xludf.DUMMYFUNCTION("""COMPUTED_VALUE"""),"M")</f>
        <v>M</v>
      </c>
      <c r="H191" s="404" t="str">
        <f>IFERROR(__xludf.DUMMYFUNCTION("""COMPUTED_VALUE"""),"Nṣ.3FC")</f>
        <v>Nṣ.3FC</v>
      </c>
      <c r="I191" s="404" t="str">
        <f>IFERROR(__xludf.DUMMYFUNCTION("""COMPUTED_VALUE"""),"F")</f>
        <v>F</v>
      </c>
      <c r="Z191" s="7"/>
    </row>
    <row r="192">
      <c r="E192" s="403" t="str">
        <f>IFERROR(__xludf.DUMMYFUNCTION("""COMPUTED_VALUE"""),"EḤ.1M")</f>
        <v>EḤ.1M</v>
      </c>
      <c r="F192" s="403" t="str">
        <f>IFERROR(__xludf.DUMMYFUNCTION("""COMPUTED_VALUE"""),"M")</f>
        <v>M</v>
      </c>
      <c r="H192" s="404" t="str">
        <f>IFERROR(__xludf.DUMMYFUNCTION("""COMPUTED_VALUE"""),"Nʿ.1F")</f>
        <v>Nʿ.1F</v>
      </c>
      <c r="I192" s="404" t="str">
        <f>IFERROR(__xludf.DUMMYFUNCTION("""COMPUTED_VALUE"""),"F")</f>
        <v>F</v>
      </c>
      <c r="Z192" s="7"/>
    </row>
    <row r="193">
      <c r="E193" s="403" t="str">
        <f>IFERROR(__xludf.DUMMYFUNCTION("""COMPUTED_VALUE"""),"EḤ.2M")</f>
        <v>EḤ.2M</v>
      </c>
      <c r="F193" s="403" t="str">
        <f>IFERROR(__xludf.DUMMYFUNCTION("""COMPUTED_VALUE"""),"M")</f>
        <v>M</v>
      </c>
      <c r="H193" s="404" t="str">
        <f>IFERROR(__xludf.DUMMYFUNCTION("""COMPUTED_VALUE"""),"Qd.1MB")</f>
        <v>Qd.1MB</v>
      </c>
      <c r="I193" s="404" t="str">
        <f>IFERROR(__xludf.DUMMYFUNCTION("""COMPUTED_VALUE"""),"M")</f>
        <v>M</v>
      </c>
      <c r="Z193" s="25"/>
    </row>
    <row r="194">
      <c r="E194" s="403" t="str">
        <f>IFERROR(__xludf.DUMMYFUNCTION("""COMPUTED_VALUE"""),"El.1MB")</f>
        <v>El.1MB</v>
      </c>
      <c r="F194" s="403" t="str">
        <f>IFERROR(__xludf.DUMMYFUNCTION("""COMPUTED_VALUE"""),"M")</f>
        <v>M</v>
      </c>
      <c r="H194" s="404" t="str">
        <f>IFERROR(__xludf.DUMMYFUNCTION("""COMPUTED_VALUE"""),"Rm.4FC")</f>
        <v>Rm.4FC</v>
      </c>
      <c r="I194" s="404" t="str">
        <f>IFERROR(__xludf.DUMMYFUNCTION("""COMPUTED_VALUE"""),"F")</f>
        <v>F</v>
      </c>
      <c r="Z194" s="7"/>
    </row>
    <row r="195">
      <c r="E195" s="403" t="str">
        <f>IFERROR(__xludf.DUMMYFUNCTION("""COMPUTED_VALUE"""),"El.2FB")</f>
        <v>El.2FB</v>
      </c>
      <c r="F195" s="403" t="str">
        <f>IFERROR(__xludf.DUMMYFUNCTION("""COMPUTED_VALUE"""),"F")</f>
        <v>F</v>
      </c>
      <c r="H195" s="404" t="str">
        <f>IFERROR(__xludf.DUMMYFUNCTION("""COMPUTED_VALUE"""),"Rm.5MD")</f>
        <v>Rm.5MD</v>
      </c>
      <c r="I195" s="404" t="str">
        <f>IFERROR(__xludf.DUMMYFUNCTION("""COMPUTED_VALUE"""),"M")</f>
        <v>M</v>
      </c>
      <c r="Z195" s="7"/>
    </row>
    <row r="196">
      <c r="E196" s="403" t="str">
        <f>IFERROR(__xludf.DUMMYFUNCTION("""COMPUTED_VALUE"""),"El.3MC")</f>
        <v>El.3MC</v>
      </c>
      <c r="F196" s="403" t="str">
        <f>IFERROR(__xludf.DUMMYFUNCTION("""COMPUTED_VALUE"""),"M")</f>
        <v>M</v>
      </c>
      <c r="H196" s="404" t="str">
        <f>IFERROR(__xludf.DUMMYFUNCTION("""COMPUTED_VALUE"""),"Rmḷ.1F")</f>
        <v>Rmḷ.1F</v>
      </c>
      <c r="I196" s="404" t="str">
        <f>IFERROR(__xludf.DUMMYFUNCTION("""COMPUTED_VALUE"""),"F")</f>
        <v>F</v>
      </c>
      <c r="Z196" s="7"/>
    </row>
    <row r="197">
      <c r="E197" s="403" t="str">
        <f>IFERROR(__xludf.DUMMYFUNCTION("""COMPUTED_VALUE"""),"EQ.1MD")</f>
        <v>EQ.1MD</v>
      </c>
      <c r="F197" s="403" t="str">
        <f>IFERROR(__xludf.DUMMYFUNCTION("""COMPUTED_VALUE"""),"M")</f>
        <v>M</v>
      </c>
      <c r="H197" s="404" t="str">
        <f>IFERROR(__xludf.DUMMYFUNCTION("""COMPUTED_VALUE"""),"Rml.1MC")</f>
        <v>Rml.1MC</v>
      </c>
      <c r="I197" s="404" t="str">
        <f>IFERROR(__xludf.DUMMYFUNCTION("""COMPUTED_VALUE"""),"M")</f>
        <v>M</v>
      </c>
      <c r="Z197" s="7"/>
    </row>
    <row r="198">
      <c r="E198" s="403" t="str">
        <f>IFERROR(__xludf.DUMMYFUNCTION("""COMPUTED_VALUE"""),"ER.1M")</f>
        <v>ER.1M</v>
      </c>
      <c r="F198" s="403" t="str">
        <f>IFERROR(__xludf.DUMMYFUNCTION("""COMPUTED_VALUE"""),"M")</f>
        <v>M</v>
      </c>
      <c r="H198" s="404" t="str">
        <f>IFERROR(__xludf.DUMMYFUNCTION("""COMPUTED_VALUE"""),"Rml.2F")</f>
        <v>Rml.2F</v>
      </c>
      <c r="I198" s="404" t="str">
        <f>IFERROR(__xludf.DUMMYFUNCTION("""COMPUTED_VALUE"""),"F")</f>
        <v>F</v>
      </c>
      <c r="Z198" s="7"/>
    </row>
    <row r="199">
      <c r="E199" s="403" t="str">
        <f>IFERROR(__xludf.DUMMYFUNCTION("""COMPUTED_VALUE"""),"ER.2F")</f>
        <v>ER.2F</v>
      </c>
      <c r="F199" s="403" t="str">
        <f>IFERROR(__xludf.DUMMYFUNCTION("""COMPUTED_VALUE"""),"F")</f>
        <v>F</v>
      </c>
      <c r="H199" s="404" t="str">
        <f>IFERROR(__xludf.DUMMYFUNCTION("""COMPUTED_VALUE"""),"Rml.5FC")</f>
        <v>Rml.5FC</v>
      </c>
      <c r="I199" s="404" t="str">
        <f>IFERROR(__xludf.DUMMYFUNCTION("""COMPUTED_VALUE"""),"F")</f>
        <v>F</v>
      </c>
    </row>
    <row r="200">
      <c r="E200" s="403" t="str">
        <f>IFERROR(__xludf.DUMMYFUNCTION("""COMPUTED_VALUE"""),"ER.3M")</f>
        <v>ER.3M</v>
      </c>
      <c r="F200" s="403" t="str">
        <f>IFERROR(__xludf.DUMMYFUNCTION("""COMPUTED_VALUE"""),"M")</f>
        <v>M</v>
      </c>
      <c r="H200" s="404" t="str">
        <f>IFERROR(__xludf.DUMMYFUNCTION("""COMPUTED_VALUE"""),"Rml.6FC")</f>
        <v>Rml.6FC</v>
      </c>
      <c r="I200" s="404" t="str">
        <f>IFERROR(__xludf.DUMMYFUNCTION("""COMPUTED_VALUE"""),"F")</f>
        <v>F</v>
      </c>
    </row>
    <row r="201">
      <c r="E201" s="403" t="str">
        <f>IFERROR(__xludf.DUMMYFUNCTION("""COMPUTED_VALUE"""),"Fr.1F")</f>
        <v>Fr.1F</v>
      </c>
      <c r="F201" s="403" t="str">
        <f>IFERROR(__xludf.DUMMYFUNCTION("""COMPUTED_VALUE"""),"F")</f>
        <v>F</v>
      </c>
      <c r="H201" s="404" t="str">
        <f>IFERROR(__xludf.DUMMYFUNCTION("""COMPUTED_VALUE"""),"Rml.7FC")</f>
        <v>Rml.7FC</v>
      </c>
      <c r="I201" s="404" t="str">
        <f>IFERROR(__xludf.DUMMYFUNCTION("""COMPUTED_VALUE"""),"F")</f>
        <v>F</v>
      </c>
      <c r="Z201" s="7"/>
    </row>
    <row r="202">
      <c r="E202" s="403" t="str">
        <f>IFERROR(__xludf.DUMMYFUNCTION("""COMPUTED_VALUE"""),"Fs.1FC")</f>
        <v>Fs.1FC</v>
      </c>
      <c r="F202" s="403" t="str">
        <f>IFERROR(__xludf.DUMMYFUNCTION("""COMPUTED_VALUE"""),"F")</f>
        <v>F</v>
      </c>
      <c r="H202" s="404" t="str">
        <f>IFERROR(__xludf.DUMMYFUNCTION("""COMPUTED_VALUE"""),"ṢB.1F")</f>
        <v>ṢB.1F</v>
      </c>
      <c r="I202" s="404" t="str">
        <f>IFERROR(__xludf.DUMMYFUNCTION("""COMPUTED_VALUE"""),"F")</f>
        <v>F</v>
      </c>
      <c r="Z202" s="7"/>
    </row>
    <row r="203">
      <c r="E203" s="403" t="str">
        <f>IFERROR(__xludf.DUMMYFUNCTION("""COMPUTED_VALUE"""),"Fs.2FC")</f>
        <v>Fs.2FC</v>
      </c>
      <c r="F203" s="403" t="str">
        <f>IFERROR(__xludf.DUMMYFUNCTION("""COMPUTED_VALUE"""),"F")</f>
        <v>F</v>
      </c>
      <c r="H203" s="404" t="str">
        <f>IFERROR(__xludf.DUMMYFUNCTION("""COMPUTED_VALUE"""),"ṢB.2M")</f>
        <v>ṢB.2M</v>
      </c>
      <c r="I203" s="404" t="str">
        <f>IFERROR(__xludf.DUMMYFUNCTION("""COMPUTED_VALUE"""),"M")</f>
        <v>M</v>
      </c>
      <c r="Z203" s="3"/>
    </row>
    <row r="204">
      <c r="E204" s="403" t="str">
        <f>IFERROR(__xludf.DUMMYFUNCTION("""COMPUTED_VALUE"""),"Fs.3MC")</f>
        <v>Fs.3MC</v>
      </c>
      <c r="F204" s="403" t="str">
        <f>IFERROR(__xludf.DUMMYFUNCTION("""COMPUTED_VALUE"""),"M")</f>
        <v>M</v>
      </c>
      <c r="H204" s="404" t="str">
        <f>IFERROR(__xludf.DUMMYFUNCTION("""COMPUTED_VALUE"""),"Ṣff.2F")</f>
        <v>Ṣff.2F</v>
      </c>
      <c r="I204" s="404" t="str">
        <f>IFERROR(__xludf.DUMMYFUNCTION("""COMPUTED_VALUE"""),"F")</f>
        <v>F</v>
      </c>
      <c r="Z204" s="3"/>
    </row>
    <row r="205">
      <c r="E205" s="403" t="str">
        <f>IFERROR(__xludf.DUMMYFUNCTION("""COMPUTED_VALUE"""),"G?.1M")</f>
        <v>G?.1M</v>
      </c>
      <c r="F205" s="403" t="str">
        <f>IFERROR(__xludf.DUMMYFUNCTION("""COMPUTED_VALUE"""),"M")</f>
        <v>M</v>
      </c>
      <c r="H205" s="404" t="str">
        <f>IFERROR(__xludf.DUMMYFUNCTION("""COMPUTED_VALUE"""),"Sil.1F")</f>
        <v>Sil.1F</v>
      </c>
      <c r="I205" s="404" t="str">
        <f>IFERROR(__xludf.DUMMYFUNCTION("""COMPUTED_VALUE"""),"F")</f>
        <v>F</v>
      </c>
      <c r="Z205" s="3"/>
    </row>
    <row r="206">
      <c r="E206" s="403" t="str">
        <f>IFERROR(__xludf.DUMMYFUNCTION("""COMPUTED_VALUE"""),"G?.2M")</f>
        <v>G?.2M</v>
      </c>
      <c r="F206" s="403" t="str">
        <f>IFERROR(__xludf.DUMMYFUNCTION("""COMPUTED_VALUE"""),"M")</f>
        <v>M</v>
      </c>
      <c r="H206" s="404" t="str">
        <f>IFERROR(__xludf.DUMMYFUNCTION("""COMPUTED_VALUE"""),"Sl.1M")</f>
        <v>Sl.1M</v>
      </c>
      <c r="I206" s="404" t="str">
        <f>IFERROR(__xludf.DUMMYFUNCTION("""COMPUTED_VALUE"""),"M")</f>
        <v>M</v>
      </c>
      <c r="Z206" s="25"/>
    </row>
    <row r="207">
      <c r="E207" s="403" t="str">
        <f>IFERROR(__xludf.DUMMYFUNCTION("""COMPUTED_VALUE"""),"Ǧb.1F")</f>
        <v>Ǧb.1F</v>
      </c>
      <c r="F207" s="403" t="str">
        <f>IFERROR(__xludf.DUMMYFUNCTION("""COMPUTED_VALUE"""),"F")</f>
        <v>F</v>
      </c>
      <c r="H207" s="404" t="str">
        <f>IFERROR(__xludf.DUMMYFUNCTION("""COMPUTED_VALUE"""),"Sl.2F")</f>
        <v>Sl.2F</v>
      </c>
      <c r="I207" s="404" t="str">
        <f>IFERROR(__xludf.DUMMYFUNCTION("""COMPUTED_VALUE"""),"F")</f>
        <v>F</v>
      </c>
      <c r="Z207" s="7"/>
    </row>
    <row r="208">
      <c r="E208" s="403" t="str">
        <f>IFERROR(__xludf.DUMMYFUNCTION("""COMPUTED_VALUE"""),"Ǧb.2F")</f>
        <v>Ǧb.2F</v>
      </c>
      <c r="F208" s="403" t="str">
        <f>IFERROR(__xludf.DUMMYFUNCTION("""COMPUTED_VALUE"""),"F")</f>
        <v>F</v>
      </c>
      <c r="H208" s="404" t="str">
        <f>IFERROR(__xludf.DUMMYFUNCTION("""COMPUTED_VALUE"""),"Sl.3M")</f>
        <v>Sl.3M</v>
      </c>
      <c r="I208" s="404" t="str">
        <f>IFERROR(__xludf.DUMMYFUNCTION("""COMPUTED_VALUE"""),"M")</f>
        <v>M</v>
      </c>
      <c r="Z208" s="7"/>
    </row>
    <row r="209">
      <c r="E209" s="403" t="str">
        <f>IFERROR(__xludf.DUMMYFUNCTION("""COMPUTED_VALUE"""),"Ǧb.3F")</f>
        <v>Ǧb.3F</v>
      </c>
      <c r="F209" s="403" t="str">
        <f>IFERROR(__xludf.DUMMYFUNCTION("""COMPUTED_VALUE"""),"F")</f>
        <v>F</v>
      </c>
      <c r="H209" s="404" t="str">
        <f>IFERROR(__xludf.DUMMYFUNCTION("""COMPUTED_VALUE"""),"Sl.4F")</f>
        <v>Sl.4F</v>
      </c>
      <c r="I209" s="404" t="str">
        <f>IFERROR(__xludf.DUMMYFUNCTION("""COMPUTED_VALUE"""),"F")</f>
        <v>F</v>
      </c>
      <c r="Z209" s="7"/>
    </row>
    <row r="210">
      <c r="E210" s="403" t="str">
        <f>IFERROR(__xludf.DUMMYFUNCTION("""COMPUTED_VALUE"""),"Ǧb.4F")</f>
        <v>Ǧb.4F</v>
      </c>
      <c r="F210" s="403" t="str">
        <f>IFERROR(__xludf.DUMMYFUNCTION("""COMPUTED_VALUE"""),"F")</f>
        <v>F</v>
      </c>
      <c r="H210" s="404" t="str">
        <f>IFERROR(__xludf.DUMMYFUNCTION("""COMPUTED_VALUE"""),"Sl.5M")</f>
        <v>Sl.5M</v>
      </c>
      <c r="I210" s="404" t="str">
        <f>IFERROR(__xludf.DUMMYFUNCTION("""COMPUTED_VALUE"""),"M")</f>
        <v>M</v>
      </c>
      <c r="Z210" s="7"/>
    </row>
    <row r="211">
      <c r="E211" s="403" t="str">
        <f>IFERROR(__xludf.DUMMYFUNCTION("""COMPUTED_VALUE"""),"Ǧb.5F")</f>
        <v>Ǧb.5F</v>
      </c>
      <c r="F211" s="403" t="str">
        <f>IFERROR(__xludf.DUMMYFUNCTION("""COMPUTED_VALUE"""),"F")</f>
        <v>F</v>
      </c>
      <c r="H211" s="404" t="str">
        <f>IFERROR(__xludf.DUMMYFUNCTION("""COMPUTED_VALUE"""),"Sn.1F")</f>
        <v>Sn.1F</v>
      </c>
      <c r="I211" s="404" t="str">
        <f>IFERROR(__xludf.DUMMYFUNCTION("""COMPUTED_VALUE"""),"F")</f>
        <v>F</v>
      </c>
      <c r="Z211" s="7"/>
    </row>
    <row r="212">
      <c r="E212" s="403" t="str">
        <f>IFERROR(__xludf.DUMMYFUNCTION("""COMPUTED_VALUE"""),"Ǧb.6M")</f>
        <v>Ǧb.6M</v>
      </c>
      <c r="F212" s="403" t="str">
        <f>IFERROR(__xludf.DUMMYFUNCTION("""COMPUTED_VALUE"""),"M")</f>
        <v>M</v>
      </c>
      <c r="H212" s="404" t="str">
        <f>IFERROR(__xludf.DUMMYFUNCTION("""COMPUTED_VALUE"""),"Šq.1F")</f>
        <v>Šq.1F</v>
      </c>
      <c r="I212" s="404" t="str">
        <f>IFERROR(__xludf.DUMMYFUNCTION("""COMPUTED_VALUE"""),"F")</f>
        <v>F</v>
      </c>
      <c r="Z212" s="7"/>
    </row>
    <row r="213">
      <c r="E213" s="403" t="str">
        <f>IFERROR(__xludf.DUMMYFUNCTION("""COMPUTED_VALUE"""),"Ǧd.1F")</f>
        <v>Ǧd.1F</v>
      </c>
      <c r="F213" s="403" t="str">
        <f>IFERROR(__xludf.DUMMYFUNCTION("""COMPUTED_VALUE"""),"F")</f>
        <v>F</v>
      </c>
      <c r="H213" s="404" t="str">
        <f>IFERROR(__xludf.DUMMYFUNCTION("""COMPUTED_VALUE"""),"Šrf.1M")</f>
        <v>Šrf.1M</v>
      </c>
      <c r="I213" s="404" t="str">
        <f>IFERROR(__xludf.DUMMYFUNCTION("""COMPUTED_VALUE"""),"M")</f>
        <v>M</v>
      </c>
      <c r="Z213" s="7"/>
    </row>
    <row r="214">
      <c r="E214" s="403" t="str">
        <f>IFERROR(__xludf.DUMMYFUNCTION("""COMPUTED_VALUE"""),"Ǧd.2M")</f>
        <v>Ǧd.2M</v>
      </c>
      <c r="F214" s="403" t="str">
        <f>IFERROR(__xludf.DUMMYFUNCTION("""COMPUTED_VALUE"""),"M")</f>
        <v>M</v>
      </c>
      <c r="H214" s="404" t="str">
        <f>IFERROR(__xludf.DUMMYFUNCTION("""COMPUTED_VALUE"""),"Sx.1F")</f>
        <v>Sx.1F</v>
      </c>
      <c r="I214" s="404" t="str">
        <f>IFERROR(__xludf.DUMMYFUNCTION("""COMPUTED_VALUE"""),"F")</f>
        <v>F</v>
      </c>
      <c r="Z214" s="7"/>
    </row>
    <row r="215">
      <c r="E215" s="403" t="str">
        <f>IFERROR(__xludf.DUMMYFUNCTION("""COMPUTED_VALUE"""),"Ǧd.3F")</f>
        <v>Ǧd.3F</v>
      </c>
      <c r="F215" s="403" t="str">
        <f>IFERROR(__xludf.DUMMYFUNCTION("""COMPUTED_VALUE"""),"F")</f>
        <v>F</v>
      </c>
      <c r="H215" s="404" t="str">
        <f>IFERROR(__xludf.DUMMYFUNCTION("""COMPUTED_VALUE"""),"Šʿf.1F")</f>
        <v>Šʿf.1F</v>
      </c>
      <c r="I215" s="404" t="str">
        <f>IFERROR(__xludf.DUMMYFUNCTION("""COMPUTED_VALUE"""),"F")</f>
        <v>F</v>
      </c>
      <c r="Z215" s="7"/>
    </row>
    <row r="216">
      <c r="E216" s="403" t="str">
        <f>IFERROR(__xludf.DUMMYFUNCTION("""COMPUTED_VALUE"""),"Gǧ.1F")</f>
        <v>Gǧ.1F</v>
      </c>
      <c r="F216" s="403" t="str">
        <f>IFERROR(__xludf.DUMMYFUNCTION("""COMPUTED_VALUE"""),"F")</f>
        <v>F</v>
      </c>
      <c r="H216" s="404" t="str">
        <f>IFERROR(__xludf.DUMMYFUNCTION("""COMPUTED_VALUE"""),"Šʿf.2M")</f>
        <v>Šʿf.2M</v>
      </c>
      <c r="I216" s="404" t="str">
        <f>IFERROR(__xludf.DUMMYFUNCTION("""COMPUTED_VALUE"""),"M")</f>
        <v>M</v>
      </c>
      <c r="Z216" s="3"/>
    </row>
    <row r="217">
      <c r="E217" s="403" t="str">
        <f>IFERROR(__xludf.DUMMYFUNCTION("""COMPUTED_VALUE"""),"Ġǧ.1F")</f>
        <v>Ġǧ.1F</v>
      </c>
      <c r="F217" s="403"/>
      <c r="H217" s="404" t="str">
        <f>IFERROR(__xludf.DUMMYFUNCTION("""COMPUTED_VALUE"""),"Ṭmr.1F")</f>
        <v>Ṭmr.1F</v>
      </c>
      <c r="I217" s="404" t="str">
        <f>IFERROR(__xludf.DUMMYFUNCTION("""COMPUTED_VALUE"""),"F")</f>
        <v>F</v>
      </c>
      <c r="Z217" s="3"/>
    </row>
    <row r="218">
      <c r="E218" s="403" t="str">
        <f>IFERROR(__xludf.DUMMYFUNCTION("""COMPUTED_VALUE"""),"Ġǧ.2F")</f>
        <v>Ġǧ.2F</v>
      </c>
      <c r="F218" s="403" t="str">
        <f>IFERROR(__xludf.DUMMYFUNCTION("""COMPUTED_VALUE"""),"F")</f>
        <v>F</v>
      </c>
      <c r="H218" s="404" t="str">
        <f>IFERROR(__xludf.DUMMYFUNCTION("""COMPUTED_VALUE"""),"ṬMṯ.1F")</f>
        <v>ṬMṯ.1F</v>
      </c>
      <c r="I218" s="404" t="str">
        <f>IFERROR(__xludf.DUMMYFUNCTION("""COMPUTED_VALUE"""),"F")</f>
        <v>F</v>
      </c>
      <c r="Z218" s="3"/>
    </row>
    <row r="219">
      <c r="E219" s="403" t="str">
        <f>IFERROR(__xludf.DUMMYFUNCTION("""COMPUTED_VALUE"""),"ǦM.1F")</f>
        <v>ǦM.1F</v>
      </c>
      <c r="F219" s="403" t="str">
        <f>IFERROR(__xludf.DUMMYFUNCTION("""COMPUTED_VALUE"""),"F")</f>
        <v>F</v>
      </c>
      <c r="H219" s="404" t="str">
        <f>IFERROR(__xludf.DUMMYFUNCTION("""COMPUTED_VALUE"""),"Tr.10M")</f>
        <v>Tr.10M</v>
      </c>
      <c r="I219" s="404" t="str">
        <f>IFERROR(__xludf.DUMMYFUNCTION("""COMPUTED_VALUE"""),"M")</f>
        <v>M</v>
      </c>
      <c r="Z219" s="3"/>
    </row>
    <row r="220">
      <c r="E220" s="403" t="str">
        <f>IFERROR(__xludf.DUMMYFUNCTION("""COMPUTED_VALUE"""),"ǦM.2M")</f>
        <v>ǦM.2M</v>
      </c>
      <c r="F220" s="403" t="str">
        <f>IFERROR(__xludf.DUMMYFUNCTION("""COMPUTED_VALUE"""),"M")</f>
        <v>M</v>
      </c>
      <c r="H220" s="404" t="str">
        <f>IFERROR(__xludf.DUMMYFUNCTION("""COMPUTED_VALUE"""),"Tr.11FC")</f>
        <v>Tr.11FC</v>
      </c>
      <c r="I220" s="404" t="str">
        <f>IFERROR(__xludf.DUMMYFUNCTION("""COMPUTED_VALUE"""),"F")</f>
        <v>F</v>
      </c>
      <c r="Z220" s="3"/>
    </row>
    <row r="221">
      <c r="E221" s="403" t="str">
        <f>IFERROR(__xludf.DUMMYFUNCTION("""COMPUTED_VALUE"""),"ǦM.3M")</f>
        <v>ǦM.3M</v>
      </c>
      <c r="F221" s="403" t="str">
        <f>IFERROR(__xludf.DUMMYFUNCTION("""COMPUTED_VALUE"""),"M")</f>
        <v>M</v>
      </c>
      <c r="H221" s="404" t="str">
        <f>IFERROR(__xludf.DUMMYFUNCTION("""COMPUTED_VALUE"""),"Tr.12MC")</f>
        <v>Tr.12MC</v>
      </c>
      <c r="I221" s="404" t="str">
        <f>IFERROR(__xludf.DUMMYFUNCTION("""COMPUTED_VALUE"""),"M")</f>
        <v>M</v>
      </c>
      <c r="Z221" s="3"/>
    </row>
    <row r="222">
      <c r="E222" s="403" t="str">
        <f>IFERROR(__xludf.DUMMYFUNCTION("""COMPUTED_VALUE"""),"ǦM.4M")</f>
        <v>ǦM.4M</v>
      </c>
      <c r="F222" s="403" t="str">
        <f>IFERROR(__xludf.DUMMYFUNCTION("""COMPUTED_VALUE"""),"M")</f>
        <v>M</v>
      </c>
      <c r="H222" s="404" t="str">
        <f>IFERROR(__xludf.DUMMYFUNCTION("""COMPUTED_VALUE"""),"Tr.13MC")</f>
        <v>Tr.13MC</v>
      </c>
      <c r="I222" s="404" t="str">
        <f>IFERROR(__xludf.DUMMYFUNCTION("""COMPUTED_VALUE"""),"M")</f>
        <v>M</v>
      </c>
      <c r="Z222" s="3"/>
    </row>
    <row r="223">
      <c r="E223" s="403" t="str">
        <f>IFERROR(__xludf.DUMMYFUNCTION("""COMPUTED_VALUE"""),"ǦM.5M")</f>
        <v>ǦM.5M</v>
      </c>
      <c r="F223" s="403" t="str">
        <f>IFERROR(__xludf.DUMMYFUNCTION("""COMPUTED_VALUE"""),"M")</f>
        <v>M</v>
      </c>
      <c r="H223" s="404" t="str">
        <f>IFERROR(__xludf.DUMMYFUNCTION("""COMPUTED_VALUE"""),"Tr.1F")</f>
        <v>Tr.1F</v>
      </c>
      <c r="I223" s="404" t="str">
        <f>IFERROR(__xludf.DUMMYFUNCTION("""COMPUTED_VALUE"""),"F")</f>
        <v>F</v>
      </c>
      <c r="Z223" s="3"/>
    </row>
    <row r="224">
      <c r="E224" s="403" t="str">
        <f>IFERROR(__xludf.DUMMYFUNCTION("""COMPUTED_VALUE"""),"ǦM.6M")</f>
        <v>ǦM.6M</v>
      </c>
      <c r="F224" s="403" t="str">
        <f>IFERROR(__xludf.DUMMYFUNCTION("""COMPUTED_VALUE"""),"M")</f>
        <v>M</v>
      </c>
      <c r="H224" s="404" t="str">
        <f>IFERROR(__xludf.DUMMYFUNCTION("""COMPUTED_VALUE"""),"Tr.2F")</f>
        <v>Tr.2F</v>
      </c>
      <c r="I224" s="404" t="str">
        <f>IFERROR(__xludf.DUMMYFUNCTION("""COMPUTED_VALUE"""),"F")</f>
        <v>F</v>
      </c>
      <c r="Z224" s="3"/>
    </row>
    <row r="225">
      <c r="E225" s="403" t="str">
        <f>IFERROR(__xludf.DUMMYFUNCTION("""COMPUTED_VALUE"""),"ǦM.7M")</f>
        <v>ǦM.7M</v>
      </c>
      <c r="F225" s="403" t="str">
        <f>IFERROR(__xludf.DUMMYFUNCTION("""COMPUTED_VALUE"""),"M")</f>
        <v>M</v>
      </c>
      <c r="H225" s="404" t="str">
        <f>IFERROR(__xludf.DUMMYFUNCTION("""COMPUTED_VALUE"""),"Tr.4MC")</f>
        <v>Tr.4MC</v>
      </c>
      <c r="I225" s="404" t="str">
        <f>IFERROR(__xludf.DUMMYFUNCTION("""COMPUTED_VALUE"""),"M")</f>
        <v>M</v>
      </c>
    </row>
    <row r="226">
      <c r="E226" s="403" t="str">
        <f>IFERROR(__xludf.DUMMYFUNCTION("""COMPUTED_VALUE"""),"ǦM.9M")</f>
        <v>ǦM.9M</v>
      </c>
      <c r="F226" s="403" t="str">
        <f>IFERROR(__xludf.DUMMYFUNCTION("""COMPUTED_VALUE"""),"M")</f>
        <v>M</v>
      </c>
      <c r="H226" s="404" t="str">
        <f>IFERROR(__xludf.DUMMYFUNCTION("""COMPUTED_VALUE"""),"Tr.5FC")</f>
        <v>Tr.5FC</v>
      </c>
      <c r="I226" s="404" t="str">
        <f>IFERROR(__xludf.DUMMYFUNCTION("""COMPUTED_VALUE"""),"F")</f>
        <v>F</v>
      </c>
      <c r="Z226" s="25"/>
    </row>
    <row r="227">
      <c r="E227" s="403" t="str">
        <f>IFERROR(__xludf.DUMMYFUNCTION("""COMPUTED_VALUE"""),"Ǧn.1M")</f>
        <v>Ǧn.1M</v>
      </c>
      <c r="F227" s="403" t="str">
        <f>IFERROR(__xludf.DUMMYFUNCTION("""COMPUTED_VALUE"""),"M")</f>
        <v>M</v>
      </c>
      <c r="H227" s="404" t="str">
        <f>IFERROR(__xludf.DUMMYFUNCTION("""COMPUTED_VALUE"""),"Tr.6FC")</f>
        <v>Tr.6FC</v>
      </c>
      <c r="I227" s="404" t="str">
        <f>IFERROR(__xludf.DUMMYFUNCTION("""COMPUTED_VALUE"""),"F")</f>
        <v>F</v>
      </c>
      <c r="Z227" s="25"/>
    </row>
    <row r="228">
      <c r="E228" s="403" t="str">
        <f>IFERROR(__xludf.DUMMYFUNCTION("""COMPUTED_VALUE"""),"Ǧw.1M")</f>
        <v>Ǧw.1M</v>
      </c>
      <c r="F228" s="403" t="str">
        <f>IFERROR(__xludf.DUMMYFUNCTION("""COMPUTED_VALUE"""),"M")</f>
        <v>M</v>
      </c>
      <c r="H228" s="404" t="str">
        <f>IFERROR(__xludf.DUMMYFUNCTION("""COMPUTED_VALUE"""),"Tr.7FC")</f>
        <v>Tr.7FC</v>
      </c>
      <c r="I228" s="404" t="str">
        <f>IFERROR(__xludf.DUMMYFUNCTION("""COMPUTED_VALUE"""),"F")</f>
        <v>F</v>
      </c>
      <c r="Z228" s="25"/>
    </row>
    <row r="229">
      <c r="E229" s="403" t="str">
        <f>IFERROR(__xludf.DUMMYFUNCTION("""COMPUTED_VALUE"""),"ǦZ.1M")</f>
        <v>ǦZ.1M</v>
      </c>
      <c r="F229" s="403" t="str">
        <f>IFERROR(__xludf.DUMMYFUNCTION("""COMPUTED_VALUE"""),"M")</f>
        <v>M</v>
      </c>
      <c r="H229" s="404" t="str">
        <f>IFERROR(__xludf.DUMMYFUNCTION("""COMPUTED_VALUE"""),"Tr.8F")</f>
        <v>Tr.8F</v>
      </c>
      <c r="I229" s="404" t="str">
        <f>IFERROR(__xludf.DUMMYFUNCTION("""COMPUTED_VALUE"""),"F")</f>
        <v>F</v>
      </c>
      <c r="Z229" s="25"/>
    </row>
    <row r="230">
      <c r="E230" s="403" t="str">
        <f>IFERROR(__xludf.DUMMYFUNCTION("""COMPUTED_VALUE"""),"Ġz.1M")</f>
        <v>Ġz.1M</v>
      </c>
      <c r="F230" s="403" t="str">
        <f>IFERROR(__xludf.DUMMYFUNCTION("""COMPUTED_VALUE"""),"M")</f>
        <v>M</v>
      </c>
      <c r="H230" s="404" t="str">
        <f>IFERROR(__xludf.DUMMYFUNCTION("""COMPUTED_VALUE"""),"Tr.9M")</f>
        <v>Tr.9M</v>
      </c>
      <c r="I230" s="404" t="str">
        <f>IFERROR(__xludf.DUMMYFUNCTION("""COMPUTED_VALUE"""),"M")</f>
        <v>M</v>
      </c>
      <c r="Z230" s="25"/>
    </row>
    <row r="231">
      <c r="E231" s="403" t="str">
        <f>IFERROR(__xludf.DUMMYFUNCTION("""COMPUTED_VALUE"""),"Ġz.2F")</f>
        <v>Ġz.2F</v>
      </c>
      <c r="F231" s="403" t="str">
        <f>IFERROR(__xludf.DUMMYFUNCTION("""COMPUTED_VALUE"""),"F")</f>
        <v>F</v>
      </c>
      <c r="H231" s="404" t="str">
        <f>IFERROR(__xludf.DUMMYFUNCTION("""COMPUTED_VALUE"""),"Ṭrn.1MC")</f>
        <v>Ṭrn.1MC</v>
      </c>
      <c r="I231" s="404" t="str">
        <f>IFERROR(__xludf.DUMMYFUNCTION("""COMPUTED_VALUE"""),"M")</f>
        <v>M</v>
      </c>
      <c r="Z231" s="25"/>
    </row>
    <row r="232">
      <c r="E232" s="403" t="str">
        <f>IFERROR(__xludf.DUMMYFUNCTION("""COMPUTED_VALUE"""),"Ġz.3M")</f>
        <v>Ġz.3M</v>
      </c>
      <c r="F232" s="403" t="str">
        <f>IFERROR(__xludf.DUMMYFUNCTION("""COMPUTED_VALUE"""),"M")</f>
        <v>M</v>
      </c>
      <c r="H232" s="404" t="str">
        <f>IFERROR(__xludf.DUMMYFUNCTION("""COMPUTED_VALUE"""),"Ṭrn.2FC")</f>
        <v>Ṭrn.2FC</v>
      </c>
      <c r="I232" s="404" t="str">
        <f>IFERROR(__xludf.DUMMYFUNCTION("""COMPUTED_VALUE"""),"F")</f>
        <v>F</v>
      </c>
      <c r="Z232" s="25"/>
    </row>
    <row r="233">
      <c r="E233" s="403" t="str">
        <f>IFERROR(__xludf.DUMMYFUNCTION("""COMPUTED_VALUE"""),"Ġz.4M")</f>
        <v>Ġz.4M</v>
      </c>
      <c r="F233" s="403" t="str">
        <f>IFERROR(__xludf.DUMMYFUNCTION("""COMPUTED_VALUE"""),"M")</f>
        <v>M</v>
      </c>
      <c r="H233" s="404" t="str">
        <f>IFERROR(__xludf.DUMMYFUNCTION("""COMPUTED_VALUE"""),"Ṭrn.8F")</f>
        <v>Ṭrn.8F</v>
      </c>
      <c r="I233" s="404" t="str">
        <f>IFERROR(__xludf.DUMMYFUNCTION("""COMPUTED_VALUE"""),"F")</f>
        <v>F</v>
      </c>
      <c r="Z233" s="25"/>
    </row>
    <row r="234">
      <c r="E234" s="403" t="str">
        <f>IFERROR(__xludf.DUMMYFUNCTION("""COMPUTED_VALUE"""),"Ġz.5M")</f>
        <v>Ġz.5M</v>
      </c>
      <c r="F234" s="403" t="str">
        <f>IFERROR(__xludf.DUMMYFUNCTION("""COMPUTED_VALUE"""),"M")</f>
        <v>M</v>
      </c>
      <c r="H234" s="404" t="str">
        <f>IFERROR(__xludf.DUMMYFUNCTION("""COMPUTED_VALUE"""),"Ṭrn.9FC")</f>
        <v>Ṭrn.9FC</v>
      </c>
      <c r="I234" s="404" t="str">
        <f>IFERROR(__xludf.DUMMYFUNCTION("""COMPUTED_VALUE"""),"F")</f>
        <v>F</v>
      </c>
      <c r="Z234" s="25"/>
    </row>
    <row r="235">
      <c r="E235" s="403" t="str">
        <f>IFERROR(__xludf.DUMMYFUNCTION("""COMPUTED_VALUE"""),"Ġz.6M")</f>
        <v>Ġz.6M</v>
      </c>
      <c r="F235" s="403" t="str">
        <f>IFERROR(__xludf.DUMMYFUNCTION("""COMPUTED_VALUE"""),"M")</f>
        <v>M</v>
      </c>
      <c r="H235" s="404" t="str">
        <f>IFERROR(__xludf.DUMMYFUNCTION("""COMPUTED_VALUE"""),"Ṭṭr.1M")</f>
        <v>Ṭṭr.1M</v>
      </c>
      <c r="I235" s="404" t="str">
        <f>IFERROR(__xludf.DUMMYFUNCTION("""COMPUTED_VALUE"""),"M")</f>
        <v>M</v>
      </c>
      <c r="Z235" s="25"/>
    </row>
    <row r="236">
      <c r="E236" s="403" t="str">
        <f>IFERROR(__xludf.DUMMYFUNCTION("""COMPUTED_VALUE"""),"Ġz.7M")</f>
        <v>Ġz.7M</v>
      </c>
      <c r="F236" s="403" t="str">
        <f>IFERROR(__xludf.DUMMYFUNCTION("""COMPUTED_VALUE"""),"M")</f>
        <v>M</v>
      </c>
      <c r="H236" s="404" t="str">
        <f>IFERROR(__xludf.DUMMYFUNCTION("""COMPUTED_VALUE"""),"Ṭṭr.2F")</f>
        <v>Ṭṭr.2F</v>
      </c>
      <c r="I236" s="404" t="str">
        <f>IFERROR(__xludf.DUMMYFUNCTION("""COMPUTED_VALUE"""),"F")</f>
        <v>F</v>
      </c>
      <c r="Z236" s="25"/>
    </row>
    <row r="237">
      <c r="E237" s="403" t="str">
        <f>IFERROR(__xludf.DUMMYFUNCTION("""COMPUTED_VALUE"""),"Ġz.8M")</f>
        <v>Ġz.8M</v>
      </c>
      <c r="F237" s="403" t="str">
        <f>IFERROR(__xludf.DUMMYFUNCTION("""COMPUTED_VALUE"""),"M")</f>
        <v>M</v>
      </c>
      <c r="H237" s="404" t="str">
        <f>IFERROR(__xludf.DUMMYFUNCTION("""COMPUTED_VALUE"""),"ṬZn.1FB")</f>
        <v>ṬZn.1FB</v>
      </c>
      <c r="I237" s="404" t="str">
        <f>IFERROR(__xludf.DUMMYFUNCTION("""COMPUTED_VALUE"""),"F")</f>
        <v>F</v>
      </c>
      <c r="Z237" s="25"/>
    </row>
    <row r="238">
      <c r="E238" s="403" t="str">
        <f>IFERROR(__xludf.DUMMYFUNCTION("""COMPUTED_VALUE"""),"Ḥd.1F")</f>
        <v>Ḥd.1F</v>
      </c>
      <c r="F238" s="403" t="str">
        <f>IFERROR(__xludf.DUMMYFUNCTION("""COMPUTED_VALUE"""),"F")</f>
        <v>F</v>
      </c>
      <c r="H238" s="404" t="str">
        <f>IFERROR(__xludf.DUMMYFUNCTION("""COMPUTED_VALUE"""),"Tʿm.1M")</f>
        <v>Tʿm.1M</v>
      </c>
      <c r="I238" s="404" t="str">
        <f>IFERROR(__xludf.DUMMYFUNCTION("""COMPUTED_VALUE"""),"M")</f>
        <v>M</v>
      </c>
      <c r="Z238" s="25"/>
    </row>
    <row r="239">
      <c r="E239" s="403" t="str">
        <f>IFERROR(__xludf.DUMMYFUNCTION("""COMPUTED_VALUE"""),"Ḥf.10FJ")</f>
        <v>Ḥf.10FJ</v>
      </c>
      <c r="F239" s="403" t="str">
        <f>IFERROR(__xludf.DUMMYFUNCTION("""COMPUTED_VALUE"""),"F")</f>
        <v>F</v>
      </c>
      <c r="H239" s="404" t="str">
        <f>IFERROR(__xludf.DUMMYFUNCTION("""COMPUTED_VALUE"""),"Tʿm.2M")</f>
        <v>Tʿm.2M</v>
      </c>
      <c r="I239" s="404" t="str">
        <f>IFERROR(__xludf.DUMMYFUNCTION("""COMPUTED_VALUE"""),"M")</f>
        <v>M</v>
      </c>
      <c r="Z239" s="25"/>
    </row>
    <row r="240">
      <c r="E240" s="403" t="str">
        <f>IFERROR(__xludf.DUMMYFUNCTION("""COMPUTED_VALUE"""),"Ḥf.1FC")</f>
        <v>Ḥf.1FC</v>
      </c>
      <c r="F240" s="403" t="str">
        <f>IFERROR(__xludf.DUMMYFUNCTION("""COMPUTED_VALUE"""),"F")</f>
        <v>F</v>
      </c>
      <c r="H240" s="404" t="str">
        <f>IFERROR(__xludf.DUMMYFUNCTION("""COMPUTED_VALUE"""),"UF.3F")</f>
        <v>UF.3F</v>
      </c>
      <c r="I240" s="404" t="str">
        <f>IFERROR(__xludf.DUMMYFUNCTION("""COMPUTED_VALUE"""),"F")</f>
        <v>F</v>
      </c>
      <c r="Z240" s="25"/>
    </row>
    <row r="241">
      <c r="E241" s="403" t="str">
        <f>IFERROR(__xludf.DUMMYFUNCTION("""COMPUTED_VALUE"""),"Ḥf.2FC")</f>
        <v>Ḥf.2FC</v>
      </c>
      <c r="F241" s="403" t="str">
        <f>IFERROR(__xludf.DUMMYFUNCTION("""COMPUTED_VALUE"""),"F")</f>
        <v>F</v>
      </c>
      <c r="H241" s="404" t="str">
        <f>IFERROR(__xludf.DUMMYFUNCTION("""COMPUTED_VALUE"""),"Wl.1M")</f>
        <v>Wl.1M</v>
      </c>
      <c r="I241" s="404" t="str">
        <f>IFERROR(__xludf.DUMMYFUNCTION("""COMPUTED_VALUE"""),"M")</f>
        <v>M</v>
      </c>
      <c r="Z241" s="25"/>
    </row>
    <row r="242">
      <c r="E242" s="403" t="str">
        <f>IFERROR(__xludf.DUMMYFUNCTION("""COMPUTED_VALUE"""),"Ḥf.3MC")</f>
        <v>Ḥf.3MC</v>
      </c>
      <c r="F242" s="403" t="str">
        <f>IFERROR(__xludf.DUMMYFUNCTION("""COMPUTED_VALUE"""),"M")</f>
        <v>M</v>
      </c>
      <c r="H242" s="404" t="str">
        <f>IFERROR(__xludf.DUMMYFUNCTION("""COMPUTED_VALUE"""),"Wl.2F")</f>
        <v>Wl.2F</v>
      </c>
      <c r="I242" s="404" t="str">
        <f>IFERROR(__xludf.DUMMYFUNCTION("""COMPUTED_VALUE"""),"F")</f>
        <v>F</v>
      </c>
      <c r="Z242" s="25"/>
    </row>
    <row r="243">
      <c r="E243" s="403" t="str">
        <f>IFERROR(__xludf.DUMMYFUNCTION("""COMPUTED_VALUE"""),"Ḥf.4MC")</f>
        <v>Ḥf.4MC</v>
      </c>
      <c r="F243" s="403" t="str">
        <f>IFERROR(__xludf.DUMMYFUNCTION("""COMPUTED_VALUE"""),"M")</f>
        <v>M</v>
      </c>
      <c r="H243" s="404" t="str">
        <f>IFERROR(__xludf.DUMMYFUNCTION("""COMPUTED_VALUE"""),"WN.1F")</f>
        <v>WN.1F</v>
      </c>
      <c r="I243" s="404" t="str">
        <f>IFERROR(__xludf.DUMMYFUNCTION("""COMPUTED_VALUE"""),"F")</f>
        <v>F</v>
      </c>
      <c r="Z243" s="25"/>
    </row>
    <row r="244">
      <c r="E244" s="403" t="str">
        <f>IFERROR(__xludf.DUMMYFUNCTION("""COMPUTED_VALUE"""),"Ḥf.5FC")</f>
        <v>Ḥf.5FC</v>
      </c>
      <c r="F244" s="403" t="str">
        <f>IFERROR(__xludf.DUMMYFUNCTION("""COMPUTED_VALUE"""),"F")</f>
        <v>F</v>
      </c>
      <c r="H244" s="404" t="str">
        <f>IFERROR(__xludf.DUMMYFUNCTION("""COMPUTED_VALUE"""),"WN.2M")</f>
        <v>WN.2M</v>
      </c>
      <c r="I244" s="404" t="str">
        <f>IFERROR(__xludf.DUMMYFUNCTION("""COMPUTED_VALUE"""),"M")</f>
        <v>M</v>
      </c>
      <c r="Z244" s="25"/>
    </row>
    <row r="245">
      <c r="E245" s="403" t="str">
        <f>IFERROR(__xludf.DUMMYFUNCTION("""COMPUTED_VALUE"""),"Ḥf.6MC")</f>
        <v>Ḥf.6MC</v>
      </c>
      <c r="F245" s="403" t="str">
        <f>IFERROR(__xludf.DUMMYFUNCTION("""COMPUTED_VALUE"""),"M")</f>
        <v>M</v>
      </c>
      <c r="H245" s="404" t="str">
        <f>IFERROR(__xludf.DUMMYFUNCTION("""COMPUTED_VALUE"""),"XB.1F")</f>
        <v>XB.1F</v>
      </c>
      <c r="I245" s="404" t="str">
        <f>IFERROR(__xludf.DUMMYFUNCTION("""COMPUTED_VALUE"""),"F")</f>
        <v>F</v>
      </c>
      <c r="Z245" s="25"/>
    </row>
    <row r="246">
      <c r="E246" s="403" t="str">
        <f>IFERROR(__xludf.DUMMYFUNCTION("""COMPUTED_VALUE"""),"Ḥf.7FC")</f>
        <v>Ḥf.7FC</v>
      </c>
      <c r="F246" s="403" t="str">
        <f>IFERROR(__xludf.DUMMYFUNCTION("""COMPUTED_VALUE"""),"F")</f>
        <v>F</v>
      </c>
      <c r="H246" s="404" t="str">
        <f>IFERROR(__xludf.DUMMYFUNCTION("""COMPUTED_VALUE"""),"XB.4M")</f>
        <v>XB.4M</v>
      </c>
      <c r="I246" s="404" t="str">
        <f>IFERROR(__xludf.DUMMYFUNCTION("""COMPUTED_VALUE"""),"M")</f>
        <v>M</v>
      </c>
      <c r="Z246" s="25"/>
    </row>
    <row r="247">
      <c r="E247" s="403" t="str">
        <f>IFERROR(__xludf.DUMMYFUNCTION("""COMPUTED_VALUE"""),"Ḥf.8M")</f>
        <v>Ḥf.8M</v>
      </c>
      <c r="F247" s="403" t="str">
        <f>IFERROR(__xludf.DUMMYFUNCTION("""COMPUTED_VALUE"""),"M")</f>
        <v>M</v>
      </c>
      <c r="H247" s="404" t="str">
        <f>IFERROR(__xludf.DUMMYFUNCTION("""COMPUTED_VALUE"""),"Xḏ̣.1M")</f>
        <v>Xḏ̣.1M</v>
      </c>
      <c r="I247" s="404" t="str">
        <f>IFERROR(__xludf.DUMMYFUNCTION("""COMPUTED_VALUE"""),"M")</f>
        <v>M</v>
      </c>
      <c r="Z247" s="25"/>
    </row>
    <row r="248">
      <c r="E248" s="403" t="str">
        <f>IFERROR(__xludf.DUMMYFUNCTION("""COMPUTED_VALUE"""),"Ḥf.9M")</f>
        <v>Ḥf.9M</v>
      </c>
      <c r="F248" s="403" t="str">
        <f>IFERROR(__xludf.DUMMYFUNCTION("""COMPUTED_VALUE"""),"M")</f>
        <v>M</v>
      </c>
      <c r="H248" s="404" t="str">
        <f>IFERROR(__xludf.DUMMYFUNCTION("""COMPUTED_VALUE"""),"Xḏ̣.2M")</f>
        <v>Xḏ̣.2M</v>
      </c>
      <c r="I248" s="404" t="str">
        <f>IFERROR(__xludf.DUMMYFUNCTION("""COMPUTED_VALUE"""),"M")</f>
        <v>M</v>
      </c>
      <c r="Z248" s="25"/>
    </row>
    <row r="249">
      <c r="E249" s="403" t="str">
        <f>IFERROR(__xludf.DUMMYFUNCTION("""COMPUTED_VALUE"""),"Ḥsn.1M")</f>
        <v>Ḥsn.1M</v>
      </c>
      <c r="F249" s="403" t="str">
        <f>IFERROR(__xludf.DUMMYFUNCTION("""COMPUTED_VALUE"""),"M")</f>
        <v>M</v>
      </c>
      <c r="H249" s="404" t="str">
        <f>IFERROR(__xludf.DUMMYFUNCTION("""COMPUTED_VALUE"""),"Xḏ̣.3F")</f>
        <v>Xḏ̣.3F</v>
      </c>
      <c r="I249" s="404" t="str">
        <f>IFERROR(__xludf.DUMMYFUNCTION("""COMPUTED_VALUE"""),"F")</f>
        <v>F</v>
      </c>
      <c r="Z249" s="25"/>
    </row>
    <row r="250">
      <c r="E250" s="403" t="str">
        <f>IFERROR(__xludf.DUMMYFUNCTION("""COMPUTED_VALUE"""),"Ḥsn.2F")</f>
        <v>Ḥsn.2F</v>
      </c>
      <c r="F250" s="403" t="str">
        <f>IFERROR(__xludf.DUMMYFUNCTION("""COMPUTED_VALUE"""),"F")</f>
        <v>F</v>
      </c>
      <c r="H250" s="404" t="str">
        <f>IFERROR(__xludf.DUMMYFUNCTION("""COMPUTED_VALUE"""),"Xl.1F")</f>
        <v>Xl.1F</v>
      </c>
      <c r="I250" s="404" t="str">
        <f>IFERROR(__xludf.DUMMYFUNCTION("""COMPUTED_VALUE"""),"F")</f>
        <v>F</v>
      </c>
      <c r="Z250" s="25"/>
    </row>
    <row r="251">
      <c r="E251" s="403" t="str">
        <f>IFERROR(__xludf.DUMMYFUNCTION("""COMPUTED_VALUE"""),"Ḥz.1F")</f>
        <v>Ḥz.1F</v>
      </c>
      <c r="F251" s="403" t="str">
        <f>IFERROR(__xludf.DUMMYFUNCTION("""COMPUTED_VALUE"""),"F")</f>
        <v>F</v>
      </c>
      <c r="H251" s="404" t="str">
        <f>IFERROR(__xludf.DUMMYFUNCTION("""COMPUTED_VALUE"""),"XL.1F")</f>
        <v>XL.1F</v>
      </c>
      <c r="I251" s="404" t="str">
        <f>IFERROR(__xludf.DUMMYFUNCTION("""COMPUTED_VALUE"""),"F")</f>
        <v>F</v>
      </c>
      <c r="Z251" s="25"/>
    </row>
    <row r="252">
      <c r="E252" s="403" t="str">
        <f>IFERROR(__xludf.DUMMYFUNCTION("""COMPUTED_VALUE"""),"Ḥz.2M")</f>
        <v>Ḥz.2M</v>
      </c>
      <c r="F252" s="403" t="str">
        <f>IFERROR(__xludf.DUMMYFUNCTION("""COMPUTED_VALUE"""),"M")</f>
        <v>M</v>
      </c>
      <c r="H252" s="404" t="str">
        <f>IFERROR(__xludf.DUMMYFUNCTION("""COMPUTED_VALUE"""),"Xl.2M")</f>
        <v>Xl.2M</v>
      </c>
      <c r="I252" s="404" t="str">
        <f>IFERROR(__xludf.DUMMYFUNCTION("""COMPUTED_VALUE"""),"M")</f>
        <v>M</v>
      </c>
      <c r="Z252" s="25"/>
    </row>
    <row r="253">
      <c r="E253" s="403" t="str">
        <f>IFERROR(__xludf.DUMMYFUNCTION("""COMPUTED_VALUE"""),"Ḥz.3M")</f>
        <v>Ḥz.3M</v>
      </c>
      <c r="F253" s="403" t="str">
        <f>IFERROR(__xludf.DUMMYFUNCTION("""COMPUTED_VALUE"""),"M")</f>
        <v>M</v>
      </c>
      <c r="H253" s="404" t="str">
        <f>IFERROR(__xludf.DUMMYFUNCTION("""COMPUTED_VALUE"""),"Xl.3M")</f>
        <v>Xl.3M</v>
      </c>
      <c r="I253" s="404" t="str">
        <f>IFERROR(__xludf.DUMMYFUNCTION("""COMPUTED_VALUE"""),"M")</f>
        <v>M</v>
      </c>
      <c r="Z253" s="25"/>
    </row>
    <row r="254">
      <c r="E254" s="403" t="str">
        <f>IFERROR(__xludf.DUMMYFUNCTION("""COMPUTED_VALUE"""),"Ḥz.4M")</f>
        <v>Ḥz.4M</v>
      </c>
      <c r="F254" s="403" t="str">
        <f>IFERROR(__xludf.DUMMYFUNCTION("""COMPUTED_VALUE"""),"M")</f>
        <v>M</v>
      </c>
      <c r="H254" s="404" t="str">
        <f>IFERROR(__xludf.DUMMYFUNCTION("""COMPUTED_VALUE"""),"Xl.4F")</f>
        <v>Xl.4F</v>
      </c>
      <c r="I254" s="404" t="str">
        <f>IFERROR(__xludf.DUMMYFUNCTION("""COMPUTED_VALUE"""),"F")</f>
        <v>F</v>
      </c>
      <c r="Z254" s="25"/>
    </row>
    <row r="255">
      <c r="E255" s="403" t="str">
        <f>IFERROR(__xludf.DUMMYFUNCTION("""COMPUTED_VALUE"""),"Ḥz.5F")</f>
        <v>Ḥz.5F</v>
      </c>
      <c r="F255" s="403" t="str">
        <f>IFERROR(__xludf.DUMMYFUNCTION("""COMPUTED_VALUE"""),"F")</f>
        <v>F</v>
      </c>
      <c r="H255" s="404" t="str">
        <f>IFERROR(__xludf.DUMMYFUNCTION("""COMPUTED_VALUE"""),"Yr.1FD")</f>
        <v>Yr.1FD</v>
      </c>
      <c r="I255" s="404" t="str">
        <f>IFERROR(__xludf.DUMMYFUNCTION("""COMPUTED_VALUE"""),"F")</f>
        <v>F</v>
      </c>
      <c r="Z255" s="25"/>
    </row>
    <row r="256">
      <c r="E256" s="403" t="str">
        <f>IFERROR(__xludf.DUMMYFUNCTION("""COMPUTED_VALUE"""),"Ḥz.6F")</f>
        <v>Ḥz.6F</v>
      </c>
      <c r="F256" s="403" t="str">
        <f>IFERROR(__xludf.DUMMYFUNCTION("""COMPUTED_VALUE"""),"F")</f>
        <v>F</v>
      </c>
      <c r="H256" s="404" t="str">
        <f>IFERROR(__xludf.DUMMYFUNCTION("""COMPUTED_VALUE"""),"Yr.2MD")</f>
        <v>Yr.2MD</v>
      </c>
      <c r="I256" s="404" t="str">
        <f>IFERROR(__xludf.DUMMYFUNCTION("""COMPUTED_VALUE"""),"M")</f>
        <v>M</v>
      </c>
      <c r="Z256" s="25"/>
    </row>
    <row r="257">
      <c r="E257" s="403" t="str">
        <f>IFERROR(__xludf.DUMMYFUNCTION("""COMPUTED_VALUE"""),"Im.1M")</f>
        <v>Im.1M</v>
      </c>
      <c r="F257" s="403" t="str">
        <f>IFERROR(__xludf.DUMMYFUNCTION("""COMPUTED_VALUE"""),"M")</f>
        <v>M</v>
      </c>
      <c r="H257" s="404" t="str">
        <f>IFERROR(__xludf.DUMMYFUNCTION("""COMPUTED_VALUE"""),"Yr.3MD")</f>
        <v>Yr.3MD</v>
      </c>
      <c r="I257" s="404" t="str">
        <f>IFERROR(__xludf.DUMMYFUNCTION("""COMPUTED_VALUE"""),"M")</f>
        <v>M</v>
      </c>
      <c r="Z257" s="25"/>
    </row>
    <row r="258">
      <c r="E258" s="403" t="str">
        <f>IFERROR(__xludf.DUMMYFUNCTION("""COMPUTED_VALUE"""),"Im.2M")</f>
        <v>Im.2M</v>
      </c>
      <c r="F258" s="403" t="str">
        <f>IFERROR(__xludf.DUMMYFUNCTION("""COMPUTED_VALUE"""),"M")</f>
        <v>M</v>
      </c>
      <c r="H258" s="404" t="str">
        <f>IFERROR(__xludf.DUMMYFUNCTION("""COMPUTED_VALUE"""),"Yṭ.1M")</f>
        <v>Yṭ.1M</v>
      </c>
      <c r="I258" s="404" t="str">
        <f>IFERROR(__xludf.DUMMYFUNCTION("""COMPUTED_VALUE"""),"M")</f>
        <v>M</v>
      </c>
      <c r="Z258" s="25"/>
    </row>
    <row r="259">
      <c r="E259" s="403" t="str">
        <f>IFERROR(__xludf.DUMMYFUNCTION("""COMPUTED_VALUE"""),"Im.3F")</f>
        <v>Im.3F</v>
      </c>
      <c r="F259" s="403" t="str">
        <f>IFERROR(__xludf.DUMMYFUNCTION("""COMPUTED_VALUE"""),"F")</f>
        <v>F</v>
      </c>
      <c r="H259" s="404" t="str">
        <f>IFERROR(__xludf.DUMMYFUNCTION("""COMPUTED_VALUE"""),"Zr.1MB")</f>
        <v>Zr.1MB</v>
      </c>
      <c r="I259" s="404" t="str">
        <f>IFERROR(__xludf.DUMMYFUNCTION("""COMPUTED_VALUE"""),"M")</f>
        <v>M</v>
      </c>
      <c r="Z259" s="25"/>
    </row>
    <row r="260">
      <c r="E260" s="403" t="str">
        <f>IFERROR(__xludf.DUMMYFUNCTION("""COMPUTED_VALUE"""),"Ir.1F")</f>
        <v>Ir.1F</v>
      </c>
      <c r="F260" s="403" t="str">
        <f>IFERROR(__xludf.DUMMYFUNCTION("""COMPUTED_VALUE"""),"F")</f>
        <v>F</v>
      </c>
      <c r="H260" s="404" t="str">
        <f>IFERROR(__xludf.DUMMYFUNCTION("""COMPUTED_VALUE"""),"Zr.2MB")</f>
        <v>Zr.2MB</v>
      </c>
      <c r="I260" s="404" t="str">
        <f>IFERROR(__xludf.DUMMYFUNCTION("""COMPUTED_VALUE"""),"M")</f>
        <v>M</v>
      </c>
      <c r="Z260" s="25"/>
    </row>
    <row r="261">
      <c r="E261" s="403" t="str">
        <f>IFERROR(__xludf.DUMMYFUNCTION("""COMPUTED_VALUE"""),"Ir.2M")</f>
        <v>Ir.2M</v>
      </c>
      <c r="F261" s="403" t="str">
        <f>IFERROR(__xludf.DUMMYFUNCTION("""COMPUTED_VALUE"""),"M")</f>
        <v>M</v>
      </c>
      <c r="H261" s="404" t="str">
        <f>IFERROR(__xludf.DUMMYFUNCTION("""COMPUTED_VALUE"""),"Žš.1MC")</f>
        <v>Žš.1MC</v>
      </c>
      <c r="I261" s="404" t="str">
        <f>IFERROR(__xludf.DUMMYFUNCTION("""COMPUTED_VALUE"""),"M")</f>
        <v>M</v>
      </c>
      <c r="Z261" s="25"/>
    </row>
    <row r="262">
      <c r="E262" s="403" t="str">
        <f>IFERROR(__xludf.DUMMYFUNCTION("""COMPUTED_VALUE"""),"Ir.3M")</f>
        <v>Ir.3M</v>
      </c>
      <c r="F262" s="403" t="str">
        <f>IFERROR(__xludf.DUMMYFUNCTION("""COMPUTED_VALUE"""),"M")</f>
        <v>M</v>
      </c>
      <c r="H262" s="404" t="str">
        <f>IFERROR(__xludf.DUMMYFUNCTION("""COMPUTED_VALUE"""),"ʿnt.1M")</f>
        <v>ʿnt.1M</v>
      </c>
      <c r="I262" s="404" t="str">
        <f>IFERROR(__xludf.DUMMYFUNCTION("""COMPUTED_VALUE"""),"M")</f>
        <v>M</v>
      </c>
      <c r="Z262" s="25"/>
    </row>
    <row r="263">
      <c r="E263" s="403" t="str">
        <f>IFERROR(__xludf.DUMMYFUNCTION("""COMPUTED_VALUE"""),"Is.1F")</f>
        <v>Is.1F</v>
      </c>
      <c r="F263" s="403" t="str">
        <f>IFERROR(__xludf.DUMMYFUNCTION("""COMPUTED_VALUE"""),"F")</f>
        <v>F</v>
      </c>
      <c r="H263" s="404" t="str">
        <f>IFERROR(__xludf.DUMMYFUNCTION("""COMPUTED_VALUE"""),"ʿnt.2F")</f>
        <v>ʿnt.2F</v>
      </c>
      <c r="I263" s="404" t="str">
        <f>IFERROR(__xludf.DUMMYFUNCTION("""COMPUTED_VALUE"""),"F")</f>
        <v>F</v>
      </c>
      <c r="Z263" s="25"/>
    </row>
    <row r="264">
      <c r="E264" s="403" t="str">
        <f>IFERROR(__xludf.DUMMYFUNCTION("""COMPUTED_VALUE"""),"Is.2F")</f>
        <v>Is.2F</v>
      </c>
      <c r="F264" s="403" t="str">
        <f>IFERROR(__xludf.DUMMYFUNCTION("""COMPUTED_VALUE"""),"F")</f>
        <v>F</v>
      </c>
      <c r="H264" s="404" t="str">
        <f>IFERROR(__xludf.DUMMYFUNCTION("""COMPUTED_VALUE"""),"ʿnt.3F")</f>
        <v>ʿnt.3F</v>
      </c>
      <c r="I264" s="404" t="str">
        <f>IFERROR(__xludf.DUMMYFUNCTION("""COMPUTED_VALUE"""),"F")</f>
        <v>F</v>
      </c>
      <c r="Z264" s="25"/>
    </row>
    <row r="265">
      <c r="E265" s="403" t="str">
        <f>IFERROR(__xludf.DUMMYFUNCTION("""COMPUTED_VALUE"""),"Is.3F")</f>
        <v>Is.3F</v>
      </c>
      <c r="F265" s="403" t="str">
        <f>IFERROR(__xludf.DUMMYFUNCTION("""COMPUTED_VALUE"""),"F")</f>
        <v>F</v>
      </c>
      <c r="H265" s="404" t="str">
        <f>IFERROR(__xludf.DUMMYFUNCTION("""COMPUTED_VALUE"""),"ʿnt.7F")</f>
        <v>ʿnt.7F</v>
      </c>
      <c r="I265" s="404" t="str">
        <f>IFERROR(__xludf.DUMMYFUNCTION("""COMPUTED_VALUE"""),"F")</f>
        <v>F</v>
      </c>
      <c r="Z265" s="25"/>
    </row>
    <row r="266">
      <c r="E266" s="403" t="str">
        <f>IFERROR(__xludf.DUMMYFUNCTION("""COMPUTED_VALUE"""),"Is.4M")</f>
        <v>Is.4M</v>
      </c>
      <c r="F266" s="403" t="str">
        <f>IFERROR(__xludf.DUMMYFUNCTION("""COMPUTED_VALUE"""),"M")</f>
        <v>M</v>
      </c>
      <c r="H266" s="404" t="str">
        <f>IFERROR(__xludf.DUMMYFUNCTION("""COMPUTED_VALUE"""),"ʿz.1F")</f>
        <v>ʿz.1F</v>
      </c>
      <c r="I266" s="404" t="str">
        <f>IFERROR(__xludf.DUMMYFUNCTION("""COMPUTED_VALUE"""),"F")</f>
        <v>F</v>
      </c>
      <c r="Z266" s="25"/>
    </row>
    <row r="267">
      <c r="E267" s="403" t="str">
        <f>IFERROR(__xludf.DUMMYFUNCTION("""COMPUTED_VALUE"""),"Is.5M")</f>
        <v>Is.5M</v>
      </c>
      <c r="F267" s="403" t="str">
        <f>IFERROR(__xludf.DUMMYFUNCTION("""COMPUTED_VALUE"""),"M")</f>
        <v>M</v>
      </c>
      <c r="H267" s="404" t="str">
        <f>IFERROR(__xludf.DUMMYFUNCTION("""COMPUTED_VALUE"""),"ʿz.2M")</f>
        <v>ʿz.2M</v>
      </c>
      <c r="I267" s="404" t="str">
        <f>IFERROR(__xludf.DUMMYFUNCTION("""COMPUTED_VALUE"""),"M")</f>
        <v>M</v>
      </c>
      <c r="Z267" s="25"/>
    </row>
    <row r="268">
      <c r="E268" s="403" t="str">
        <f>IFERROR(__xludf.DUMMYFUNCTION("""COMPUTED_VALUE"""),"Is.6F")</f>
        <v>Is.6F</v>
      </c>
      <c r="F268" s="403" t="str">
        <f>IFERROR(__xludf.DUMMYFUNCTION("""COMPUTED_VALUE"""),"F")</f>
        <v>F</v>
      </c>
      <c r="H268" s="404"/>
      <c r="I268" s="404"/>
      <c r="Z268" s="25"/>
    </row>
    <row r="269">
      <c r="E269" s="403" t="str">
        <f>IFERROR(__xludf.DUMMYFUNCTION("""COMPUTED_VALUE"""),"Is.7M")</f>
        <v>Is.7M</v>
      </c>
      <c r="F269" s="403" t="str">
        <f>IFERROR(__xludf.DUMMYFUNCTION("""COMPUTED_VALUE"""),"M")</f>
        <v>M</v>
      </c>
      <c r="H269" s="404"/>
      <c r="I269" s="404"/>
      <c r="Z269" s="25"/>
    </row>
    <row r="270">
      <c r="E270" s="403" t="str">
        <f>IFERROR(__xludf.DUMMYFUNCTION("""COMPUTED_VALUE"""),"Is.8M")</f>
        <v>Is.8M</v>
      </c>
      <c r="F270" s="403" t="str">
        <f>IFERROR(__xludf.DUMMYFUNCTION("""COMPUTED_VALUE"""),"M")</f>
        <v>M</v>
      </c>
      <c r="H270" s="404"/>
      <c r="I270" s="404"/>
      <c r="Z270" s="25"/>
    </row>
    <row r="271">
      <c r="E271" s="403" t="str">
        <f>IFERROR(__xludf.DUMMYFUNCTION("""COMPUTED_VALUE"""),"Is.9F")</f>
        <v>Is.9F</v>
      </c>
      <c r="F271" s="403" t="str">
        <f>IFERROR(__xludf.DUMMYFUNCTION("""COMPUTED_VALUE"""),"F")</f>
        <v>F</v>
      </c>
      <c r="H271" s="404"/>
      <c r="I271" s="404"/>
      <c r="Z271" s="25"/>
    </row>
    <row r="272">
      <c r="E272" s="403" t="str">
        <f>IFERROR(__xludf.DUMMYFUNCTION("""COMPUTED_VALUE"""),"Jr.1MA")</f>
        <v>Jr.1MA</v>
      </c>
      <c r="F272" s="403" t="str">
        <f>IFERROR(__xludf.DUMMYFUNCTION("""COMPUTED_VALUE"""),"M")</f>
        <v>M</v>
      </c>
      <c r="H272" s="404"/>
      <c r="I272" s="404"/>
      <c r="Z272" s="25"/>
    </row>
    <row r="273">
      <c r="E273" s="403" t="str">
        <f>IFERROR(__xludf.DUMMYFUNCTION("""COMPUTED_VALUE"""),"Jr.2FC")</f>
        <v>Jr.2FC</v>
      </c>
      <c r="F273" s="403" t="str">
        <f>IFERROR(__xludf.DUMMYFUNCTION("""COMPUTED_VALUE"""),"F")</f>
        <v>F</v>
      </c>
      <c r="H273" s="404"/>
      <c r="I273" s="404"/>
      <c r="Z273" s="25"/>
    </row>
    <row r="274">
      <c r="E274" s="403" t="str">
        <f>IFERROR(__xludf.DUMMYFUNCTION("""COMPUTED_VALUE"""),"Jr.3MC")</f>
        <v>Jr.3MC</v>
      </c>
      <c r="F274" s="403" t="str">
        <f>IFERROR(__xludf.DUMMYFUNCTION("""COMPUTED_VALUE"""),"M")</f>
        <v>M</v>
      </c>
      <c r="H274" s="404"/>
      <c r="I274" s="404"/>
      <c r="Z274" s="25"/>
    </row>
    <row r="275">
      <c r="E275" s="403" t="str">
        <f>IFERROR(__xludf.DUMMYFUNCTION("""COMPUTED_VALUE"""),"Jr.4MC")</f>
        <v>Jr.4MC</v>
      </c>
      <c r="F275" s="403" t="str">
        <f>IFERROR(__xludf.DUMMYFUNCTION("""COMPUTED_VALUE"""),"M")</f>
        <v>M</v>
      </c>
      <c r="H275" s="404"/>
      <c r="I275" s="404"/>
      <c r="Z275" s="25"/>
    </row>
    <row r="276">
      <c r="E276" s="403" t="str">
        <f>IFERROR(__xludf.DUMMYFUNCTION("""COMPUTED_VALUE"""),"Jr.5MC")</f>
        <v>Jr.5MC</v>
      </c>
      <c r="F276" s="403" t="str">
        <f>IFERROR(__xludf.DUMMYFUNCTION("""COMPUTED_VALUE"""),"M")</f>
        <v>M</v>
      </c>
      <c r="H276" s="404"/>
      <c r="I276" s="404"/>
      <c r="Z276" s="25"/>
    </row>
    <row r="277">
      <c r="E277" s="403" t="str">
        <f>IFERROR(__xludf.DUMMYFUNCTION("""COMPUTED_VALUE"""),"Jr.6FC")</f>
        <v>Jr.6FC</v>
      </c>
      <c r="F277" s="403" t="str">
        <f>IFERROR(__xludf.DUMMYFUNCTION("""COMPUTED_VALUE"""),"F")</f>
        <v>F</v>
      </c>
      <c r="H277" s="404"/>
      <c r="I277" s="404"/>
      <c r="Z277" s="25"/>
    </row>
    <row r="278">
      <c r="E278" s="403" t="str">
        <f>IFERROR(__xludf.DUMMYFUNCTION("""COMPUTED_VALUE"""),"Jr.7MC")</f>
        <v>Jr.7MC</v>
      </c>
      <c r="F278" s="403" t="str">
        <f>IFERROR(__xludf.DUMMYFUNCTION("""COMPUTED_VALUE"""),"M")</f>
        <v>M</v>
      </c>
      <c r="H278" s="404"/>
      <c r="I278" s="404"/>
      <c r="Z278" s="25"/>
    </row>
    <row r="279">
      <c r="E279" s="403" t="str">
        <f>IFERROR(__xludf.DUMMYFUNCTION("""COMPUTED_VALUE"""),"JV.1MB")</f>
        <v>JV.1MB</v>
      </c>
      <c r="F279" s="403" t="str">
        <f>IFERROR(__xludf.DUMMYFUNCTION("""COMPUTED_VALUE"""),"M")</f>
        <v>M</v>
      </c>
      <c r="H279" s="404"/>
      <c r="I279" s="404"/>
      <c r="Z279" s="25"/>
    </row>
    <row r="280">
      <c r="E280" s="403" t="str">
        <f>IFERROR(__xludf.DUMMYFUNCTION("""COMPUTED_VALUE"""),"KAH.1M")</f>
        <v>KAH.1M</v>
      </c>
      <c r="F280" s="403" t="str">
        <f>IFERROR(__xludf.DUMMYFUNCTION("""COMPUTED_VALUE"""),"M")</f>
        <v>M</v>
      </c>
      <c r="H280" s="404"/>
      <c r="I280" s="404"/>
      <c r="Z280" s="25"/>
    </row>
    <row r="281">
      <c r="E281" s="403" t="str">
        <f>IFERROR(__xludf.DUMMYFUNCTION("""COMPUTED_VALUE"""),"KAH.2F")</f>
        <v>KAH.2F</v>
      </c>
      <c r="F281" s="403" t="str">
        <f>IFERROR(__xludf.DUMMYFUNCTION("""COMPUTED_VALUE"""),"F")</f>
        <v>F</v>
      </c>
      <c r="H281" s="404"/>
      <c r="I281" s="404"/>
      <c r="Z281" s="25"/>
    </row>
    <row r="282">
      <c r="E282" s="403" t="str">
        <f>IFERROR(__xludf.DUMMYFUNCTION("""COMPUTED_VALUE"""),"Kb.1F")</f>
        <v>Kb.1F</v>
      </c>
      <c r="F282" s="403" t="str">
        <f>IFERROR(__xludf.DUMMYFUNCTION("""COMPUTED_VALUE"""),"F")</f>
        <v>F</v>
      </c>
      <c r="H282" s="404"/>
      <c r="I282" s="404"/>
      <c r="Z282" s="25"/>
    </row>
    <row r="283">
      <c r="E283" s="403" t="str">
        <f>IFERROR(__xludf.DUMMYFUNCTION("""COMPUTED_VALUE"""),"Kbb.1M")</f>
        <v>Kbb.1M</v>
      </c>
      <c r="F283" s="403" t="str">
        <f>IFERROR(__xludf.DUMMYFUNCTION("""COMPUTED_VALUE"""),"M")</f>
        <v>M</v>
      </c>
      <c r="H283" s="404"/>
      <c r="I283" s="404"/>
      <c r="Z283" s="25"/>
    </row>
    <row r="284">
      <c r="E284" s="403" t="str">
        <f>IFERROR(__xludf.DUMMYFUNCTION("""COMPUTED_VALUE"""),"Kbb.2M")</f>
        <v>Kbb.2M</v>
      </c>
      <c r="F284" s="403" t="str">
        <f>IFERROR(__xludf.DUMMYFUNCTION("""COMPUTED_VALUE"""),"M")</f>
        <v>M</v>
      </c>
      <c r="H284" s="404"/>
      <c r="I284" s="404"/>
      <c r="Z284" s="25"/>
    </row>
    <row r="285">
      <c r="E285" s="403" t="str">
        <f>IFERROR(__xludf.DUMMYFUNCTION("""COMPUTED_VALUE"""),"Kbb.3M")</f>
        <v>Kbb.3M</v>
      </c>
      <c r="F285" s="403" t="str">
        <f>IFERROR(__xludf.DUMMYFUNCTION("""COMPUTED_VALUE"""),"M")</f>
        <v>M</v>
      </c>
      <c r="H285" s="404"/>
      <c r="I285" s="404"/>
      <c r="Z285" s="25"/>
    </row>
    <row r="286">
      <c r="E286" s="403" t="str">
        <f>IFERROR(__xludf.DUMMYFUNCTION("""COMPUTED_VALUE"""),"Kbb.4M")</f>
        <v>Kbb.4M</v>
      </c>
      <c r="F286" s="403" t="str">
        <f>IFERROR(__xludf.DUMMYFUNCTION("""COMPUTED_VALUE"""),"M")</f>
        <v>M</v>
      </c>
      <c r="H286" s="404"/>
      <c r="I286" s="404"/>
      <c r="Z286" s="25"/>
    </row>
    <row r="287">
      <c r="E287" s="403" t="str">
        <f>IFERROR(__xludf.DUMMYFUNCTION("""COMPUTED_VALUE"""),"KM.1M")</f>
        <v>KM.1M</v>
      </c>
      <c r="F287" s="403" t="str">
        <f>IFERROR(__xludf.DUMMYFUNCTION("""COMPUTED_VALUE"""),"M")</f>
        <v>M</v>
      </c>
      <c r="H287" s="404"/>
      <c r="I287" s="404"/>
      <c r="Z287" s="25"/>
    </row>
    <row r="288">
      <c r="E288" s="403" t="str">
        <f>IFERROR(__xludf.DUMMYFUNCTION("""COMPUTED_VALUE"""),"KM.2F")</f>
        <v>KM.2F</v>
      </c>
      <c r="F288" s="403" t="str">
        <f>IFERROR(__xludf.DUMMYFUNCTION("""COMPUTED_VALUE"""),"F")</f>
        <v>F</v>
      </c>
      <c r="H288" s="404"/>
      <c r="I288" s="404"/>
      <c r="Z288" s="25"/>
    </row>
    <row r="289">
      <c r="E289" s="403" t="str">
        <f>IFERROR(__xludf.DUMMYFUNCTION("""COMPUTED_VALUE"""),"KN.1F")</f>
        <v>KN.1F</v>
      </c>
      <c r="F289" s="403" t="str">
        <f>IFERROR(__xludf.DUMMYFUNCTION("""COMPUTED_VALUE"""),"F")</f>
        <v>F</v>
      </c>
      <c r="H289" s="404"/>
      <c r="I289" s="404"/>
      <c r="Z289" s="25"/>
    </row>
    <row r="290">
      <c r="E290" s="403" t="str">
        <f>IFERROR(__xludf.DUMMYFUNCTION("""COMPUTED_VALUE"""),"KN.2F")</f>
        <v>KN.2F</v>
      </c>
      <c r="F290" s="403" t="str">
        <f>IFERROR(__xludf.DUMMYFUNCTION("""COMPUTED_VALUE"""),"F")</f>
        <v>F</v>
      </c>
      <c r="H290" s="404"/>
      <c r="I290" s="404"/>
      <c r="Z290" s="25"/>
    </row>
    <row r="291">
      <c r="E291" s="403" t="str">
        <f>IFERROR(__xludf.DUMMYFUNCTION("""COMPUTED_VALUE"""),"KS.1FC")</f>
        <v>KS.1FC</v>
      </c>
      <c r="F291" s="403" t="str">
        <f>IFERROR(__xludf.DUMMYFUNCTION("""COMPUTED_VALUE"""),"F")</f>
        <v>F</v>
      </c>
      <c r="H291" s="404"/>
      <c r="I291" s="404"/>
      <c r="Z291" s="25"/>
    </row>
    <row r="292">
      <c r="E292" s="403" t="str">
        <f>IFERROR(__xludf.DUMMYFUNCTION("""COMPUTED_VALUE"""),"KS.2FD")</f>
        <v>KS.2FD</v>
      </c>
      <c r="F292" s="403" t="str">
        <f>IFERROR(__xludf.DUMMYFUNCTION("""COMPUTED_VALUE"""),"F")</f>
        <v>F</v>
      </c>
      <c r="H292" s="404"/>
      <c r="I292" s="404"/>
      <c r="Z292" s="25"/>
    </row>
    <row r="293">
      <c r="E293" s="403" t="str">
        <f>IFERROR(__xludf.DUMMYFUNCTION("""COMPUTED_VALUE"""),"KS.3MD")</f>
        <v>KS.3MD</v>
      </c>
      <c r="F293" s="403" t="str">
        <f>IFERROR(__xludf.DUMMYFUNCTION("""COMPUTED_VALUE"""),"M")</f>
        <v>M</v>
      </c>
      <c r="H293" s="404"/>
      <c r="I293" s="404"/>
      <c r="Z293" s="25"/>
    </row>
    <row r="294">
      <c r="E294" s="403" t="str">
        <f>IFERROR(__xludf.DUMMYFUNCTION("""COMPUTED_VALUE"""),"Ksf.1MB")</f>
        <v>Ksf.1MB</v>
      </c>
      <c r="F294" s="403" t="str">
        <f>IFERROR(__xludf.DUMMYFUNCTION("""COMPUTED_VALUE"""),"M")</f>
        <v>M</v>
      </c>
      <c r="H294" s="404"/>
      <c r="I294" s="404"/>
      <c r="Z294" s="25"/>
    </row>
    <row r="295">
      <c r="E295" s="403" t="str">
        <f>IFERROR(__xludf.DUMMYFUNCTION("""COMPUTED_VALUE"""),"Ksf.2MB")</f>
        <v>Ksf.2MB</v>
      </c>
      <c r="F295" s="403" t="str">
        <f>IFERROR(__xludf.DUMMYFUNCTION("""COMPUTED_VALUE"""),"M")</f>
        <v>M</v>
      </c>
      <c r="H295" s="404"/>
      <c r="I295" s="404"/>
      <c r="Z295" s="25"/>
    </row>
    <row r="296">
      <c r="E296" s="403" t="str">
        <f>IFERROR(__xludf.DUMMYFUNCTION("""COMPUTED_VALUE"""),"Ksf.3MB")</f>
        <v>Ksf.3MB</v>
      </c>
      <c r="F296" s="403" t="str">
        <f>IFERROR(__xludf.DUMMYFUNCTION("""COMPUTED_VALUE"""),"M")</f>
        <v>M</v>
      </c>
      <c r="H296" s="404"/>
      <c r="I296" s="404"/>
      <c r="Z296" s="25"/>
    </row>
    <row r="297">
      <c r="E297" s="403" t="str">
        <f>IFERROR(__xludf.DUMMYFUNCTION("""COMPUTED_VALUE"""),"Ksr.1FD")</f>
        <v>Ksr.1FD</v>
      </c>
      <c r="F297" s="403" t="str">
        <f>IFERROR(__xludf.DUMMYFUNCTION("""COMPUTED_VALUE"""),"F")</f>
        <v>F</v>
      </c>
      <c r="H297" s="404"/>
      <c r="I297" s="404"/>
      <c r="Z297" s="25"/>
    </row>
    <row r="298">
      <c r="E298" s="403" t="str">
        <f>IFERROR(__xludf.DUMMYFUNCTION("""COMPUTED_VALUE"""),"Ksr.2FD")</f>
        <v>Ksr.2FD</v>
      </c>
      <c r="F298" s="403" t="str">
        <f>IFERROR(__xludf.DUMMYFUNCTION("""COMPUTED_VALUE"""),"F")</f>
        <v>F</v>
      </c>
      <c r="H298" s="404"/>
      <c r="I298" s="404"/>
      <c r="Z298" s="25"/>
    </row>
    <row r="299">
      <c r="E299" s="403" t="str">
        <f>IFERROR(__xludf.DUMMYFUNCTION("""COMPUTED_VALUE"""),"Ksr.3MD")</f>
        <v>Ksr.3MD</v>
      </c>
      <c r="F299" s="403" t="str">
        <f>IFERROR(__xludf.DUMMYFUNCTION("""COMPUTED_VALUE"""),"M")</f>
        <v>M</v>
      </c>
      <c r="H299" s="404"/>
      <c r="I299" s="404"/>
      <c r="Z299" s="25"/>
    </row>
    <row r="300">
      <c r="E300" s="403" t="str">
        <f>IFERROR(__xludf.DUMMYFUNCTION("""COMPUTED_VALUE"""),"Kṭn.1F")</f>
        <v>Kṭn.1F</v>
      </c>
      <c r="F300" s="403" t="str">
        <f>IFERROR(__xludf.DUMMYFUNCTION("""COMPUTED_VALUE"""),"F")</f>
        <v>F</v>
      </c>
      <c r="H300" s="404"/>
      <c r="I300" s="404"/>
      <c r="Z300" s="25"/>
    </row>
    <row r="301">
      <c r="E301" s="403" t="str">
        <f>IFERROR(__xludf.DUMMYFUNCTION("""COMPUTED_VALUE"""),"Kṭn.2M")</f>
        <v>Kṭn.2M</v>
      </c>
      <c r="F301" s="403" t="str">
        <f>IFERROR(__xludf.DUMMYFUNCTION("""COMPUTED_VALUE"""),"M")</f>
        <v>M</v>
      </c>
      <c r="H301" s="404"/>
      <c r="I301" s="404"/>
      <c r="Z301" s="25"/>
    </row>
    <row r="302">
      <c r="E302" s="403" t="str">
        <f>IFERROR(__xludf.DUMMYFUNCTION("""COMPUTED_VALUE"""),"Kṭn.3F")</f>
        <v>Kṭn.3F</v>
      </c>
      <c r="F302" s="403" t="str">
        <f>IFERROR(__xludf.DUMMYFUNCTION("""COMPUTED_VALUE"""),"F")</f>
        <v>F</v>
      </c>
      <c r="H302" s="404"/>
      <c r="I302" s="404"/>
      <c r="Z302" s="25"/>
    </row>
    <row r="303">
      <c r="E303" s="403" t="str">
        <f>IFERROR(__xludf.DUMMYFUNCTION("""COMPUTED_VALUE"""),"Kṭn.4M")</f>
        <v>Kṭn.4M</v>
      </c>
      <c r="F303" s="403" t="str">
        <f>IFERROR(__xludf.DUMMYFUNCTION("""COMPUTED_VALUE"""),"M")</f>
        <v>M</v>
      </c>
      <c r="H303" s="404"/>
      <c r="I303" s="404"/>
      <c r="Z303" s="25"/>
    </row>
    <row r="304">
      <c r="E304" s="403" t="str">
        <f>IFERROR(__xludf.DUMMYFUNCTION("""COMPUTED_VALUE"""),"Kṭn.5M")</f>
        <v>Kṭn.5M</v>
      </c>
      <c r="F304" s="403" t="str">
        <f>IFERROR(__xludf.DUMMYFUNCTION("""COMPUTED_VALUE"""),"M")</f>
        <v>M</v>
      </c>
      <c r="H304" s="404"/>
      <c r="I304" s="404"/>
      <c r="Z304" s="25"/>
    </row>
    <row r="305">
      <c r="E305" s="403" t="str">
        <f>IFERROR(__xludf.DUMMYFUNCTION("""COMPUTED_VALUE"""),"KY.1FC")</f>
        <v>KY.1FC</v>
      </c>
      <c r="F305" s="403" t="str">
        <f>IFERROR(__xludf.DUMMYFUNCTION("""COMPUTED_VALUE"""),"F")</f>
        <v>F</v>
      </c>
      <c r="H305" s="404"/>
      <c r="I305" s="404"/>
      <c r="Z305" s="25"/>
    </row>
    <row r="306">
      <c r="E306" s="403" t="str">
        <f>IFERROR(__xludf.DUMMYFUNCTION("""COMPUTED_VALUE"""),"KY.2MC")</f>
        <v>KY.2MC</v>
      </c>
      <c r="F306" s="403" t="str">
        <f>IFERROR(__xludf.DUMMYFUNCTION("""COMPUTED_VALUE"""),"M")</f>
        <v>M</v>
      </c>
      <c r="H306" s="404"/>
      <c r="I306" s="404"/>
      <c r="Z306" s="25"/>
    </row>
    <row r="307">
      <c r="E307" s="403" t="str">
        <f>IFERROR(__xludf.DUMMYFUNCTION("""COMPUTED_VALUE"""),"KY.3F")</f>
        <v>KY.3F</v>
      </c>
      <c r="F307" s="403" t="str">
        <f>IFERROR(__xludf.DUMMYFUNCTION("""COMPUTED_VALUE"""),"F")</f>
        <v>F</v>
      </c>
      <c r="H307" s="404"/>
      <c r="I307" s="404"/>
      <c r="Z307" s="25"/>
    </row>
    <row r="308">
      <c r="E308" s="403" t="str">
        <f>IFERROR(__xludf.DUMMYFUNCTION("""COMPUTED_VALUE"""),"Ld.1FC")</f>
        <v>Ld.1FC</v>
      </c>
      <c r="F308" s="403" t="str">
        <f>IFERROR(__xludf.DUMMYFUNCTION("""COMPUTED_VALUE"""),"F")</f>
        <v>F</v>
      </c>
      <c r="H308" s="404"/>
      <c r="I308" s="404"/>
      <c r="Z308" s="25"/>
    </row>
    <row r="309">
      <c r="E309" s="403" t="str">
        <f>IFERROR(__xludf.DUMMYFUNCTION("""COMPUTED_VALUE"""),"Ld.2MC")</f>
        <v>Ld.2MC</v>
      </c>
      <c r="F309" s="403" t="str">
        <f>IFERROR(__xludf.DUMMYFUNCTION("""COMPUTED_VALUE"""),"M")</f>
        <v>M</v>
      </c>
      <c r="H309" s="404"/>
      <c r="I309" s="404"/>
      <c r="Z309" s="25"/>
    </row>
    <row r="310">
      <c r="E310" s="403" t="str">
        <f>IFERROR(__xludf.DUMMYFUNCTION("""COMPUTED_VALUE"""),"Lf.1M")</f>
        <v>Lf.1M</v>
      </c>
      <c r="F310" s="403" t="str">
        <f>IFERROR(__xludf.DUMMYFUNCTION("""COMPUTED_VALUE"""),"M")</f>
        <v>M</v>
      </c>
      <c r="H310" s="404"/>
      <c r="I310" s="404"/>
      <c r="Z310" s="7" t="s">
        <v>1809</v>
      </c>
    </row>
    <row r="311">
      <c r="E311" s="403" t="str">
        <f>IFERROR(__xludf.DUMMYFUNCTION("""COMPUTED_VALUE"""),"Lf.2F")</f>
        <v>Lf.2F</v>
      </c>
      <c r="F311" s="403" t="str">
        <f>IFERROR(__xludf.DUMMYFUNCTION("""COMPUTED_VALUE"""),"F")</f>
        <v>F</v>
      </c>
      <c r="H311" s="404"/>
      <c r="I311" s="404"/>
    </row>
    <row r="312">
      <c r="E312" s="403" t="str">
        <f>IFERROR(__xludf.DUMMYFUNCTION("""COMPUTED_VALUE"""),"Lf.3M")</f>
        <v>Lf.3M</v>
      </c>
      <c r="F312" s="403" t="str">
        <f>IFERROR(__xludf.DUMMYFUNCTION("""COMPUTED_VALUE"""),"M")</f>
        <v>M</v>
      </c>
      <c r="H312" s="404"/>
      <c r="I312" s="404"/>
      <c r="Z312" s="25"/>
    </row>
    <row r="313">
      <c r="E313" s="403" t="str">
        <f>IFERROR(__xludf.DUMMYFUNCTION("""COMPUTED_VALUE"""),"Lf.4F")</f>
        <v>Lf.4F</v>
      </c>
      <c r="F313" s="403" t="str">
        <f>IFERROR(__xludf.DUMMYFUNCTION("""COMPUTED_VALUE"""),"F")</f>
        <v>F</v>
      </c>
      <c r="H313" s="404"/>
      <c r="I313" s="404"/>
      <c r="Z313" s="25"/>
    </row>
    <row r="314">
      <c r="E314" s="403" t="str">
        <f>IFERROR(__xludf.DUMMYFUNCTION("""COMPUTED_VALUE"""),"Lf.5F")</f>
        <v>Lf.5F</v>
      </c>
      <c r="F314" s="403" t="str">
        <f>IFERROR(__xludf.DUMMYFUNCTION("""COMPUTED_VALUE"""),"F")</f>
        <v>F</v>
      </c>
      <c r="H314" s="404"/>
      <c r="I314" s="404"/>
      <c r="Z314" s="25"/>
    </row>
    <row r="315">
      <c r="E315" s="403" t="str">
        <f>IFERROR(__xludf.DUMMYFUNCTION("""COMPUTED_VALUE"""),"Mġ.10MD")</f>
        <v>Mġ.10MD</v>
      </c>
      <c r="F315" s="403" t="str">
        <f>IFERROR(__xludf.DUMMYFUNCTION("""COMPUTED_VALUE"""),"M")</f>
        <v>M</v>
      </c>
      <c r="H315" s="404"/>
      <c r="I315" s="404"/>
      <c r="Z315" s="25"/>
    </row>
    <row r="316">
      <c r="E316" s="403" t="str">
        <f>IFERROR(__xludf.DUMMYFUNCTION("""COMPUTED_VALUE"""),"Mġ.1MC")</f>
        <v>Mġ.1MC</v>
      </c>
      <c r="F316" s="403" t="str">
        <f>IFERROR(__xludf.DUMMYFUNCTION("""COMPUTED_VALUE"""),"M")</f>
        <v>M</v>
      </c>
      <c r="H316" s="404"/>
      <c r="I316" s="404"/>
      <c r="Z316" s="25"/>
    </row>
    <row r="317">
      <c r="E317" s="403" t="str">
        <f>IFERROR(__xludf.DUMMYFUNCTION("""COMPUTED_VALUE"""),"Mġ.2MC")</f>
        <v>Mġ.2MC</v>
      </c>
      <c r="F317" s="403" t="str">
        <f>IFERROR(__xludf.DUMMYFUNCTION("""COMPUTED_VALUE"""),"M")</f>
        <v>M</v>
      </c>
      <c r="H317" s="404"/>
      <c r="I317" s="404"/>
      <c r="Z317" s="25"/>
    </row>
    <row r="318">
      <c r="E318" s="403" t="str">
        <f>IFERROR(__xludf.DUMMYFUNCTION("""COMPUTED_VALUE"""),"Mġ.3FC")</f>
        <v>Mġ.3FC</v>
      </c>
      <c r="F318" s="403" t="str">
        <f>IFERROR(__xludf.DUMMYFUNCTION("""COMPUTED_VALUE"""),"F")</f>
        <v>F</v>
      </c>
      <c r="H318" s="404"/>
      <c r="I318" s="404"/>
      <c r="Z318" s="25"/>
    </row>
    <row r="319">
      <c r="E319" s="403" t="str">
        <f>IFERROR(__xludf.DUMMYFUNCTION("""COMPUTED_VALUE"""),"Mġ.4FD")</f>
        <v>Mġ.4FD</v>
      </c>
      <c r="F319" s="403" t="str">
        <f>IFERROR(__xludf.DUMMYFUNCTION("""COMPUTED_VALUE"""),"F")</f>
        <v>F</v>
      </c>
      <c r="H319" s="404"/>
      <c r="I319" s="404"/>
      <c r="Z319" s="25"/>
    </row>
    <row r="320">
      <c r="E320" s="403" t="str">
        <f>IFERROR(__xludf.DUMMYFUNCTION("""COMPUTED_VALUE"""),"Mġ.5MD")</f>
        <v>Mġ.5MD</v>
      </c>
      <c r="F320" s="403" t="str">
        <f>IFERROR(__xludf.DUMMYFUNCTION("""COMPUTED_VALUE"""),"M")</f>
        <v>M</v>
      </c>
      <c r="H320" s="404"/>
      <c r="I320" s="404"/>
      <c r="Z320" s="25"/>
    </row>
    <row r="321">
      <c r="E321" s="403" t="str">
        <f>IFERROR(__xludf.DUMMYFUNCTION("""COMPUTED_VALUE"""),"Mġ.6FD")</f>
        <v>Mġ.6FD</v>
      </c>
      <c r="F321" s="403" t="str">
        <f>IFERROR(__xludf.DUMMYFUNCTION("""COMPUTED_VALUE"""),"F")</f>
        <v>F</v>
      </c>
      <c r="H321" s="404"/>
      <c r="I321" s="404"/>
      <c r="Z321" s="25"/>
    </row>
    <row r="322">
      <c r="E322" s="403" t="str">
        <f>IFERROR(__xludf.DUMMYFUNCTION("""COMPUTED_VALUE"""),"Mġ.7F")</f>
        <v>Mġ.7F</v>
      </c>
      <c r="F322" s="403" t="str">
        <f>IFERROR(__xludf.DUMMYFUNCTION("""COMPUTED_VALUE"""),"F")</f>
        <v>F</v>
      </c>
      <c r="H322" s="404"/>
      <c r="I322" s="404"/>
      <c r="Z322" s="25"/>
    </row>
    <row r="323">
      <c r="E323" s="403" t="str">
        <f>IFERROR(__xludf.DUMMYFUNCTION("""COMPUTED_VALUE"""),"Mġ.8M")</f>
        <v>Mġ.8M</v>
      </c>
      <c r="F323" s="403" t="str">
        <f>IFERROR(__xludf.DUMMYFUNCTION("""COMPUTED_VALUE"""),"M")</f>
        <v>M</v>
      </c>
      <c r="H323" s="404"/>
      <c r="I323" s="404"/>
      <c r="Z323" s="25"/>
    </row>
    <row r="324">
      <c r="E324" s="403" t="str">
        <f>IFERROR(__xludf.DUMMYFUNCTION("""COMPUTED_VALUE"""),"Mġ.9M")</f>
        <v>Mġ.9M</v>
      </c>
      <c r="F324" s="403" t="str">
        <f>IFERROR(__xludf.DUMMYFUNCTION("""COMPUTED_VALUE"""),"M")</f>
        <v>M</v>
      </c>
      <c r="H324" s="404"/>
      <c r="I324" s="404"/>
      <c r="Z324" s="25"/>
    </row>
    <row r="325">
      <c r="E325" s="403" t="str">
        <f>IFERROR(__xludf.DUMMYFUNCTION("""COMPUTED_VALUE"""),"Mġr.1M")</f>
        <v>Mġr.1M</v>
      </c>
      <c r="F325" s="403" t="str">
        <f>IFERROR(__xludf.DUMMYFUNCTION("""COMPUTED_VALUE"""),"M")</f>
        <v>M</v>
      </c>
      <c r="H325" s="404"/>
      <c r="I325" s="404"/>
      <c r="Z325" s="25"/>
    </row>
    <row r="326">
      <c r="E326" s="403" t="str">
        <f>IFERROR(__xludf.DUMMYFUNCTION("""COMPUTED_VALUE"""),"Ml.1FC")</f>
        <v>Ml.1FC</v>
      </c>
      <c r="F326" s="403" t="str">
        <f>IFERROR(__xludf.DUMMYFUNCTION("""COMPUTED_VALUE"""),"F")</f>
        <v>F</v>
      </c>
      <c r="H326" s="404"/>
      <c r="I326" s="404"/>
      <c r="Z326" s="25"/>
    </row>
    <row r="327">
      <c r="E327" s="403" t="str">
        <f>IFERROR(__xludf.DUMMYFUNCTION("""COMPUTED_VALUE"""),"Ml.2FC")</f>
        <v>Ml.2FC</v>
      </c>
      <c r="F327" s="403" t="str">
        <f>IFERROR(__xludf.DUMMYFUNCTION("""COMPUTED_VALUE"""),"F")</f>
        <v>F</v>
      </c>
      <c r="H327" s="404"/>
      <c r="I327" s="404"/>
      <c r="Z327" s="25"/>
    </row>
    <row r="328">
      <c r="E328" s="403" t="str">
        <f>IFERROR(__xludf.DUMMYFUNCTION("""COMPUTED_VALUE"""),"Ml.3MC")</f>
        <v>Ml.3MC</v>
      </c>
      <c r="F328" s="403" t="str">
        <f>IFERROR(__xludf.DUMMYFUNCTION("""COMPUTED_VALUE"""),"F")</f>
        <v>F</v>
      </c>
      <c r="H328" s="404"/>
      <c r="I328" s="404"/>
      <c r="Z328" s="25"/>
    </row>
    <row r="329">
      <c r="E329" s="403" t="str">
        <f>IFERROR(__xludf.DUMMYFUNCTION("""COMPUTED_VALUE"""),"Mlḥ.1F")</f>
        <v>Mlḥ.1F</v>
      </c>
      <c r="F329" s="403" t="str">
        <f>IFERROR(__xludf.DUMMYFUNCTION("""COMPUTED_VALUE"""),"F")</f>
        <v>F</v>
      </c>
      <c r="H329" s="404"/>
      <c r="I329" s="404"/>
      <c r="Z329" s="25"/>
    </row>
    <row r="330">
      <c r="E330" s="403" t="str">
        <f>IFERROR(__xludf.DUMMYFUNCTION("""COMPUTED_VALUE"""),"Mlḥ.2M")</f>
        <v>Mlḥ.2M</v>
      </c>
      <c r="F330" s="403" t="str">
        <f>IFERROR(__xludf.DUMMYFUNCTION("""COMPUTED_VALUE"""),"M")</f>
        <v>M</v>
      </c>
      <c r="H330" s="404"/>
      <c r="I330" s="404"/>
      <c r="Z330" s="25"/>
    </row>
    <row r="331">
      <c r="E331" s="403" t="str">
        <f>IFERROR(__xludf.DUMMYFUNCTION("""COMPUTED_VALUE"""),"Mlḥ.3M")</f>
        <v>Mlḥ.3M</v>
      </c>
      <c r="F331" s="403" t="str">
        <f>IFERROR(__xludf.DUMMYFUNCTION("""COMPUTED_VALUE"""),"M")</f>
        <v>M</v>
      </c>
      <c r="H331" s="404"/>
      <c r="I331" s="404"/>
      <c r="Z331" s="25"/>
    </row>
    <row r="332">
      <c r="E332" s="403" t="str">
        <f>IFERROR(__xludf.DUMMYFUNCTION("""COMPUTED_VALUE"""),"Ms.1FD")</f>
        <v>Ms.1FD</v>
      </c>
      <c r="F332" s="403" t="str">
        <f>IFERROR(__xludf.DUMMYFUNCTION("""COMPUTED_VALUE"""),"F")</f>
        <v>F</v>
      </c>
      <c r="H332" s="404"/>
      <c r="I332" s="404"/>
      <c r="Z332" s="25"/>
    </row>
    <row r="333">
      <c r="E333" s="403" t="str">
        <f>IFERROR(__xludf.DUMMYFUNCTION("""COMPUTED_VALUE"""),"MŠ.1FD")</f>
        <v>MŠ.1FD</v>
      </c>
      <c r="F333" s="403" t="str">
        <f>IFERROR(__xludf.DUMMYFUNCTION("""COMPUTED_VALUE"""),"F")</f>
        <v>F</v>
      </c>
      <c r="H333" s="404"/>
      <c r="I333" s="404"/>
      <c r="Z333" s="25"/>
    </row>
    <row r="334">
      <c r="E334" s="403" t="str">
        <f>IFERROR(__xludf.DUMMYFUNCTION("""COMPUTED_VALUE"""),"Ms.2FD")</f>
        <v>Ms.2FD</v>
      </c>
      <c r="F334" s="403" t="str">
        <f>IFERROR(__xludf.DUMMYFUNCTION("""COMPUTED_VALUE"""),"F")</f>
        <v>F</v>
      </c>
      <c r="H334" s="404"/>
      <c r="I334" s="404"/>
      <c r="Z334" s="25"/>
    </row>
    <row r="335">
      <c r="E335" s="403" t="str">
        <f>IFERROR(__xludf.DUMMYFUNCTION("""COMPUTED_VALUE"""),"Nb.1M")</f>
        <v>Nb.1M</v>
      </c>
      <c r="F335" s="403" t="str">
        <f>IFERROR(__xludf.DUMMYFUNCTION("""COMPUTED_VALUE"""),"M")</f>
        <v>M</v>
      </c>
      <c r="H335" s="404"/>
      <c r="I335" s="404"/>
      <c r="Z335" s="25"/>
    </row>
    <row r="336">
      <c r="E336" s="403" t="str">
        <f>IFERROR(__xludf.DUMMYFUNCTION("""COMPUTED_VALUE"""),"Nb.2F")</f>
        <v>Nb.2F</v>
      </c>
      <c r="F336" s="403" t="str">
        <f>IFERROR(__xludf.DUMMYFUNCTION("""COMPUTED_VALUE"""),"F")</f>
        <v>F</v>
      </c>
      <c r="H336" s="404"/>
      <c r="I336" s="404"/>
      <c r="Z336" s="25"/>
    </row>
    <row r="337">
      <c r="E337" s="403" t="str">
        <f>IFERROR(__xludf.DUMMYFUNCTION("""COMPUTED_VALUE"""),"Nb.3M")</f>
        <v>Nb.3M</v>
      </c>
      <c r="F337" s="403" t="str">
        <f>IFERROR(__xludf.DUMMYFUNCTION("""COMPUTED_VALUE"""),"M")</f>
        <v>M</v>
      </c>
      <c r="H337" s="404"/>
      <c r="I337" s="404"/>
      <c r="Z337" s="25"/>
    </row>
    <row r="338">
      <c r="E338" s="413" t="str">
        <f>IFERROR(__xludf.DUMMYFUNCTION("""COMPUTED_VALUE"""),"Nb.4M.Sm")</f>
        <v>Nb.4M.Sm</v>
      </c>
      <c r="F338" s="403" t="str">
        <f>IFERROR(__xludf.DUMMYFUNCTION("""COMPUTED_VALUE"""),"M")</f>
        <v>M</v>
      </c>
      <c r="H338" s="404"/>
      <c r="I338" s="404"/>
      <c r="Z338" s="25"/>
    </row>
    <row r="339">
      <c r="E339" s="413" t="str">
        <f>IFERROR(__xludf.DUMMYFUNCTION("""COMPUTED_VALUE"""),"Nb.5M.Sm")</f>
        <v>Nb.5M.Sm</v>
      </c>
      <c r="F339" s="403" t="str">
        <f>IFERROR(__xludf.DUMMYFUNCTION("""COMPUTED_VALUE"""),"M")</f>
        <v>M</v>
      </c>
      <c r="H339" s="404"/>
      <c r="I339" s="404"/>
      <c r="Z339" s="25"/>
    </row>
    <row r="340">
      <c r="E340" s="413" t="str">
        <f>IFERROR(__xludf.DUMMYFUNCTION("""COMPUTED_VALUE"""),"Nb.6F.Sm")</f>
        <v>Nb.6F.Sm</v>
      </c>
      <c r="F340" s="403" t="str">
        <f>IFERROR(__xludf.DUMMYFUNCTION("""COMPUTED_VALUE"""),"F")</f>
        <v>F</v>
      </c>
      <c r="H340" s="404"/>
      <c r="I340" s="404"/>
      <c r="Z340" s="25"/>
    </row>
    <row r="341">
      <c r="E341" s="413" t="str">
        <f>IFERROR(__xludf.DUMMYFUNCTION("""COMPUTED_VALUE"""),"Nb.7F.Sm")</f>
        <v>Nb.7F.Sm</v>
      </c>
      <c r="F341" s="403" t="str">
        <f>IFERROR(__xludf.DUMMYFUNCTION("""COMPUTED_VALUE"""),"F")</f>
        <v>F</v>
      </c>
      <c r="H341" s="404"/>
      <c r="I341" s="404"/>
      <c r="Z341" s="25"/>
    </row>
    <row r="342">
      <c r="E342" s="403" t="str">
        <f>IFERROR(__xludf.DUMMYFUNCTION("""COMPUTED_VALUE"""),"Ng.1MB")</f>
        <v>Ng.1MB</v>
      </c>
      <c r="F342" s="403" t="str">
        <f>IFERROR(__xludf.DUMMYFUNCTION("""COMPUTED_VALUE"""),"M")</f>
        <v>M</v>
      </c>
      <c r="H342" s="404"/>
      <c r="I342" s="404"/>
      <c r="Z342" s="25"/>
    </row>
    <row r="343">
      <c r="E343" s="403" t="str">
        <f>IFERROR(__xludf.DUMMYFUNCTION("""COMPUTED_VALUE"""),"Nṣ.1FC")</f>
        <v>Nṣ.1FC</v>
      </c>
      <c r="F343" s="403" t="str">
        <f>IFERROR(__xludf.DUMMYFUNCTION("""COMPUTED_VALUE"""),"F")</f>
        <v>F</v>
      </c>
      <c r="H343" s="404"/>
      <c r="I343" s="404"/>
      <c r="Z343" s="25"/>
    </row>
    <row r="344">
      <c r="E344" s="403" t="str">
        <f>IFERROR(__xludf.DUMMYFUNCTION("""COMPUTED_VALUE"""),"Nṣ.2M")</f>
        <v>Nṣ.2M</v>
      </c>
      <c r="F344" s="403" t="str">
        <f>IFERROR(__xludf.DUMMYFUNCTION("""COMPUTED_VALUE"""),"M")</f>
        <v>M</v>
      </c>
      <c r="H344" s="404"/>
      <c r="I344" s="404"/>
      <c r="Z344" s="25"/>
    </row>
    <row r="345">
      <c r="E345" s="403" t="str">
        <f>IFERROR(__xludf.DUMMYFUNCTION("""COMPUTED_VALUE"""),"Nṣ.3FC")</f>
        <v>Nṣ.3FC</v>
      </c>
      <c r="F345" s="403" t="str">
        <f>IFERROR(__xludf.DUMMYFUNCTION("""COMPUTED_VALUE"""),"F")</f>
        <v>F</v>
      </c>
      <c r="H345" s="404"/>
      <c r="I345" s="404"/>
      <c r="Z345" s="25"/>
    </row>
    <row r="346">
      <c r="E346" s="403" t="str">
        <f>IFERROR(__xludf.DUMMYFUNCTION("""COMPUTED_VALUE"""),"Nṣ.4M")</f>
        <v>Nṣ.4M</v>
      </c>
      <c r="F346" s="403" t="str">
        <f>IFERROR(__xludf.DUMMYFUNCTION("""COMPUTED_VALUE"""),"M")</f>
        <v>M</v>
      </c>
      <c r="H346" s="404"/>
      <c r="I346" s="404"/>
      <c r="Z346" s="25"/>
    </row>
    <row r="347">
      <c r="E347" s="403" t="str">
        <f>IFERROR(__xludf.DUMMYFUNCTION("""COMPUTED_VALUE"""),"Nṣ.5M")</f>
        <v>Nṣ.5M</v>
      </c>
      <c r="F347" s="403" t="str">
        <f>IFERROR(__xludf.DUMMYFUNCTION("""COMPUTED_VALUE"""),"M")</f>
        <v>M</v>
      </c>
      <c r="H347" s="404"/>
      <c r="I347" s="404"/>
      <c r="Z347" s="25"/>
    </row>
    <row r="348">
      <c r="E348" s="403" t="str">
        <f>IFERROR(__xludf.DUMMYFUNCTION("""COMPUTED_VALUE"""),"Nṣ.6C")</f>
        <v>Nṣ.6C</v>
      </c>
      <c r="F348" s="403" t="str">
        <f>IFERROR(__xludf.DUMMYFUNCTION("""COMPUTED_VALUE"""),"F")</f>
        <v>F</v>
      </c>
      <c r="H348" s="404"/>
      <c r="I348" s="404"/>
      <c r="Z348" s="25"/>
    </row>
    <row r="349">
      <c r="E349" s="403" t="str">
        <f>IFERROR(__xludf.DUMMYFUNCTION("""COMPUTED_VALUE"""),"Nʿ.1F")</f>
        <v>Nʿ.1F</v>
      </c>
      <c r="F349" s="403" t="str">
        <f>IFERROR(__xludf.DUMMYFUNCTION("""COMPUTED_VALUE"""),"F")</f>
        <v>F</v>
      </c>
      <c r="H349" s="404"/>
      <c r="I349" s="404"/>
      <c r="Z349" s="25"/>
    </row>
    <row r="350">
      <c r="E350" s="403" t="str">
        <f>IFERROR(__xludf.DUMMYFUNCTION("""COMPUTED_VALUE"""),"Qd.1MB")</f>
        <v>Qd.1MB</v>
      </c>
      <c r="F350" s="403" t="str">
        <f>IFERROR(__xludf.DUMMYFUNCTION("""COMPUTED_VALUE"""),"M")</f>
        <v>M</v>
      </c>
      <c r="H350" s="404"/>
      <c r="I350" s="404"/>
      <c r="Z350" s="25"/>
    </row>
    <row r="351">
      <c r="E351" s="403" t="str">
        <f>IFERROR(__xludf.DUMMYFUNCTION("""COMPUTED_VALUE"""),"Rh.1MB")</f>
        <v>Rh.1MB</v>
      </c>
      <c r="F351" s="403" t="str">
        <f>IFERROR(__xludf.DUMMYFUNCTION("""COMPUTED_VALUE"""),"M")</f>
        <v>M</v>
      </c>
      <c r="H351" s="404"/>
      <c r="I351" s="404"/>
      <c r="Z351" s="25"/>
    </row>
    <row r="352">
      <c r="E352" s="403" t="str">
        <f>IFERROR(__xludf.DUMMYFUNCTION("""COMPUTED_VALUE"""),"Rh.2MB")</f>
        <v>Rh.2MB</v>
      </c>
      <c r="F352" s="403" t="str">
        <f>IFERROR(__xludf.DUMMYFUNCTION("""COMPUTED_VALUE"""),"M")</f>
        <v>M</v>
      </c>
      <c r="H352" s="404"/>
      <c r="I352" s="404"/>
      <c r="Z352" s="25"/>
    </row>
    <row r="353">
      <c r="E353" s="403" t="str">
        <f>IFERROR(__xludf.DUMMYFUNCTION("""COMPUTED_VALUE"""),"Rm.4FC")</f>
        <v>Rm.4FC</v>
      </c>
      <c r="F353" s="403" t="str">
        <f>IFERROR(__xludf.DUMMYFUNCTION("""COMPUTED_VALUE"""),"F")</f>
        <v>F</v>
      </c>
      <c r="H353" s="404"/>
      <c r="I353" s="404"/>
      <c r="Z353" s="25"/>
    </row>
    <row r="354">
      <c r="E354" s="403" t="str">
        <f>IFERROR(__xludf.DUMMYFUNCTION("""COMPUTED_VALUE"""),"Rm.5MD")</f>
        <v>Rm.5MD</v>
      </c>
      <c r="F354" s="403" t="str">
        <f>IFERROR(__xludf.DUMMYFUNCTION("""COMPUTED_VALUE"""),"M")</f>
        <v>M</v>
      </c>
      <c r="H354" s="404"/>
      <c r="I354" s="404"/>
      <c r="Z354" s="25"/>
    </row>
    <row r="355">
      <c r="E355" s="403" t="str">
        <f>IFERROR(__xludf.DUMMYFUNCTION("""COMPUTED_VALUE"""),"Rmḷ.1F")</f>
        <v>Rmḷ.1F</v>
      </c>
      <c r="F355" s="403" t="str">
        <f>IFERROR(__xludf.DUMMYFUNCTION("""COMPUTED_VALUE"""),"F")</f>
        <v>F</v>
      </c>
      <c r="H355" s="404"/>
      <c r="I355" s="404"/>
      <c r="Z355" s="25"/>
    </row>
    <row r="356">
      <c r="E356" s="403" t="str">
        <f>IFERROR(__xludf.DUMMYFUNCTION("""COMPUTED_VALUE"""),"Rml.1MC")</f>
        <v>Rml.1MC</v>
      </c>
      <c r="F356" s="403" t="str">
        <f>IFERROR(__xludf.DUMMYFUNCTION("""COMPUTED_VALUE"""),"M")</f>
        <v>M</v>
      </c>
      <c r="H356" s="404"/>
      <c r="I356" s="404"/>
      <c r="Z356" s="25"/>
    </row>
    <row r="357">
      <c r="E357" s="403" t="str">
        <f>IFERROR(__xludf.DUMMYFUNCTION("""COMPUTED_VALUE"""),"Rml.2F")</f>
        <v>Rml.2F</v>
      </c>
      <c r="F357" s="403" t="str">
        <f>IFERROR(__xludf.DUMMYFUNCTION("""COMPUTED_VALUE"""),"F")</f>
        <v>F</v>
      </c>
      <c r="H357" s="404"/>
      <c r="I357" s="404"/>
      <c r="Z357" s="25"/>
    </row>
    <row r="358">
      <c r="E358" s="403" t="str">
        <f>IFERROR(__xludf.DUMMYFUNCTION("""COMPUTED_VALUE"""),"Rml.3M")</f>
        <v>Rml.3M</v>
      </c>
      <c r="F358" s="403" t="str">
        <f>IFERROR(__xludf.DUMMYFUNCTION("""COMPUTED_VALUE"""),"M")</f>
        <v>M</v>
      </c>
      <c r="H358" s="404"/>
      <c r="I358" s="404"/>
      <c r="Z358" s="25"/>
    </row>
    <row r="359">
      <c r="E359" s="403" t="str">
        <f>IFERROR(__xludf.DUMMYFUNCTION("""COMPUTED_VALUE"""),"Rml.5FC")</f>
        <v>Rml.5FC</v>
      </c>
      <c r="F359" s="403" t="str">
        <f>IFERROR(__xludf.DUMMYFUNCTION("""COMPUTED_VALUE"""),"F")</f>
        <v>F</v>
      </c>
      <c r="H359" s="404"/>
      <c r="I359" s="404"/>
      <c r="Z359" s="25"/>
    </row>
    <row r="360">
      <c r="E360" s="403" t="str">
        <f>IFERROR(__xludf.DUMMYFUNCTION("""COMPUTED_VALUE"""),"Rml.6FC")</f>
        <v>Rml.6FC</v>
      </c>
      <c r="F360" s="403" t="str">
        <f>IFERROR(__xludf.DUMMYFUNCTION("""COMPUTED_VALUE"""),"F")</f>
        <v>F</v>
      </c>
      <c r="H360" s="404"/>
      <c r="I360" s="404"/>
      <c r="Z360" s="25"/>
    </row>
    <row r="361">
      <c r="E361" s="403" t="str">
        <f>IFERROR(__xludf.DUMMYFUNCTION("""COMPUTED_VALUE"""),"Rml.7FC")</f>
        <v>Rml.7FC</v>
      </c>
      <c r="F361" s="403" t="str">
        <f>IFERROR(__xludf.DUMMYFUNCTION("""COMPUTED_VALUE"""),"F")</f>
        <v>F</v>
      </c>
      <c r="H361" s="404"/>
      <c r="I361" s="404"/>
      <c r="Z361" s="25"/>
    </row>
    <row r="362">
      <c r="E362" s="403" t="str">
        <f>IFERROR(__xludf.DUMMYFUNCTION("""COMPUTED_VALUE"""),"ṢB.1F")</f>
        <v>ṢB.1F</v>
      </c>
      <c r="F362" s="403" t="str">
        <f>IFERROR(__xludf.DUMMYFUNCTION("""COMPUTED_VALUE"""),"F")</f>
        <v>F</v>
      </c>
      <c r="H362" s="404"/>
      <c r="I362" s="404"/>
      <c r="Z362" s="25"/>
    </row>
    <row r="363">
      <c r="E363" s="403" t="str">
        <f>IFERROR(__xludf.DUMMYFUNCTION("""COMPUTED_VALUE"""),"ṢB.2M")</f>
        <v>ṢB.2M</v>
      </c>
      <c r="F363" s="403" t="str">
        <f>IFERROR(__xludf.DUMMYFUNCTION("""COMPUTED_VALUE"""),"M")</f>
        <v>M</v>
      </c>
      <c r="H363" s="404"/>
      <c r="I363" s="404"/>
      <c r="Z363" s="25"/>
    </row>
    <row r="364">
      <c r="E364" s="403" t="str">
        <f>IFERROR(__xludf.DUMMYFUNCTION("""COMPUTED_VALUE"""),"ṢB.3M")</f>
        <v>ṢB.3M</v>
      </c>
      <c r="F364" s="403" t="str">
        <f>IFERROR(__xludf.DUMMYFUNCTION("""COMPUTED_VALUE"""),"M")</f>
        <v>M</v>
      </c>
      <c r="H364" s="404"/>
      <c r="I364" s="404"/>
      <c r="Z364" s="25"/>
    </row>
    <row r="365">
      <c r="E365" s="403" t="str">
        <f>IFERROR(__xludf.DUMMYFUNCTION("""COMPUTED_VALUE"""),"Ṣff.1M")</f>
        <v>Ṣff.1M</v>
      </c>
      <c r="F365" s="403" t="str">
        <f>IFERROR(__xludf.DUMMYFUNCTION("""COMPUTED_VALUE"""),"M")</f>
        <v>M</v>
      </c>
      <c r="H365" s="404"/>
      <c r="I365" s="404"/>
      <c r="Z365" s="25"/>
    </row>
    <row r="366">
      <c r="E366" s="403" t="str">
        <f>IFERROR(__xludf.DUMMYFUNCTION("""COMPUTED_VALUE"""),"Ṣff.2F")</f>
        <v>Ṣff.2F</v>
      </c>
      <c r="F366" s="403" t="str">
        <f>IFERROR(__xludf.DUMMYFUNCTION("""COMPUTED_VALUE"""),"F")</f>
        <v>F</v>
      </c>
      <c r="H366" s="404"/>
      <c r="I366" s="404"/>
      <c r="Z366" s="25"/>
    </row>
    <row r="367">
      <c r="E367" s="403" t="str">
        <f>IFERROR(__xludf.DUMMYFUNCTION("""COMPUTED_VALUE"""),"Ṣff.3M")</f>
        <v>Ṣff.3M</v>
      </c>
      <c r="F367" s="403" t="str">
        <f>IFERROR(__xludf.DUMMYFUNCTION("""COMPUTED_VALUE"""),"M")</f>
        <v>M</v>
      </c>
      <c r="H367" s="404"/>
      <c r="I367" s="404"/>
      <c r="Z367" s="25"/>
    </row>
    <row r="368">
      <c r="E368" s="403" t="str">
        <f>IFERROR(__xludf.DUMMYFUNCTION("""COMPUTED_VALUE"""),"Sil.1F")</f>
        <v>Sil.1F</v>
      </c>
      <c r="F368" s="403" t="str">
        <f>IFERROR(__xludf.DUMMYFUNCTION("""COMPUTED_VALUE"""),"F")</f>
        <v>F</v>
      </c>
      <c r="H368" s="404"/>
      <c r="I368" s="404"/>
      <c r="Z368" s="25"/>
    </row>
    <row r="369">
      <c r="E369" s="403" t="str">
        <f>IFERROR(__xludf.DUMMYFUNCTION("""COMPUTED_VALUE"""),"Sl.1M")</f>
        <v>Sl.1M</v>
      </c>
      <c r="F369" s="403" t="str">
        <f>IFERROR(__xludf.DUMMYFUNCTION("""COMPUTED_VALUE"""),"M")</f>
        <v>M</v>
      </c>
      <c r="H369" s="404"/>
      <c r="I369" s="404"/>
      <c r="Z369" s="25"/>
    </row>
    <row r="370">
      <c r="E370" s="403" t="str">
        <f>IFERROR(__xludf.DUMMYFUNCTION("""COMPUTED_VALUE"""),"Sl.2F")</f>
        <v>Sl.2F</v>
      </c>
      <c r="F370" s="403" t="str">
        <f>IFERROR(__xludf.DUMMYFUNCTION("""COMPUTED_VALUE"""),"F")</f>
        <v>F</v>
      </c>
      <c r="H370" s="404"/>
      <c r="I370" s="404"/>
      <c r="Z370" s="25"/>
    </row>
    <row r="371">
      <c r="E371" s="403" t="str">
        <f>IFERROR(__xludf.DUMMYFUNCTION("""COMPUTED_VALUE"""),"Sl.3M")</f>
        <v>Sl.3M</v>
      </c>
      <c r="F371" s="403" t="str">
        <f>IFERROR(__xludf.DUMMYFUNCTION("""COMPUTED_VALUE"""),"M")</f>
        <v>M</v>
      </c>
      <c r="H371" s="404"/>
      <c r="I371" s="404"/>
      <c r="Z371" s="25"/>
    </row>
    <row r="372">
      <c r="E372" s="403" t="str">
        <f>IFERROR(__xludf.DUMMYFUNCTION("""COMPUTED_VALUE"""),"Sl.4F")</f>
        <v>Sl.4F</v>
      </c>
      <c r="F372" s="403" t="str">
        <f>IFERROR(__xludf.DUMMYFUNCTION("""COMPUTED_VALUE"""),"F")</f>
        <v>F</v>
      </c>
      <c r="H372" s="404"/>
      <c r="I372" s="404"/>
      <c r="Z372" s="25"/>
    </row>
    <row r="373">
      <c r="E373" s="403" t="str">
        <f>IFERROR(__xludf.DUMMYFUNCTION("""COMPUTED_VALUE"""),"Sl.5M")</f>
        <v>Sl.5M</v>
      </c>
      <c r="F373" s="403" t="str">
        <f>IFERROR(__xludf.DUMMYFUNCTION("""COMPUTED_VALUE"""),"M")</f>
        <v>M</v>
      </c>
      <c r="H373" s="404"/>
      <c r="I373" s="404"/>
      <c r="Z373" s="25"/>
    </row>
    <row r="374">
      <c r="E374" s="403" t="str">
        <f>IFERROR(__xludf.DUMMYFUNCTION("""COMPUTED_VALUE"""),"Sl.6F")</f>
        <v>Sl.6F</v>
      </c>
      <c r="F374" s="403" t="str">
        <f>IFERROR(__xludf.DUMMYFUNCTION("""COMPUTED_VALUE"""),"F")</f>
        <v>F</v>
      </c>
      <c r="H374" s="404"/>
      <c r="I374" s="404"/>
      <c r="Z374" s="25"/>
    </row>
    <row r="375">
      <c r="E375" s="403" t="str">
        <f>IFERROR(__xludf.DUMMYFUNCTION("""COMPUTED_VALUE"""),"Sl.7M")</f>
        <v>Sl.7M</v>
      </c>
      <c r="F375" s="403" t="str">
        <f>IFERROR(__xludf.DUMMYFUNCTION("""COMPUTED_VALUE"""),"M")</f>
        <v>M</v>
      </c>
      <c r="H375" s="404"/>
      <c r="I375" s="404"/>
      <c r="Z375" s="25"/>
    </row>
    <row r="376">
      <c r="E376" s="403" t="str">
        <f>IFERROR(__xludf.DUMMYFUNCTION("""COMPUTED_VALUE"""),"Sl.8F")</f>
        <v>Sl.8F</v>
      </c>
      <c r="F376" s="403" t="str">
        <f>IFERROR(__xludf.DUMMYFUNCTION("""COMPUTED_VALUE"""),"F")</f>
        <v>F</v>
      </c>
      <c r="H376" s="404"/>
      <c r="I376" s="404"/>
      <c r="Z376" s="25"/>
    </row>
    <row r="377">
      <c r="E377" s="403" t="str">
        <f>IFERROR(__xludf.DUMMYFUNCTION("""COMPUTED_VALUE"""),"Sl.9M")</f>
        <v>Sl.9M</v>
      </c>
      <c r="F377" s="403" t="str">
        <f>IFERROR(__xludf.DUMMYFUNCTION("""COMPUTED_VALUE"""),"M")</f>
        <v>M</v>
      </c>
      <c r="H377" s="404"/>
      <c r="I377" s="404"/>
      <c r="Z377" s="25"/>
    </row>
    <row r="378">
      <c r="E378" s="403" t="str">
        <f>IFERROR(__xludf.DUMMYFUNCTION("""COMPUTED_VALUE"""),"Sn.1F")</f>
        <v>Sn.1F</v>
      </c>
      <c r="F378" s="403" t="str">
        <f>IFERROR(__xludf.DUMMYFUNCTION("""COMPUTED_VALUE"""),"F")</f>
        <v>F</v>
      </c>
      <c r="H378" s="404"/>
      <c r="I378" s="404"/>
      <c r="Z378" s="25"/>
    </row>
    <row r="379">
      <c r="E379" s="403" t="str">
        <f>IFERROR(__xludf.DUMMYFUNCTION("""COMPUTED_VALUE"""),"Šq.1F")</f>
        <v>Šq.1F</v>
      </c>
      <c r="F379" s="403" t="str">
        <f>IFERROR(__xludf.DUMMYFUNCTION("""COMPUTED_VALUE"""),"F")</f>
        <v>F</v>
      </c>
      <c r="H379" s="404"/>
      <c r="I379" s="404"/>
      <c r="Z379" s="25"/>
    </row>
    <row r="380">
      <c r="E380" s="403" t="str">
        <f>IFERROR(__xludf.DUMMYFUNCTION("""COMPUTED_VALUE"""),"Šrf.1M")</f>
        <v>Šrf.1M</v>
      </c>
      <c r="F380" s="403" t="str">
        <f>IFERROR(__xludf.DUMMYFUNCTION("""COMPUTED_VALUE"""),"M")</f>
        <v>M</v>
      </c>
      <c r="H380" s="404"/>
      <c r="I380" s="404"/>
      <c r="Z380" s="25"/>
    </row>
    <row r="381">
      <c r="E381" s="403" t="str">
        <f>IFERROR(__xludf.DUMMYFUNCTION("""COMPUTED_VALUE"""),"Šrf.2M")</f>
        <v>Šrf.2M</v>
      </c>
      <c r="F381" s="403" t="str">
        <f>IFERROR(__xludf.DUMMYFUNCTION("""COMPUTED_VALUE"""),"M")</f>
        <v>M</v>
      </c>
      <c r="H381" s="404"/>
      <c r="I381" s="404"/>
      <c r="Z381" s="25"/>
    </row>
    <row r="382">
      <c r="E382" s="403" t="str">
        <f>IFERROR(__xludf.DUMMYFUNCTION("""COMPUTED_VALUE"""),"Šrf.3M")</f>
        <v>Šrf.3M</v>
      </c>
      <c r="F382" s="403" t="str">
        <f>IFERROR(__xludf.DUMMYFUNCTION("""COMPUTED_VALUE"""),"M")</f>
        <v>M</v>
      </c>
      <c r="H382" s="404"/>
      <c r="I382" s="404"/>
      <c r="Z382" s="25"/>
    </row>
    <row r="383">
      <c r="E383" s="403" t="str">
        <f>IFERROR(__xludf.DUMMYFUNCTION("""COMPUTED_VALUE"""),"Šrf.4F")</f>
        <v>Šrf.4F</v>
      </c>
      <c r="F383" s="403" t="str">
        <f>IFERROR(__xludf.DUMMYFUNCTION("""COMPUTED_VALUE"""),"F")</f>
        <v>F</v>
      </c>
      <c r="H383" s="404"/>
      <c r="I383" s="404"/>
      <c r="Z383" s="25"/>
    </row>
    <row r="384">
      <c r="E384" s="403" t="str">
        <f>IFERROR(__xludf.DUMMYFUNCTION("""COMPUTED_VALUE"""),"Šrf.5M")</f>
        <v>Šrf.5M</v>
      </c>
      <c r="F384" s="403" t="str">
        <f>IFERROR(__xludf.DUMMYFUNCTION("""COMPUTED_VALUE"""),"M")</f>
        <v>M</v>
      </c>
      <c r="H384" s="404"/>
      <c r="I384" s="404"/>
      <c r="Z384" s="25"/>
    </row>
    <row r="385">
      <c r="E385" s="403" t="str">
        <f>IFERROR(__xludf.DUMMYFUNCTION("""COMPUTED_VALUE"""),"Šrf.6M")</f>
        <v>Šrf.6M</v>
      </c>
      <c r="F385" s="403" t="str">
        <f>IFERROR(__xludf.DUMMYFUNCTION("""COMPUTED_VALUE"""),"M")</f>
        <v>M</v>
      </c>
      <c r="H385" s="404"/>
      <c r="I385" s="404"/>
      <c r="Z385" s="25"/>
    </row>
    <row r="386">
      <c r="E386" s="403" t="str">
        <f>IFERROR(__xludf.DUMMYFUNCTION("""COMPUTED_VALUE"""),"Šrf.7F")</f>
        <v>Šrf.7F</v>
      </c>
      <c r="F386" s="403" t="str">
        <f>IFERROR(__xludf.DUMMYFUNCTION("""COMPUTED_VALUE"""),"F")</f>
        <v>F</v>
      </c>
      <c r="H386" s="404"/>
      <c r="I386" s="404"/>
      <c r="Z386" s="25"/>
    </row>
    <row r="387">
      <c r="E387" s="403" t="str">
        <f>IFERROR(__xludf.DUMMYFUNCTION("""COMPUTED_VALUE"""),"Ss")</f>
        <v>Ss</v>
      </c>
      <c r="F387" s="403"/>
      <c r="H387" s="404"/>
      <c r="I387" s="404"/>
      <c r="Z387" s="25"/>
    </row>
    <row r="388">
      <c r="E388" s="403" t="str">
        <f>IFERROR(__xludf.DUMMYFUNCTION("""COMPUTED_VALUE"""),"SŠ.1FB")</f>
        <v>SŠ.1FB</v>
      </c>
      <c r="F388" s="403" t="str">
        <f>IFERROR(__xludf.DUMMYFUNCTION("""COMPUTED_VALUE"""),"F")</f>
        <v>F</v>
      </c>
      <c r="H388" s="404"/>
      <c r="I388" s="404"/>
      <c r="Z388" s="25"/>
    </row>
    <row r="389">
      <c r="E389" s="403" t="str">
        <f>IFERROR(__xludf.DUMMYFUNCTION("""COMPUTED_VALUE"""),"Sx.1F")</f>
        <v>Sx.1F</v>
      </c>
      <c r="F389" s="403" t="str">
        <f>IFERROR(__xludf.DUMMYFUNCTION("""COMPUTED_VALUE"""),"F")</f>
        <v>F</v>
      </c>
      <c r="H389" s="404"/>
      <c r="I389" s="404"/>
      <c r="Z389" s="25"/>
    </row>
    <row r="390">
      <c r="E390" s="403" t="str">
        <f>IFERROR(__xludf.DUMMYFUNCTION("""COMPUTED_VALUE"""),"Šʿf.1F")</f>
        <v>Šʿf.1F</v>
      </c>
      <c r="F390" s="403" t="str">
        <f>IFERROR(__xludf.DUMMYFUNCTION("""COMPUTED_VALUE"""),"F")</f>
        <v>F</v>
      </c>
      <c r="H390" s="404"/>
      <c r="I390" s="404"/>
      <c r="Z390" s="25"/>
    </row>
    <row r="391">
      <c r="E391" s="403" t="str">
        <f>IFERROR(__xludf.DUMMYFUNCTION("""COMPUTED_VALUE"""),"Šʿf.2M")</f>
        <v>Šʿf.2M</v>
      </c>
      <c r="F391" s="403" t="str">
        <f>IFERROR(__xludf.DUMMYFUNCTION("""COMPUTED_VALUE"""),"M")</f>
        <v>M</v>
      </c>
      <c r="H391" s="404"/>
      <c r="I391" s="404"/>
      <c r="Z391" s="25"/>
    </row>
    <row r="392">
      <c r="E392" s="403" t="str">
        <f>IFERROR(__xludf.DUMMYFUNCTION("""COMPUTED_VALUE"""),"Šʿf.3M")</f>
        <v>Šʿf.3M</v>
      </c>
      <c r="F392" s="403" t="str">
        <f>IFERROR(__xludf.DUMMYFUNCTION("""COMPUTED_VALUE"""),"M")</f>
        <v>M</v>
      </c>
      <c r="H392" s="404"/>
      <c r="I392" s="404"/>
      <c r="Z392" s="25"/>
    </row>
    <row r="393">
      <c r="E393" s="403" t="str">
        <f>IFERROR(__xludf.DUMMYFUNCTION("""COMPUTED_VALUE"""),"Šʿf.4M")</f>
        <v>Šʿf.4M</v>
      </c>
      <c r="F393" s="403" t="str">
        <f>IFERROR(__xludf.DUMMYFUNCTION("""COMPUTED_VALUE"""),"M")</f>
        <v>M</v>
      </c>
      <c r="H393" s="404"/>
      <c r="I393" s="404"/>
      <c r="Z393" s="25"/>
    </row>
    <row r="394">
      <c r="E394" s="403" t="str">
        <f>IFERROR(__xludf.DUMMYFUNCTION("""COMPUTED_VALUE"""),"Tg.1M")</f>
        <v>Tg.1M</v>
      </c>
      <c r="F394" s="403" t="str">
        <f>IFERROR(__xludf.DUMMYFUNCTION("""COMPUTED_VALUE"""),"M")</f>
        <v>M</v>
      </c>
      <c r="H394" s="404"/>
      <c r="I394" s="404"/>
      <c r="Z394" s="25"/>
    </row>
    <row r="395">
      <c r="E395" s="403" t="str">
        <f>IFERROR(__xludf.DUMMYFUNCTION("""COMPUTED_VALUE"""),"Ṭmr.1F")</f>
        <v>Ṭmr.1F</v>
      </c>
      <c r="F395" s="403" t="str">
        <f>IFERROR(__xludf.DUMMYFUNCTION("""COMPUTED_VALUE"""),"F")</f>
        <v>F</v>
      </c>
      <c r="H395" s="404"/>
      <c r="I395" s="404"/>
      <c r="Z395" s="25"/>
    </row>
    <row r="396">
      <c r="E396" s="403" t="str">
        <f>IFERROR(__xludf.DUMMYFUNCTION("""COMPUTED_VALUE"""),"ṬMṯ.1F")</f>
        <v>ṬMṯ.1F</v>
      </c>
      <c r="F396" s="403" t="str">
        <f>IFERROR(__xludf.DUMMYFUNCTION("""COMPUTED_VALUE"""),"F")</f>
        <v>F</v>
      </c>
      <c r="H396" s="404"/>
      <c r="I396" s="404"/>
      <c r="Z396" s="25"/>
    </row>
    <row r="397">
      <c r="E397" s="403" t="str">
        <f>IFERROR(__xludf.DUMMYFUNCTION("""COMPUTED_VALUE"""),"Tr.10M")</f>
        <v>Tr.10M</v>
      </c>
      <c r="F397" s="403" t="str">
        <f>IFERROR(__xludf.DUMMYFUNCTION("""COMPUTED_VALUE"""),"M")</f>
        <v>M</v>
      </c>
      <c r="H397" s="404"/>
      <c r="I397" s="404"/>
      <c r="Z397" s="25"/>
    </row>
    <row r="398">
      <c r="E398" s="403" t="str">
        <f>IFERROR(__xludf.DUMMYFUNCTION("""COMPUTED_VALUE"""),"Tr.11FC")</f>
        <v>Tr.11FC</v>
      </c>
      <c r="F398" s="403" t="str">
        <f>IFERROR(__xludf.DUMMYFUNCTION("""COMPUTED_VALUE"""),"F")</f>
        <v>F</v>
      </c>
      <c r="H398" s="404"/>
      <c r="I398" s="404"/>
      <c r="Z398" s="25"/>
    </row>
    <row r="399">
      <c r="E399" s="403" t="str">
        <f>IFERROR(__xludf.DUMMYFUNCTION("""COMPUTED_VALUE"""),"Tr.12MC")</f>
        <v>Tr.12MC</v>
      </c>
      <c r="F399" s="403" t="str">
        <f>IFERROR(__xludf.DUMMYFUNCTION("""COMPUTED_VALUE"""),"M")</f>
        <v>M</v>
      </c>
      <c r="H399" s="404"/>
      <c r="I399" s="404"/>
      <c r="Z399" s="25"/>
    </row>
    <row r="400">
      <c r="E400" s="403" t="str">
        <f>IFERROR(__xludf.DUMMYFUNCTION("""COMPUTED_VALUE"""),"Tr.13MC")</f>
        <v>Tr.13MC</v>
      </c>
      <c r="F400" s="403" t="str">
        <f>IFERROR(__xludf.DUMMYFUNCTION("""COMPUTED_VALUE"""),"M")</f>
        <v>M</v>
      </c>
      <c r="H400" s="404"/>
      <c r="I400" s="404"/>
      <c r="Z400" s="25"/>
    </row>
    <row r="401">
      <c r="E401" s="403" t="str">
        <f>IFERROR(__xludf.DUMMYFUNCTION("""COMPUTED_VALUE"""),"Tr.1F")</f>
        <v>Tr.1F</v>
      </c>
      <c r="F401" s="403" t="str">
        <f>IFERROR(__xludf.DUMMYFUNCTION("""COMPUTED_VALUE"""),"F")</f>
        <v>F</v>
      </c>
      <c r="H401" s="404"/>
      <c r="I401" s="404"/>
      <c r="Z401" s="25"/>
    </row>
    <row r="402">
      <c r="E402" s="403" t="str">
        <f>IFERROR(__xludf.DUMMYFUNCTION("""COMPUTED_VALUE"""),"Ṭr.1FC")</f>
        <v>Ṭr.1FC</v>
      </c>
      <c r="F402" s="403" t="str">
        <f>IFERROR(__xludf.DUMMYFUNCTION("""COMPUTED_VALUE"""),"F")</f>
        <v>F</v>
      </c>
      <c r="H402" s="404"/>
      <c r="I402" s="404"/>
      <c r="Z402" s="25"/>
    </row>
    <row r="403">
      <c r="E403" s="403" t="str">
        <f>IFERROR(__xludf.DUMMYFUNCTION("""COMPUTED_VALUE"""),"Tr.2F")</f>
        <v>Tr.2F</v>
      </c>
      <c r="F403" s="403" t="str">
        <f>IFERROR(__xludf.DUMMYFUNCTION("""COMPUTED_VALUE"""),"F")</f>
        <v>F</v>
      </c>
      <c r="H403" s="404"/>
      <c r="I403" s="404"/>
      <c r="Z403" s="25"/>
    </row>
    <row r="404">
      <c r="E404" s="403" t="str">
        <f>IFERROR(__xludf.DUMMYFUNCTION("""COMPUTED_VALUE"""),"Tr.3F")</f>
        <v>Tr.3F</v>
      </c>
      <c r="F404" s="403" t="str">
        <f>IFERROR(__xludf.DUMMYFUNCTION("""COMPUTED_VALUE"""),"F")</f>
        <v>F</v>
      </c>
      <c r="H404" s="404"/>
      <c r="I404" s="404"/>
      <c r="Z404" s="25"/>
    </row>
    <row r="405">
      <c r="E405" s="403" t="str">
        <f>IFERROR(__xludf.DUMMYFUNCTION("""COMPUTED_VALUE"""),"Tr.4MC")</f>
        <v>Tr.4MC</v>
      </c>
      <c r="F405" s="403" t="str">
        <f>IFERROR(__xludf.DUMMYFUNCTION("""COMPUTED_VALUE"""),"M")</f>
        <v>M</v>
      </c>
      <c r="H405" s="404"/>
      <c r="I405" s="404"/>
      <c r="Z405" s="25"/>
    </row>
    <row r="406">
      <c r="E406" s="403" t="str">
        <f>IFERROR(__xludf.DUMMYFUNCTION("""COMPUTED_VALUE"""),"Tr.5FC")</f>
        <v>Tr.5FC</v>
      </c>
      <c r="F406" s="403" t="str">
        <f>IFERROR(__xludf.DUMMYFUNCTION("""COMPUTED_VALUE"""),"F")</f>
        <v>F</v>
      </c>
      <c r="H406" s="404"/>
      <c r="I406" s="404"/>
      <c r="Z406" s="25"/>
    </row>
    <row r="407">
      <c r="E407" s="403" t="str">
        <f>IFERROR(__xludf.DUMMYFUNCTION("""COMPUTED_VALUE"""),"Tr.6FC")</f>
        <v>Tr.6FC</v>
      </c>
      <c r="F407" s="403" t="str">
        <f>IFERROR(__xludf.DUMMYFUNCTION("""COMPUTED_VALUE"""),"F")</f>
        <v>F</v>
      </c>
      <c r="H407" s="404"/>
      <c r="I407" s="404"/>
      <c r="Z407" s="25"/>
    </row>
    <row r="408">
      <c r="E408" s="403" t="str">
        <f>IFERROR(__xludf.DUMMYFUNCTION("""COMPUTED_VALUE"""),"Tr.7FC")</f>
        <v>Tr.7FC</v>
      </c>
      <c r="F408" s="403" t="str">
        <f>IFERROR(__xludf.DUMMYFUNCTION("""COMPUTED_VALUE"""),"F")</f>
        <v>F</v>
      </c>
      <c r="H408" s="404"/>
      <c r="I408" s="404"/>
      <c r="Z408" s="25"/>
    </row>
    <row r="409">
      <c r="E409" s="403" t="str">
        <f>IFERROR(__xludf.DUMMYFUNCTION("""COMPUTED_VALUE"""),"Tr.8F")</f>
        <v>Tr.8F</v>
      </c>
      <c r="F409" s="403" t="str">
        <f>IFERROR(__xludf.DUMMYFUNCTION("""COMPUTED_VALUE"""),"F")</f>
        <v>F</v>
      </c>
      <c r="H409" s="404"/>
      <c r="I409" s="404"/>
      <c r="Z409" s="25"/>
    </row>
    <row r="410">
      <c r="E410" s="403" t="str">
        <f>IFERROR(__xludf.DUMMYFUNCTION("""COMPUTED_VALUE"""),"Tr.9M")</f>
        <v>Tr.9M</v>
      </c>
      <c r="F410" s="403" t="str">
        <f>IFERROR(__xludf.DUMMYFUNCTION("""COMPUTED_VALUE"""),"M")</f>
        <v>M</v>
      </c>
      <c r="H410" s="404"/>
      <c r="I410" s="404"/>
      <c r="Z410" s="25"/>
    </row>
    <row r="411">
      <c r="E411" s="403" t="str">
        <f>IFERROR(__xludf.DUMMYFUNCTION("""COMPUTED_VALUE"""),"Trb.1MB")</f>
        <v>Trb.1MB</v>
      </c>
      <c r="F411" s="403" t="str">
        <f>IFERROR(__xludf.DUMMYFUNCTION("""COMPUTED_VALUE"""),"M")</f>
        <v>M</v>
      </c>
      <c r="H411" s="404"/>
      <c r="I411" s="404"/>
      <c r="Z411" s="25"/>
    </row>
    <row r="412">
      <c r="E412" s="403" t="str">
        <f>IFERROR(__xludf.DUMMYFUNCTION("""COMPUTED_VALUE"""),"Ṭrn.1MC")</f>
        <v>Ṭrn.1MC</v>
      </c>
      <c r="F412" s="403" t="str">
        <f>IFERROR(__xludf.DUMMYFUNCTION("""COMPUTED_VALUE"""),"M")</f>
        <v>M</v>
      </c>
      <c r="H412" s="404"/>
      <c r="I412" s="404"/>
      <c r="Z412" s="25"/>
    </row>
    <row r="413">
      <c r="E413" s="403" t="str">
        <f>IFERROR(__xludf.DUMMYFUNCTION("""COMPUTED_VALUE"""),"Ṭrn.2FC")</f>
        <v>Ṭrn.2FC</v>
      </c>
      <c r="F413" s="403" t="str">
        <f>IFERROR(__xludf.DUMMYFUNCTION("""COMPUTED_VALUE"""),"F")</f>
        <v>F</v>
      </c>
      <c r="H413" s="404"/>
      <c r="I413" s="404"/>
      <c r="Z413" s="25"/>
    </row>
    <row r="414">
      <c r="E414" s="403" t="str">
        <f>IFERROR(__xludf.DUMMYFUNCTION("""COMPUTED_VALUE"""),"Ṭrn.3FC")</f>
        <v>Ṭrn.3FC</v>
      </c>
      <c r="F414" s="403" t="str">
        <f>IFERROR(__xludf.DUMMYFUNCTION("""COMPUTED_VALUE"""),"F")</f>
        <v>F</v>
      </c>
      <c r="H414" s="404"/>
      <c r="I414" s="404"/>
      <c r="Z414" s="25"/>
    </row>
    <row r="415">
      <c r="E415" s="403" t="str">
        <f>IFERROR(__xludf.DUMMYFUNCTION("""COMPUTED_VALUE"""),"Ṭrn.4MM")</f>
        <v>Ṭrn.4MM</v>
      </c>
      <c r="F415" s="403" t="str">
        <f>IFERROR(__xludf.DUMMYFUNCTION("""COMPUTED_VALUE"""),"M")</f>
        <v>M</v>
      </c>
      <c r="H415" s="404"/>
      <c r="I415" s="404"/>
      <c r="Z415" s="25"/>
    </row>
    <row r="416">
      <c r="E416" s="403" t="str">
        <f>IFERROR(__xludf.DUMMYFUNCTION("""COMPUTED_VALUE"""),"Ṭrn.5FM")</f>
        <v>Ṭrn.5FM</v>
      </c>
      <c r="F416" s="403" t="str">
        <f>IFERROR(__xludf.DUMMYFUNCTION("""COMPUTED_VALUE"""),"F")</f>
        <v>F</v>
      </c>
      <c r="H416" s="404"/>
      <c r="I416" s="404"/>
      <c r="Z416" s="25"/>
    </row>
    <row r="417">
      <c r="E417" s="403" t="str">
        <f>IFERROR(__xludf.DUMMYFUNCTION("""COMPUTED_VALUE"""),"Ṭrn.6FM")</f>
        <v>Ṭrn.6FM</v>
      </c>
      <c r="F417" s="403" t="str">
        <f>IFERROR(__xludf.DUMMYFUNCTION("""COMPUTED_VALUE"""),"F")</f>
        <v>F</v>
      </c>
      <c r="H417" s="404"/>
      <c r="I417" s="404"/>
      <c r="Z417" s="25"/>
    </row>
    <row r="418">
      <c r="E418" s="403" t="str">
        <f>IFERROR(__xludf.DUMMYFUNCTION("""COMPUTED_VALUE"""),"Ṭrn.7MC")</f>
        <v>Ṭrn.7MC</v>
      </c>
      <c r="F418" s="403" t="str">
        <f>IFERROR(__xludf.DUMMYFUNCTION("""COMPUTED_VALUE"""),"M")</f>
        <v>M</v>
      </c>
      <c r="H418" s="404"/>
      <c r="I418" s="404"/>
      <c r="Z418" s="25"/>
    </row>
    <row r="419">
      <c r="E419" s="403" t="str">
        <f>IFERROR(__xludf.DUMMYFUNCTION("""COMPUTED_VALUE"""),"Ṭrn.8F")</f>
        <v>Ṭrn.8F</v>
      </c>
      <c r="F419" s="403" t="str">
        <f>IFERROR(__xludf.DUMMYFUNCTION("""COMPUTED_VALUE"""),"F")</f>
        <v>F</v>
      </c>
      <c r="H419" s="404"/>
      <c r="I419" s="404"/>
      <c r="Z419" s="25"/>
    </row>
    <row r="420">
      <c r="E420" s="403" t="str">
        <f>IFERROR(__xludf.DUMMYFUNCTION("""COMPUTED_VALUE"""),"Ṭrn.9FC")</f>
        <v>Ṭrn.9FC</v>
      </c>
      <c r="F420" s="403" t="str">
        <f>IFERROR(__xludf.DUMMYFUNCTION("""COMPUTED_VALUE"""),"F")</f>
        <v>F</v>
      </c>
      <c r="H420" s="404"/>
      <c r="I420" s="404"/>
      <c r="Z420" s="25"/>
    </row>
    <row r="421">
      <c r="E421" s="403" t="str">
        <f>IFERROR(__xludf.DUMMYFUNCTION("""COMPUTED_VALUE"""),"Ṭṭr.1M")</f>
        <v>Ṭṭr.1M</v>
      </c>
      <c r="F421" s="403" t="str">
        <f>IFERROR(__xludf.DUMMYFUNCTION("""COMPUTED_VALUE"""),"M")</f>
        <v>M</v>
      </c>
      <c r="H421" s="404"/>
      <c r="I421" s="404"/>
      <c r="Z421" s="25"/>
    </row>
    <row r="422">
      <c r="E422" s="403" t="str">
        <f>IFERROR(__xludf.DUMMYFUNCTION("""COMPUTED_VALUE"""),"Ṭṭr.2F")</f>
        <v>Ṭṭr.2F</v>
      </c>
      <c r="F422" s="403" t="str">
        <f>IFERROR(__xludf.DUMMYFUNCTION("""COMPUTED_VALUE"""),"F")</f>
        <v>F</v>
      </c>
      <c r="H422" s="404"/>
      <c r="I422" s="404"/>
      <c r="Z422" s="25"/>
    </row>
    <row r="423">
      <c r="E423" s="403" t="str">
        <f>IFERROR(__xludf.DUMMYFUNCTION("""COMPUTED_VALUE"""),"Ṭṭr.4F")</f>
        <v>Ṭṭr.4F</v>
      </c>
      <c r="F423" s="403" t="str">
        <f>IFERROR(__xludf.DUMMYFUNCTION("""COMPUTED_VALUE"""),"F")</f>
        <v>F</v>
      </c>
      <c r="H423" s="404"/>
      <c r="I423" s="404"/>
      <c r="Z423" s="7"/>
    </row>
    <row r="424">
      <c r="E424" s="403" t="str">
        <f>IFERROR(__xludf.DUMMYFUNCTION("""COMPUTED_VALUE"""),"Ṭṭr.6M")</f>
        <v>Ṭṭr.6M</v>
      </c>
      <c r="F424" s="403" t="str">
        <f>IFERROR(__xludf.DUMMYFUNCTION("""COMPUTED_VALUE"""),"M")</f>
        <v>M</v>
      </c>
      <c r="H424" s="404"/>
      <c r="I424" s="404"/>
      <c r="Z424" s="25"/>
    </row>
    <row r="425">
      <c r="E425" s="403" t="str">
        <f>IFERROR(__xludf.DUMMYFUNCTION("""COMPUTED_VALUE"""),"ṬZn.1FB")</f>
        <v>ṬZn.1FB</v>
      </c>
      <c r="F425" s="403" t="str">
        <f>IFERROR(__xludf.DUMMYFUNCTION("""COMPUTED_VALUE"""),"F")</f>
        <v>F</v>
      </c>
      <c r="H425" s="404"/>
      <c r="I425" s="404"/>
      <c r="Z425" s="25"/>
    </row>
    <row r="426">
      <c r="E426" s="403" t="str">
        <f>IFERROR(__xludf.DUMMYFUNCTION("""COMPUTED_VALUE"""),"Tʿm.1M")</f>
        <v>Tʿm.1M</v>
      </c>
      <c r="F426" s="403" t="str">
        <f>IFERROR(__xludf.DUMMYFUNCTION("""COMPUTED_VALUE"""),"M")</f>
        <v>M</v>
      </c>
      <c r="H426" s="404"/>
      <c r="I426" s="404"/>
      <c r="Z426" s="25"/>
    </row>
    <row r="427">
      <c r="E427" s="403" t="str">
        <f>IFERROR(__xludf.DUMMYFUNCTION("""COMPUTED_VALUE"""),"Tʿm.2M")</f>
        <v>Tʿm.2M</v>
      </c>
      <c r="F427" s="403" t="str">
        <f>IFERROR(__xludf.DUMMYFUNCTION("""COMPUTED_VALUE"""),"M")</f>
        <v>M</v>
      </c>
      <c r="H427" s="404"/>
      <c r="I427" s="404"/>
      <c r="Z427" s="25"/>
    </row>
    <row r="428">
      <c r="E428" s="403" t="str">
        <f>IFERROR(__xludf.DUMMYFUNCTION("""COMPUTED_VALUE"""),"Tʿm.3M")</f>
        <v>Tʿm.3M</v>
      </c>
      <c r="F428" s="403" t="str">
        <f>IFERROR(__xludf.DUMMYFUNCTION("""COMPUTED_VALUE"""),"M")</f>
        <v>M</v>
      </c>
      <c r="H428" s="404"/>
      <c r="I428" s="404"/>
      <c r="Z428" s="25"/>
    </row>
    <row r="429">
      <c r="E429" s="403" t="str">
        <f>IFERROR(__xludf.DUMMYFUNCTION("""COMPUTED_VALUE"""),"Tʿm.4F")</f>
        <v>Tʿm.4F</v>
      </c>
      <c r="F429" s="403" t="str">
        <f>IFERROR(__xludf.DUMMYFUNCTION("""COMPUTED_VALUE"""),"F")</f>
        <v>F</v>
      </c>
      <c r="H429" s="404"/>
      <c r="I429" s="404"/>
      <c r="Z429" s="25"/>
    </row>
    <row r="430">
      <c r="E430" s="403" t="str">
        <f>IFERROR(__xludf.DUMMYFUNCTION("""COMPUTED_VALUE"""),"Tʿm.5M")</f>
        <v>Tʿm.5M</v>
      </c>
      <c r="F430" s="403" t="str">
        <f>IFERROR(__xludf.DUMMYFUNCTION("""COMPUTED_VALUE"""),"M")</f>
        <v>M</v>
      </c>
      <c r="H430" s="404"/>
      <c r="I430" s="404"/>
      <c r="Z430" s="25"/>
    </row>
    <row r="431">
      <c r="E431" s="403" t="str">
        <f>IFERROR(__xludf.DUMMYFUNCTION("""COMPUTED_VALUE"""),"Tʿm.6M")</f>
        <v>Tʿm.6M</v>
      </c>
      <c r="F431" s="403" t="str">
        <f>IFERROR(__xludf.DUMMYFUNCTION("""COMPUTED_VALUE"""),"M")</f>
        <v>M</v>
      </c>
      <c r="H431" s="404"/>
      <c r="I431" s="404"/>
      <c r="Z431" s="25"/>
    </row>
    <row r="432">
      <c r="E432" s="403" t="str">
        <f>IFERROR(__xludf.DUMMYFUNCTION("""COMPUTED_VALUE"""),"Tʿm.7F")</f>
        <v>Tʿm.7F</v>
      </c>
      <c r="F432" s="403" t="str">
        <f>IFERROR(__xludf.DUMMYFUNCTION("""COMPUTED_VALUE"""),"F")</f>
        <v>F</v>
      </c>
      <c r="H432" s="404"/>
      <c r="I432" s="404"/>
      <c r="Z432" s="25"/>
    </row>
    <row r="433">
      <c r="E433" s="403" t="str">
        <f>IFERROR(__xludf.DUMMYFUNCTION("""COMPUTED_VALUE"""),"Tʿm.8F")</f>
        <v>Tʿm.8F</v>
      </c>
      <c r="F433" s="403" t="str">
        <f>IFERROR(__xludf.DUMMYFUNCTION("""COMPUTED_VALUE"""),"F")</f>
        <v>F</v>
      </c>
      <c r="H433" s="404"/>
      <c r="I433" s="404"/>
      <c r="Z433" s="25"/>
    </row>
    <row r="434">
      <c r="E434" s="403" t="str">
        <f>IFERROR(__xludf.DUMMYFUNCTION("""COMPUTED_VALUE"""),"UF.1M")</f>
        <v>UF.1M</v>
      </c>
      <c r="F434" s="403" t="str">
        <f>IFERROR(__xludf.DUMMYFUNCTION("""COMPUTED_VALUE"""),"M")</f>
        <v>M</v>
      </c>
      <c r="H434" s="404"/>
      <c r="I434" s="404"/>
      <c r="Z434" s="25"/>
    </row>
    <row r="435">
      <c r="E435" s="403" t="str">
        <f>IFERROR(__xludf.DUMMYFUNCTION("""COMPUTED_VALUE"""),"UF.2F")</f>
        <v>UF.2F</v>
      </c>
      <c r="F435" s="403" t="str">
        <f>IFERROR(__xludf.DUMMYFUNCTION("""COMPUTED_VALUE"""),"F")</f>
        <v>F</v>
      </c>
      <c r="H435" s="404"/>
      <c r="I435" s="404"/>
      <c r="Z435" s="25"/>
    </row>
    <row r="436">
      <c r="E436" s="403" t="str">
        <f>IFERROR(__xludf.DUMMYFUNCTION("""COMPUTED_VALUE"""),"UF.3F")</f>
        <v>UF.3F</v>
      </c>
      <c r="F436" s="403" t="str">
        <f>IFERROR(__xludf.DUMMYFUNCTION("""COMPUTED_VALUE"""),"F")</f>
        <v>F</v>
      </c>
      <c r="H436" s="404"/>
      <c r="I436" s="404"/>
      <c r="Z436" s="25"/>
    </row>
    <row r="437">
      <c r="E437" s="403" t="str">
        <f>IFERROR(__xludf.DUMMYFUNCTION("""COMPUTED_VALUE"""),"Wl.1M")</f>
        <v>Wl.1M</v>
      </c>
      <c r="F437" s="403" t="str">
        <f>IFERROR(__xludf.DUMMYFUNCTION("""COMPUTED_VALUE"""),"M")</f>
        <v>M</v>
      </c>
      <c r="H437" s="404"/>
      <c r="I437" s="404"/>
      <c r="Z437" s="25"/>
    </row>
    <row r="438">
      <c r="E438" s="403" t="str">
        <f>IFERROR(__xludf.DUMMYFUNCTION("""COMPUTED_VALUE"""),"Wl.2F")</f>
        <v>Wl.2F</v>
      </c>
      <c r="F438" s="403" t="str">
        <f>IFERROR(__xludf.DUMMYFUNCTION("""COMPUTED_VALUE"""),"F")</f>
        <v>F</v>
      </c>
      <c r="H438" s="404"/>
      <c r="I438" s="404"/>
      <c r="Z438" s="25"/>
    </row>
    <row r="439">
      <c r="E439" s="403" t="str">
        <f>IFERROR(__xludf.DUMMYFUNCTION("""COMPUTED_VALUE"""),"WN.1F")</f>
        <v>WN.1F</v>
      </c>
      <c r="F439" s="403" t="str">
        <f>IFERROR(__xludf.DUMMYFUNCTION("""COMPUTED_VALUE"""),"F")</f>
        <v>F</v>
      </c>
      <c r="H439" s="404"/>
      <c r="I439" s="404"/>
      <c r="Z439" s="25"/>
    </row>
    <row r="440">
      <c r="E440" s="403" t="str">
        <f>IFERROR(__xludf.DUMMYFUNCTION("""COMPUTED_VALUE"""),"WN.2M")</f>
        <v>WN.2M</v>
      </c>
      <c r="F440" s="403" t="str">
        <f>IFERROR(__xludf.DUMMYFUNCTION("""COMPUTED_VALUE"""),"M")</f>
        <v>M</v>
      </c>
      <c r="H440" s="404"/>
      <c r="I440" s="404"/>
      <c r="Z440" s="25"/>
    </row>
    <row r="441">
      <c r="E441" s="403" t="str">
        <f>IFERROR(__xludf.DUMMYFUNCTION("""COMPUTED_VALUE"""),"XB.1F")</f>
        <v>XB.1F</v>
      </c>
      <c r="F441" s="403" t="str">
        <f>IFERROR(__xludf.DUMMYFUNCTION("""COMPUTED_VALUE"""),"F")</f>
        <v>F</v>
      </c>
      <c r="H441" s="404"/>
      <c r="I441" s="404"/>
      <c r="Z441" s="25"/>
    </row>
    <row r="442">
      <c r="E442" s="403" t="str">
        <f>IFERROR(__xludf.DUMMYFUNCTION("""COMPUTED_VALUE"""),"XB.2F")</f>
        <v>XB.2F</v>
      </c>
      <c r="F442" s="403" t="str">
        <f>IFERROR(__xludf.DUMMYFUNCTION("""COMPUTED_VALUE"""),"F")</f>
        <v>F</v>
      </c>
      <c r="H442" s="404"/>
      <c r="I442" s="404"/>
      <c r="Z442" s="25"/>
    </row>
    <row r="443">
      <c r="E443" s="403" t="str">
        <f>IFERROR(__xludf.DUMMYFUNCTION("""COMPUTED_VALUE"""),"XB.4M")</f>
        <v>XB.4M</v>
      </c>
      <c r="F443" s="403" t="str">
        <f>IFERROR(__xludf.DUMMYFUNCTION("""COMPUTED_VALUE"""),"M")</f>
        <v>M</v>
      </c>
      <c r="H443" s="404"/>
      <c r="I443" s="404"/>
      <c r="Z443" s="25"/>
    </row>
    <row r="444">
      <c r="E444" s="403" t="str">
        <f>IFERROR(__xludf.DUMMYFUNCTION("""COMPUTED_VALUE"""),"XB.5F")</f>
        <v>XB.5F</v>
      </c>
      <c r="F444" s="403" t="str">
        <f>IFERROR(__xludf.DUMMYFUNCTION("""COMPUTED_VALUE"""),"F")</f>
        <v>F</v>
      </c>
      <c r="H444" s="404"/>
      <c r="I444" s="404"/>
      <c r="Z444" s="25"/>
    </row>
    <row r="445">
      <c r="E445" s="403" t="str">
        <f>IFERROR(__xludf.DUMMYFUNCTION("""COMPUTED_VALUE"""),"XB.I3F")</f>
        <v>XB.I3F</v>
      </c>
      <c r="F445" s="403" t="str">
        <f>IFERROR(__xludf.DUMMYFUNCTION("""COMPUTED_VALUE"""),"F")</f>
        <v>F</v>
      </c>
      <c r="H445" s="404"/>
      <c r="I445" s="404"/>
      <c r="Z445" s="25"/>
    </row>
    <row r="446">
      <c r="E446" s="403" t="str">
        <f>IFERROR(__xludf.DUMMYFUNCTION("""COMPUTED_VALUE"""),"Xḏ̣.1M")</f>
        <v>Xḏ̣.1M</v>
      </c>
      <c r="F446" s="403" t="str">
        <f>IFERROR(__xludf.DUMMYFUNCTION("""COMPUTED_VALUE"""),"M")</f>
        <v>M</v>
      </c>
      <c r="H446" s="404"/>
      <c r="I446" s="404"/>
      <c r="Z446" s="25"/>
    </row>
    <row r="447">
      <c r="E447" s="403" t="str">
        <f>IFERROR(__xludf.DUMMYFUNCTION("""COMPUTED_VALUE"""),"Xḏ̣.2M")</f>
        <v>Xḏ̣.2M</v>
      </c>
      <c r="F447" s="403" t="str">
        <f>IFERROR(__xludf.DUMMYFUNCTION("""COMPUTED_VALUE"""),"M")</f>
        <v>M</v>
      </c>
      <c r="H447" s="404"/>
      <c r="I447" s="404"/>
      <c r="Z447" s="25"/>
    </row>
    <row r="448">
      <c r="E448" s="403" t="str">
        <f>IFERROR(__xludf.DUMMYFUNCTION("""COMPUTED_VALUE"""),"Xḏ̣.3F")</f>
        <v>Xḏ̣.3F</v>
      </c>
      <c r="F448" s="403" t="str">
        <f>IFERROR(__xludf.DUMMYFUNCTION("""COMPUTED_VALUE"""),"F")</f>
        <v>F</v>
      </c>
      <c r="H448" s="404"/>
      <c r="I448" s="404"/>
      <c r="Z448" s="25"/>
    </row>
    <row r="449">
      <c r="E449" s="403" t="str">
        <f>IFERROR(__xludf.DUMMYFUNCTION("""COMPUTED_VALUE"""),"Xl.1F")</f>
        <v>Xl.1F</v>
      </c>
      <c r="F449" s="403" t="str">
        <f>IFERROR(__xludf.DUMMYFUNCTION("""COMPUTED_VALUE"""),"F")</f>
        <v>F</v>
      </c>
      <c r="H449" s="404"/>
      <c r="I449" s="404"/>
      <c r="Z449" s="25"/>
    </row>
    <row r="450">
      <c r="E450" s="403" t="str">
        <f>IFERROR(__xludf.DUMMYFUNCTION("""COMPUTED_VALUE"""),"XL.1F")</f>
        <v>XL.1F</v>
      </c>
      <c r="F450" s="403" t="str">
        <f>IFERROR(__xludf.DUMMYFUNCTION("""COMPUTED_VALUE"""),"F")</f>
        <v>F</v>
      </c>
      <c r="H450" s="404"/>
      <c r="I450" s="404"/>
      <c r="Z450" s="25"/>
    </row>
    <row r="451">
      <c r="E451" s="403" t="str">
        <f>IFERROR(__xludf.DUMMYFUNCTION("""COMPUTED_VALUE"""),"Xl.2M")</f>
        <v>Xl.2M</v>
      </c>
      <c r="F451" s="403" t="str">
        <f>IFERROR(__xludf.DUMMYFUNCTION("""COMPUTED_VALUE"""),"M")</f>
        <v>M</v>
      </c>
      <c r="H451" s="404"/>
      <c r="I451" s="404"/>
      <c r="Z451" s="25"/>
    </row>
    <row r="452">
      <c r="E452" s="403" t="str">
        <f>IFERROR(__xludf.DUMMYFUNCTION("""COMPUTED_VALUE"""),"Xl.3M")</f>
        <v>Xl.3M</v>
      </c>
      <c r="F452" s="403" t="str">
        <f>IFERROR(__xludf.DUMMYFUNCTION("""COMPUTED_VALUE"""),"M")</f>
        <v>M</v>
      </c>
      <c r="H452" s="404"/>
      <c r="I452" s="404"/>
      <c r="Z452" s="7" t="s">
        <v>850</v>
      </c>
    </row>
    <row r="453">
      <c r="E453" s="403" t="str">
        <f>IFERROR(__xludf.DUMMYFUNCTION("""COMPUTED_VALUE"""),"Xl.4F")</f>
        <v>Xl.4F</v>
      </c>
      <c r="F453" s="403" t="str">
        <f>IFERROR(__xludf.DUMMYFUNCTION("""COMPUTED_VALUE"""),"F")</f>
        <v>F</v>
      </c>
      <c r="H453" s="404"/>
      <c r="I453" s="404"/>
      <c r="Z453" s="7"/>
    </row>
    <row r="454">
      <c r="E454" s="403" t="str">
        <f>IFERROR(__xludf.DUMMYFUNCTION("""COMPUTED_VALUE"""),"Yr.1FD")</f>
        <v>Yr.1FD</v>
      </c>
      <c r="F454" s="403" t="str">
        <f>IFERROR(__xludf.DUMMYFUNCTION("""COMPUTED_VALUE"""),"F")</f>
        <v>F</v>
      </c>
      <c r="H454" s="404"/>
      <c r="I454" s="404"/>
      <c r="Z454" s="7"/>
    </row>
    <row r="455">
      <c r="E455" s="403" t="str">
        <f>IFERROR(__xludf.DUMMYFUNCTION("""COMPUTED_VALUE"""),"Yr.2MD")</f>
        <v>Yr.2MD</v>
      </c>
      <c r="F455" s="403" t="str">
        <f>IFERROR(__xludf.DUMMYFUNCTION("""COMPUTED_VALUE"""),"M")</f>
        <v>M</v>
      </c>
      <c r="H455" s="404"/>
      <c r="I455" s="404"/>
      <c r="Z455" s="7"/>
    </row>
    <row r="456">
      <c r="E456" s="403" t="str">
        <f>IFERROR(__xludf.DUMMYFUNCTION("""COMPUTED_VALUE"""),"Yr.3MD")</f>
        <v>Yr.3MD</v>
      </c>
      <c r="F456" s="403" t="str">
        <f>IFERROR(__xludf.DUMMYFUNCTION("""COMPUTED_VALUE"""),"M")</f>
        <v>M</v>
      </c>
      <c r="H456" s="404"/>
      <c r="I456" s="404"/>
      <c r="Z456" s="7"/>
    </row>
    <row r="457">
      <c r="E457" s="403" t="str">
        <f>IFERROR(__xludf.DUMMYFUNCTION("""COMPUTED_VALUE"""),"Yṭ.1M")</f>
        <v>Yṭ.1M</v>
      </c>
      <c r="F457" s="403" t="str">
        <f>IFERROR(__xludf.DUMMYFUNCTION("""COMPUTED_VALUE"""),"M")</f>
        <v>M</v>
      </c>
      <c r="H457" s="404"/>
      <c r="I457" s="404"/>
      <c r="Z457" s="7"/>
    </row>
    <row r="458">
      <c r="E458" s="403" t="str">
        <f>IFERROR(__xludf.DUMMYFUNCTION("""COMPUTED_VALUE"""),"Zk.1M")</f>
        <v>Zk.1M</v>
      </c>
      <c r="F458" s="403" t="str">
        <f>IFERROR(__xludf.DUMMYFUNCTION("""COMPUTED_VALUE"""),"M")</f>
        <v>M</v>
      </c>
      <c r="H458" s="404"/>
      <c r="I458" s="404"/>
      <c r="Z458" s="7" t="s">
        <v>850</v>
      </c>
    </row>
    <row r="459">
      <c r="E459" s="403" t="str">
        <f>IFERROR(__xludf.DUMMYFUNCTION("""COMPUTED_VALUE"""),"Zr.1MB")</f>
        <v>Zr.1MB</v>
      </c>
      <c r="F459" s="403" t="str">
        <f>IFERROR(__xludf.DUMMYFUNCTION("""COMPUTED_VALUE"""),"M")</f>
        <v>M</v>
      </c>
      <c r="H459" s="404"/>
      <c r="I459" s="404"/>
      <c r="Z459" s="7" t="s">
        <v>850</v>
      </c>
    </row>
    <row r="460">
      <c r="E460" s="403" t="str">
        <f>IFERROR(__xludf.DUMMYFUNCTION("""COMPUTED_VALUE"""),"Zr.2MB")</f>
        <v>Zr.2MB</v>
      </c>
      <c r="F460" s="403" t="str">
        <f>IFERROR(__xludf.DUMMYFUNCTION("""COMPUTED_VALUE"""),"M")</f>
        <v>M</v>
      </c>
      <c r="H460" s="404"/>
      <c r="I460" s="404"/>
      <c r="Z460" s="7" t="s">
        <v>850</v>
      </c>
    </row>
    <row r="461">
      <c r="E461" s="403" t="str">
        <f>IFERROR(__xludf.DUMMYFUNCTION("""COMPUTED_VALUE"""),"Žš.1MC")</f>
        <v>Žš.1MC</v>
      </c>
      <c r="F461" s="403" t="str">
        <f>IFERROR(__xludf.DUMMYFUNCTION("""COMPUTED_VALUE"""),"M")</f>
        <v>M</v>
      </c>
      <c r="H461" s="404"/>
      <c r="I461" s="404"/>
      <c r="Z461" s="7"/>
    </row>
    <row r="462">
      <c r="E462" s="403" t="str">
        <f>IFERROR(__xludf.DUMMYFUNCTION("""COMPUTED_VALUE"""),"ʿib.1F")</f>
        <v>ʿib.1F</v>
      </c>
      <c r="F462" s="403" t="str">
        <f>IFERROR(__xludf.DUMMYFUNCTION("""COMPUTED_VALUE"""),"F")</f>
        <v>F</v>
      </c>
      <c r="H462" s="404"/>
      <c r="I462" s="404"/>
      <c r="Z462" s="7" t="s">
        <v>850</v>
      </c>
    </row>
    <row r="463">
      <c r="E463" s="403" t="str">
        <f>IFERROR(__xludf.DUMMYFUNCTION("""COMPUTED_VALUE"""),"ʿib.2F")</f>
        <v>ʿib.2F</v>
      </c>
      <c r="F463" s="403" t="str">
        <f>IFERROR(__xludf.DUMMYFUNCTION("""COMPUTED_VALUE"""),"F")</f>
        <v>F</v>
      </c>
      <c r="H463" s="404"/>
      <c r="I463" s="404"/>
      <c r="Z463" s="7" t="s">
        <v>850</v>
      </c>
    </row>
    <row r="464">
      <c r="E464" s="403" t="str">
        <f>IFERROR(__xludf.DUMMYFUNCTION("""COMPUTED_VALUE"""),"ʿib.3M")</f>
        <v>ʿib.3M</v>
      </c>
      <c r="F464" s="403" t="str">
        <f>IFERROR(__xludf.DUMMYFUNCTION("""COMPUTED_VALUE"""),"M")</f>
        <v>M</v>
      </c>
      <c r="H464" s="404"/>
      <c r="I464" s="404"/>
      <c r="Z464" s="7"/>
    </row>
    <row r="465">
      <c r="E465" s="403" t="str">
        <f>IFERROR(__xludf.DUMMYFUNCTION("""COMPUTED_VALUE"""),"ʿnt.1M")</f>
        <v>ʿnt.1M</v>
      </c>
      <c r="F465" s="403" t="str">
        <f>IFERROR(__xludf.DUMMYFUNCTION("""COMPUTED_VALUE"""),"M")</f>
        <v>M</v>
      </c>
      <c r="H465" s="404"/>
      <c r="I465" s="404"/>
      <c r="Z465" s="7" t="s">
        <v>2348</v>
      </c>
    </row>
    <row r="466">
      <c r="E466" s="403" t="str">
        <f>IFERROR(__xludf.DUMMYFUNCTION("""COMPUTED_VALUE"""),"ʿnt.2F")</f>
        <v>ʿnt.2F</v>
      </c>
      <c r="F466" s="403" t="str">
        <f>IFERROR(__xludf.DUMMYFUNCTION("""COMPUTED_VALUE"""),"F")</f>
        <v>F</v>
      </c>
      <c r="H466" s="404"/>
      <c r="I466" s="404"/>
      <c r="Z466" s="7" t="s">
        <v>2356</v>
      </c>
    </row>
    <row r="467">
      <c r="E467" s="403" t="str">
        <f>IFERROR(__xludf.DUMMYFUNCTION("""COMPUTED_VALUE"""),"ʿnt.3F")</f>
        <v>ʿnt.3F</v>
      </c>
      <c r="F467" s="403" t="str">
        <f>IFERROR(__xludf.DUMMYFUNCTION("""COMPUTED_VALUE"""),"F")</f>
        <v>F</v>
      </c>
      <c r="H467" s="404"/>
      <c r="I467" s="404"/>
      <c r="Z467" s="7" t="s">
        <v>826</v>
      </c>
    </row>
    <row r="468">
      <c r="E468" s="403" t="str">
        <f>IFERROR(__xludf.DUMMYFUNCTION("""COMPUTED_VALUE"""),"ʿnt.4F")</f>
        <v>ʿnt.4F</v>
      </c>
      <c r="F468" s="403" t="str">
        <f>IFERROR(__xludf.DUMMYFUNCTION("""COMPUTED_VALUE"""),"F")</f>
        <v>F</v>
      </c>
      <c r="H468" s="404"/>
      <c r="I468" s="404"/>
    </row>
    <row r="469">
      <c r="E469" s="403" t="str">
        <f>IFERROR(__xludf.DUMMYFUNCTION("""COMPUTED_VALUE"""),"ʿnt.5F")</f>
        <v>ʿnt.5F</v>
      </c>
      <c r="F469" s="403" t="str">
        <f>IFERROR(__xludf.DUMMYFUNCTION("""COMPUTED_VALUE"""),"F")</f>
        <v>F</v>
      </c>
      <c r="H469" s="404"/>
      <c r="I469" s="404"/>
      <c r="Z469" s="7" t="s">
        <v>691</v>
      </c>
    </row>
    <row r="470">
      <c r="E470" s="403" t="str">
        <f>IFERROR(__xludf.DUMMYFUNCTION("""COMPUTED_VALUE"""),"ʿnt.6M")</f>
        <v>ʿnt.6M</v>
      </c>
      <c r="F470" s="403" t="str">
        <f>IFERROR(__xludf.DUMMYFUNCTION("""COMPUTED_VALUE"""),"M")</f>
        <v>M</v>
      </c>
      <c r="H470" s="404"/>
      <c r="I470" s="404"/>
      <c r="Z470" s="7" t="s">
        <v>2379</v>
      </c>
    </row>
    <row r="471">
      <c r="E471" s="403" t="str">
        <f>IFERROR(__xludf.DUMMYFUNCTION("""COMPUTED_VALUE"""),"ʿnt.7F")</f>
        <v>ʿnt.7F</v>
      </c>
      <c r="F471" s="403" t="str">
        <f>IFERROR(__xludf.DUMMYFUNCTION("""COMPUTED_VALUE"""),"F")</f>
        <v>F</v>
      </c>
      <c r="H471" s="404"/>
      <c r="I471" s="404"/>
      <c r="Z471" s="7" t="s">
        <v>691</v>
      </c>
    </row>
    <row r="472">
      <c r="E472" s="403" t="str">
        <f>IFERROR(__xludf.DUMMYFUNCTION("""COMPUTED_VALUE"""),"ʿz.1F")</f>
        <v>ʿz.1F</v>
      </c>
      <c r="F472" s="403" t="str">
        <f>IFERROR(__xludf.DUMMYFUNCTION("""COMPUTED_VALUE"""),"F")</f>
        <v>F</v>
      </c>
      <c r="H472" s="404"/>
      <c r="I472" s="404"/>
      <c r="Z472" s="7" t="s">
        <v>1809</v>
      </c>
    </row>
    <row r="473">
      <c r="E473" s="403" t="str">
        <f>IFERROR(__xludf.DUMMYFUNCTION("""COMPUTED_VALUE"""),"ʿz.2M")</f>
        <v>ʿz.2M</v>
      </c>
      <c r="F473" s="403" t="str">
        <f>IFERROR(__xludf.DUMMYFUNCTION("""COMPUTED_VALUE"""),"M")</f>
        <v>M</v>
      </c>
      <c r="H473" s="404"/>
      <c r="I473" s="404"/>
      <c r="Z473" s="7" t="s">
        <v>1809</v>
      </c>
    </row>
    <row r="474">
      <c r="E474" s="403" t="str">
        <f>IFERROR(__xludf.DUMMYFUNCTION("""COMPUTED_VALUE"""),"ʿz.3F")</f>
        <v>ʿz.3F</v>
      </c>
      <c r="F474" s="403" t="str">
        <f>IFERROR(__xludf.DUMMYFUNCTION("""COMPUTED_VALUE"""),"F")</f>
        <v>F</v>
      </c>
      <c r="H474" s="404"/>
      <c r="I474" s="404"/>
      <c r="Z474" s="7" t="s">
        <v>1809</v>
      </c>
    </row>
    <row r="475">
      <c r="E475" s="403" t="str">
        <f>IFERROR(__xludf.DUMMYFUNCTION("""COMPUTED_VALUE"""),"ʿz.4F")</f>
        <v>ʿz.4F</v>
      </c>
      <c r="F475" s="403" t="str">
        <f>IFERROR(__xludf.DUMMYFUNCTION("""COMPUTED_VALUE"""),"F")</f>
        <v>F</v>
      </c>
      <c r="H475" s="404"/>
      <c r="I475" s="404"/>
      <c r="Z475" s="7" t="s">
        <v>850</v>
      </c>
    </row>
    <row r="476">
      <c r="E476" s="403" t="str">
        <f>IFERROR(__xludf.DUMMYFUNCTION("""COMPUTED_VALUE"""),"ʿz.5F")</f>
        <v>ʿz.5F</v>
      </c>
      <c r="F476" s="403" t="str">
        <f>IFERROR(__xludf.DUMMYFUNCTION("""COMPUTED_VALUE"""),"F")</f>
        <v>F</v>
      </c>
      <c r="H476" s="404"/>
      <c r="I476" s="404"/>
      <c r="Z476" s="7" t="s">
        <v>850</v>
      </c>
    </row>
    <row r="477">
      <c r="E477" s="403" t="str">
        <f>IFERROR(__xludf.DUMMYFUNCTION("""COMPUTED_VALUE"""),"ʿz.6F")</f>
        <v>ʿz.6F</v>
      </c>
      <c r="F477" s="403" t="str">
        <f>IFERROR(__xludf.DUMMYFUNCTION("""COMPUTED_VALUE"""),"M")</f>
        <v>M</v>
      </c>
      <c r="H477" s="404"/>
      <c r="I477" s="404"/>
      <c r="Z477" s="7" t="s">
        <v>850</v>
      </c>
    </row>
    <row r="478">
      <c r="H478" s="404"/>
      <c r="I478" s="404"/>
      <c r="Z478" s="7"/>
    </row>
    <row r="479">
      <c r="H479" s="404"/>
      <c r="I479" s="404"/>
    </row>
    <row r="480">
      <c r="H480" s="404"/>
      <c r="I480" s="404"/>
    </row>
    <row r="481">
      <c r="H481" s="404"/>
      <c r="I481" s="404"/>
    </row>
    <row r="482">
      <c r="H482" s="404"/>
      <c r="I482" s="404"/>
      <c r="Z482" s="7"/>
    </row>
    <row r="483">
      <c r="H483" s="404"/>
      <c r="I483" s="404"/>
      <c r="Z483" s="7"/>
    </row>
    <row r="484">
      <c r="H484" s="404"/>
      <c r="I484" s="404"/>
      <c r="Z484" s="7"/>
    </row>
    <row r="485">
      <c r="H485" s="404"/>
      <c r="I485" s="404"/>
      <c r="Z485" s="7"/>
    </row>
    <row r="486">
      <c r="H486" s="404"/>
      <c r="I486" s="404"/>
      <c r="Z486" s="7"/>
    </row>
    <row r="487">
      <c r="H487" s="404"/>
      <c r="I487" s="404"/>
      <c r="Z487" s="7"/>
    </row>
    <row r="488">
      <c r="H488" s="404"/>
      <c r="I488" s="404"/>
      <c r="Z488" s="7" t="s">
        <v>4189</v>
      </c>
    </row>
    <row r="489">
      <c r="H489" s="404"/>
      <c r="I489" s="404"/>
    </row>
    <row r="490">
      <c r="H490" s="404"/>
      <c r="I490" s="404"/>
      <c r="Z490" s="7" t="s">
        <v>691</v>
      </c>
    </row>
    <row r="491">
      <c r="H491" s="404"/>
      <c r="I491" s="404"/>
      <c r="Z491" s="7" t="s">
        <v>706</v>
      </c>
    </row>
    <row r="492">
      <c r="H492" s="404"/>
      <c r="I492" s="404"/>
      <c r="Z492" s="7" t="s">
        <v>850</v>
      </c>
    </row>
    <row r="493">
      <c r="H493" s="404"/>
      <c r="I493" s="404"/>
    </row>
    <row r="494">
      <c r="H494" s="404"/>
      <c r="I494" s="404"/>
      <c r="Z494" s="7" t="s">
        <v>850</v>
      </c>
    </row>
    <row r="495">
      <c r="H495" s="404"/>
      <c r="I495" s="404"/>
      <c r="Z495" s="7" t="s">
        <v>850</v>
      </c>
    </row>
    <row r="496">
      <c r="H496" s="404"/>
      <c r="I496" s="404"/>
      <c r="Z496" s="7" t="s">
        <v>2356</v>
      </c>
    </row>
    <row r="497">
      <c r="H497" s="404"/>
      <c r="I497" s="404"/>
      <c r="Z497" s="25"/>
    </row>
    <row r="498">
      <c r="H498" s="404"/>
      <c r="I498" s="404"/>
      <c r="Z498" s="25"/>
    </row>
    <row r="499">
      <c r="H499" s="404"/>
      <c r="I499" s="404"/>
      <c r="Z499" s="25"/>
    </row>
    <row r="500">
      <c r="H500" s="404"/>
      <c r="I500" s="404"/>
      <c r="Z500" s="25"/>
    </row>
    <row r="501">
      <c r="H501" s="404"/>
      <c r="I501" s="404"/>
      <c r="Z501" s="7" t="s">
        <v>850</v>
      </c>
    </row>
    <row r="502">
      <c r="H502" s="404"/>
      <c r="I502" s="404"/>
    </row>
    <row r="503">
      <c r="H503" s="404"/>
      <c r="I503" s="404"/>
      <c r="Z503" s="25"/>
    </row>
    <row r="504">
      <c r="H504" s="404"/>
      <c r="I504" s="404"/>
    </row>
    <row r="505">
      <c r="H505" s="404"/>
      <c r="I505" s="404"/>
      <c r="Z505" s="7" t="s">
        <v>850</v>
      </c>
    </row>
    <row r="506">
      <c r="H506" s="404"/>
      <c r="I506" s="404"/>
      <c r="Z506" s="7" t="s">
        <v>850</v>
      </c>
    </row>
    <row r="507">
      <c r="H507" s="404"/>
      <c r="I507" s="404"/>
      <c r="Z507" s="7" t="s">
        <v>850</v>
      </c>
    </row>
    <row r="508">
      <c r="H508" s="404"/>
      <c r="I508" s="404"/>
      <c r="Z508" s="25"/>
    </row>
    <row r="509">
      <c r="H509" s="404"/>
      <c r="I509" s="404"/>
    </row>
    <row r="510">
      <c r="H510" s="404"/>
      <c r="I510" s="404"/>
    </row>
    <row r="511">
      <c r="H511" s="404"/>
      <c r="I511" s="404"/>
      <c r="Z511" s="25"/>
    </row>
    <row r="512">
      <c r="H512" s="404"/>
      <c r="I512" s="404"/>
      <c r="Z512" s="25"/>
    </row>
    <row r="513">
      <c r="H513" s="404"/>
      <c r="I513" s="404"/>
      <c r="Z513" s="25"/>
    </row>
    <row r="514">
      <c r="H514" s="404"/>
      <c r="I514" s="404"/>
      <c r="Z514" s="25"/>
    </row>
    <row r="515">
      <c r="H515" s="404"/>
      <c r="I515" s="404"/>
      <c r="Z515" s="25"/>
    </row>
    <row r="516">
      <c r="H516" s="404"/>
      <c r="I516" s="404"/>
      <c r="Z516" s="25"/>
    </row>
    <row r="517">
      <c r="H517" s="404"/>
      <c r="I517" s="404"/>
      <c r="Z517" s="25"/>
    </row>
    <row r="518">
      <c r="H518" s="404"/>
      <c r="I518" s="404"/>
      <c r="Z518" s="25"/>
    </row>
    <row r="519">
      <c r="H519" s="404"/>
      <c r="I519" s="404"/>
      <c r="Z519" s="25"/>
    </row>
    <row r="520">
      <c r="H520" s="404"/>
      <c r="I520" s="404"/>
      <c r="Z520" s="25"/>
    </row>
    <row r="521">
      <c r="H521" s="404"/>
      <c r="I521" s="404"/>
      <c r="Z521" s="25"/>
    </row>
    <row r="522">
      <c r="H522" s="404"/>
      <c r="I522" s="404"/>
      <c r="Z522" s="25"/>
    </row>
    <row r="523">
      <c r="H523" s="404"/>
      <c r="I523" s="404"/>
      <c r="Z523" s="25"/>
    </row>
    <row r="524">
      <c r="H524" s="404"/>
      <c r="I524" s="404"/>
      <c r="Z524" s="25"/>
    </row>
    <row r="525">
      <c r="H525" s="404"/>
      <c r="I525" s="404"/>
      <c r="Z525" s="25"/>
    </row>
    <row r="526">
      <c r="H526" s="404"/>
      <c r="I526" s="404"/>
      <c r="Z526" s="25"/>
    </row>
    <row r="527">
      <c r="H527" s="404"/>
      <c r="I527" s="404"/>
      <c r="Z527" s="25"/>
    </row>
    <row r="528">
      <c r="H528" s="404"/>
      <c r="I528" s="404"/>
      <c r="Z528" s="25"/>
    </row>
    <row r="529">
      <c r="H529" s="404"/>
      <c r="I529" s="404"/>
      <c r="Z529" s="25"/>
    </row>
    <row r="530">
      <c r="H530" s="404"/>
      <c r="I530" s="404"/>
      <c r="Z530" s="25"/>
    </row>
    <row r="531">
      <c r="H531" s="404"/>
      <c r="I531" s="404"/>
      <c r="Z531" s="25"/>
    </row>
    <row r="532">
      <c r="H532" s="404"/>
      <c r="I532" s="404"/>
      <c r="Z532" s="25"/>
    </row>
    <row r="533">
      <c r="H533" s="404"/>
      <c r="I533" s="404"/>
      <c r="Z533" s="25"/>
    </row>
    <row r="534">
      <c r="H534" s="404"/>
      <c r="I534" s="404"/>
      <c r="Z534" s="25"/>
    </row>
    <row r="535">
      <c r="H535" s="404"/>
      <c r="I535" s="404"/>
      <c r="Z535" s="25"/>
    </row>
    <row r="536">
      <c r="H536" s="404"/>
      <c r="I536" s="404"/>
      <c r="Z536" s="25"/>
    </row>
    <row r="537">
      <c r="H537" s="404"/>
      <c r="I537" s="404"/>
      <c r="Z537" s="25"/>
    </row>
    <row r="538">
      <c r="H538" s="404"/>
      <c r="I538" s="404"/>
      <c r="Z538" s="25"/>
    </row>
    <row r="539">
      <c r="H539" s="404"/>
      <c r="I539" s="404"/>
      <c r="Z539" s="25"/>
    </row>
    <row r="540">
      <c r="H540" s="404"/>
      <c r="I540" s="404"/>
      <c r="Z540" s="7" t="s">
        <v>4186</v>
      </c>
    </row>
    <row r="541">
      <c r="H541" s="404"/>
      <c r="I541" s="404"/>
      <c r="Z541" s="7" t="s">
        <v>4187</v>
      </c>
    </row>
    <row r="542">
      <c r="H542" s="404"/>
      <c r="I542" s="404"/>
      <c r="Z542" s="25"/>
    </row>
    <row r="543">
      <c r="H543" s="404"/>
      <c r="I543" s="404"/>
      <c r="Z543" s="25"/>
    </row>
    <row r="544">
      <c r="H544" s="404"/>
      <c r="I544" s="404"/>
      <c r="Z544" s="25"/>
    </row>
    <row r="545">
      <c r="H545" s="404"/>
      <c r="I545" s="404"/>
      <c r="Z545" s="25"/>
    </row>
    <row r="546">
      <c r="H546" s="404"/>
      <c r="I546" s="404"/>
      <c r="Z546" s="25"/>
    </row>
    <row r="547">
      <c r="H547" s="404"/>
      <c r="I547" s="404"/>
      <c r="Z547" s="25"/>
    </row>
    <row r="548">
      <c r="H548" s="404"/>
      <c r="I548" s="404"/>
      <c r="Z548" s="25"/>
    </row>
    <row r="549">
      <c r="H549" s="404"/>
      <c r="I549" s="404"/>
      <c r="Z549" s="85" t="s">
        <v>2707</v>
      </c>
    </row>
    <row r="550">
      <c r="H550" s="404"/>
      <c r="I550" s="404"/>
      <c r="Z550" s="85" t="s">
        <v>2707</v>
      </c>
    </row>
    <row r="551">
      <c r="H551" s="404"/>
      <c r="I551" s="404"/>
    </row>
    <row r="552">
      <c r="H552" s="404"/>
      <c r="I552" s="404"/>
    </row>
    <row r="553">
      <c r="H553" s="404"/>
      <c r="I553" s="404"/>
    </row>
    <row r="554">
      <c r="H554" s="404"/>
      <c r="I554" s="404"/>
      <c r="Z554" s="85" t="s">
        <v>2707</v>
      </c>
    </row>
    <row r="555">
      <c r="H555" s="404"/>
      <c r="I555" s="404"/>
    </row>
    <row r="556">
      <c r="H556" s="404"/>
      <c r="I556" s="404"/>
    </row>
    <row r="557">
      <c r="H557" s="404"/>
      <c r="I557" s="404"/>
      <c r="Z557" s="85" t="s">
        <v>2707</v>
      </c>
    </row>
    <row r="558">
      <c r="H558" s="404"/>
      <c r="I558" s="404"/>
      <c r="Z558" s="85" t="s">
        <v>2707</v>
      </c>
    </row>
    <row r="559">
      <c r="H559" s="404"/>
      <c r="I559" s="404"/>
    </row>
    <row r="560">
      <c r="H560" s="404"/>
      <c r="I560" s="404"/>
    </row>
    <row r="561">
      <c r="H561" s="404"/>
      <c r="I561" s="404"/>
      <c r="Z561" s="85" t="s">
        <v>2707</v>
      </c>
    </row>
    <row r="562">
      <c r="H562" s="404"/>
      <c r="I562" s="404"/>
      <c r="Z562" s="85" t="s">
        <v>2707</v>
      </c>
    </row>
    <row r="563">
      <c r="H563" s="404"/>
      <c r="I563" s="404"/>
      <c r="Z563" s="85" t="s">
        <v>2707</v>
      </c>
    </row>
    <row r="564">
      <c r="H564" s="404"/>
      <c r="I564" s="404"/>
      <c r="Z564" s="25"/>
    </row>
    <row r="565">
      <c r="H565" s="404"/>
      <c r="I565" s="404"/>
      <c r="Z565" s="25"/>
    </row>
    <row r="566">
      <c r="H566" s="404"/>
      <c r="I566" s="404"/>
      <c r="Z566" s="25"/>
    </row>
    <row r="567">
      <c r="H567" s="404"/>
      <c r="I567" s="404"/>
      <c r="Z567" s="25"/>
    </row>
    <row r="568">
      <c r="H568" s="404"/>
      <c r="I568" s="404"/>
      <c r="Z568" s="25"/>
    </row>
    <row r="569">
      <c r="H569" s="404"/>
      <c r="I569" s="404"/>
      <c r="Z569" s="25"/>
    </row>
    <row r="570">
      <c r="H570" s="404"/>
      <c r="I570" s="404"/>
      <c r="Z570" s="25"/>
    </row>
    <row r="571">
      <c r="H571" s="404"/>
      <c r="I571" s="404"/>
      <c r="Z571" s="25"/>
    </row>
    <row r="572">
      <c r="H572" s="404"/>
      <c r="I572" s="404"/>
      <c r="Z572" s="25"/>
    </row>
    <row r="573">
      <c r="H573" s="404"/>
      <c r="I573" s="404"/>
      <c r="Z573" s="25"/>
    </row>
    <row r="574">
      <c r="H574" s="404"/>
      <c r="I574" s="404"/>
      <c r="Z574" s="25"/>
    </row>
    <row r="575">
      <c r="H575" s="404"/>
      <c r="I575" s="404"/>
      <c r="Z575" s="25"/>
    </row>
    <row r="576">
      <c r="H576" s="404"/>
      <c r="I576" s="404"/>
      <c r="Z576" s="25"/>
    </row>
    <row r="577">
      <c r="H577" s="404"/>
      <c r="I577" s="404"/>
      <c r="Z577" s="25"/>
    </row>
    <row r="578">
      <c r="H578" s="404"/>
      <c r="I578" s="404"/>
      <c r="Z578" s="37"/>
    </row>
    <row r="579">
      <c r="H579" s="404"/>
      <c r="I579" s="404"/>
      <c r="Z579" s="37"/>
    </row>
    <row r="580">
      <c r="H580" s="404"/>
      <c r="I580" s="404"/>
      <c r="Z580" s="37"/>
    </row>
    <row r="581">
      <c r="H581" s="404"/>
      <c r="I581" s="404"/>
      <c r="Z581" s="25"/>
    </row>
    <row r="582">
      <c r="H582" s="404"/>
      <c r="I582" s="404"/>
      <c r="Z582" s="37"/>
    </row>
    <row r="583">
      <c r="H583" s="404"/>
      <c r="I583" s="404"/>
      <c r="Z583" s="85" t="s">
        <v>2707</v>
      </c>
    </row>
    <row r="584">
      <c r="H584" s="404"/>
      <c r="I584" s="404"/>
      <c r="Z584" s="85" t="s">
        <v>2707</v>
      </c>
    </row>
    <row r="585">
      <c r="H585" s="404"/>
      <c r="I585" s="404"/>
    </row>
    <row r="586">
      <c r="H586" s="404"/>
      <c r="I586" s="404"/>
    </row>
    <row r="587">
      <c r="H587" s="404"/>
      <c r="I587" s="404"/>
      <c r="Z587" s="85" t="s">
        <v>2707</v>
      </c>
    </row>
    <row r="588">
      <c r="H588" s="404"/>
      <c r="I588" s="404"/>
      <c r="Z588" s="85" t="s">
        <v>2707</v>
      </c>
    </row>
    <row r="589">
      <c r="H589" s="404"/>
      <c r="I589" s="404"/>
      <c r="Z589" s="85" t="s">
        <v>2707</v>
      </c>
    </row>
    <row r="590">
      <c r="H590" s="404"/>
      <c r="I590" s="404"/>
      <c r="Z590" s="85" t="s">
        <v>2707</v>
      </c>
    </row>
    <row r="591">
      <c r="H591" s="404"/>
      <c r="I591" s="404"/>
    </row>
    <row r="592">
      <c r="H592" s="404"/>
      <c r="I592" s="404"/>
    </row>
    <row r="593">
      <c r="H593" s="404"/>
      <c r="I593" s="404"/>
      <c r="Z593" s="85" t="s">
        <v>2707</v>
      </c>
    </row>
    <row r="594">
      <c r="H594" s="404"/>
      <c r="I594" s="404"/>
      <c r="Z594" s="85" t="s">
        <v>2707</v>
      </c>
    </row>
    <row r="595">
      <c r="H595" s="404"/>
      <c r="I595" s="404"/>
      <c r="Z595" s="85" t="s">
        <v>2707</v>
      </c>
    </row>
    <row r="596">
      <c r="H596" s="404"/>
      <c r="I596" s="404"/>
      <c r="Z596" s="85" t="s">
        <v>2707</v>
      </c>
    </row>
    <row r="597">
      <c r="H597" s="404"/>
      <c r="I597" s="404"/>
      <c r="Z597" s="85" t="s">
        <v>2707</v>
      </c>
    </row>
    <row r="598">
      <c r="H598" s="404"/>
      <c r="I598" s="404"/>
      <c r="Z598" s="85" t="s">
        <v>2707</v>
      </c>
    </row>
    <row r="599">
      <c r="H599" s="404"/>
      <c r="I599" s="404"/>
      <c r="Z599" s="4" t="s">
        <v>633</v>
      </c>
    </row>
    <row r="600">
      <c r="H600" s="404"/>
      <c r="I600" s="404"/>
    </row>
    <row r="601">
      <c r="H601" s="404"/>
      <c r="I601" s="404"/>
    </row>
    <row r="602">
      <c r="H602" s="404"/>
      <c r="I602" s="404"/>
      <c r="Z602" s="37"/>
    </row>
    <row r="603">
      <c r="H603" s="404"/>
      <c r="I603" s="404"/>
      <c r="Z603" s="25"/>
    </row>
    <row r="604">
      <c r="H604" s="404"/>
      <c r="I604" s="404"/>
      <c r="Z604" s="37"/>
    </row>
    <row r="605">
      <c r="H605" s="404"/>
      <c r="I605" s="404"/>
      <c r="Z605" s="37"/>
    </row>
    <row r="606">
      <c r="H606" s="404"/>
      <c r="I606" s="404"/>
      <c r="Z606" s="37"/>
    </row>
    <row r="607">
      <c r="H607" s="404"/>
      <c r="I607" s="404"/>
      <c r="Z607" s="25"/>
    </row>
    <row r="608">
      <c r="H608" s="404"/>
      <c r="I608" s="404"/>
      <c r="Z608" s="25"/>
    </row>
    <row r="609">
      <c r="H609" s="404"/>
      <c r="I609" s="404"/>
      <c r="Z609" s="37"/>
    </row>
    <row r="610">
      <c r="H610" s="404"/>
      <c r="I610" s="404"/>
      <c r="Z610" s="37"/>
    </row>
    <row r="611">
      <c r="H611" s="404"/>
      <c r="I611" s="404"/>
      <c r="Z611" s="37"/>
    </row>
    <row r="612">
      <c r="H612" s="404"/>
      <c r="I612" s="404"/>
      <c r="Z612" s="25"/>
    </row>
    <row r="613">
      <c r="H613" s="404"/>
      <c r="I613" s="404"/>
      <c r="Z613" s="25"/>
    </row>
    <row r="614">
      <c r="H614" s="404"/>
      <c r="I614" s="404"/>
      <c r="Z614" s="37"/>
    </row>
    <row r="615">
      <c r="H615" s="404"/>
      <c r="I615" s="404"/>
      <c r="Z615" s="37"/>
    </row>
    <row r="616">
      <c r="H616" s="404"/>
      <c r="I616" s="404"/>
      <c r="Z616" s="37"/>
    </row>
    <row r="617">
      <c r="H617" s="404"/>
      <c r="I617" s="404"/>
      <c r="Z617" s="37"/>
    </row>
    <row r="618">
      <c r="H618" s="404"/>
      <c r="I618" s="404"/>
      <c r="Z618" s="37"/>
    </row>
    <row r="619">
      <c r="H619" s="404"/>
      <c r="I619" s="404"/>
      <c r="Z619" s="25"/>
    </row>
    <row r="620">
      <c r="H620" s="404"/>
      <c r="I620" s="404"/>
      <c r="Z620" s="83"/>
    </row>
    <row r="621">
      <c r="H621" s="404"/>
      <c r="I621" s="404"/>
      <c r="Z621" s="83"/>
    </row>
    <row r="622">
      <c r="H622" s="404"/>
      <c r="I622" s="404"/>
      <c r="Z622" s="83"/>
    </row>
    <row r="623">
      <c r="H623" s="404"/>
      <c r="I623" s="404"/>
      <c r="Z623" s="83"/>
    </row>
    <row r="624">
      <c r="H624" s="404"/>
      <c r="I624" s="404"/>
      <c r="Z624" s="83"/>
    </row>
    <row r="625">
      <c r="H625" s="404"/>
      <c r="I625" s="404"/>
      <c r="Z625" s="83"/>
    </row>
    <row r="626">
      <c r="H626" s="404"/>
      <c r="I626" s="404"/>
      <c r="Z626" s="83"/>
    </row>
    <row r="627">
      <c r="H627" s="404"/>
      <c r="I627" s="404"/>
      <c r="Z627" s="83"/>
    </row>
    <row r="628">
      <c r="H628" s="404"/>
      <c r="I628" s="404"/>
      <c r="Z628" s="83"/>
    </row>
    <row r="629">
      <c r="H629" s="404"/>
      <c r="I629" s="404"/>
      <c r="Z629" s="83"/>
    </row>
    <row r="630">
      <c r="H630" s="404"/>
      <c r="I630" s="404"/>
      <c r="Z630" s="83"/>
    </row>
    <row r="631">
      <c r="H631" s="404"/>
      <c r="I631" s="404"/>
      <c r="Z631" s="25"/>
    </row>
    <row r="632">
      <c r="H632" s="404"/>
      <c r="I632" s="404"/>
      <c r="Z632" s="25"/>
    </row>
    <row r="633">
      <c r="H633" s="404"/>
      <c r="I633" s="404"/>
      <c r="Z633" s="25"/>
    </row>
    <row r="634">
      <c r="H634" s="404"/>
      <c r="I634" s="404"/>
      <c r="Z634" s="83"/>
    </row>
    <row r="635">
      <c r="H635" s="404"/>
      <c r="I635" s="404"/>
      <c r="Z635" s="25"/>
    </row>
    <row r="636">
      <c r="H636" s="404"/>
      <c r="I636" s="404"/>
      <c r="Z636" s="37"/>
    </row>
    <row r="637">
      <c r="H637" s="404"/>
      <c r="I637" s="404"/>
      <c r="Z637" s="25"/>
    </row>
    <row r="638">
      <c r="H638" s="404"/>
      <c r="I638" s="404"/>
      <c r="Z638" s="83"/>
    </row>
    <row r="639">
      <c r="H639" s="404"/>
      <c r="I639" s="404"/>
      <c r="Z639" s="83"/>
    </row>
    <row r="640">
      <c r="H640" s="404"/>
      <c r="I640" s="404"/>
      <c r="Z640" s="83"/>
    </row>
    <row r="641">
      <c r="H641" s="404"/>
      <c r="I641" s="404"/>
      <c r="Z641" s="25"/>
    </row>
    <row r="642">
      <c r="H642" s="404"/>
      <c r="I642" s="404"/>
      <c r="Z642" s="25"/>
    </row>
    <row r="643">
      <c r="H643" s="404"/>
      <c r="I643" s="404"/>
      <c r="Z643" s="37"/>
    </row>
    <row r="644">
      <c r="H644" s="404"/>
      <c r="I644" s="404"/>
      <c r="Z644" s="25"/>
    </row>
    <row r="645">
      <c r="H645" s="404"/>
      <c r="I645" s="404"/>
      <c r="Z645" s="83"/>
    </row>
    <row r="646">
      <c r="H646" s="404"/>
      <c r="I646" s="404"/>
      <c r="Z646" s="83"/>
    </row>
    <row r="647">
      <c r="H647" s="404"/>
      <c r="I647" s="404"/>
      <c r="Z647" s="83"/>
    </row>
    <row r="648">
      <c r="H648" s="404"/>
      <c r="I648" s="404"/>
      <c r="Z648" s="83"/>
    </row>
    <row r="649">
      <c r="H649" s="404"/>
      <c r="I649" s="404"/>
      <c r="Z649" s="83"/>
    </row>
    <row r="650">
      <c r="H650" s="404"/>
      <c r="I650" s="404"/>
      <c r="Z650" s="25"/>
    </row>
    <row r="651">
      <c r="H651" s="404"/>
      <c r="I651" s="404"/>
      <c r="Z651" s="7"/>
    </row>
    <row r="652">
      <c r="H652" s="404"/>
      <c r="I652" s="404"/>
      <c r="Z652" s="7"/>
    </row>
    <row r="653">
      <c r="H653" s="404"/>
      <c r="I653" s="404"/>
      <c r="Z653" s="7"/>
    </row>
    <row r="654">
      <c r="H654" s="404"/>
      <c r="I654" s="404"/>
      <c r="Z654" s="7"/>
    </row>
    <row r="655">
      <c r="H655" s="404"/>
      <c r="I655" s="404"/>
      <c r="Z655" s="7"/>
    </row>
    <row r="656">
      <c r="H656" s="404"/>
      <c r="I656" s="404"/>
      <c r="Z656" s="7"/>
    </row>
    <row r="657">
      <c r="H657" s="404"/>
      <c r="I657" s="404"/>
      <c r="Z657" s="83"/>
    </row>
    <row r="658">
      <c r="H658" s="404"/>
      <c r="I658" s="404"/>
      <c r="Z658" s="83"/>
    </row>
    <row r="659">
      <c r="H659" s="404"/>
      <c r="I659" s="404"/>
      <c r="Z659" s="83"/>
    </row>
    <row r="660">
      <c r="H660" s="404"/>
      <c r="I660" s="404"/>
      <c r="Z660" s="83"/>
    </row>
    <row r="661">
      <c r="H661" s="404"/>
      <c r="I661" s="404"/>
      <c r="Z661" s="83"/>
    </row>
    <row r="662">
      <c r="H662" s="404"/>
      <c r="I662" s="404"/>
      <c r="Z662" s="83"/>
    </row>
    <row r="663">
      <c r="H663" s="404"/>
      <c r="I663" s="404"/>
      <c r="Z663" s="83"/>
    </row>
    <row r="664">
      <c r="H664" s="404"/>
      <c r="I664" s="404"/>
      <c r="Z664" s="83"/>
    </row>
    <row r="665">
      <c r="H665" s="404"/>
      <c r="I665" s="404"/>
      <c r="Z665" s="25"/>
    </row>
    <row r="666">
      <c r="H666" s="404"/>
      <c r="I666" s="404"/>
      <c r="Z666" s="25"/>
    </row>
    <row r="667">
      <c r="H667" s="404"/>
      <c r="I667" s="404"/>
      <c r="Z667" s="25"/>
    </row>
    <row r="668">
      <c r="H668" s="404"/>
      <c r="I668" s="404"/>
      <c r="Z668" s="83"/>
    </row>
    <row r="669">
      <c r="H669" s="404"/>
      <c r="I669" s="404"/>
      <c r="Z669" s="83"/>
    </row>
    <row r="670">
      <c r="H670" s="404"/>
      <c r="I670" s="404"/>
      <c r="Z670" s="83"/>
    </row>
    <row r="671">
      <c r="H671" s="404"/>
      <c r="I671" s="404"/>
      <c r="Z671" s="83"/>
    </row>
    <row r="672">
      <c r="H672" s="404"/>
      <c r="I672" s="404"/>
      <c r="Z672" s="83"/>
    </row>
    <row r="673">
      <c r="H673" s="404"/>
      <c r="I673" s="404"/>
      <c r="Z673" s="83"/>
    </row>
    <row r="674">
      <c r="H674" s="404"/>
      <c r="I674" s="404"/>
      <c r="Z674" s="25"/>
    </row>
    <row r="675">
      <c r="H675" s="404"/>
      <c r="I675" s="404"/>
      <c r="Z675" s="25"/>
    </row>
    <row r="676">
      <c r="H676" s="404"/>
      <c r="I676" s="404"/>
      <c r="Z676" s="37"/>
    </row>
    <row r="677">
      <c r="H677" s="404"/>
      <c r="I677" s="404"/>
      <c r="Z677" s="37"/>
    </row>
    <row r="678">
      <c r="H678" s="404"/>
      <c r="I678" s="404"/>
      <c r="Z678" s="25"/>
    </row>
    <row r="679">
      <c r="H679" s="404"/>
      <c r="I679" s="404"/>
      <c r="Z679" s="83"/>
    </row>
    <row r="680">
      <c r="H680" s="404"/>
      <c r="I680" s="404"/>
      <c r="Z680" s="83"/>
    </row>
    <row r="681">
      <c r="H681" s="404"/>
      <c r="I681" s="404"/>
      <c r="Z681" s="83"/>
    </row>
    <row r="682">
      <c r="H682" s="404"/>
      <c r="I682" s="404"/>
      <c r="Z682" s="83"/>
    </row>
    <row r="683">
      <c r="H683" s="404"/>
      <c r="I683" s="404"/>
      <c r="Z683" s="25"/>
    </row>
    <row r="684">
      <c r="H684" s="404"/>
      <c r="I684" s="404"/>
      <c r="Z684" s="25"/>
    </row>
    <row r="685">
      <c r="H685" s="404"/>
      <c r="I685" s="404"/>
      <c r="Z685" s="37"/>
    </row>
    <row r="686">
      <c r="H686" s="404"/>
      <c r="I686" s="404"/>
      <c r="Z686" s="37"/>
    </row>
    <row r="687">
      <c r="H687" s="404"/>
      <c r="I687" s="404"/>
      <c r="Z687" s="37"/>
    </row>
    <row r="688">
      <c r="H688" s="404"/>
      <c r="I688" s="404"/>
      <c r="Z688" s="37"/>
    </row>
    <row r="689">
      <c r="H689" s="404"/>
      <c r="I689" s="404"/>
      <c r="Z689" s="25"/>
    </row>
    <row r="690">
      <c r="H690" s="404"/>
      <c r="I690" s="404"/>
      <c r="Z690" s="37"/>
    </row>
    <row r="691">
      <c r="H691" s="404"/>
      <c r="I691" s="404"/>
      <c r="Z691" s="37"/>
    </row>
    <row r="692">
      <c r="H692" s="404"/>
      <c r="I692" s="404"/>
      <c r="Z692" s="25"/>
    </row>
    <row r="693">
      <c r="H693" s="404"/>
      <c r="I693" s="404"/>
      <c r="Z693" s="25"/>
    </row>
    <row r="694">
      <c r="H694" s="404"/>
      <c r="I694" s="404"/>
      <c r="Z694" s="25"/>
    </row>
    <row r="695">
      <c r="H695" s="404"/>
      <c r="I695" s="404"/>
      <c r="Z695" s="83"/>
    </row>
    <row r="696">
      <c r="H696" s="404"/>
      <c r="I696" s="404"/>
      <c r="Z696" s="25"/>
    </row>
    <row r="697">
      <c r="H697" s="404"/>
      <c r="I697" s="404"/>
      <c r="Z697" s="25"/>
    </row>
    <row r="698">
      <c r="H698" s="404"/>
      <c r="I698" s="404"/>
      <c r="Z698" s="83"/>
    </row>
    <row r="699">
      <c r="H699" s="404"/>
      <c r="I699" s="404"/>
      <c r="Z699" s="83"/>
    </row>
    <row r="700">
      <c r="H700" s="404"/>
      <c r="I700" s="404"/>
      <c r="Z700" s="25"/>
    </row>
    <row r="701">
      <c r="H701" s="404"/>
      <c r="I701" s="404"/>
      <c r="Z701" s="25"/>
    </row>
    <row r="702">
      <c r="H702" s="404"/>
      <c r="I702" s="404"/>
      <c r="Z702" s="25"/>
    </row>
    <row r="703">
      <c r="H703" s="404"/>
      <c r="I703" s="404"/>
      <c r="Z703" s="83"/>
    </row>
    <row r="704">
      <c r="H704" s="404"/>
      <c r="I704" s="404"/>
      <c r="Z704" s="83"/>
    </row>
    <row r="705">
      <c r="H705" s="404"/>
      <c r="I705" s="404"/>
      <c r="Z705" s="83"/>
    </row>
    <row r="706">
      <c r="H706" s="404"/>
      <c r="I706" s="404"/>
      <c r="Z706" s="25"/>
    </row>
    <row r="707">
      <c r="H707" s="404"/>
      <c r="I707" s="404"/>
      <c r="Z707" s="83"/>
    </row>
    <row r="708">
      <c r="H708" s="404"/>
      <c r="I708" s="404"/>
      <c r="Z708" s="83"/>
    </row>
    <row r="709">
      <c r="H709" s="404"/>
      <c r="I709" s="404"/>
      <c r="Z709" s="83"/>
    </row>
    <row r="710">
      <c r="H710" s="404"/>
      <c r="I710" s="404"/>
      <c r="Z710" s="83"/>
    </row>
    <row r="711">
      <c r="H711" s="404"/>
      <c r="I711" s="404"/>
      <c r="Z711" s="83"/>
    </row>
    <row r="712">
      <c r="H712" s="404"/>
      <c r="I712" s="404"/>
      <c r="Z712" s="83"/>
    </row>
    <row r="713">
      <c r="H713" s="404"/>
      <c r="I713" s="404"/>
      <c r="Z713" s="83"/>
    </row>
    <row r="714">
      <c r="H714" s="404"/>
      <c r="I714" s="404"/>
      <c r="Z714" s="83"/>
    </row>
    <row r="715">
      <c r="H715" s="404"/>
      <c r="I715" s="404"/>
      <c r="Z715" s="83"/>
    </row>
    <row r="716">
      <c r="H716" s="404"/>
      <c r="I716" s="404"/>
      <c r="Z716" s="83"/>
    </row>
    <row r="717">
      <c r="H717" s="404"/>
      <c r="I717" s="404"/>
      <c r="Z717" s="83"/>
    </row>
    <row r="718">
      <c r="H718" s="404"/>
      <c r="I718" s="404"/>
      <c r="Z718" s="25"/>
    </row>
    <row r="719">
      <c r="H719" s="404"/>
      <c r="I719" s="404"/>
      <c r="Z719" s="25"/>
    </row>
    <row r="720">
      <c r="H720" s="404"/>
      <c r="I720" s="404"/>
      <c r="Z720" s="83"/>
    </row>
    <row r="721">
      <c r="H721" s="404"/>
      <c r="I721" s="404"/>
      <c r="Z721" s="83"/>
    </row>
    <row r="722">
      <c r="H722" s="404"/>
      <c r="I722" s="404"/>
      <c r="Z722" s="25"/>
    </row>
    <row r="723">
      <c r="H723" s="404"/>
      <c r="I723" s="404"/>
      <c r="Z723" s="25"/>
    </row>
    <row r="724">
      <c r="H724" s="404"/>
      <c r="I724" s="404"/>
      <c r="Z724" s="83"/>
    </row>
    <row r="725">
      <c r="H725" s="404"/>
      <c r="I725" s="404"/>
      <c r="Z725" s="83"/>
    </row>
    <row r="726">
      <c r="H726" s="404"/>
      <c r="I726" s="404"/>
      <c r="Z726" s="83"/>
    </row>
    <row r="727">
      <c r="H727" s="404"/>
      <c r="I727" s="404"/>
      <c r="Z727" s="83"/>
    </row>
    <row r="728">
      <c r="H728" s="404"/>
      <c r="I728" s="404"/>
      <c r="Z728" s="25"/>
    </row>
    <row r="729">
      <c r="H729" s="404"/>
      <c r="I729" s="404"/>
      <c r="Z729" s="83"/>
    </row>
    <row r="730">
      <c r="H730" s="404"/>
      <c r="I730" s="404"/>
      <c r="Z730" s="83"/>
    </row>
    <row r="731">
      <c r="H731" s="404"/>
      <c r="I731" s="404"/>
      <c r="Z731" s="83"/>
    </row>
    <row r="732">
      <c r="H732" s="404"/>
      <c r="I732" s="404"/>
      <c r="Z732" s="83"/>
    </row>
    <row r="733">
      <c r="H733" s="404"/>
      <c r="I733" s="404"/>
      <c r="Z733" s="83"/>
    </row>
    <row r="734">
      <c r="H734" s="404"/>
      <c r="I734" s="404"/>
      <c r="Z734" s="83"/>
    </row>
    <row r="735">
      <c r="H735" s="404"/>
      <c r="I735" s="404"/>
      <c r="Z735" s="83"/>
    </row>
    <row r="736">
      <c r="H736" s="404"/>
      <c r="I736" s="404"/>
      <c r="Z736" s="87"/>
    </row>
    <row r="737">
      <c r="H737" s="404"/>
      <c r="I737" s="404"/>
      <c r="Z737" s="87"/>
    </row>
    <row r="738">
      <c r="H738" s="404"/>
      <c r="I738" s="404"/>
      <c r="Z738" s="2"/>
    </row>
    <row r="739">
      <c r="H739" s="404"/>
      <c r="I739" s="404"/>
      <c r="Z739" s="87"/>
    </row>
    <row r="740">
      <c r="H740" s="404"/>
      <c r="I740" s="404"/>
      <c r="Z740" s="2"/>
    </row>
    <row r="741">
      <c r="H741" s="404"/>
      <c r="I741" s="404"/>
      <c r="Z741" s="2"/>
    </row>
    <row r="742">
      <c r="H742" s="404"/>
      <c r="I742" s="404"/>
      <c r="Z742" s="2"/>
    </row>
    <row r="743">
      <c r="H743" s="404"/>
      <c r="I743" s="404"/>
      <c r="Z743" s="2"/>
    </row>
    <row r="744">
      <c r="H744" s="404"/>
      <c r="I744" s="404"/>
      <c r="Z744" s="2"/>
    </row>
    <row r="745">
      <c r="H745" s="404"/>
      <c r="I745" s="404"/>
      <c r="Z745" s="2"/>
    </row>
    <row r="746">
      <c r="H746" s="404"/>
      <c r="I746" s="404"/>
      <c r="Z746" s="2"/>
    </row>
    <row r="747">
      <c r="H747" s="404"/>
      <c r="I747" s="404"/>
      <c r="Z747" s="87"/>
    </row>
    <row r="748">
      <c r="H748" s="404"/>
      <c r="I748" s="404"/>
      <c r="Z748" s="87"/>
    </row>
    <row r="749">
      <c r="H749" s="404"/>
      <c r="I749" s="404"/>
      <c r="Z749" s="87"/>
    </row>
    <row r="750">
      <c r="H750" s="404"/>
      <c r="I750" s="404"/>
      <c r="Z750" s="141"/>
    </row>
    <row r="751">
      <c r="H751" s="404"/>
      <c r="I751" s="404"/>
      <c r="Z751" s="141"/>
    </row>
    <row r="752">
      <c r="H752" s="404"/>
      <c r="I752" s="404"/>
      <c r="Z752" s="146"/>
    </row>
    <row r="753">
      <c r="H753" s="404"/>
      <c r="I753" s="404"/>
      <c r="Z753" s="146"/>
    </row>
    <row r="754">
      <c r="H754" s="404"/>
      <c r="I754" s="404"/>
      <c r="Z754" s="141"/>
    </row>
    <row r="755">
      <c r="H755" s="404"/>
      <c r="I755" s="404"/>
      <c r="Z755" s="146"/>
    </row>
    <row r="756">
      <c r="H756" s="404"/>
      <c r="I756" s="404"/>
      <c r="Z756" s="146"/>
    </row>
    <row r="757">
      <c r="H757" s="404"/>
      <c r="I757" s="404"/>
      <c r="Z757" s="141"/>
    </row>
    <row r="758">
      <c r="H758" s="404"/>
      <c r="I758" s="404"/>
      <c r="Z758" s="146"/>
    </row>
    <row r="759">
      <c r="H759" s="404"/>
      <c r="I759" s="404"/>
      <c r="Z759" s="141"/>
    </row>
    <row r="760">
      <c r="H760" s="404"/>
      <c r="I760" s="404"/>
      <c r="Z760" s="146"/>
    </row>
    <row r="761">
      <c r="H761" s="404"/>
      <c r="I761" s="404"/>
      <c r="Z761" s="146"/>
    </row>
    <row r="762">
      <c r="H762" s="404"/>
      <c r="I762" s="404"/>
      <c r="Z762" s="146"/>
    </row>
    <row r="763">
      <c r="H763" s="404"/>
      <c r="I763" s="404"/>
      <c r="Z763" s="146"/>
    </row>
    <row r="764">
      <c r="H764" s="404"/>
      <c r="I764" s="404"/>
      <c r="Z764" s="146"/>
    </row>
    <row r="765">
      <c r="H765" s="404"/>
      <c r="I765" s="404"/>
      <c r="Z765" s="146"/>
    </row>
    <row r="766">
      <c r="H766" s="404"/>
      <c r="I766" s="404"/>
      <c r="Z766" s="146"/>
    </row>
    <row r="767">
      <c r="H767" s="404"/>
      <c r="I767" s="404"/>
      <c r="Z767" s="146"/>
    </row>
    <row r="768">
      <c r="H768" s="404"/>
      <c r="I768" s="404"/>
      <c r="Z768" s="146"/>
    </row>
    <row r="769">
      <c r="H769" s="404"/>
      <c r="I769" s="404"/>
      <c r="Z769" s="141"/>
    </row>
    <row r="770">
      <c r="H770" s="404"/>
      <c r="I770" s="404"/>
      <c r="Z770" s="141"/>
    </row>
    <row r="771">
      <c r="H771" s="404"/>
      <c r="I771" s="404"/>
      <c r="Z771" s="146"/>
    </row>
    <row r="772">
      <c r="H772" s="404"/>
      <c r="I772" s="404"/>
      <c r="Z772" s="141"/>
    </row>
    <row r="773">
      <c r="H773" s="404"/>
      <c r="I773" s="404"/>
      <c r="Z773" s="141"/>
    </row>
    <row r="774">
      <c r="H774" s="404"/>
      <c r="I774" s="404"/>
      <c r="Z774" s="141"/>
    </row>
    <row r="775">
      <c r="H775" s="404"/>
      <c r="I775" s="404"/>
      <c r="Z775" s="146"/>
    </row>
    <row r="776">
      <c r="H776" s="404"/>
      <c r="I776" s="404"/>
      <c r="Z776" s="146"/>
    </row>
    <row r="777">
      <c r="H777" s="404"/>
      <c r="I777" s="404"/>
      <c r="Z777" s="146"/>
    </row>
    <row r="778">
      <c r="H778" s="404"/>
      <c r="I778" s="404"/>
      <c r="Z778" s="146"/>
    </row>
    <row r="779">
      <c r="H779" s="404"/>
      <c r="I779" s="404"/>
      <c r="Z779" s="146"/>
    </row>
    <row r="780">
      <c r="H780" s="404"/>
      <c r="I780" s="404"/>
      <c r="Z780" s="37"/>
    </row>
    <row r="781">
      <c r="H781" s="404"/>
      <c r="I781" s="404"/>
      <c r="Z781" s="37"/>
    </row>
    <row r="782">
      <c r="H782" s="404"/>
      <c r="I782" s="404"/>
      <c r="Z782" s="25"/>
    </row>
    <row r="783">
      <c r="H783" s="404"/>
      <c r="I783" s="404"/>
      <c r="Z783" s="37"/>
    </row>
    <row r="784">
      <c r="H784" s="404"/>
      <c r="I784" s="404"/>
      <c r="Z784" s="25"/>
    </row>
    <row r="785">
      <c r="H785" s="404"/>
      <c r="I785" s="404"/>
      <c r="Z785" s="25"/>
    </row>
    <row r="786">
      <c r="H786" s="404"/>
      <c r="I786" s="404"/>
      <c r="Z786" s="25"/>
    </row>
    <row r="787">
      <c r="H787" s="404"/>
      <c r="I787" s="404"/>
      <c r="Z787" s="37"/>
    </row>
    <row r="788">
      <c r="H788" s="404"/>
      <c r="I788" s="404"/>
      <c r="Z788" s="25"/>
    </row>
    <row r="789">
      <c r="H789" s="404"/>
      <c r="I789" s="404"/>
      <c r="Z789" s="37"/>
    </row>
    <row r="790">
      <c r="H790" s="404"/>
      <c r="I790" s="404"/>
      <c r="Z790" s="37"/>
    </row>
    <row r="791">
      <c r="H791" s="404"/>
      <c r="I791" s="404"/>
      <c r="Z791" s="37"/>
    </row>
    <row r="792">
      <c r="H792" s="404"/>
      <c r="I792" s="404"/>
      <c r="Z792" s="4" t="s">
        <v>900</v>
      </c>
    </row>
    <row r="793">
      <c r="H793" s="404"/>
      <c r="I793" s="404"/>
      <c r="Z793" s="4" t="s">
        <v>900</v>
      </c>
    </row>
    <row r="794">
      <c r="H794" s="404"/>
      <c r="I794" s="404"/>
      <c r="Z794" s="4" t="s">
        <v>900</v>
      </c>
    </row>
    <row r="795">
      <c r="H795" s="404"/>
      <c r="I795" s="404"/>
      <c r="Z795" s="4" t="s">
        <v>900</v>
      </c>
    </row>
    <row r="796">
      <c r="H796" s="404"/>
      <c r="I796" s="404"/>
      <c r="Z796" s="37"/>
    </row>
    <row r="797">
      <c r="H797" s="404"/>
      <c r="I797" s="404"/>
      <c r="Z797" s="37"/>
    </row>
    <row r="798">
      <c r="H798" s="404"/>
      <c r="I798" s="404"/>
      <c r="Z798" s="37"/>
    </row>
    <row r="799">
      <c r="H799" s="404"/>
      <c r="I799" s="404"/>
      <c r="Z799" s="37"/>
    </row>
    <row r="800">
      <c r="H800" s="404"/>
      <c r="I800" s="404"/>
      <c r="Z800" s="37"/>
    </row>
    <row r="801">
      <c r="H801" s="404"/>
      <c r="I801" s="404"/>
      <c r="Z801" s="37"/>
    </row>
    <row r="802">
      <c r="H802" s="404"/>
      <c r="I802" s="404"/>
      <c r="Z802" s="37"/>
    </row>
    <row r="803">
      <c r="H803" s="404"/>
      <c r="I803" s="404"/>
      <c r="Z803" s="37"/>
    </row>
    <row r="804">
      <c r="H804" s="404"/>
      <c r="I804" s="404"/>
      <c r="Z804" s="37"/>
    </row>
    <row r="805">
      <c r="H805" s="404"/>
      <c r="I805" s="404"/>
      <c r="Z805" s="37"/>
    </row>
    <row r="806">
      <c r="H806" s="404"/>
      <c r="I806" s="404"/>
      <c r="Z806" s="37"/>
    </row>
    <row r="807">
      <c r="H807" s="404"/>
      <c r="I807" s="404"/>
      <c r="Z807" s="37"/>
    </row>
    <row r="808">
      <c r="H808" s="404"/>
      <c r="I808" s="404"/>
      <c r="Z808" s="37"/>
    </row>
    <row r="809">
      <c r="H809" s="404"/>
      <c r="I809" s="404"/>
      <c r="Z809" s="37"/>
    </row>
    <row r="810">
      <c r="H810" s="404"/>
      <c r="I810" s="404"/>
      <c r="Z810" s="37"/>
    </row>
    <row r="811">
      <c r="H811" s="404"/>
      <c r="I811" s="404"/>
      <c r="Z811" s="37"/>
    </row>
    <row r="812">
      <c r="H812" s="404"/>
      <c r="I812" s="404"/>
      <c r="Z812" s="37"/>
    </row>
    <row r="813">
      <c r="H813" s="404"/>
      <c r="I813" s="404"/>
      <c r="Z813" s="37"/>
    </row>
    <row r="814">
      <c r="H814" s="404"/>
      <c r="I814" s="404"/>
      <c r="Z814" s="37"/>
    </row>
    <row r="815">
      <c r="H815" s="404"/>
      <c r="I815" s="404"/>
      <c r="Z815" s="37"/>
    </row>
    <row r="816">
      <c r="H816" s="404"/>
      <c r="I816" s="404"/>
      <c r="Z816" s="37"/>
    </row>
    <row r="817">
      <c r="H817" s="404"/>
      <c r="I817" s="404"/>
      <c r="Z817" s="37"/>
    </row>
    <row r="818">
      <c r="H818" s="404"/>
      <c r="I818" s="404"/>
      <c r="Z818" s="37"/>
    </row>
    <row r="819">
      <c r="H819" s="404"/>
      <c r="I819" s="404"/>
      <c r="Z819" s="37"/>
    </row>
    <row r="820">
      <c r="H820" s="404"/>
      <c r="I820" s="404"/>
      <c r="Z820" s="37"/>
    </row>
    <row r="821">
      <c r="H821" s="404"/>
      <c r="I821" s="404"/>
      <c r="Z821" s="37"/>
    </row>
    <row r="822">
      <c r="H822" s="404"/>
      <c r="I822" s="404"/>
      <c r="Z822" s="37"/>
    </row>
    <row r="823">
      <c r="H823" s="404"/>
      <c r="I823" s="404"/>
      <c r="Z823" s="37"/>
    </row>
    <row r="824">
      <c r="H824" s="404"/>
      <c r="I824" s="404"/>
      <c r="Z824" s="37"/>
    </row>
    <row r="825">
      <c r="H825" s="404"/>
      <c r="I825" s="404"/>
      <c r="Z825" s="37"/>
    </row>
    <row r="826">
      <c r="H826" s="404"/>
      <c r="I826" s="404"/>
      <c r="Z826" s="37"/>
    </row>
    <row r="827">
      <c r="H827" s="404"/>
      <c r="I827" s="404"/>
      <c r="Z827" s="37"/>
    </row>
    <row r="828">
      <c r="H828" s="404"/>
      <c r="I828" s="404"/>
      <c r="Z828" s="37"/>
    </row>
    <row r="829">
      <c r="H829" s="404"/>
      <c r="I829" s="404"/>
      <c r="Z829" s="37"/>
    </row>
    <row r="830">
      <c r="H830" s="404"/>
      <c r="I830" s="404"/>
      <c r="Z830" s="37"/>
    </row>
    <row r="831">
      <c r="H831" s="404"/>
      <c r="I831" s="404"/>
      <c r="Z831" s="37"/>
    </row>
    <row r="832">
      <c r="H832" s="404"/>
      <c r="I832" s="404"/>
      <c r="Z832" s="37"/>
    </row>
    <row r="833">
      <c r="H833" s="404"/>
      <c r="I833" s="404"/>
      <c r="Z833" s="37"/>
    </row>
    <row r="834">
      <c r="H834" s="404"/>
      <c r="I834" s="404"/>
      <c r="Z834" s="37"/>
    </row>
    <row r="835">
      <c r="H835" s="404"/>
      <c r="I835" s="404"/>
      <c r="Z835" s="37"/>
    </row>
    <row r="836">
      <c r="H836" s="404"/>
      <c r="I836" s="404"/>
      <c r="Z836" s="37"/>
    </row>
    <row r="837">
      <c r="H837" s="404"/>
      <c r="I837" s="404"/>
      <c r="Z837" s="37"/>
    </row>
    <row r="838">
      <c r="H838" s="404"/>
      <c r="I838" s="404"/>
      <c r="Z838" s="37"/>
    </row>
    <row r="839">
      <c r="H839" s="404"/>
      <c r="I839" s="404"/>
      <c r="Z839" s="37"/>
    </row>
    <row r="840">
      <c r="H840" s="404"/>
      <c r="I840" s="404"/>
      <c r="Z840" s="37"/>
    </row>
    <row r="841">
      <c r="H841" s="404"/>
      <c r="I841" s="404"/>
      <c r="Z841" s="37"/>
    </row>
    <row r="842">
      <c r="H842" s="404"/>
      <c r="I842" s="404"/>
      <c r="Z842" s="37"/>
    </row>
    <row r="843">
      <c r="H843" s="404"/>
      <c r="I843" s="404"/>
      <c r="Z843" s="37"/>
    </row>
    <row r="844">
      <c r="H844" s="404"/>
      <c r="I844" s="404"/>
      <c r="Z844" s="37"/>
    </row>
    <row r="845">
      <c r="H845" s="404"/>
      <c r="I845" s="404"/>
      <c r="Z845" s="37"/>
    </row>
    <row r="846">
      <c r="H846" s="404"/>
      <c r="I846" s="404"/>
      <c r="Z846" s="37"/>
    </row>
    <row r="847">
      <c r="H847" s="404"/>
      <c r="I847" s="404"/>
      <c r="Z847" s="37"/>
    </row>
    <row r="848">
      <c r="H848" s="404"/>
      <c r="I848" s="404"/>
      <c r="Z848" s="37"/>
    </row>
    <row r="849">
      <c r="H849" s="404"/>
      <c r="I849" s="404"/>
      <c r="Z849" s="37"/>
    </row>
    <row r="850">
      <c r="H850" s="404"/>
      <c r="I850" s="404"/>
      <c r="Z850" s="37"/>
    </row>
    <row r="851">
      <c r="H851" s="404"/>
      <c r="I851" s="404"/>
      <c r="Z851" s="37"/>
    </row>
    <row r="852">
      <c r="H852" s="404"/>
      <c r="I852" s="404"/>
      <c r="Z852" s="37"/>
    </row>
    <row r="853">
      <c r="H853" s="404"/>
      <c r="I853" s="404"/>
      <c r="Z853" s="37"/>
    </row>
    <row r="854">
      <c r="H854" s="404"/>
      <c r="I854" s="404"/>
      <c r="Z854" s="25"/>
    </row>
    <row r="855">
      <c r="H855" s="404"/>
      <c r="I855" s="404"/>
      <c r="Z855" s="25"/>
    </row>
    <row r="856">
      <c r="H856" s="404"/>
      <c r="I856" s="404"/>
      <c r="Z856" s="25"/>
    </row>
    <row r="857">
      <c r="H857" s="404"/>
      <c r="I857" s="404"/>
      <c r="Z857" s="25"/>
    </row>
    <row r="858">
      <c r="H858" s="404"/>
      <c r="I858" s="404"/>
      <c r="Z858" s="25"/>
    </row>
    <row r="859">
      <c r="H859" s="404"/>
      <c r="I859" s="404"/>
      <c r="Z859" s="25"/>
    </row>
    <row r="860">
      <c r="H860" s="404"/>
      <c r="I860" s="404"/>
      <c r="Z860" s="25"/>
    </row>
    <row r="861">
      <c r="H861" s="404"/>
      <c r="I861" s="404"/>
      <c r="Z861" s="25"/>
    </row>
    <row r="862">
      <c r="H862" s="404"/>
      <c r="I862" s="404"/>
      <c r="Z862" s="25"/>
    </row>
    <row r="863">
      <c r="H863" s="404"/>
      <c r="I863" s="404"/>
      <c r="Z863" s="25"/>
    </row>
    <row r="864">
      <c r="H864" s="404"/>
      <c r="I864" s="404"/>
      <c r="Z864" s="25"/>
    </row>
    <row r="865">
      <c r="H865" s="404"/>
      <c r="I865" s="404"/>
      <c r="Z865" s="25"/>
    </row>
    <row r="866">
      <c r="H866" s="404"/>
      <c r="I866" s="404"/>
      <c r="Z866" s="25"/>
    </row>
    <row r="867">
      <c r="H867" s="404"/>
      <c r="I867" s="404"/>
      <c r="Z867" s="25"/>
    </row>
    <row r="868">
      <c r="H868" s="404"/>
      <c r="I868" s="404"/>
      <c r="Z868" s="25"/>
    </row>
    <row r="869">
      <c r="H869" s="404"/>
      <c r="I869" s="404"/>
      <c r="Z869" s="25"/>
    </row>
    <row r="870">
      <c r="H870" s="404"/>
      <c r="I870" s="404"/>
      <c r="Z870" s="25"/>
    </row>
    <row r="871">
      <c r="H871" s="404"/>
      <c r="I871" s="404"/>
      <c r="Z871" s="25"/>
    </row>
    <row r="872">
      <c r="H872" s="404"/>
      <c r="I872" s="404"/>
      <c r="Z872" s="25"/>
    </row>
    <row r="873">
      <c r="H873" s="404"/>
      <c r="I873" s="404"/>
      <c r="Z873" s="25"/>
    </row>
    <row r="874">
      <c r="H874" s="404"/>
      <c r="I874" s="404"/>
      <c r="Z874" s="25"/>
    </row>
    <row r="875">
      <c r="H875" s="404"/>
      <c r="I875" s="404"/>
      <c r="Z875" s="25"/>
    </row>
    <row r="876">
      <c r="H876" s="404"/>
      <c r="I876" s="404"/>
      <c r="Z876" s="25"/>
    </row>
    <row r="877">
      <c r="H877" s="404"/>
      <c r="I877" s="404"/>
      <c r="Z877" s="25"/>
    </row>
    <row r="878">
      <c r="H878" s="404"/>
      <c r="I878" s="404"/>
      <c r="Z878" s="25"/>
    </row>
    <row r="879">
      <c r="H879" s="404"/>
      <c r="I879" s="404"/>
      <c r="Z879" s="25"/>
    </row>
    <row r="880">
      <c r="H880" s="404"/>
      <c r="I880" s="404"/>
      <c r="Z880" s="25"/>
    </row>
    <row r="881">
      <c r="H881" s="404"/>
      <c r="I881" s="404"/>
      <c r="Z881" s="25"/>
    </row>
    <row r="882">
      <c r="H882" s="404"/>
      <c r="I882" s="404"/>
      <c r="Z882" s="25"/>
    </row>
    <row r="883">
      <c r="H883" s="404"/>
      <c r="I883" s="404"/>
      <c r="Z883" s="25"/>
    </row>
    <row r="884">
      <c r="H884" s="404"/>
      <c r="I884" s="404"/>
      <c r="Z884" s="25"/>
    </row>
    <row r="885">
      <c r="H885" s="404"/>
      <c r="I885" s="404"/>
      <c r="Z885" s="25"/>
    </row>
    <row r="886">
      <c r="H886" s="404"/>
      <c r="I886" s="404"/>
      <c r="Z886" s="25"/>
    </row>
    <row r="887">
      <c r="H887" s="404"/>
      <c r="I887" s="404"/>
      <c r="Z887" s="25"/>
    </row>
    <row r="888">
      <c r="H888" s="404"/>
      <c r="I888" s="404"/>
      <c r="Z888" s="25"/>
    </row>
    <row r="889">
      <c r="H889" s="404"/>
      <c r="I889" s="404"/>
      <c r="Z889" s="25"/>
    </row>
    <row r="890">
      <c r="H890" s="404"/>
      <c r="I890" s="404"/>
      <c r="Z890" s="25"/>
    </row>
    <row r="891">
      <c r="H891" s="404"/>
      <c r="I891" s="404"/>
      <c r="Z891" s="25"/>
    </row>
    <row r="892">
      <c r="H892" s="404"/>
      <c r="I892" s="404"/>
      <c r="Z892" s="25"/>
    </row>
    <row r="893">
      <c r="H893" s="404"/>
      <c r="I893" s="404"/>
      <c r="Z893" s="25"/>
    </row>
    <row r="894">
      <c r="H894" s="404"/>
      <c r="I894" s="404"/>
      <c r="Z894" s="25"/>
    </row>
    <row r="895">
      <c r="H895" s="404"/>
      <c r="I895" s="404"/>
      <c r="Z895" s="25"/>
    </row>
    <row r="896">
      <c r="H896" s="404"/>
      <c r="I896" s="404"/>
      <c r="Z896" s="25"/>
    </row>
    <row r="897">
      <c r="H897" s="404"/>
      <c r="I897" s="404"/>
      <c r="Z897" s="25"/>
    </row>
    <row r="898">
      <c r="H898" s="404"/>
      <c r="I898" s="404"/>
      <c r="Z898" s="25"/>
    </row>
    <row r="899">
      <c r="H899" s="404"/>
      <c r="I899" s="404"/>
      <c r="Z899" s="25"/>
    </row>
    <row r="900">
      <c r="H900" s="404"/>
      <c r="I900" s="404"/>
      <c r="Z900" s="25"/>
    </row>
    <row r="901">
      <c r="H901" s="404"/>
      <c r="I901" s="404"/>
      <c r="Z901" s="25"/>
    </row>
    <row r="902">
      <c r="H902" s="404"/>
      <c r="I902" s="404"/>
      <c r="Z902" s="25"/>
    </row>
    <row r="903">
      <c r="H903" s="404"/>
      <c r="I903" s="404"/>
      <c r="Z903" s="25"/>
    </row>
    <row r="904">
      <c r="H904" s="404"/>
      <c r="I904" s="404"/>
      <c r="Z904" s="25"/>
    </row>
    <row r="905">
      <c r="H905" s="404"/>
      <c r="I905" s="404"/>
      <c r="Z905" s="25"/>
    </row>
    <row r="906">
      <c r="H906" s="404"/>
      <c r="I906" s="404"/>
      <c r="Z906" s="25"/>
    </row>
    <row r="907">
      <c r="H907" s="404"/>
      <c r="I907" s="404"/>
      <c r="Z907" s="25"/>
    </row>
    <row r="908">
      <c r="H908" s="404"/>
      <c r="I908" s="404"/>
      <c r="Z908" s="25"/>
    </row>
    <row r="909">
      <c r="H909" s="404"/>
      <c r="I909" s="404"/>
      <c r="Z909" s="25"/>
    </row>
    <row r="910">
      <c r="H910" s="404"/>
      <c r="I910" s="404"/>
      <c r="Z910" s="25"/>
    </row>
    <row r="911">
      <c r="H911" s="404"/>
      <c r="I911" s="404"/>
      <c r="Z911" s="25"/>
    </row>
    <row r="912">
      <c r="H912" s="404"/>
      <c r="I912" s="404"/>
      <c r="Z912" s="25"/>
    </row>
    <row r="913">
      <c r="H913" s="404"/>
      <c r="I913" s="404"/>
      <c r="Z913" s="25"/>
    </row>
    <row r="914">
      <c r="H914" s="404"/>
      <c r="I914" s="404"/>
      <c r="Z914" s="25"/>
    </row>
    <row r="915">
      <c r="H915" s="404"/>
      <c r="I915" s="404"/>
      <c r="Z915" s="25"/>
    </row>
    <row r="916">
      <c r="H916" s="404"/>
      <c r="I916" s="404"/>
      <c r="Z916" s="25"/>
    </row>
    <row r="917">
      <c r="H917" s="404"/>
      <c r="I917" s="404"/>
      <c r="Z917" s="25"/>
    </row>
    <row r="918">
      <c r="H918" s="404"/>
      <c r="I918" s="404"/>
      <c r="Z918" s="25"/>
    </row>
    <row r="919">
      <c r="H919" s="404"/>
      <c r="I919" s="404"/>
      <c r="Z919" s="25"/>
    </row>
    <row r="920">
      <c r="H920" s="404"/>
      <c r="I920" s="404"/>
      <c r="Z920" s="25"/>
    </row>
    <row r="921">
      <c r="H921" s="404"/>
      <c r="I921" s="404"/>
      <c r="Z921" s="25"/>
    </row>
    <row r="922">
      <c r="H922" s="404"/>
      <c r="I922" s="404"/>
      <c r="Z922" s="25"/>
    </row>
    <row r="923">
      <c r="H923" s="404"/>
      <c r="I923" s="404"/>
      <c r="Z923" s="25"/>
    </row>
    <row r="924">
      <c r="H924" s="404"/>
      <c r="I924" s="404"/>
      <c r="Z924" s="25"/>
    </row>
    <row r="925">
      <c r="H925" s="404"/>
      <c r="I925" s="404"/>
      <c r="Z925" s="25"/>
    </row>
    <row r="926">
      <c r="H926" s="404"/>
      <c r="I926" s="404"/>
      <c r="Z926" s="25"/>
    </row>
    <row r="927">
      <c r="H927" s="404"/>
      <c r="I927" s="404"/>
      <c r="Z927" s="25"/>
    </row>
    <row r="928">
      <c r="H928" s="404"/>
      <c r="I928" s="404"/>
      <c r="Z928" s="25"/>
    </row>
    <row r="929">
      <c r="H929" s="404"/>
      <c r="I929" s="404"/>
      <c r="Z929" s="25"/>
    </row>
    <row r="930">
      <c r="H930" s="404"/>
      <c r="I930" s="404"/>
      <c r="Z930" s="25"/>
    </row>
    <row r="931">
      <c r="H931" s="404"/>
      <c r="I931" s="404"/>
      <c r="Z931" s="25"/>
    </row>
    <row r="932">
      <c r="H932" s="404"/>
      <c r="I932" s="404"/>
      <c r="Z932" s="25"/>
    </row>
    <row r="933">
      <c r="H933" s="404"/>
      <c r="I933" s="404"/>
      <c r="Z933" s="25"/>
    </row>
    <row r="934">
      <c r="H934" s="404"/>
      <c r="I934" s="404"/>
      <c r="Z934" s="25"/>
    </row>
    <row r="935">
      <c r="H935" s="404"/>
      <c r="I935" s="404"/>
      <c r="Z935" s="25"/>
    </row>
    <row r="936">
      <c r="H936" s="404"/>
      <c r="I936" s="404"/>
      <c r="Z936" s="25"/>
    </row>
    <row r="937">
      <c r="H937" s="404"/>
      <c r="I937" s="404"/>
      <c r="Z937" s="25"/>
    </row>
    <row r="938">
      <c r="H938" s="404"/>
      <c r="I938" s="404"/>
      <c r="Z938" s="25"/>
    </row>
    <row r="939">
      <c r="H939" s="404"/>
      <c r="I939" s="404"/>
      <c r="Z939" s="25"/>
    </row>
    <row r="940">
      <c r="H940" s="404"/>
      <c r="I940" s="404"/>
      <c r="Z940" s="25"/>
    </row>
    <row r="941">
      <c r="H941" s="404"/>
      <c r="I941" s="404"/>
      <c r="Z941" s="25"/>
    </row>
    <row r="942">
      <c r="H942" s="404"/>
      <c r="I942" s="404"/>
      <c r="Z942" s="25"/>
    </row>
    <row r="943">
      <c r="H943" s="404"/>
      <c r="I943" s="404"/>
      <c r="Z943" s="25"/>
    </row>
    <row r="944">
      <c r="H944" s="404"/>
      <c r="I944" s="404"/>
      <c r="Z944" s="25"/>
    </row>
    <row r="945">
      <c r="H945" s="404"/>
      <c r="I945" s="404"/>
      <c r="Z945" s="25"/>
    </row>
    <row r="946">
      <c r="H946" s="404"/>
      <c r="I946" s="404"/>
      <c r="Z946" s="25"/>
    </row>
    <row r="947">
      <c r="H947" s="404"/>
      <c r="I947" s="404"/>
      <c r="Z947" s="25"/>
    </row>
    <row r="948">
      <c r="H948" s="404"/>
      <c r="I948" s="404"/>
      <c r="Z948" s="25"/>
    </row>
    <row r="949">
      <c r="H949" s="404"/>
      <c r="I949" s="404"/>
      <c r="Z949" s="25"/>
    </row>
    <row r="950">
      <c r="H950" s="404"/>
      <c r="I950" s="404"/>
      <c r="Z950" s="25"/>
    </row>
    <row r="951">
      <c r="H951" s="404"/>
      <c r="I951" s="404"/>
      <c r="Z951" s="25"/>
    </row>
    <row r="952">
      <c r="H952" s="404"/>
      <c r="I952" s="404"/>
      <c r="Z952" s="25"/>
    </row>
    <row r="953">
      <c r="H953" s="404"/>
      <c r="I953" s="404"/>
      <c r="Z953" s="25"/>
    </row>
    <row r="954">
      <c r="H954" s="404"/>
      <c r="I954" s="404"/>
      <c r="Z954" s="25"/>
    </row>
    <row r="955">
      <c r="H955" s="404"/>
      <c r="I955" s="404"/>
      <c r="Z955" s="25"/>
    </row>
    <row r="956">
      <c r="H956" s="404"/>
      <c r="I956" s="404"/>
      <c r="Z956" s="25"/>
    </row>
    <row r="957">
      <c r="H957" s="404"/>
      <c r="I957" s="404"/>
      <c r="Z957" s="25"/>
    </row>
    <row r="958">
      <c r="H958" s="404"/>
      <c r="I958" s="404"/>
      <c r="Z958" s="25"/>
    </row>
    <row r="959">
      <c r="H959" s="404"/>
      <c r="I959" s="404"/>
      <c r="Z959" s="25"/>
    </row>
    <row r="960">
      <c r="H960" s="404"/>
      <c r="I960" s="404"/>
      <c r="Z960" s="25"/>
    </row>
    <row r="961">
      <c r="H961" s="404"/>
      <c r="I961" s="404"/>
      <c r="Z961" s="25"/>
    </row>
    <row r="962">
      <c r="H962" s="404"/>
      <c r="I962" s="404"/>
      <c r="Z962" s="25"/>
    </row>
    <row r="963">
      <c r="H963" s="404"/>
      <c r="I963" s="404"/>
      <c r="Z963" s="25"/>
    </row>
    <row r="964">
      <c r="H964" s="404"/>
      <c r="I964" s="404"/>
      <c r="Z964" s="25"/>
    </row>
    <row r="965">
      <c r="H965" s="404"/>
      <c r="I965" s="404"/>
      <c r="Z965" s="25"/>
    </row>
    <row r="966">
      <c r="H966" s="404"/>
      <c r="I966" s="404"/>
      <c r="Z966" s="25"/>
    </row>
    <row r="967">
      <c r="H967" s="404"/>
      <c r="I967" s="404"/>
      <c r="Z967" s="25"/>
    </row>
    <row r="968">
      <c r="H968" s="404"/>
      <c r="I968" s="404"/>
      <c r="Z968" s="25"/>
    </row>
    <row r="969">
      <c r="H969" s="404"/>
      <c r="I969" s="404"/>
      <c r="Z969" s="25"/>
    </row>
    <row r="970">
      <c r="H970" s="404"/>
      <c r="I970" s="404"/>
      <c r="Z970" s="25"/>
    </row>
    <row r="971">
      <c r="H971" s="404"/>
      <c r="I971" s="404"/>
      <c r="Z971" s="25"/>
    </row>
    <row r="972">
      <c r="H972" s="404"/>
      <c r="I972" s="404"/>
      <c r="Z972" s="25"/>
    </row>
    <row r="973">
      <c r="H973" s="404"/>
      <c r="I973" s="404"/>
      <c r="Z973" s="25"/>
    </row>
    <row r="974">
      <c r="H974" s="404"/>
      <c r="I974" s="404"/>
      <c r="Z974" s="25"/>
    </row>
    <row r="975">
      <c r="H975" s="404"/>
      <c r="I975" s="404"/>
      <c r="Z975" s="25"/>
    </row>
    <row r="976">
      <c r="H976" s="404"/>
      <c r="I976" s="404"/>
      <c r="Z976" s="25"/>
    </row>
    <row r="977">
      <c r="H977" s="404"/>
      <c r="I977" s="404"/>
      <c r="Z977" s="25"/>
    </row>
    <row r="978">
      <c r="H978" s="404"/>
      <c r="I978" s="404"/>
      <c r="Z978" s="25"/>
    </row>
    <row r="979">
      <c r="H979" s="404"/>
      <c r="I979" s="404"/>
      <c r="Z979" s="25"/>
    </row>
    <row r="980">
      <c r="H980" s="404"/>
      <c r="I980" s="404"/>
      <c r="Z980" s="25"/>
    </row>
    <row r="981">
      <c r="H981" s="404"/>
      <c r="I981" s="404"/>
      <c r="Z981" s="25"/>
    </row>
    <row r="982">
      <c r="H982" s="404"/>
      <c r="I982" s="404"/>
      <c r="Z982" s="25"/>
    </row>
    <row r="983">
      <c r="H983" s="404"/>
      <c r="I983" s="404"/>
      <c r="Z983" s="25"/>
    </row>
    <row r="984">
      <c r="H984" s="404"/>
      <c r="I984" s="404"/>
      <c r="Z984" s="25"/>
    </row>
    <row r="985">
      <c r="H985" s="404"/>
      <c r="I985" s="404"/>
      <c r="Z985" s="25"/>
    </row>
    <row r="986">
      <c r="H986" s="404"/>
      <c r="I986" s="404"/>
      <c r="Z986" s="25"/>
    </row>
    <row r="987">
      <c r="H987" s="404"/>
      <c r="I987" s="404"/>
      <c r="Z987" s="25"/>
    </row>
    <row r="988">
      <c r="H988" s="404"/>
      <c r="I988" s="404"/>
      <c r="Z988" s="25"/>
    </row>
    <row r="989">
      <c r="H989" s="404"/>
      <c r="I989" s="404"/>
      <c r="Z989" s="25"/>
    </row>
    <row r="990">
      <c r="H990" s="404"/>
      <c r="I990" s="404"/>
      <c r="Z990" s="25"/>
    </row>
    <row r="991">
      <c r="H991" s="404"/>
      <c r="I991" s="404"/>
      <c r="Z991" s="25"/>
    </row>
    <row r="992">
      <c r="H992" s="404"/>
      <c r="I992" s="404"/>
      <c r="Z992" s="25"/>
    </row>
    <row r="993">
      <c r="H993" s="404"/>
      <c r="I993" s="404"/>
      <c r="Z993" s="25"/>
    </row>
    <row r="994">
      <c r="H994" s="404"/>
      <c r="I994" s="404"/>
      <c r="Z994" s="25"/>
    </row>
    <row r="995">
      <c r="H995" s="404"/>
      <c r="I995" s="404"/>
      <c r="Z995" s="25"/>
    </row>
    <row r="996">
      <c r="H996" s="404"/>
      <c r="I996" s="404"/>
      <c r="Z996" s="25"/>
    </row>
    <row r="997">
      <c r="H997" s="404"/>
      <c r="I997" s="404"/>
      <c r="Z997" s="25"/>
    </row>
    <row r="998">
      <c r="H998" s="404"/>
      <c r="I998" s="404"/>
      <c r="Z998" s="25"/>
    </row>
    <row r="999">
      <c r="H999" s="404"/>
      <c r="I999" s="404"/>
      <c r="Z999" s="25"/>
    </row>
    <row r="1000">
      <c r="H1000" s="404"/>
      <c r="I1000" s="404"/>
      <c r="Z1000" s="25"/>
    </row>
    <row r="1001">
      <c r="H1001" s="404"/>
      <c r="I1001" s="404"/>
      <c r="Z1001" s="25"/>
    </row>
    <row r="1002">
      <c r="H1002" s="404"/>
      <c r="I1002" s="404"/>
      <c r="Z1002" s="25"/>
    </row>
    <row r="1003">
      <c r="H1003" s="404"/>
      <c r="I1003" s="404"/>
      <c r="Z1003" s="25"/>
    </row>
    <row r="1004">
      <c r="H1004" s="404"/>
      <c r="I1004" s="404"/>
      <c r="Z1004" s="25"/>
    </row>
    <row r="1005">
      <c r="H1005" s="404"/>
      <c r="I1005" s="404"/>
      <c r="Z1005" s="25"/>
    </row>
    <row r="1006">
      <c r="H1006" s="404"/>
      <c r="I1006" s="404"/>
      <c r="Z1006" s="25"/>
    </row>
    <row r="1007">
      <c r="H1007" s="404"/>
      <c r="I1007" s="404"/>
      <c r="Z1007" s="25"/>
    </row>
    <row r="1008">
      <c r="H1008" s="404"/>
      <c r="I1008" s="404"/>
      <c r="Z1008" s="25"/>
    </row>
    <row r="1009">
      <c r="H1009" s="404"/>
      <c r="I1009" s="404"/>
      <c r="Z1009" s="25"/>
    </row>
    <row r="1010">
      <c r="H1010" s="404"/>
      <c r="I1010" s="404"/>
      <c r="Z1010" s="25"/>
    </row>
    <row r="1011">
      <c r="H1011" s="404"/>
      <c r="I1011" s="404"/>
      <c r="Z1011" s="25"/>
    </row>
    <row r="1012">
      <c r="H1012" s="404"/>
      <c r="I1012" s="404"/>
      <c r="Z1012" s="25"/>
    </row>
    <row r="1013">
      <c r="H1013" s="404"/>
      <c r="I1013" s="404"/>
      <c r="Z1013" s="25"/>
    </row>
    <row r="1014">
      <c r="H1014" s="404"/>
      <c r="I1014" s="404"/>
      <c r="Z1014" s="25"/>
    </row>
    <row r="1015">
      <c r="H1015" s="404"/>
      <c r="I1015" s="404"/>
      <c r="Z1015" s="25"/>
    </row>
    <row r="1016">
      <c r="H1016" s="404"/>
      <c r="I1016" s="404"/>
      <c r="Z1016" s="25"/>
    </row>
    <row r="1017">
      <c r="H1017" s="404"/>
      <c r="I1017" s="404"/>
      <c r="Z1017" s="25"/>
    </row>
    <row r="1018">
      <c r="H1018" s="404"/>
      <c r="I1018" s="404"/>
      <c r="Z1018" s="25"/>
    </row>
    <row r="1019">
      <c r="H1019" s="404"/>
      <c r="I1019" s="404"/>
      <c r="Z1019" s="25"/>
    </row>
    <row r="1020">
      <c r="H1020" s="404"/>
      <c r="I1020" s="404"/>
      <c r="Z1020" s="25"/>
    </row>
    <row r="1021">
      <c r="H1021" s="404"/>
      <c r="I1021" s="404"/>
      <c r="Z1021" s="25"/>
    </row>
    <row r="1022">
      <c r="H1022" s="404"/>
      <c r="I1022" s="404"/>
      <c r="Z1022" s="25"/>
    </row>
    <row r="1023">
      <c r="H1023" s="404"/>
      <c r="I1023" s="404"/>
      <c r="Z1023" s="25"/>
    </row>
    <row r="1024">
      <c r="H1024" s="404"/>
      <c r="I1024" s="404"/>
      <c r="Z1024" s="25"/>
    </row>
    <row r="1025">
      <c r="H1025" s="404"/>
      <c r="I1025" s="404"/>
      <c r="Z1025" s="25"/>
    </row>
    <row r="1026">
      <c r="H1026" s="404"/>
      <c r="I1026" s="404"/>
      <c r="Z1026" s="25"/>
    </row>
    <row r="1027">
      <c r="H1027" s="404"/>
      <c r="I1027" s="404"/>
      <c r="Z1027" s="25"/>
    </row>
    <row r="1028">
      <c r="H1028" s="404"/>
      <c r="I1028" s="404"/>
      <c r="Z1028" s="25"/>
    </row>
    <row r="1029">
      <c r="H1029" s="404"/>
      <c r="I1029" s="404"/>
      <c r="Z1029" s="25"/>
    </row>
    <row r="1030">
      <c r="H1030" s="404"/>
      <c r="I1030" s="404"/>
      <c r="Z1030" s="25"/>
    </row>
    <row r="1031">
      <c r="H1031" s="404"/>
      <c r="I1031" s="404"/>
      <c r="Z1031" s="25"/>
    </row>
    <row r="1032">
      <c r="H1032" s="404"/>
      <c r="I1032" s="404"/>
      <c r="Z1032" s="25"/>
    </row>
    <row r="1033">
      <c r="H1033" s="404"/>
      <c r="I1033" s="404"/>
      <c r="Z1033" s="25"/>
    </row>
    <row r="1034">
      <c r="H1034" s="404"/>
      <c r="I1034" s="404"/>
      <c r="Z1034" s="25"/>
    </row>
    <row r="1035">
      <c r="H1035" s="404"/>
      <c r="I1035" s="404"/>
      <c r="Z1035" s="25"/>
    </row>
    <row r="1036">
      <c r="H1036" s="404"/>
      <c r="I1036" s="404"/>
      <c r="Z1036" s="25"/>
    </row>
    <row r="1037">
      <c r="H1037" s="404"/>
      <c r="I1037" s="404"/>
      <c r="Z1037" s="25"/>
    </row>
    <row r="1038">
      <c r="H1038" s="404"/>
      <c r="I1038" s="404"/>
      <c r="Z1038" s="25"/>
    </row>
    <row r="1039">
      <c r="H1039" s="404"/>
      <c r="I1039" s="404"/>
      <c r="Z1039" s="25"/>
    </row>
    <row r="1040">
      <c r="H1040" s="404"/>
      <c r="I1040" s="404"/>
      <c r="Z1040" s="25"/>
    </row>
    <row r="1041">
      <c r="H1041" s="404"/>
      <c r="I1041" s="404"/>
      <c r="Z1041" s="25"/>
    </row>
    <row r="1042">
      <c r="H1042" s="404"/>
      <c r="I1042" s="404"/>
      <c r="Z1042" s="25"/>
    </row>
    <row r="1043">
      <c r="H1043" s="404"/>
      <c r="I1043" s="404"/>
      <c r="Z1043" s="25"/>
    </row>
    <row r="1044">
      <c r="H1044" s="404"/>
      <c r="I1044" s="404"/>
      <c r="Z1044" s="25"/>
    </row>
    <row r="1045">
      <c r="H1045" s="404"/>
      <c r="I1045" s="404"/>
      <c r="Z1045" s="25"/>
    </row>
    <row r="1046">
      <c r="H1046" s="404"/>
      <c r="I1046" s="404"/>
      <c r="Z1046" s="25"/>
    </row>
    <row r="1047">
      <c r="H1047" s="404"/>
      <c r="I1047" s="404"/>
      <c r="Z1047" s="25"/>
    </row>
    <row r="1048">
      <c r="H1048" s="404"/>
      <c r="I1048" s="404"/>
      <c r="Z1048" s="25"/>
    </row>
    <row r="1049">
      <c r="H1049" s="404"/>
      <c r="I1049" s="404"/>
      <c r="Z1049" s="25"/>
    </row>
    <row r="1050">
      <c r="H1050" s="404"/>
      <c r="I1050" s="404"/>
      <c r="Z1050" s="25"/>
    </row>
    <row r="1051">
      <c r="H1051" s="404"/>
      <c r="I1051" s="404"/>
      <c r="Z1051" s="25"/>
    </row>
    <row r="1052">
      <c r="H1052" s="404"/>
      <c r="I1052" s="404"/>
      <c r="Z1052" s="25"/>
    </row>
    <row r="1053">
      <c r="H1053" s="404"/>
      <c r="I1053" s="404"/>
      <c r="Z1053" s="25"/>
    </row>
    <row r="1054">
      <c r="H1054" s="404"/>
      <c r="I1054" s="404"/>
      <c r="Z1054" s="25"/>
    </row>
    <row r="1055">
      <c r="H1055" s="404"/>
      <c r="I1055" s="404"/>
      <c r="Z1055" s="25"/>
    </row>
    <row r="1056">
      <c r="H1056" s="404"/>
      <c r="I1056" s="404"/>
      <c r="Z1056" s="25"/>
    </row>
    <row r="1057">
      <c r="H1057" s="404"/>
      <c r="I1057" s="404"/>
      <c r="Z1057" s="25"/>
    </row>
    <row r="1058">
      <c r="H1058" s="404"/>
      <c r="I1058" s="404"/>
      <c r="Z1058" s="25"/>
    </row>
    <row r="1059">
      <c r="H1059" s="404"/>
      <c r="I1059" s="404"/>
      <c r="Z1059" s="25"/>
    </row>
    <row r="1060">
      <c r="H1060" s="404"/>
      <c r="I1060" s="404"/>
      <c r="Z1060" s="25"/>
    </row>
    <row r="1061">
      <c r="H1061" s="404"/>
      <c r="I1061" s="404"/>
      <c r="Z1061" s="25"/>
    </row>
    <row r="1062">
      <c r="H1062" s="404"/>
      <c r="I1062" s="404"/>
      <c r="Z1062" s="25"/>
    </row>
    <row r="1063">
      <c r="H1063" s="404"/>
      <c r="I1063" s="404"/>
      <c r="Z1063" s="25"/>
    </row>
    <row r="1064">
      <c r="H1064" s="404"/>
      <c r="I1064" s="404"/>
      <c r="Z1064" s="25"/>
    </row>
    <row r="1065">
      <c r="H1065" s="404"/>
      <c r="I1065" s="404"/>
      <c r="Z1065" s="25"/>
    </row>
    <row r="1066">
      <c r="H1066" s="404"/>
      <c r="I1066" s="404"/>
      <c r="Z1066" s="25"/>
    </row>
    <row r="1067">
      <c r="H1067" s="404"/>
      <c r="I1067" s="404"/>
      <c r="Z1067" s="25"/>
    </row>
    <row r="1068">
      <c r="H1068" s="404"/>
      <c r="I1068" s="404"/>
      <c r="Z1068" s="25"/>
    </row>
    <row r="1069">
      <c r="H1069" s="404"/>
      <c r="I1069" s="404"/>
      <c r="Z1069" s="25"/>
    </row>
    <row r="1070">
      <c r="H1070" s="404"/>
      <c r="I1070" s="404"/>
      <c r="Z1070" s="25"/>
    </row>
    <row r="1071">
      <c r="H1071" s="404"/>
      <c r="I1071" s="404"/>
      <c r="Z1071" s="25"/>
    </row>
    <row r="1072">
      <c r="H1072" s="404"/>
      <c r="I1072" s="404"/>
      <c r="Z1072" s="25"/>
    </row>
    <row r="1073">
      <c r="H1073" s="404"/>
      <c r="I1073" s="404"/>
      <c r="Z1073" s="25"/>
    </row>
    <row r="1074">
      <c r="H1074" s="404"/>
      <c r="I1074" s="404"/>
      <c r="Z1074" s="25"/>
    </row>
    <row r="1075">
      <c r="H1075" s="404"/>
      <c r="I1075" s="404"/>
      <c r="Z1075" s="25"/>
    </row>
    <row r="1076">
      <c r="H1076" s="404"/>
      <c r="I1076" s="404"/>
      <c r="Z1076" s="25"/>
    </row>
    <row r="1077">
      <c r="H1077" s="404"/>
      <c r="I1077" s="404"/>
      <c r="Z1077" s="25"/>
    </row>
    <row r="1078">
      <c r="H1078" s="404"/>
      <c r="I1078" s="404"/>
      <c r="Z1078" s="25"/>
    </row>
    <row r="1079">
      <c r="H1079" s="404"/>
      <c r="I1079" s="404"/>
      <c r="Z1079" s="25"/>
    </row>
    <row r="1080">
      <c r="H1080" s="404"/>
      <c r="I1080" s="404"/>
      <c r="Z1080" s="25"/>
    </row>
    <row r="1081">
      <c r="H1081" s="404"/>
      <c r="I1081" s="404"/>
      <c r="Z1081" s="25"/>
    </row>
    <row r="1082">
      <c r="H1082" s="404"/>
      <c r="I1082" s="404"/>
      <c r="Z1082" s="25"/>
    </row>
    <row r="1083">
      <c r="H1083" s="404"/>
      <c r="I1083" s="404"/>
      <c r="Z1083" s="25"/>
    </row>
    <row r="1084">
      <c r="H1084" s="404"/>
      <c r="I1084" s="404"/>
      <c r="Z1084" s="25"/>
    </row>
    <row r="1085">
      <c r="H1085" s="404"/>
      <c r="I1085" s="404"/>
      <c r="Z1085" s="25"/>
    </row>
    <row r="1086">
      <c r="H1086" s="404"/>
      <c r="I1086" s="404"/>
      <c r="Z1086" s="25"/>
    </row>
    <row r="1087">
      <c r="H1087" s="404"/>
      <c r="I1087" s="404"/>
      <c r="Z1087" s="25"/>
    </row>
    <row r="1088">
      <c r="H1088" s="404"/>
      <c r="I1088" s="404"/>
      <c r="Z1088" s="25"/>
    </row>
    <row r="1089">
      <c r="H1089" s="404"/>
      <c r="I1089" s="404"/>
      <c r="Z1089" s="25"/>
    </row>
    <row r="1090">
      <c r="H1090" s="404"/>
      <c r="I1090" s="404"/>
      <c r="Z1090" s="25"/>
    </row>
    <row r="1091">
      <c r="H1091" s="404"/>
      <c r="I1091" s="404"/>
      <c r="Z1091" s="25"/>
    </row>
    <row r="1092">
      <c r="H1092" s="404"/>
      <c r="I1092" s="404"/>
      <c r="Z1092" s="25"/>
    </row>
    <row r="1093">
      <c r="H1093" s="404"/>
      <c r="I1093" s="404"/>
      <c r="Z1093" s="25"/>
    </row>
    <row r="1094">
      <c r="H1094" s="404"/>
      <c r="I1094" s="404"/>
      <c r="Z1094" s="25"/>
    </row>
    <row r="1095">
      <c r="H1095" s="404"/>
      <c r="I1095" s="404"/>
      <c r="Z1095" s="25"/>
    </row>
    <row r="1096">
      <c r="H1096" s="404"/>
      <c r="I1096" s="404"/>
      <c r="Z1096" s="25"/>
    </row>
    <row r="1097">
      <c r="H1097" s="404"/>
      <c r="I1097" s="404"/>
      <c r="Z1097" s="25"/>
    </row>
    <row r="1098">
      <c r="H1098" s="404"/>
      <c r="I1098" s="404"/>
      <c r="Z1098" s="25"/>
    </row>
    <row r="1099">
      <c r="H1099" s="404"/>
      <c r="I1099" s="404"/>
      <c r="Z1099" s="25"/>
    </row>
    <row r="1100">
      <c r="H1100" s="404"/>
      <c r="I1100" s="404"/>
      <c r="Z1100" s="25"/>
    </row>
    <row r="1101">
      <c r="H1101" s="404"/>
      <c r="I1101" s="404"/>
      <c r="Z1101" s="25"/>
    </row>
    <row r="1102">
      <c r="H1102" s="404"/>
      <c r="I1102" s="404"/>
      <c r="Z1102" s="25"/>
    </row>
    <row r="1103">
      <c r="H1103" s="404"/>
      <c r="I1103" s="404"/>
      <c r="Z1103" s="25"/>
    </row>
    <row r="1104">
      <c r="H1104" s="404"/>
      <c r="I1104" s="404"/>
      <c r="Z1104" s="25"/>
    </row>
    <row r="1105">
      <c r="H1105" s="404"/>
      <c r="I1105" s="404"/>
      <c r="Z1105" s="25"/>
    </row>
    <row r="1106">
      <c r="H1106" s="404"/>
      <c r="I1106" s="404"/>
      <c r="Z1106" s="25"/>
    </row>
    <row r="1107">
      <c r="H1107" s="404"/>
      <c r="I1107" s="404"/>
      <c r="Z1107" s="25"/>
    </row>
    <row r="1108">
      <c r="H1108" s="404"/>
      <c r="I1108" s="404"/>
      <c r="Z1108" s="25"/>
    </row>
    <row r="1109">
      <c r="H1109" s="404"/>
      <c r="I1109" s="404"/>
      <c r="Z1109" s="25"/>
    </row>
    <row r="1110">
      <c r="H1110" s="404"/>
      <c r="I1110" s="404"/>
      <c r="Z1110" s="25"/>
    </row>
    <row r="1111">
      <c r="H1111" s="404"/>
      <c r="I1111" s="404"/>
      <c r="Z1111" s="25"/>
    </row>
    <row r="1112">
      <c r="H1112" s="404"/>
      <c r="I1112" s="404"/>
      <c r="Z1112" s="25"/>
    </row>
    <row r="1113">
      <c r="H1113" s="404"/>
      <c r="I1113" s="404"/>
      <c r="Z1113" s="25"/>
    </row>
    <row r="1114">
      <c r="H1114" s="404"/>
      <c r="I1114" s="404"/>
      <c r="Z1114" s="25"/>
    </row>
    <row r="1115">
      <c r="H1115" s="404"/>
      <c r="I1115" s="404"/>
      <c r="Z1115" s="25"/>
    </row>
    <row r="1116">
      <c r="H1116" s="404"/>
      <c r="I1116" s="404"/>
      <c r="Z1116" s="25"/>
    </row>
    <row r="1117">
      <c r="H1117" s="404"/>
      <c r="I1117" s="404"/>
      <c r="Z1117" s="25"/>
    </row>
    <row r="1118">
      <c r="H1118" s="404"/>
      <c r="I1118" s="404"/>
      <c r="Z1118" s="25"/>
    </row>
    <row r="1119">
      <c r="H1119" s="404"/>
      <c r="I1119" s="404"/>
      <c r="Z1119" s="25"/>
    </row>
    <row r="1120">
      <c r="H1120" s="404"/>
      <c r="I1120" s="404"/>
      <c r="Z1120" s="25"/>
    </row>
    <row r="1121">
      <c r="H1121" s="404"/>
      <c r="I1121" s="404"/>
      <c r="Z1121" s="25"/>
    </row>
    <row r="1122">
      <c r="H1122" s="404"/>
      <c r="I1122" s="404"/>
      <c r="Z1122" s="25"/>
    </row>
    <row r="1123">
      <c r="H1123" s="404"/>
      <c r="I1123" s="404"/>
      <c r="Z1123" s="25"/>
    </row>
    <row r="1124">
      <c r="H1124" s="404"/>
      <c r="I1124" s="404"/>
      <c r="Z1124" s="25"/>
    </row>
    <row r="1125">
      <c r="H1125" s="404"/>
      <c r="I1125" s="404"/>
      <c r="Z1125" s="25"/>
    </row>
    <row r="1126">
      <c r="H1126" s="404"/>
      <c r="I1126" s="404"/>
      <c r="Z1126" s="25"/>
    </row>
    <row r="1127">
      <c r="H1127" s="404"/>
      <c r="I1127" s="404"/>
      <c r="Z1127" s="25"/>
    </row>
    <row r="1128">
      <c r="H1128" s="404"/>
      <c r="I1128" s="404"/>
      <c r="Z1128" s="25"/>
    </row>
    <row r="1129">
      <c r="H1129" s="404"/>
      <c r="I1129" s="404"/>
      <c r="Z1129" s="25"/>
    </row>
    <row r="1130">
      <c r="H1130" s="404"/>
      <c r="I1130" s="404"/>
      <c r="Z1130" s="25"/>
    </row>
    <row r="1131">
      <c r="H1131" s="404"/>
      <c r="I1131" s="404"/>
      <c r="Z1131" s="25"/>
    </row>
    <row r="1132">
      <c r="H1132" s="404"/>
      <c r="I1132" s="404"/>
      <c r="Z1132" s="25"/>
    </row>
    <row r="1133">
      <c r="H1133" s="404"/>
      <c r="I1133" s="404"/>
      <c r="Z1133" s="25"/>
    </row>
    <row r="1134">
      <c r="H1134" s="404"/>
      <c r="I1134" s="404"/>
      <c r="Z1134" s="25"/>
    </row>
    <row r="1135">
      <c r="H1135" s="404"/>
      <c r="I1135" s="404"/>
      <c r="Z1135" s="25"/>
    </row>
    <row r="1136">
      <c r="H1136" s="404"/>
      <c r="I1136" s="404"/>
      <c r="Z1136" s="25"/>
    </row>
    <row r="1137">
      <c r="H1137" s="404"/>
      <c r="I1137" s="404"/>
      <c r="Z1137" s="25"/>
    </row>
    <row r="1138">
      <c r="H1138" s="404"/>
      <c r="I1138" s="404"/>
      <c r="Z1138" s="25"/>
    </row>
    <row r="1139">
      <c r="H1139" s="404"/>
      <c r="I1139" s="404"/>
      <c r="Z1139" s="25"/>
    </row>
    <row r="1140">
      <c r="H1140" s="404"/>
      <c r="I1140" s="404"/>
      <c r="Z1140" s="25"/>
    </row>
    <row r="1141">
      <c r="H1141" s="404"/>
      <c r="I1141" s="404"/>
      <c r="Z1141" s="25"/>
    </row>
    <row r="1142">
      <c r="H1142" s="404"/>
      <c r="I1142" s="404"/>
      <c r="Z1142" s="25"/>
    </row>
    <row r="1143">
      <c r="H1143" s="404"/>
      <c r="I1143" s="404"/>
      <c r="Z1143" s="25"/>
    </row>
    <row r="1144">
      <c r="H1144" s="404"/>
      <c r="I1144" s="404"/>
      <c r="Z1144" s="25"/>
    </row>
    <row r="1145">
      <c r="H1145" s="404"/>
      <c r="I1145" s="404"/>
      <c r="Z1145" s="25"/>
    </row>
    <row r="1146">
      <c r="H1146" s="404"/>
      <c r="I1146" s="404"/>
      <c r="Z1146" s="25"/>
    </row>
    <row r="1147">
      <c r="H1147" s="404"/>
      <c r="I1147" s="404"/>
      <c r="Z1147" s="25"/>
    </row>
    <row r="1148">
      <c r="H1148" s="404"/>
      <c r="I1148" s="404"/>
      <c r="Z1148" s="25"/>
    </row>
    <row r="1149">
      <c r="H1149" s="404"/>
      <c r="I1149" s="404"/>
      <c r="Z1149" s="25"/>
    </row>
    <row r="1150">
      <c r="H1150" s="404"/>
      <c r="I1150" s="404"/>
      <c r="Z1150" s="25"/>
    </row>
    <row r="1151">
      <c r="H1151" s="404"/>
      <c r="I1151" s="404"/>
      <c r="Z1151" s="25"/>
    </row>
    <row r="1152">
      <c r="H1152" s="404"/>
      <c r="I1152" s="404"/>
      <c r="Z1152" s="25"/>
    </row>
    <row r="1153">
      <c r="H1153" s="404"/>
      <c r="I1153" s="404"/>
      <c r="Z1153" s="25"/>
    </row>
    <row r="1154">
      <c r="H1154" s="404"/>
      <c r="I1154" s="404"/>
      <c r="Z1154" s="25"/>
    </row>
    <row r="1155">
      <c r="H1155" s="404"/>
      <c r="I1155" s="404"/>
      <c r="Z1155" s="25"/>
    </row>
    <row r="1156">
      <c r="H1156" s="404"/>
      <c r="I1156" s="404"/>
      <c r="Z1156" s="25"/>
    </row>
    <row r="1157">
      <c r="H1157" s="404"/>
      <c r="I1157" s="404"/>
      <c r="Z1157" s="25"/>
    </row>
    <row r="1158">
      <c r="H1158" s="404"/>
      <c r="I1158" s="404"/>
      <c r="Z1158" s="25"/>
    </row>
    <row r="1159">
      <c r="H1159" s="404"/>
      <c r="I1159" s="404"/>
      <c r="Z1159" s="25"/>
    </row>
    <row r="1160">
      <c r="H1160" s="404"/>
      <c r="I1160" s="404"/>
      <c r="Z1160" s="25"/>
    </row>
    <row r="1161">
      <c r="H1161" s="404"/>
      <c r="I1161" s="404"/>
      <c r="Z1161" s="25"/>
    </row>
    <row r="1162">
      <c r="H1162" s="404"/>
      <c r="I1162" s="404"/>
      <c r="Z1162" s="25"/>
    </row>
    <row r="1163">
      <c r="H1163" s="404"/>
      <c r="I1163" s="404"/>
      <c r="Z1163" s="25"/>
    </row>
    <row r="1164">
      <c r="H1164" s="404"/>
      <c r="I1164" s="404"/>
      <c r="Z1164" s="25"/>
    </row>
    <row r="1165">
      <c r="H1165" s="404"/>
      <c r="I1165" s="404"/>
      <c r="Z1165" s="25"/>
    </row>
    <row r="1166">
      <c r="H1166" s="404"/>
      <c r="I1166" s="404"/>
      <c r="Z1166" s="25"/>
    </row>
    <row r="1167">
      <c r="H1167" s="404"/>
      <c r="I1167" s="404"/>
      <c r="Z1167" s="25"/>
    </row>
    <row r="1168">
      <c r="H1168" s="404"/>
      <c r="I1168" s="404"/>
      <c r="Z1168" s="25"/>
    </row>
    <row r="1169">
      <c r="H1169" s="404"/>
      <c r="I1169" s="404"/>
      <c r="Z1169" s="25"/>
    </row>
    <row r="1170">
      <c r="H1170" s="404"/>
      <c r="I1170" s="404"/>
      <c r="Z1170" s="25"/>
    </row>
    <row r="1171">
      <c r="H1171" s="404"/>
      <c r="I1171" s="404"/>
      <c r="Z1171" s="25"/>
    </row>
    <row r="1172">
      <c r="H1172" s="404"/>
      <c r="I1172" s="404"/>
      <c r="Z1172" s="25"/>
    </row>
    <row r="1173">
      <c r="H1173" s="404"/>
      <c r="I1173" s="404"/>
      <c r="Z1173" s="25"/>
    </row>
    <row r="1174">
      <c r="H1174" s="404"/>
      <c r="I1174" s="404"/>
      <c r="Z1174" s="25"/>
    </row>
    <row r="1175">
      <c r="H1175" s="404"/>
      <c r="I1175" s="404"/>
      <c r="Z1175" s="25"/>
    </row>
    <row r="1176">
      <c r="H1176" s="404"/>
      <c r="I1176" s="404"/>
      <c r="Z1176" s="25"/>
    </row>
    <row r="1177">
      <c r="H1177" s="404"/>
      <c r="I1177" s="404"/>
      <c r="Z1177" s="25"/>
    </row>
    <row r="1178">
      <c r="H1178" s="404"/>
      <c r="I1178" s="404"/>
      <c r="Z1178" s="25"/>
    </row>
    <row r="1179">
      <c r="H1179" s="404"/>
      <c r="I1179" s="404"/>
      <c r="Z1179" s="25"/>
    </row>
    <row r="1180">
      <c r="H1180" s="404"/>
      <c r="I1180" s="404"/>
      <c r="Z1180" s="25"/>
    </row>
    <row r="1181">
      <c r="H1181" s="404"/>
      <c r="I1181" s="404"/>
      <c r="Z1181" s="25"/>
    </row>
    <row r="1182">
      <c r="H1182" s="404"/>
      <c r="I1182" s="404"/>
      <c r="Z1182" s="25"/>
    </row>
    <row r="1183">
      <c r="H1183" s="404"/>
      <c r="I1183" s="404"/>
      <c r="Z1183" s="25"/>
    </row>
    <row r="1184">
      <c r="H1184" s="404"/>
      <c r="I1184" s="404"/>
      <c r="Z1184" s="25"/>
    </row>
    <row r="1185">
      <c r="H1185" s="404"/>
      <c r="I1185" s="404"/>
      <c r="Z1185" s="25"/>
    </row>
    <row r="1186">
      <c r="H1186" s="404"/>
      <c r="I1186" s="404"/>
      <c r="Z1186" s="25"/>
    </row>
    <row r="1187">
      <c r="H1187" s="404"/>
      <c r="I1187" s="404"/>
      <c r="Z1187" s="25"/>
    </row>
    <row r="1188">
      <c r="H1188" s="404"/>
      <c r="I1188" s="404"/>
      <c r="Z1188" s="25"/>
    </row>
    <row r="1189">
      <c r="H1189" s="404"/>
      <c r="I1189" s="404"/>
      <c r="Z1189" s="25"/>
    </row>
    <row r="1190">
      <c r="H1190" s="404"/>
      <c r="I1190" s="404"/>
      <c r="Z1190" s="25"/>
    </row>
    <row r="1191">
      <c r="H1191" s="404"/>
      <c r="I1191" s="404"/>
      <c r="Z1191" s="25"/>
    </row>
    <row r="1192">
      <c r="H1192" s="404"/>
      <c r="I1192" s="404"/>
      <c r="Z1192" s="25"/>
    </row>
    <row r="1193">
      <c r="H1193" s="404"/>
      <c r="I1193" s="404"/>
      <c r="Z1193" s="25"/>
    </row>
    <row r="1194">
      <c r="H1194" s="404"/>
      <c r="I1194" s="404"/>
      <c r="Z1194" s="25"/>
    </row>
    <row r="1195">
      <c r="H1195" s="404"/>
      <c r="I1195" s="404"/>
      <c r="Z1195" s="25"/>
    </row>
    <row r="1196">
      <c r="H1196" s="404"/>
      <c r="I1196" s="404"/>
      <c r="Z1196" s="25"/>
    </row>
    <row r="1197">
      <c r="H1197" s="404"/>
      <c r="I1197" s="404"/>
      <c r="Z1197" s="25"/>
    </row>
    <row r="1198">
      <c r="H1198" s="404"/>
      <c r="I1198" s="404"/>
      <c r="Z1198" s="25"/>
    </row>
    <row r="1199">
      <c r="H1199" s="404"/>
      <c r="I1199" s="404"/>
      <c r="Z1199" s="25"/>
    </row>
    <row r="1200">
      <c r="H1200" s="404"/>
      <c r="I1200" s="404"/>
      <c r="Z1200" s="25"/>
    </row>
    <row r="1201">
      <c r="H1201" s="404"/>
      <c r="I1201" s="404"/>
      <c r="Z1201" s="25"/>
    </row>
    <row r="1202">
      <c r="H1202" s="404"/>
      <c r="I1202" s="404"/>
      <c r="Z1202" s="25"/>
    </row>
    <row r="1203">
      <c r="H1203" s="404"/>
      <c r="I1203" s="404"/>
      <c r="Z1203" s="25"/>
    </row>
    <row r="1204">
      <c r="H1204" s="404"/>
      <c r="I1204" s="404"/>
      <c r="Z1204" s="25"/>
    </row>
    <row r="1205">
      <c r="H1205" s="404"/>
      <c r="I1205" s="404"/>
      <c r="Z1205" s="25"/>
    </row>
    <row r="1206">
      <c r="H1206" s="404"/>
      <c r="I1206" s="404"/>
      <c r="Z1206" s="25"/>
    </row>
    <row r="1207">
      <c r="H1207" s="404"/>
      <c r="I1207" s="404"/>
      <c r="Z1207" s="25"/>
    </row>
    <row r="1208">
      <c r="H1208" s="404"/>
      <c r="I1208" s="404"/>
      <c r="Z1208" s="25"/>
    </row>
    <row r="1209">
      <c r="H1209" s="404"/>
      <c r="I1209" s="404"/>
      <c r="Z1209" s="25"/>
    </row>
    <row r="1210">
      <c r="H1210" s="404"/>
      <c r="I1210" s="404"/>
      <c r="Z1210" s="25"/>
    </row>
    <row r="1211">
      <c r="H1211" s="404"/>
      <c r="I1211" s="404"/>
      <c r="Z1211" s="25"/>
    </row>
    <row r="1212">
      <c r="H1212" s="404"/>
      <c r="I1212" s="404"/>
      <c r="Z1212" s="25"/>
    </row>
    <row r="1213">
      <c r="H1213" s="404"/>
      <c r="I1213" s="404"/>
      <c r="Z1213" s="25"/>
    </row>
    <row r="1214">
      <c r="H1214" s="404"/>
      <c r="I1214" s="404"/>
      <c r="Z1214" s="25"/>
    </row>
    <row r="1215">
      <c r="H1215" s="404"/>
      <c r="I1215" s="404"/>
      <c r="Z1215" s="25"/>
    </row>
    <row r="1216">
      <c r="H1216" s="404"/>
      <c r="I1216" s="404"/>
      <c r="Z1216" s="25"/>
    </row>
    <row r="1217">
      <c r="H1217" s="404"/>
      <c r="I1217" s="404"/>
      <c r="Z1217" s="25"/>
    </row>
    <row r="1218">
      <c r="H1218" s="404"/>
      <c r="I1218" s="404"/>
      <c r="Z1218" s="25"/>
    </row>
    <row r="1219">
      <c r="H1219" s="404"/>
      <c r="I1219" s="404"/>
      <c r="Z1219" s="25"/>
    </row>
    <row r="1220">
      <c r="H1220" s="404"/>
      <c r="I1220" s="404"/>
      <c r="Z1220" s="25"/>
    </row>
    <row r="1221">
      <c r="H1221" s="404"/>
      <c r="I1221" s="404"/>
      <c r="Z1221" s="25"/>
    </row>
    <row r="1222">
      <c r="H1222" s="404"/>
      <c r="I1222" s="404"/>
      <c r="Z1222" s="25"/>
    </row>
    <row r="1223">
      <c r="H1223" s="404"/>
      <c r="I1223" s="404"/>
      <c r="Z1223" s="25"/>
    </row>
    <row r="1224">
      <c r="H1224" s="404"/>
      <c r="I1224" s="404"/>
      <c r="Z1224" s="25"/>
    </row>
    <row r="1225">
      <c r="H1225" s="404"/>
      <c r="I1225" s="404"/>
      <c r="Z1225" s="25"/>
    </row>
    <row r="1226">
      <c r="H1226" s="404"/>
      <c r="I1226" s="404"/>
      <c r="Z1226" s="25"/>
    </row>
    <row r="1227">
      <c r="H1227" s="404"/>
      <c r="I1227" s="404"/>
      <c r="Z1227" s="25"/>
    </row>
    <row r="1228">
      <c r="H1228" s="404"/>
      <c r="I1228" s="404"/>
      <c r="Z1228" s="25"/>
    </row>
    <row r="1229">
      <c r="H1229" s="404"/>
      <c r="I1229" s="404"/>
      <c r="Z1229" s="25"/>
    </row>
    <row r="1230">
      <c r="H1230" s="404"/>
      <c r="I1230" s="404"/>
      <c r="Z1230" s="25"/>
    </row>
    <row r="1231">
      <c r="H1231" s="404"/>
      <c r="I1231" s="404"/>
      <c r="Z1231" s="25"/>
    </row>
    <row r="1232">
      <c r="H1232" s="404"/>
      <c r="I1232" s="404"/>
      <c r="Z1232" s="25"/>
    </row>
    <row r="1233">
      <c r="H1233" s="404"/>
      <c r="I1233" s="404"/>
      <c r="Z1233" s="25"/>
    </row>
    <row r="1234">
      <c r="H1234" s="404"/>
      <c r="I1234" s="404"/>
      <c r="Z1234" s="25"/>
    </row>
    <row r="1235">
      <c r="H1235" s="404"/>
      <c r="I1235" s="404"/>
      <c r="Z1235" s="25"/>
    </row>
    <row r="1236">
      <c r="H1236" s="404"/>
      <c r="I1236" s="404"/>
      <c r="Z1236" s="25"/>
    </row>
    <row r="1237">
      <c r="H1237" s="404"/>
      <c r="I1237" s="404"/>
      <c r="Z1237" s="25"/>
    </row>
    <row r="1238">
      <c r="H1238" s="404"/>
      <c r="I1238" s="404"/>
      <c r="Z1238" s="25"/>
    </row>
    <row r="1239">
      <c r="H1239" s="404"/>
      <c r="I1239" s="404"/>
      <c r="Z1239" s="25"/>
    </row>
    <row r="1240">
      <c r="H1240" s="404"/>
      <c r="I1240" s="404"/>
      <c r="Z1240" s="25"/>
    </row>
    <row r="1241">
      <c r="H1241" s="404"/>
      <c r="I1241" s="404"/>
      <c r="Z1241" s="25"/>
    </row>
    <row r="1242">
      <c r="H1242" s="404"/>
      <c r="I1242" s="404"/>
      <c r="Z1242" s="25"/>
    </row>
    <row r="1243">
      <c r="H1243" s="404"/>
      <c r="I1243" s="404"/>
      <c r="Z1243" s="25"/>
    </row>
    <row r="1244">
      <c r="H1244" s="404"/>
      <c r="I1244" s="404"/>
      <c r="Z1244" s="25"/>
    </row>
    <row r="1245">
      <c r="H1245" s="404"/>
      <c r="I1245" s="404"/>
      <c r="Z1245" s="25"/>
    </row>
    <row r="1246">
      <c r="H1246" s="404"/>
      <c r="I1246" s="404"/>
      <c r="Z1246" s="25"/>
    </row>
    <row r="1247">
      <c r="H1247" s="404"/>
      <c r="I1247" s="404"/>
      <c r="Z1247" s="25"/>
    </row>
    <row r="1248">
      <c r="H1248" s="404"/>
      <c r="I1248" s="404"/>
      <c r="Z1248" s="25"/>
    </row>
    <row r="1249">
      <c r="H1249" s="404"/>
      <c r="I1249" s="404"/>
      <c r="Z1249" s="25"/>
    </row>
    <row r="1250">
      <c r="H1250" s="404"/>
      <c r="I1250" s="404"/>
      <c r="Z1250" s="25"/>
    </row>
    <row r="1251">
      <c r="H1251" s="404"/>
      <c r="I1251" s="404"/>
      <c r="Z1251" s="25"/>
    </row>
    <row r="1252">
      <c r="H1252" s="404"/>
      <c r="I1252" s="404"/>
      <c r="Z1252" s="25"/>
    </row>
    <row r="1253">
      <c r="H1253" s="404"/>
      <c r="I1253" s="404"/>
      <c r="Z1253" s="25"/>
    </row>
    <row r="1254">
      <c r="H1254" s="404"/>
      <c r="I1254" s="404"/>
      <c r="Z1254" s="25"/>
    </row>
    <row r="1255">
      <c r="H1255" s="404"/>
      <c r="I1255" s="404"/>
      <c r="Z1255" s="25"/>
    </row>
    <row r="1256">
      <c r="H1256" s="404"/>
      <c r="I1256" s="404"/>
      <c r="Z1256" s="25"/>
    </row>
    <row r="1257">
      <c r="H1257" s="404"/>
      <c r="I1257" s="404"/>
      <c r="Z1257" s="25"/>
    </row>
    <row r="1258">
      <c r="H1258" s="404"/>
      <c r="I1258" s="404"/>
      <c r="Z1258" s="25"/>
    </row>
    <row r="1259">
      <c r="H1259" s="404"/>
      <c r="I1259" s="404"/>
      <c r="Z1259" s="25"/>
    </row>
    <row r="1260">
      <c r="H1260" s="404"/>
      <c r="I1260" s="404"/>
      <c r="Z1260" s="25"/>
    </row>
    <row r="1261">
      <c r="H1261" s="404"/>
      <c r="I1261" s="404"/>
      <c r="Z1261" s="25"/>
    </row>
    <row r="1262">
      <c r="H1262" s="404"/>
      <c r="I1262" s="404"/>
      <c r="Z1262" s="25"/>
    </row>
    <row r="1263">
      <c r="H1263" s="404"/>
      <c r="I1263" s="404"/>
      <c r="Z1263" s="25"/>
    </row>
    <row r="1264">
      <c r="H1264" s="404"/>
      <c r="I1264" s="404"/>
      <c r="Z1264" s="25"/>
    </row>
    <row r="1265">
      <c r="H1265" s="404"/>
      <c r="I1265" s="404"/>
      <c r="Z1265" s="25"/>
    </row>
    <row r="1266">
      <c r="H1266" s="404"/>
      <c r="I1266" s="404"/>
      <c r="Z1266" s="25"/>
    </row>
    <row r="1267">
      <c r="H1267" s="404"/>
      <c r="I1267" s="404"/>
      <c r="Z1267" s="25"/>
    </row>
    <row r="1268">
      <c r="H1268" s="404"/>
      <c r="I1268" s="404"/>
      <c r="Z1268" s="25"/>
    </row>
    <row r="1269">
      <c r="H1269" s="404"/>
      <c r="I1269" s="404"/>
      <c r="Z1269" s="25"/>
    </row>
    <row r="1270">
      <c r="H1270" s="404"/>
      <c r="I1270" s="404"/>
      <c r="Z1270" s="25"/>
    </row>
    <row r="1271">
      <c r="H1271" s="404"/>
      <c r="I1271" s="404"/>
      <c r="Z1271" s="25"/>
    </row>
    <row r="1272">
      <c r="H1272" s="404"/>
      <c r="I1272" s="404"/>
      <c r="Z1272" s="25"/>
    </row>
    <row r="1273">
      <c r="H1273" s="404"/>
      <c r="I1273" s="404"/>
      <c r="Z1273" s="25"/>
    </row>
    <row r="1274">
      <c r="H1274" s="404"/>
      <c r="I1274" s="404"/>
      <c r="Z1274" s="25"/>
    </row>
    <row r="1275">
      <c r="H1275" s="404"/>
      <c r="I1275" s="404"/>
      <c r="Z1275" s="25"/>
    </row>
    <row r="1276">
      <c r="H1276" s="404"/>
      <c r="I1276" s="404"/>
      <c r="Z1276" s="25"/>
    </row>
    <row r="1277">
      <c r="H1277" s="404"/>
      <c r="I1277" s="404"/>
      <c r="Z1277" s="25"/>
    </row>
    <row r="1278">
      <c r="H1278" s="404"/>
      <c r="I1278" s="404"/>
      <c r="Z1278" s="25"/>
    </row>
    <row r="1279">
      <c r="H1279" s="404"/>
      <c r="I1279" s="404"/>
      <c r="Z1279" s="25"/>
    </row>
    <row r="1280">
      <c r="H1280" s="404"/>
      <c r="I1280" s="404"/>
      <c r="Z1280" s="25"/>
    </row>
    <row r="1281">
      <c r="H1281" s="404"/>
      <c r="I1281" s="404"/>
      <c r="Z1281" s="25"/>
    </row>
    <row r="1282">
      <c r="H1282" s="404"/>
      <c r="I1282" s="404"/>
      <c r="Z1282" s="25"/>
    </row>
    <row r="1283">
      <c r="H1283" s="404"/>
      <c r="I1283" s="404"/>
      <c r="Z1283" s="25"/>
    </row>
    <row r="1284">
      <c r="H1284" s="404"/>
      <c r="I1284" s="404"/>
      <c r="Z1284" s="25"/>
    </row>
    <row r="1285">
      <c r="H1285" s="404"/>
      <c r="I1285" s="404"/>
      <c r="Z1285" s="25"/>
    </row>
    <row r="1286">
      <c r="H1286" s="404"/>
      <c r="I1286" s="404"/>
      <c r="Z1286" s="25"/>
    </row>
    <row r="1287">
      <c r="H1287" s="404"/>
      <c r="I1287" s="404"/>
      <c r="Z1287" s="25"/>
    </row>
    <row r="1288">
      <c r="H1288" s="404"/>
      <c r="I1288" s="404"/>
      <c r="Z1288" s="25"/>
    </row>
    <row r="1289">
      <c r="H1289" s="404"/>
      <c r="I1289" s="404"/>
      <c r="Z1289" s="25"/>
    </row>
    <row r="1290">
      <c r="H1290" s="404"/>
      <c r="I1290" s="404"/>
      <c r="Z1290" s="25"/>
    </row>
    <row r="1291">
      <c r="H1291" s="404"/>
      <c r="I1291" s="404"/>
      <c r="Z1291" s="25"/>
    </row>
    <row r="1292">
      <c r="H1292" s="404"/>
      <c r="I1292" s="404"/>
      <c r="Z1292" s="25"/>
    </row>
    <row r="1293">
      <c r="H1293" s="404"/>
      <c r="I1293" s="404"/>
      <c r="Z1293" s="25"/>
    </row>
    <row r="1294">
      <c r="H1294" s="404"/>
      <c r="I1294" s="404"/>
      <c r="Z1294" s="25"/>
    </row>
    <row r="1295">
      <c r="H1295" s="404"/>
      <c r="I1295" s="404"/>
      <c r="Z1295" s="25"/>
    </row>
    <row r="1296">
      <c r="H1296" s="404"/>
      <c r="I1296" s="404"/>
      <c r="Z1296" s="25"/>
    </row>
    <row r="1297">
      <c r="H1297" s="404"/>
      <c r="I1297" s="404"/>
      <c r="Z1297" s="25"/>
    </row>
    <row r="1298">
      <c r="H1298" s="404"/>
      <c r="I1298" s="404"/>
      <c r="Z1298" s="25"/>
    </row>
    <row r="1299">
      <c r="H1299" s="404"/>
      <c r="I1299" s="404"/>
      <c r="Z1299" s="25"/>
    </row>
    <row r="1300">
      <c r="H1300" s="404"/>
      <c r="I1300" s="404"/>
      <c r="Z1300" s="25"/>
    </row>
    <row r="1301">
      <c r="H1301" s="404"/>
      <c r="I1301" s="404"/>
      <c r="Z1301" s="25"/>
    </row>
    <row r="1302">
      <c r="H1302" s="404"/>
      <c r="I1302" s="404"/>
      <c r="Z1302" s="25"/>
    </row>
    <row r="1303">
      <c r="H1303" s="404"/>
      <c r="I1303" s="404"/>
      <c r="Z1303" s="25"/>
    </row>
    <row r="1304">
      <c r="H1304" s="404"/>
      <c r="I1304" s="404"/>
      <c r="Z1304" s="25"/>
    </row>
    <row r="1305">
      <c r="H1305" s="404"/>
      <c r="I1305" s="404"/>
      <c r="Z1305" s="25"/>
    </row>
    <row r="1306">
      <c r="H1306" s="404"/>
      <c r="I1306" s="404"/>
      <c r="Z1306" s="25"/>
    </row>
    <row r="1307">
      <c r="H1307" s="404"/>
      <c r="I1307" s="404"/>
      <c r="Z1307" s="25"/>
    </row>
    <row r="1308">
      <c r="H1308" s="404"/>
      <c r="I1308" s="404"/>
      <c r="Z1308" s="25"/>
    </row>
    <row r="1309">
      <c r="H1309" s="404"/>
      <c r="I1309" s="404"/>
      <c r="Z1309" s="25"/>
    </row>
    <row r="1310">
      <c r="H1310" s="404"/>
      <c r="I1310" s="404"/>
      <c r="Z1310" s="25"/>
    </row>
    <row r="1311">
      <c r="H1311" s="404"/>
      <c r="I1311" s="404"/>
      <c r="Z1311" s="25"/>
    </row>
    <row r="1312">
      <c r="H1312" s="404"/>
      <c r="I1312" s="404"/>
      <c r="Z1312" s="25"/>
    </row>
    <row r="1313">
      <c r="H1313" s="404"/>
      <c r="I1313" s="404"/>
      <c r="Z1313" s="25"/>
    </row>
    <row r="1314">
      <c r="H1314" s="404"/>
      <c r="I1314" s="404"/>
      <c r="Z1314" s="25"/>
    </row>
    <row r="1315">
      <c r="H1315" s="404"/>
      <c r="I1315" s="404"/>
      <c r="Z1315" s="25"/>
    </row>
    <row r="1316">
      <c r="H1316" s="404"/>
      <c r="I1316" s="404"/>
      <c r="Z1316" s="25"/>
    </row>
    <row r="1317">
      <c r="H1317" s="404"/>
      <c r="I1317" s="404"/>
      <c r="Z1317" s="25"/>
    </row>
    <row r="1318">
      <c r="H1318" s="404"/>
      <c r="I1318" s="404"/>
      <c r="Z1318" s="25"/>
    </row>
    <row r="1319">
      <c r="H1319" s="404"/>
      <c r="I1319" s="404"/>
      <c r="Z1319" s="25"/>
    </row>
    <row r="1320">
      <c r="H1320" s="404"/>
      <c r="I1320" s="404"/>
      <c r="Z1320" s="25"/>
    </row>
    <row r="1321">
      <c r="H1321" s="404"/>
      <c r="I1321" s="404"/>
      <c r="Z1321" s="25"/>
    </row>
    <row r="1322">
      <c r="H1322" s="404"/>
      <c r="I1322" s="404"/>
      <c r="Z1322" s="25"/>
    </row>
    <row r="1323">
      <c r="H1323" s="404"/>
      <c r="I1323" s="404"/>
      <c r="Z1323" s="25"/>
    </row>
    <row r="1324">
      <c r="H1324" s="404"/>
      <c r="I1324" s="404"/>
      <c r="Z1324" s="25"/>
    </row>
    <row r="1325">
      <c r="H1325" s="404"/>
      <c r="I1325" s="404"/>
      <c r="Z1325" s="25"/>
    </row>
    <row r="1326">
      <c r="H1326" s="404"/>
      <c r="I1326" s="404"/>
      <c r="Z1326" s="25"/>
    </row>
    <row r="1327">
      <c r="H1327" s="404"/>
      <c r="I1327" s="404"/>
      <c r="Z1327" s="25"/>
    </row>
    <row r="1328">
      <c r="H1328" s="404"/>
      <c r="I1328" s="404"/>
      <c r="Z1328" s="25"/>
    </row>
    <row r="1329">
      <c r="H1329" s="404"/>
      <c r="I1329" s="404"/>
      <c r="Z1329" s="25"/>
    </row>
    <row r="1330">
      <c r="H1330" s="404"/>
      <c r="I1330" s="404"/>
      <c r="Z1330" s="25"/>
    </row>
    <row r="1331">
      <c r="H1331" s="404"/>
      <c r="I1331" s="404"/>
      <c r="Z1331" s="25"/>
    </row>
    <row r="1332">
      <c r="H1332" s="404"/>
      <c r="I1332" s="404"/>
      <c r="Z1332" s="25"/>
    </row>
    <row r="1333">
      <c r="H1333" s="404"/>
      <c r="I1333" s="404"/>
      <c r="Z1333" s="25"/>
    </row>
    <row r="1334">
      <c r="H1334" s="404"/>
      <c r="I1334" s="404"/>
      <c r="Z1334" s="25"/>
    </row>
    <row r="1335">
      <c r="H1335" s="404"/>
      <c r="I1335" s="404"/>
      <c r="Z1335" s="25"/>
    </row>
    <row r="1336">
      <c r="H1336" s="404"/>
      <c r="I1336" s="404"/>
      <c r="Z1336" s="25"/>
    </row>
    <row r="1337">
      <c r="H1337" s="404"/>
      <c r="I1337" s="404"/>
      <c r="Z1337" s="25"/>
    </row>
    <row r="1338">
      <c r="H1338" s="404"/>
      <c r="I1338" s="404"/>
      <c r="Z1338" s="25"/>
    </row>
    <row r="1339">
      <c r="H1339" s="404"/>
      <c r="I1339" s="404"/>
      <c r="Z1339" s="25"/>
    </row>
    <row r="1340">
      <c r="H1340" s="404"/>
      <c r="I1340" s="404"/>
      <c r="Z1340" s="25"/>
    </row>
    <row r="1341">
      <c r="H1341" s="404"/>
      <c r="I1341" s="404"/>
      <c r="Z1341" s="25"/>
    </row>
    <row r="1342">
      <c r="H1342" s="404"/>
      <c r="I1342" s="404"/>
      <c r="Z1342" s="25"/>
    </row>
    <row r="1343">
      <c r="H1343" s="404"/>
      <c r="I1343" s="404"/>
      <c r="Z1343" s="25"/>
    </row>
    <row r="1344">
      <c r="H1344" s="404"/>
      <c r="I1344" s="404"/>
      <c r="Z1344" s="25"/>
    </row>
    <row r="1345">
      <c r="H1345" s="404"/>
      <c r="I1345" s="404"/>
      <c r="Z1345" s="25"/>
    </row>
    <row r="1346">
      <c r="H1346" s="404"/>
      <c r="I1346" s="404"/>
      <c r="Z1346" s="25"/>
    </row>
    <row r="1347">
      <c r="H1347" s="404"/>
      <c r="I1347" s="404"/>
      <c r="Z1347" s="25"/>
    </row>
    <row r="1348">
      <c r="H1348" s="404"/>
      <c r="I1348" s="404"/>
      <c r="Z1348" s="25"/>
    </row>
    <row r="1349">
      <c r="H1349" s="404"/>
      <c r="I1349" s="404"/>
      <c r="Z1349" s="25"/>
    </row>
    <row r="1350">
      <c r="H1350" s="404"/>
      <c r="I1350" s="404"/>
      <c r="Z1350" s="25"/>
    </row>
    <row r="1351">
      <c r="H1351" s="404"/>
      <c r="I1351" s="404"/>
      <c r="Z1351" s="25"/>
    </row>
    <row r="1352">
      <c r="H1352" s="404"/>
      <c r="I1352" s="404"/>
      <c r="Z1352" s="25"/>
    </row>
    <row r="1353">
      <c r="H1353" s="404"/>
      <c r="I1353" s="404"/>
      <c r="Z1353" s="25"/>
    </row>
    <row r="1354">
      <c r="H1354" s="404"/>
      <c r="I1354" s="404"/>
      <c r="Z1354" s="25"/>
    </row>
    <row r="1355">
      <c r="H1355" s="404"/>
      <c r="I1355" s="404"/>
      <c r="Z1355" s="25"/>
    </row>
    <row r="1356">
      <c r="H1356" s="404"/>
      <c r="I1356" s="404"/>
      <c r="Z1356" s="25"/>
    </row>
    <row r="1357">
      <c r="H1357" s="404"/>
      <c r="I1357" s="404"/>
      <c r="Z1357" s="25"/>
    </row>
    <row r="1358">
      <c r="H1358" s="404"/>
      <c r="I1358" s="404"/>
      <c r="Z1358" s="25"/>
    </row>
    <row r="1359">
      <c r="H1359" s="404"/>
      <c r="I1359" s="404"/>
      <c r="Z1359" s="25"/>
    </row>
    <row r="1360">
      <c r="H1360" s="404"/>
      <c r="I1360" s="404"/>
      <c r="Z1360" s="25"/>
    </row>
    <row r="1361">
      <c r="H1361" s="404"/>
      <c r="I1361" s="404"/>
      <c r="Z1361" s="25"/>
    </row>
    <row r="1362">
      <c r="H1362" s="404"/>
      <c r="I1362" s="404"/>
      <c r="Z1362" s="25"/>
    </row>
    <row r="1363">
      <c r="H1363" s="404"/>
      <c r="I1363" s="404"/>
      <c r="Z1363" s="25"/>
    </row>
    <row r="1364">
      <c r="H1364" s="404"/>
      <c r="I1364" s="404"/>
      <c r="Z1364" s="25"/>
    </row>
    <row r="1365">
      <c r="H1365" s="404"/>
      <c r="I1365" s="404"/>
      <c r="Z1365" s="25"/>
    </row>
    <row r="1366">
      <c r="H1366" s="404"/>
      <c r="I1366" s="404"/>
      <c r="Z1366" s="25"/>
    </row>
    <row r="1367">
      <c r="H1367" s="404"/>
      <c r="I1367" s="404"/>
      <c r="Z1367" s="25"/>
    </row>
    <row r="1368">
      <c r="H1368" s="404"/>
      <c r="I1368" s="404"/>
      <c r="Z1368" s="25"/>
    </row>
    <row r="1369">
      <c r="H1369" s="404"/>
      <c r="I1369" s="404"/>
      <c r="Z1369" s="25"/>
    </row>
    <row r="1370">
      <c r="H1370" s="404"/>
      <c r="I1370" s="404"/>
      <c r="Z1370" s="25"/>
    </row>
    <row r="1371">
      <c r="H1371" s="404"/>
      <c r="I1371" s="404"/>
      <c r="Z1371" s="25"/>
    </row>
    <row r="1372">
      <c r="H1372" s="404"/>
      <c r="I1372" s="404"/>
      <c r="Z1372" s="25"/>
    </row>
    <row r="1373">
      <c r="H1373" s="404"/>
      <c r="I1373" s="404"/>
      <c r="Z1373" s="25"/>
    </row>
    <row r="1374">
      <c r="H1374" s="404"/>
      <c r="I1374" s="404"/>
      <c r="Z1374" s="25"/>
    </row>
    <row r="1375">
      <c r="H1375" s="404"/>
      <c r="I1375" s="404"/>
      <c r="Z1375" s="25"/>
    </row>
    <row r="1376">
      <c r="H1376" s="404"/>
      <c r="I1376" s="404"/>
      <c r="Z1376" s="25"/>
    </row>
    <row r="1377">
      <c r="H1377" s="404"/>
      <c r="I1377" s="404"/>
      <c r="Z1377" s="25"/>
    </row>
    <row r="1378">
      <c r="H1378" s="404"/>
      <c r="I1378" s="404"/>
      <c r="Z1378" s="25"/>
    </row>
    <row r="1379">
      <c r="H1379" s="404"/>
      <c r="I1379" s="404"/>
      <c r="Z1379" s="25"/>
    </row>
    <row r="1380">
      <c r="H1380" s="404"/>
      <c r="I1380" s="404"/>
      <c r="Z1380" s="25"/>
    </row>
    <row r="1381">
      <c r="H1381" s="404"/>
      <c r="I1381" s="404"/>
      <c r="Z1381" s="25"/>
    </row>
    <row r="1382">
      <c r="H1382" s="404"/>
      <c r="I1382" s="404"/>
      <c r="Z1382" s="25"/>
    </row>
    <row r="1383">
      <c r="H1383" s="404"/>
      <c r="I1383" s="404"/>
      <c r="Z1383" s="25"/>
    </row>
    <row r="1384">
      <c r="H1384" s="404"/>
      <c r="I1384" s="404"/>
      <c r="Z1384" s="25"/>
    </row>
    <row r="1385">
      <c r="H1385" s="404"/>
      <c r="I1385" s="404"/>
      <c r="Z1385" s="25"/>
    </row>
    <row r="1386">
      <c r="H1386" s="404"/>
      <c r="I1386" s="404"/>
      <c r="Z1386" s="25"/>
    </row>
    <row r="1387">
      <c r="H1387" s="404"/>
      <c r="I1387" s="404"/>
      <c r="Z1387" s="25"/>
    </row>
    <row r="1388">
      <c r="H1388" s="404"/>
      <c r="I1388" s="404"/>
      <c r="Z1388" s="25"/>
    </row>
    <row r="1389">
      <c r="H1389" s="404"/>
      <c r="I1389" s="404"/>
      <c r="Z1389" s="25"/>
    </row>
    <row r="1390">
      <c r="H1390" s="404"/>
      <c r="I1390" s="404"/>
      <c r="Z1390" s="25"/>
    </row>
    <row r="1391">
      <c r="H1391" s="404"/>
      <c r="I1391" s="404"/>
      <c r="Z1391" s="25"/>
    </row>
    <row r="1392">
      <c r="H1392" s="404"/>
      <c r="I1392" s="404"/>
      <c r="Z1392" s="25"/>
    </row>
    <row r="1393">
      <c r="H1393" s="404"/>
      <c r="I1393" s="404"/>
      <c r="Z1393" s="25"/>
    </row>
    <row r="1394">
      <c r="H1394" s="404"/>
      <c r="I1394" s="404"/>
      <c r="Z1394" s="25"/>
    </row>
    <row r="1395">
      <c r="H1395" s="404"/>
      <c r="I1395" s="404"/>
      <c r="Z1395" s="25"/>
    </row>
    <row r="1396">
      <c r="H1396" s="404"/>
      <c r="I1396" s="404"/>
      <c r="Z1396" s="25"/>
    </row>
    <row r="1397">
      <c r="H1397" s="404"/>
      <c r="I1397" s="404"/>
      <c r="Z1397" s="25"/>
    </row>
    <row r="1398">
      <c r="H1398" s="404"/>
      <c r="I1398" s="404"/>
      <c r="Z1398" s="25"/>
    </row>
    <row r="1399">
      <c r="H1399" s="404"/>
      <c r="I1399" s="404"/>
      <c r="Z1399" s="25"/>
    </row>
    <row r="1400">
      <c r="H1400" s="404"/>
      <c r="I1400" s="404"/>
      <c r="Z1400" s="25"/>
    </row>
    <row r="1401">
      <c r="H1401" s="404"/>
      <c r="I1401" s="404"/>
      <c r="Z1401" s="25"/>
    </row>
    <row r="1402">
      <c r="H1402" s="404"/>
      <c r="I1402" s="404"/>
      <c r="Z1402" s="25"/>
    </row>
  </sheetData>
  <mergeCells count="40">
    <mergeCell ref="Z42:Z43"/>
    <mergeCell ref="Z46:Z48"/>
    <mergeCell ref="Z49:Z53"/>
    <mergeCell ref="Z60:Z61"/>
    <mergeCell ref="Z63:Z64"/>
    <mergeCell ref="Z66:Z69"/>
    <mergeCell ref="Z72:Z73"/>
    <mergeCell ref="Z83:Z84"/>
    <mergeCell ref="Z86:Z87"/>
    <mergeCell ref="Z92:Z97"/>
    <mergeCell ref="Z105:Z106"/>
    <mergeCell ref="Z119:Z120"/>
    <mergeCell ref="Z121:Z124"/>
    <mergeCell ref="Z125:Z126"/>
    <mergeCell ref="Z127:Z130"/>
    <mergeCell ref="Z131:Z132"/>
    <mergeCell ref="Z138:Z139"/>
    <mergeCell ref="Z140:Z144"/>
    <mergeCell ref="Z159:Z165"/>
    <mergeCell ref="Z166:Z168"/>
    <mergeCell ref="Z179:Z180"/>
    <mergeCell ref="Z182:Z183"/>
    <mergeCell ref="Z185:Z186"/>
    <mergeCell ref="Z187:Z188"/>
    <mergeCell ref="Z198:Z200"/>
    <mergeCell ref="Z224:Z225"/>
    <mergeCell ref="Z310:Z311"/>
    <mergeCell ref="Z467:Z468"/>
    <mergeCell ref="Z554:Z556"/>
    <mergeCell ref="Z558:Z560"/>
    <mergeCell ref="Z584:Z586"/>
    <mergeCell ref="Z590:Z592"/>
    <mergeCell ref="Z599:Z601"/>
    <mergeCell ref="Z478:Z481"/>
    <mergeCell ref="Z488:Z489"/>
    <mergeCell ref="Z492:Z493"/>
    <mergeCell ref="Z501:Z502"/>
    <mergeCell ref="Z503:Z504"/>
    <mergeCell ref="Z508:Z510"/>
    <mergeCell ref="Z550:Z553"/>
  </mergeCells>
  <hyperlinks>
    <hyperlink r:id="rId1" ref="H188"/>
    <hyperlink r:id="rId2" ref="E338"/>
    <hyperlink r:id="rId3" ref="E339"/>
    <hyperlink r:id="rId4" ref="E340"/>
    <hyperlink r:id="rId5" ref="E341"/>
  </hyperlinks>
  <drawing r:id="rId6"/>
</worksheet>
</file>